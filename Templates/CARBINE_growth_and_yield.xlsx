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acob.osullivan\OneDrive - Forest Research\Turbines and trees\CCWoP\Templates\"/>
    </mc:Choice>
  </mc:AlternateContent>
  <xr:revisionPtr revIDLastSave="0" documentId="13_ncr:1_{6DAB7492-9C17-4184-9C52-5F5E0190DA56}" xr6:coauthVersionLast="47" xr6:coauthVersionMax="47" xr10:uidLastSave="{00000000-0000-0000-0000-000000000000}"/>
  <bookViews>
    <workbookView xWindow="28680" yWindow="-120" windowWidth="29040" windowHeight="15720" firstSheet="2" activeTab="2" xr2:uid="{95F37BCE-569E-4047-978A-D68535612C7C}"/>
  </bookViews>
  <sheets>
    <sheet name="Sheet1" sheetId="1" r:id="rId1"/>
    <sheet name="Over to underbark" sheetId="2" r:id="rId2"/>
    <sheet name="CARBINE OUTPUTS" sheetId="3" r:id="rId3"/>
  </sheets>
  <definedNames>
    <definedName name="_xlnm._FilterDatabase" localSheetId="0" hidden="1">Sheet1!$A$2:$AD$459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N3" i="3"/>
  <c r="L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2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2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2" i="3"/>
  <c r="T297" i="1" l="1"/>
  <c r="U297" i="1"/>
  <c r="V297" i="1"/>
  <c r="W297" i="1" s="1"/>
  <c r="T298" i="1"/>
  <c r="U298" i="1"/>
  <c r="V298" i="1"/>
  <c r="X298" i="1" s="1"/>
  <c r="AB298" i="1" s="1"/>
  <c r="W298" i="1"/>
  <c r="AA298" i="1"/>
  <c r="T299" i="1"/>
  <c r="U299" i="1"/>
  <c r="V299" i="1"/>
  <c r="Y299" i="1" s="1"/>
  <c r="W299" i="1"/>
  <c r="X299" i="1"/>
  <c r="AB299" i="1"/>
  <c r="T300" i="1"/>
  <c r="U300" i="1"/>
  <c r="V300" i="1"/>
  <c r="W300" i="1" s="1"/>
  <c r="X300" i="1"/>
  <c r="AB300" i="1" s="1"/>
  <c r="Y300" i="1"/>
  <c r="Z300" i="1" s="1"/>
  <c r="T301" i="1"/>
  <c r="U301" i="1"/>
  <c r="V301" i="1"/>
  <c r="Y301" i="1"/>
  <c r="T302" i="1"/>
  <c r="U302" i="1"/>
  <c r="V302" i="1"/>
  <c r="W302" i="1"/>
  <c r="Z302" i="1" s="1"/>
  <c r="X302" i="1"/>
  <c r="AB302" i="1" s="1"/>
  <c r="Y302" i="1"/>
  <c r="T303" i="1"/>
  <c r="U303" i="1"/>
  <c r="V303" i="1"/>
  <c r="W303" i="1"/>
  <c r="X303" i="1"/>
  <c r="Y303" i="1"/>
  <c r="AB303" i="1"/>
  <c r="T304" i="1"/>
  <c r="U304" i="1"/>
  <c r="V304" i="1"/>
  <c r="W304" i="1"/>
  <c r="X304" i="1"/>
  <c r="Y304" i="1"/>
  <c r="Z304" i="1"/>
  <c r="AA304" i="1"/>
  <c r="AB304" i="1"/>
  <c r="T305" i="1"/>
  <c r="U305" i="1"/>
  <c r="V305" i="1"/>
  <c r="X305" i="1"/>
  <c r="AB305" i="1" s="1"/>
  <c r="T306" i="1"/>
  <c r="U306" i="1"/>
  <c r="V306" i="1"/>
  <c r="X306" i="1" s="1"/>
  <c r="W306" i="1"/>
  <c r="AA306" i="1" s="1"/>
  <c r="Y306" i="1"/>
  <c r="Z306" i="1" s="1"/>
  <c r="AB306" i="1"/>
  <c r="AC306" i="1"/>
  <c r="AD306" i="1"/>
  <c r="T307" i="1"/>
  <c r="U307" i="1"/>
  <c r="V307" i="1"/>
  <c r="Y307" i="1" s="1"/>
  <c r="W307" i="1"/>
  <c r="X307" i="1"/>
  <c r="AB307" i="1" s="1"/>
  <c r="AA307" i="1"/>
  <c r="T308" i="1"/>
  <c r="U308" i="1"/>
  <c r="V308" i="1"/>
  <c r="W308" i="1"/>
  <c r="X308" i="1"/>
  <c r="AB308" i="1" s="1"/>
  <c r="Y308" i="1"/>
  <c r="Z308" i="1" s="1"/>
  <c r="AA308" i="1"/>
  <c r="T309" i="1"/>
  <c r="U309" i="1"/>
  <c r="V309" i="1"/>
  <c r="Y309" i="1" s="1"/>
  <c r="T310" i="1"/>
  <c r="U310" i="1"/>
  <c r="V310" i="1"/>
  <c r="W310" i="1"/>
  <c r="X310" i="1"/>
  <c r="AB310" i="1" s="1"/>
  <c r="Y310" i="1"/>
  <c r="Z310" i="1" s="1"/>
  <c r="AD310" i="1"/>
  <c r="T311" i="1"/>
  <c r="U311" i="1"/>
  <c r="V311" i="1"/>
  <c r="X311" i="1" s="1"/>
  <c r="W311" i="1"/>
  <c r="Y311" i="1"/>
  <c r="Z311" i="1"/>
  <c r="AA311" i="1"/>
  <c r="AB311" i="1"/>
  <c r="T312" i="1"/>
  <c r="U312" i="1"/>
  <c r="V312" i="1"/>
  <c r="Y312" i="1" s="1"/>
  <c r="Z312" i="1" s="1"/>
  <c r="W312" i="1"/>
  <c r="X312" i="1"/>
  <c r="AA312" i="1"/>
  <c r="AB312" i="1"/>
  <c r="T313" i="1"/>
  <c r="U313" i="1"/>
  <c r="V313" i="1"/>
  <c r="W313" i="1" s="1"/>
  <c r="X313" i="1"/>
  <c r="AB313" i="1" s="1"/>
  <c r="T314" i="1"/>
  <c r="U314" i="1"/>
  <c r="V314" i="1"/>
  <c r="Y314" i="1" s="1"/>
  <c r="W314" i="1"/>
  <c r="X314" i="1"/>
  <c r="AB314" i="1" s="1"/>
  <c r="T315" i="1"/>
  <c r="U315" i="1"/>
  <c r="V315" i="1"/>
  <c r="W315" i="1" s="1"/>
  <c r="Y315" i="1"/>
  <c r="T316" i="1"/>
  <c r="U316" i="1"/>
  <c r="V316" i="1"/>
  <c r="W316" i="1"/>
  <c r="X316" i="1"/>
  <c r="AA316" i="1" s="1"/>
  <c r="Y316" i="1"/>
  <c r="Z316" i="1" s="1"/>
  <c r="AB316" i="1"/>
  <c r="T317" i="1"/>
  <c r="U317" i="1"/>
  <c r="V317" i="1"/>
  <c r="Y317" i="1"/>
  <c r="T318" i="1"/>
  <c r="U318" i="1"/>
  <c r="V318" i="1"/>
  <c r="X318" i="1" s="1"/>
  <c r="W318" i="1"/>
  <c r="Y318" i="1"/>
  <c r="AB318" i="1"/>
  <c r="T319" i="1"/>
  <c r="U319" i="1"/>
  <c r="V319" i="1"/>
  <c r="W319" i="1"/>
  <c r="T320" i="1"/>
  <c r="U320" i="1"/>
  <c r="V320" i="1"/>
  <c r="Y320" i="1" s="1"/>
  <c r="W320" i="1"/>
  <c r="X320" i="1"/>
  <c r="AB320" i="1" s="1"/>
  <c r="T321" i="1"/>
  <c r="U321" i="1"/>
  <c r="V321" i="1"/>
  <c r="X321" i="1" s="1"/>
  <c r="AB321" i="1" s="1"/>
  <c r="T322" i="1"/>
  <c r="U322" i="1"/>
  <c r="V322" i="1"/>
  <c r="X322" i="1" s="1"/>
  <c r="AB322" i="1" s="1"/>
  <c r="W322" i="1"/>
  <c r="Y322" i="1"/>
  <c r="Z322" i="1" s="1"/>
  <c r="T323" i="1"/>
  <c r="U323" i="1"/>
  <c r="V323" i="1"/>
  <c r="W323" i="1"/>
  <c r="X323" i="1"/>
  <c r="AA323" i="1" s="1"/>
  <c r="Y323" i="1"/>
  <c r="AB323" i="1"/>
  <c r="AD323" i="1"/>
  <c r="T324" i="1"/>
  <c r="U324" i="1"/>
  <c r="V324" i="1"/>
  <c r="W324" i="1"/>
  <c r="X324" i="1"/>
  <c r="AB324" i="1" s="1"/>
  <c r="Y324" i="1"/>
  <c r="Z324" i="1"/>
  <c r="AA324" i="1"/>
  <c r="AC324" i="1" s="1"/>
  <c r="T325" i="1"/>
  <c r="U325" i="1"/>
  <c r="V325" i="1"/>
  <c r="T326" i="1"/>
  <c r="U326" i="1"/>
  <c r="V326" i="1"/>
  <c r="Y326" i="1" s="1"/>
  <c r="W326" i="1"/>
  <c r="X326" i="1"/>
  <c r="T327" i="1"/>
  <c r="U327" i="1"/>
  <c r="V327" i="1"/>
  <c r="W327" i="1"/>
  <c r="AA327" i="1" s="1"/>
  <c r="X327" i="1"/>
  <c r="AB327" i="1" s="1"/>
  <c r="Y327" i="1"/>
  <c r="Z327" i="1" s="1"/>
  <c r="AC327" i="1"/>
  <c r="T328" i="1"/>
  <c r="U328" i="1"/>
  <c r="V328" i="1"/>
  <c r="W328" i="1"/>
  <c r="X328" i="1"/>
  <c r="Y328" i="1"/>
  <c r="AB328" i="1"/>
  <c r="T329" i="1"/>
  <c r="U329" i="1"/>
  <c r="V329" i="1"/>
  <c r="X329" i="1"/>
  <c r="AB329" i="1" s="1"/>
  <c r="T330" i="1"/>
  <c r="U330" i="1"/>
  <c r="V330" i="1"/>
  <c r="W330" i="1"/>
  <c r="T331" i="1"/>
  <c r="U331" i="1"/>
  <c r="V331" i="1"/>
  <c r="Y331" i="1" s="1"/>
  <c r="W331" i="1"/>
  <c r="X331" i="1"/>
  <c r="T332" i="1"/>
  <c r="U332" i="1"/>
  <c r="V332" i="1"/>
  <c r="W332" i="1"/>
  <c r="X332" i="1"/>
  <c r="AA332" i="1" s="1"/>
  <c r="Y332" i="1"/>
  <c r="AB332" i="1"/>
  <c r="AD332" i="1"/>
  <c r="T333" i="1"/>
  <c r="U333" i="1"/>
  <c r="V333" i="1"/>
  <c r="Y333" i="1"/>
  <c r="T334" i="1"/>
  <c r="U334" i="1"/>
  <c r="V334" i="1"/>
  <c r="Y334" i="1" s="1"/>
  <c r="W334" i="1"/>
  <c r="X334" i="1"/>
  <c r="AB334" i="1" s="1"/>
  <c r="T335" i="1"/>
  <c r="U335" i="1"/>
  <c r="V335" i="1"/>
  <c r="X335" i="1" s="1"/>
  <c r="AB335" i="1" s="1"/>
  <c r="W335" i="1"/>
  <c r="AA335" i="1"/>
  <c r="T336" i="1"/>
  <c r="U336" i="1"/>
  <c r="V336" i="1"/>
  <c r="T337" i="1"/>
  <c r="U337" i="1"/>
  <c r="V337" i="1"/>
  <c r="W337" i="1"/>
  <c r="X337" i="1"/>
  <c r="AB337" i="1" s="1"/>
  <c r="Y337" i="1"/>
  <c r="Z337" i="1"/>
  <c r="AA337" i="1"/>
  <c r="T338" i="1"/>
  <c r="U338" i="1"/>
  <c r="V338" i="1"/>
  <c r="W338" i="1" s="1"/>
  <c r="X338" i="1"/>
  <c r="Y338" i="1"/>
  <c r="AA338" i="1"/>
  <c r="T339" i="1"/>
  <c r="U339" i="1"/>
  <c r="V339" i="1"/>
  <c r="W339" i="1"/>
  <c r="AA339" i="1" s="1"/>
  <c r="AC339" i="1" s="1"/>
  <c r="X339" i="1"/>
  <c r="Y339" i="1"/>
  <c r="Z339" i="1"/>
  <c r="AB339" i="1"/>
  <c r="AD339" i="1"/>
  <c r="T340" i="1"/>
  <c r="U340" i="1"/>
  <c r="V340" i="1"/>
  <c r="W340" i="1"/>
  <c r="X340" i="1"/>
  <c r="Z340" i="1" s="1"/>
  <c r="Y340" i="1"/>
  <c r="AA340" i="1"/>
  <c r="AB340" i="1"/>
  <c r="T341" i="1"/>
  <c r="U341" i="1"/>
  <c r="V341" i="1"/>
  <c r="X341" i="1"/>
  <c r="AB341" i="1" s="1"/>
  <c r="T342" i="1"/>
  <c r="U342" i="1"/>
  <c r="V342" i="1"/>
  <c r="W342" i="1"/>
  <c r="T343" i="1"/>
  <c r="U343" i="1"/>
  <c r="V343" i="1"/>
  <c r="Y343" i="1" s="1"/>
  <c r="W343" i="1"/>
  <c r="X343" i="1"/>
  <c r="AB343" i="1" s="1"/>
  <c r="Z343" i="1"/>
  <c r="AA343" i="1"/>
  <c r="AD343" i="1"/>
  <c r="T344" i="1"/>
  <c r="U344" i="1"/>
  <c r="V344" i="1"/>
  <c r="X344" i="1"/>
  <c r="AB344" i="1" s="1"/>
  <c r="T345" i="1"/>
  <c r="U345" i="1"/>
  <c r="V345" i="1"/>
  <c r="Y345" i="1" s="1"/>
  <c r="W345" i="1"/>
  <c r="AD345" i="1" s="1"/>
  <c r="X345" i="1"/>
  <c r="Z345" i="1"/>
  <c r="AB345" i="1"/>
  <c r="T346" i="1"/>
  <c r="U346" i="1"/>
  <c r="V346" i="1"/>
  <c r="W346" i="1"/>
  <c r="X346" i="1"/>
  <c r="AB346" i="1" s="1"/>
  <c r="Y346" i="1"/>
  <c r="Z346" i="1" s="1"/>
  <c r="T347" i="1"/>
  <c r="U347" i="1"/>
  <c r="V347" i="1"/>
  <c r="T348" i="1"/>
  <c r="U348" i="1"/>
  <c r="V348" i="1"/>
  <c r="T349" i="1"/>
  <c r="U349" i="1"/>
  <c r="V349" i="1"/>
  <c r="W349" i="1" s="1"/>
  <c r="X349" i="1"/>
  <c r="AB349" i="1" s="1"/>
  <c r="Y349" i="1"/>
  <c r="Z349" i="1" s="1"/>
  <c r="AA349" i="1"/>
  <c r="T350" i="1"/>
  <c r="U350" i="1"/>
  <c r="V350" i="1"/>
  <c r="Y350" i="1" s="1"/>
  <c r="W350" i="1"/>
  <c r="X350" i="1"/>
  <c r="AB350" i="1"/>
  <c r="T351" i="1"/>
  <c r="U351" i="1"/>
  <c r="V351" i="1"/>
  <c r="W351" i="1"/>
  <c r="X351" i="1"/>
  <c r="Z351" i="1" s="1"/>
  <c r="Y351" i="1"/>
  <c r="AB351" i="1"/>
  <c r="T352" i="1"/>
  <c r="U352" i="1"/>
  <c r="V352" i="1"/>
  <c r="W352" i="1"/>
  <c r="X352" i="1"/>
  <c r="Y352" i="1"/>
  <c r="Z352" i="1" s="1"/>
  <c r="AA352" i="1"/>
  <c r="AB352" i="1"/>
  <c r="T353" i="1"/>
  <c r="U353" i="1"/>
  <c r="V353" i="1"/>
  <c r="W353" i="1" s="1"/>
  <c r="X353" i="1"/>
  <c r="AB353" i="1"/>
  <c r="T354" i="1"/>
  <c r="U354" i="1"/>
  <c r="V354" i="1"/>
  <c r="X354" i="1" s="1"/>
  <c r="W354" i="1"/>
  <c r="Y354" i="1"/>
  <c r="AC354" i="1" s="1"/>
  <c r="Z354" i="1"/>
  <c r="AA354" i="1"/>
  <c r="AB354" i="1"/>
  <c r="T355" i="1"/>
  <c r="U355" i="1"/>
  <c r="V355" i="1"/>
  <c r="W355" i="1"/>
  <c r="T356" i="1"/>
  <c r="U356" i="1"/>
  <c r="V356" i="1"/>
  <c r="W356" i="1"/>
  <c r="T357" i="1"/>
  <c r="U357" i="1"/>
  <c r="V357" i="1"/>
  <c r="W357" i="1" s="1"/>
  <c r="X357" i="1"/>
  <c r="Y357" i="1"/>
  <c r="Z357" i="1"/>
  <c r="AB357" i="1"/>
  <c r="T358" i="1"/>
  <c r="U358" i="1"/>
  <c r="V358" i="1"/>
  <c r="T359" i="1"/>
  <c r="U359" i="1"/>
  <c r="V359" i="1"/>
  <c r="X359" i="1" s="1"/>
  <c r="AB359" i="1" s="1"/>
  <c r="W359" i="1"/>
  <c r="T360" i="1"/>
  <c r="U360" i="1"/>
  <c r="V360" i="1"/>
  <c r="W360" i="1"/>
  <c r="X360" i="1"/>
  <c r="Y360" i="1"/>
  <c r="Z360" i="1"/>
  <c r="AB360" i="1"/>
  <c r="T361" i="1"/>
  <c r="U361" i="1"/>
  <c r="V361" i="1"/>
  <c r="X361" i="1" s="1"/>
  <c r="W361" i="1"/>
  <c r="Y361" i="1"/>
  <c r="AB361" i="1"/>
  <c r="T362" i="1"/>
  <c r="U362" i="1"/>
  <c r="V362" i="1"/>
  <c r="Y362" i="1" s="1"/>
  <c r="W362" i="1"/>
  <c r="AA362" i="1" s="1"/>
  <c r="X362" i="1"/>
  <c r="AB362" i="1" s="1"/>
  <c r="T363" i="1"/>
  <c r="U363" i="1"/>
  <c r="V363" i="1"/>
  <c r="Y363" i="1"/>
  <c r="T364" i="1"/>
  <c r="U364" i="1"/>
  <c r="V364" i="1"/>
  <c r="W364" i="1"/>
  <c r="AD364" i="1" s="1"/>
  <c r="X364" i="1"/>
  <c r="Y364" i="1"/>
  <c r="AB364" i="1"/>
  <c r="T365" i="1"/>
  <c r="U365" i="1"/>
  <c r="V365" i="1"/>
  <c r="W365" i="1" s="1"/>
  <c r="AA365" i="1" s="1"/>
  <c r="X365" i="1"/>
  <c r="Y365" i="1"/>
  <c r="Z365" i="1" s="1"/>
  <c r="AB365" i="1"/>
  <c r="T366" i="1"/>
  <c r="U366" i="1"/>
  <c r="V366" i="1"/>
  <c r="W366" i="1"/>
  <c r="T367" i="1"/>
  <c r="U367" i="1"/>
  <c r="V367" i="1"/>
  <c r="Y367" i="1" s="1"/>
  <c r="W367" i="1"/>
  <c r="X367" i="1"/>
  <c r="AB367" i="1"/>
  <c r="AD367" i="1"/>
  <c r="T368" i="1"/>
  <c r="U368" i="1"/>
  <c r="V368" i="1"/>
  <c r="W368" i="1"/>
  <c r="X368" i="1"/>
  <c r="AA368" i="1" s="1"/>
  <c r="Y368" i="1"/>
  <c r="Z368" i="1" s="1"/>
  <c r="T369" i="1"/>
  <c r="U369" i="1"/>
  <c r="V369" i="1"/>
  <c r="X369" i="1" s="1"/>
  <c r="AB369" i="1" s="1"/>
  <c r="W369" i="1"/>
  <c r="Y369" i="1"/>
  <c r="Z369" i="1" s="1"/>
  <c r="T370" i="1"/>
  <c r="U370" i="1"/>
  <c r="V370" i="1"/>
  <c r="X370" i="1"/>
  <c r="AB370" i="1" s="1"/>
  <c r="T371" i="1"/>
  <c r="U371" i="1"/>
  <c r="V371" i="1"/>
  <c r="T372" i="1"/>
  <c r="U372" i="1"/>
  <c r="V372" i="1"/>
  <c r="W372" i="1"/>
  <c r="X372" i="1"/>
  <c r="Y372" i="1"/>
  <c r="AB372" i="1"/>
  <c r="T373" i="1"/>
  <c r="U373" i="1"/>
  <c r="V373" i="1"/>
  <c r="X373" i="1" s="1"/>
  <c r="W373" i="1"/>
  <c r="Y373" i="1"/>
  <c r="AA373" i="1"/>
  <c r="AB373" i="1"/>
  <c r="T374" i="1"/>
  <c r="U374" i="1"/>
  <c r="V374" i="1"/>
  <c r="Y374" i="1" s="1"/>
  <c r="W374" i="1"/>
  <c r="X374" i="1"/>
  <c r="AB374" i="1" s="1"/>
  <c r="AA374" i="1"/>
  <c r="T375" i="1"/>
  <c r="U375" i="1"/>
  <c r="V375" i="1"/>
  <c r="W375" i="1"/>
  <c r="X375" i="1"/>
  <c r="AB375" i="1" s="1"/>
  <c r="Y375" i="1"/>
  <c r="Z375" i="1" s="1"/>
  <c r="AA375" i="1"/>
  <c r="T376" i="1"/>
  <c r="U376" i="1"/>
  <c r="V376" i="1"/>
  <c r="W376" i="1"/>
  <c r="X376" i="1"/>
  <c r="AA376" i="1" s="1"/>
  <c r="Y376" i="1"/>
  <c r="Z376" i="1" s="1"/>
  <c r="AB376" i="1"/>
  <c r="T377" i="1"/>
  <c r="U377" i="1"/>
  <c r="V377" i="1"/>
  <c r="X377" i="1"/>
  <c r="AB377" i="1" s="1"/>
  <c r="T378" i="1"/>
  <c r="U378" i="1"/>
  <c r="V378" i="1"/>
  <c r="W378" i="1" s="1"/>
  <c r="T379" i="1"/>
  <c r="U379" i="1"/>
  <c r="V379" i="1"/>
  <c r="Y379" i="1" s="1"/>
  <c r="W379" i="1"/>
  <c r="X379" i="1"/>
  <c r="AB379" i="1" s="1"/>
  <c r="Z379" i="1"/>
  <c r="AA379" i="1"/>
  <c r="AD379" i="1"/>
  <c r="T380" i="1"/>
  <c r="U380" i="1"/>
  <c r="V380" i="1"/>
  <c r="Y380" i="1" s="1"/>
  <c r="W380" i="1"/>
  <c r="X380" i="1"/>
  <c r="AA380" i="1"/>
  <c r="AB380" i="1"/>
  <c r="T381" i="1"/>
  <c r="U381" i="1"/>
  <c r="V381" i="1"/>
  <c r="X381" i="1"/>
  <c r="AB381" i="1" s="1"/>
  <c r="T382" i="1"/>
  <c r="U382" i="1"/>
  <c r="V382" i="1"/>
  <c r="W382" i="1"/>
  <c r="X382" i="1"/>
  <c r="AB382" i="1" s="1"/>
  <c r="Y382" i="1"/>
  <c r="Z382" i="1" s="1"/>
  <c r="AA382" i="1"/>
  <c r="T383" i="1"/>
  <c r="U383" i="1"/>
  <c r="V383" i="1"/>
  <c r="T384" i="1"/>
  <c r="U384" i="1"/>
  <c r="V384" i="1"/>
  <c r="W384" i="1"/>
  <c r="X384" i="1"/>
  <c r="AB384" i="1" s="1"/>
  <c r="Y384" i="1"/>
  <c r="Z384" i="1" s="1"/>
  <c r="AA384" i="1"/>
  <c r="T385" i="1"/>
  <c r="U385" i="1"/>
  <c r="V385" i="1"/>
  <c r="Y385" i="1" s="1"/>
  <c r="W385" i="1"/>
  <c r="T386" i="1"/>
  <c r="U386" i="1"/>
  <c r="V386" i="1"/>
  <c r="W386" i="1"/>
  <c r="T387" i="1"/>
  <c r="U387" i="1"/>
  <c r="V387" i="1"/>
  <c r="W387" i="1"/>
  <c r="X387" i="1"/>
  <c r="AB387" i="1" s="1"/>
  <c r="Y387" i="1"/>
  <c r="Z387" i="1"/>
  <c r="T388" i="1"/>
  <c r="U388" i="1"/>
  <c r="V388" i="1"/>
  <c r="W388" i="1"/>
  <c r="AA388" i="1" s="1"/>
  <c r="X388" i="1"/>
  <c r="Y388" i="1"/>
  <c r="AB388" i="1"/>
  <c r="T389" i="1"/>
  <c r="U389" i="1"/>
  <c r="V389" i="1"/>
  <c r="Y389" i="1"/>
  <c r="T390" i="1"/>
  <c r="U390" i="1"/>
  <c r="V390" i="1"/>
  <c r="X390" i="1" s="1"/>
  <c r="W390" i="1"/>
  <c r="Y390" i="1"/>
  <c r="Z390" i="1" s="1"/>
  <c r="AB390" i="1"/>
  <c r="T391" i="1"/>
  <c r="U391" i="1"/>
  <c r="V391" i="1"/>
  <c r="W391" i="1"/>
  <c r="T392" i="1"/>
  <c r="U392" i="1"/>
  <c r="V392" i="1"/>
  <c r="W392" i="1"/>
  <c r="X392" i="1"/>
  <c r="AB392" i="1" s="1"/>
  <c r="Y392" i="1"/>
  <c r="Z392" i="1" s="1"/>
  <c r="T393" i="1"/>
  <c r="U393" i="1"/>
  <c r="V393" i="1"/>
  <c r="X393" i="1"/>
  <c r="AB393" i="1" s="1"/>
  <c r="T394" i="1"/>
  <c r="U394" i="1"/>
  <c r="V394" i="1"/>
  <c r="X394" i="1" s="1"/>
  <c r="AB394" i="1" s="1"/>
  <c r="W394" i="1"/>
  <c r="AA394" i="1"/>
  <c r="T395" i="1"/>
  <c r="U395" i="1"/>
  <c r="V395" i="1"/>
  <c r="T396" i="1"/>
  <c r="U396" i="1"/>
  <c r="V396" i="1"/>
  <c r="W396" i="1"/>
  <c r="X396" i="1"/>
  <c r="AA396" i="1" s="1"/>
  <c r="Y396" i="1"/>
  <c r="Z396" i="1"/>
  <c r="T397" i="1"/>
  <c r="U397" i="1"/>
  <c r="V397" i="1"/>
  <c r="X397" i="1" s="1"/>
  <c r="AB397" i="1" s="1"/>
  <c r="W397" i="1"/>
  <c r="Y397" i="1"/>
  <c r="AA397" i="1"/>
  <c r="T398" i="1"/>
  <c r="U398" i="1"/>
  <c r="V398" i="1"/>
  <c r="Y398" i="1" s="1"/>
  <c r="W398" i="1"/>
  <c r="X398" i="1"/>
  <c r="AB398" i="1" s="1"/>
  <c r="Z398" i="1"/>
  <c r="AA398" i="1"/>
  <c r="T399" i="1"/>
  <c r="U399" i="1"/>
  <c r="V399" i="1"/>
  <c r="X399" i="1" s="1"/>
  <c r="AB399" i="1" s="1"/>
  <c r="W399" i="1"/>
  <c r="AC399" i="1" s="1"/>
  <c r="Y399" i="1"/>
  <c r="Z399" i="1" s="1"/>
  <c r="AA399" i="1"/>
  <c r="T400" i="1"/>
  <c r="U400" i="1"/>
  <c r="V400" i="1"/>
  <c r="W400" i="1"/>
  <c r="AA400" i="1" s="1"/>
  <c r="X400" i="1"/>
  <c r="Y400" i="1"/>
  <c r="Z400" i="1" s="1"/>
  <c r="AB400" i="1"/>
  <c r="AC400" i="1"/>
  <c r="AD400" i="1"/>
  <c r="T401" i="1"/>
  <c r="U401" i="1"/>
  <c r="V401" i="1"/>
  <c r="Y401" i="1"/>
  <c r="T402" i="1"/>
  <c r="U402" i="1"/>
  <c r="V402" i="1"/>
  <c r="X402" i="1" s="1"/>
  <c r="AB402" i="1" s="1"/>
  <c r="W402" i="1"/>
  <c r="AA402" i="1" s="1"/>
  <c r="Y402" i="1"/>
  <c r="Z402" i="1"/>
  <c r="T403" i="1"/>
  <c r="U403" i="1"/>
  <c r="V403" i="1"/>
  <c r="X403" i="1"/>
  <c r="AB403" i="1"/>
  <c r="T404" i="1"/>
  <c r="U404" i="1"/>
  <c r="V404" i="1"/>
  <c r="W404" i="1"/>
  <c r="X404" i="1"/>
  <c r="Y404" i="1"/>
  <c r="AA404" i="1"/>
  <c r="AB404" i="1"/>
  <c r="T405" i="1"/>
  <c r="U405" i="1"/>
  <c r="V405" i="1"/>
  <c r="T406" i="1"/>
  <c r="U406" i="1"/>
  <c r="V406" i="1"/>
  <c r="W406" i="1" s="1"/>
  <c r="X406" i="1"/>
  <c r="AB406" i="1" s="1"/>
  <c r="T407" i="1"/>
  <c r="U407" i="1"/>
  <c r="V407" i="1"/>
  <c r="X407" i="1"/>
  <c r="AB407" i="1" s="1"/>
  <c r="T408" i="1"/>
  <c r="U408" i="1"/>
  <c r="V408" i="1"/>
  <c r="W408" i="1"/>
  <c r="X408" i="1"/>
  <c r="AB408" i="1" s="1"/>
  <c r="Y408" i="1"/>
  <c r="Z408" i="1"/>
  <c r="T409" i="1"/>
  <c r="U409" i="1"/>
  <c r="V409" i="1"/>
  <c r="X409" i="1" s="1"/>
  <c r="AB409" i="1" s="1"/>
  <c r="W409" i="1"/>
  <c r="AA409" i="1"/>
  <c r="T410" i="1"/>
  <c r="U410" i="1"/>
  <c r="V410" i="1"/>
  <c r="Y410" i="1" s="1"/>
  <c r="W410" i="1"/>
  <c r="AA410" i="1" s="1"/>
  <c r="X410" i="1"/>
  <c r="AB410" i="1" s="1"/>
  <c r="Z410" i="1"/>
  <c r="AC410" i="1"/>
  <c r="T411" i="1"/>
  <c r="U411" i="1"/>
  <c r="V411" i="1"/>
  <c r="W411" i="1"/>
  <c r="X411" i="1"/>
  <c r="Y411" i="1"/>
  <c r="Z411" i="1" s="1"/>
  <c r="AA411" i="1"/>
  <c r="AB411" i="1"/>
  <c r="T412" i="1"/>
  <c r="U412" i="1"/>
  <c r="V412" i="1"/>
  <c r="W412" i="1"/>
  <c r="X412" i="1"/>
  <c r="AA412" i="1" s="1"/>
  <c r="Y412" i="1"/>
  <c r="Z412" i="1" s="1"/>
  <c r="AB412" i="1"/>
  <c r="AC412" i="1"/>
  <c r="AD412" i="1"/>
  <c r="T413" i="1"/>
  <c r="U413" i="1"/>
  <c r="V413" i="1"/>
  <c r="T414" i="1"/>
  <c r="U414" i="1"/>
  <c r="V414" i="1"/>
  <c r="X414" i="1" s="1"/>
  <c r="AB414" i="1" s="1"/>
  <c r="W414" i="1"/>
  <c r="AA414" i="1" s="1"/>
  <c r="Y414" i="1"/>
  <c r="Z414" i="1"/>
  <c r="AC414" i="1"/>
  <c r="T415" i="1"/>
  <c r="U415" i="1"/>
  <c r="V415" i="1"/>
  <c r="Y415" i="1" s="1"/>
  <c r="W415" i="1"/>
  <c r="X415" i="1"/>
  <c r="AA415" i="1"/>
  <c r="T416" i="1"/>
  <c r="U416" i="1"/>
  <c r="V416" i="1"/>
  <c r="T417" i="1"/>
  <c r="U417" i="1"/>
  <c r="V417" i="1"/>
  <c r="W417" i="1"/>
  <c r="AD417" i="1" s="1"/>
  <c r="X417" i="1"/>
  <c r="AB417" i="1" s="1"/>
  <c r="Y417" i="1"/>
  <c r="Z417" i="1"/>
  <c r="T418" i="1"/>
  <c r="U418" i="1"/>
  <c r="V418" i="1"/>
  <c r="W418" i="1"/>
  <c r="X418" i="1"/>
  <c r="AB418" i="1" s="1"/>
  <c r="Y418" i="1"/>
  <c r="Z418" i="1" s="1"/>
  <c r="T419" i="1"/>
  <c r="U419" i="1"/>
  <c r="V419" i="1"/>
  <c r="Y419" i="1"/>
  <c r="T420" i="1"/>
  <c r="U420" i="1"/>
  <c r="V420" i="1"/>
  <c r="W420" i="1"/>
  <c r="X420" i="1"/>
  <c r="AB420" i="1" s="1"/>
  <c r="Y420" i="1"/>
  <c r="Z420" i="1" s="1"/>
  <c r="AA420" i="1"/>
  <c r="AC420" i="1"/>
  <c r="T421" i="1"/>
  <c r="U421" i="1"/>
  <c r="V421" i="1"/>
  <c r="T422" i="1"/>
  <c r="U422" i="1"/>
  <c r="V422" i="1"/>
  <c r="W422" i="1"/>
  <c r="X422" i="1"/>
  <c r="Y422" i="1"/>
  <c r="Z422" i="1" s="1"/>
  <c r="AB422" i="1"/>
  <c r="AD422" i="1"/>
  <c r="T423" i="1"/>
  <c r="U423" i="1"/>
  <c r="V423" i="1"/>
  <c r="W423" i="1"/>
  <c r="T424" i="1"/>
  <c r="U424" i="1"/>
  <c r="V424" i="1"/>
  <c r="W424" i="1"/>
  <c r="X424" i="1"/>
  <c r="AB424" i="1" s="1"/>
  <c r="Y424" i="1"/>
  <c r="Z424" i="1" s="1"/>
  <c r="AA424" i="1"/>
  <c r="T425" i="1"/>
  <c r="U425" i="1"/>
  <c r="V425" i="1"/>
  <c r="T426" i="1"/>
  <c r="U426" i="1"/>
  <c r="V426" i="1"/>
  <c r="W426" i="1"/>
  <c r="X426" i="1"/>
  <c r="AA426" i="1" s="1"/>
  <c r="Y426" i="1"/>
  <c r="Z426" i="1" s="1"/>
  <c r="AB426" i="1"/>
  <c r="T427" i="1"/>
  <c r="U427" i="1"/>
  <c r="V427" i="1"/>
  <c r="T428" i="1"/>
  <c r="U428" i="1"/>
  <c r="V428" i="1"/>
  <c r="X428" i="1" s="1"/>
  <c r="AB428" i="1" s="1"/>
  <c r="W428" i="1"/>
  <c r="Y428" i="1"/>
  <c r="T429" i="1"/>
  <c r="U429" i="1"/>
  <c r="V429" i="1"/>
  <c r="Y429" i="1" s="1"/>
  <c r="W429" i="1"/>
  <c r="AA429" i="1" s="1"/>
  <c r="X429" i="1"/>
  <c r="AB429" i="1" s="1"/>
  <c r="Z429" i="1"/>
  <c r="AD429" i="1"/>
  <c r="T430" i="1"/>
  <c r="U430" i="1"/>
  <c r="V430" i="1"/>
  <c r="X430" i="1" s="1"/>
  <c r="W430" i="1"/>
  <c r="Y430" i="1"/>
  <c r="AB430" i="1"/>
  <c r="T431" i="1"/>
  <c r="U431" i="1"/>
  <c r="V431" i="1"/>
  <c r="X431" i="1" s="1"/>
  <c r="AB431" i="1" s="1"/>
  <c r="W431" i="1"/>
  <c r="Y431" i="1"/>
  <c r="AD431" i="1"/>
  <c r="T432" i="1"/>
  <c r="U432" i="1"/>
  <c r="V432" i="1"/>
  <c r="W432" i="1"/>
  <c r="X432" i="1"/>
  <c r="AB432" i="1" s="1"/>
  <c r="Y432" i="1"/>
  <c r="Z432" i="1" s="1"/>
  <c r="T433" i="1"/>
  <c r="U433" i="1"/>
  <c r="V433" i="1"/>
  <c r="W433" i="1" s="1"/>
  <c r="X433" i="1"/>
  <c r="AB433" i="1" s="1"/>
  <c r="Y433" i="1"/>
  <c r="Z433" i="1" s="1"/>
  <c r="T434" i="1"/>
  <c r="U434" i="1"/>
  <c r="V434" i="1"/>
  <c r="X434" i="1"/>
  <c r="AB434" i="1" s="1"/>
  <c r="T435" i="1"/>
  <c r="U435" i="1"/>
  <c r="V435" i="1"/>
  <c r="W435" i="1"/>
  <c r="AA435" i="1" s="1"/>
  <c r="X435" i="1"/>
  <c r="Y435" i="1"/>
  <c r="AB435" i="1"/>
  <c r="T436" i="1"/>
  <c r="U436" i="1"/>
  <c r="V436" i="1"/>
  <c r="T437" i="1"/>
  <c r="U437" i="1"/>
  <c r="V437" i="1"/>
  <c r="X437" i="1" s="1"/>
  <c r="W437" i="1"/>
  <c r="AA437" i="1" s="1"/>
  <c r="Y437" i="1"/>
  <c r="AB437" i="1"/>
  <c r="T438" i="1"/>
  <c r="U438" i="1"/>
  <c r="V438" i="1"/>
  <c r="W438" i="1"/>
  <c r="X438" i="1"/>
  <c r="Y438" i="1"/>
  <c r="AB438" i="1"/>
  <c r="T439" i="1"/>
  <c r="U439" i="1"/>
  <c r="V439" i="1"/>
  <c r="W439" i="1" s="1"/>
  <c r="X439" i="1"/>
  <c r="AB439" i="1" s="1"/>
  <c r="Y439" i="1"/>
  <c r="Z439" i="1"/>
  <c r="AD439" i="1"/>
  <c r="T440" i="1"/>
  <c r="U440" i="1"/>
  <c r="V440" i="1"/>
  <c r="W440" i="1"/>
  <c r="T441" i="1"/>
  <c r="U441" i="1"/>
  <c r="V441" i="1"/>
  <c r="X441" i="1"/>
  <c r="AB441" i="1"/>
  <c r="T442" i="1"/>
  <c r="U442" i="1"/>
  <c r="V442" i="1"/>
  <c r="Y442" i="1" s="1"/>
  <c r="W442" i="1"/>
  <c r="X442" i="1"/>
  <c r="AB442" i="1" s="1"/>
  <c r="AA442" i="1"/>
  <c r="AD442" i="1"/>
  <c r="T443" i="1"/>
  <c r="U443" i="1"/>
  <c r="V443" i="1"/>
  <c r="W443" i="1"/>
  <c r="X443" i="1"/>
  <c r="AB443" i="1" s="1"/>
  <c r="Y443" i="1"/>
  <c r="T444" i="1"/>
  <c r="U444" i="1"/>
  <c r="V444" i="1"/>
  <c r="T445" i="1"/>
  <c r="U445" i="1"/>
  <c r="V445" i="1"/>
  <c r="W445" i="1"/>
  <c r="AA445" i="1" s="1"/>
  <c r="X445" i="1"/>
  <c r="AB445" i="1" s="1"/>
  <c r="Y445" i="1"/>
  <c r="Z445" i="1" s="1"/>
  <c r="AD445" i="1"/>
  <c r="T446" i="1"/>
  <c r="U446" i="1"/>
  <c r="V446" i="1"/>
  <c r="W446" i="1"/>
  <c r="X446" i="1"/>
  <c r="AB446" i="1" s="1"/>
  <c r="Y446" i="1"/>
  <c r="T447" i="1"/>
  <c r="U447" i="1"/>
  <c r="V447" i="1"/>
  <c r="T448" i="1"/>
  <c r="U448" i="1"/>
  <c r="V448" i="1"/>
  <c r="X448" i="1" s="1"/>
  <c r="AB448" i="1" s="1"/>
  <c r="W448" i="1"/>
  <c r="Y448" i="1"/>
  <c r="Z448" i="1" s="1"/>
  <c r="T449" i="1"/>
  <c r="U449" i="1"/>
  <c r="V449" i="1"/>
  <c r="W449" i="1"/>
  <c r="T450" i="1"/>
  <c r="U450" i="1"/>
  <c r="V450" i="1"/>
  <c r="W450" i="1"/>
  <c r="X450" i="1"/>
  <c r="AB450" i="1" s="1"/>
  <c r="Y450" i="1"/>
  <c r="Z450" i="1" s="1"/>
  <c r="AA450" i="1"/>
  <c r="T451" i="1"/>
  <c r="U451" i="1"/>
  <c r="V451" i="1"/>
  <c r="W451" i="1" s="1"/>
  <c r="X451" i="1"/>
  <c r="AB451" i="1" s="1"/>
  <c r="Y451" i="1"/>
  <c r="Z451" i="1" s="1"/>
  <c r="AA451" i="1"/>
  <c r="T452" i="1"/>
  <c r="U452" i="1"/>
  <c r="V452" i="1"/>
  <c r="T453" i="1"/>
  <c r="U453" i="1"/>
  <c r="V453" i="1"/>
  <c r="W453" i="1"/>
  <c r="X453" i="1"/>
  <c r="AB453" i="1" s="1"/>
  <c r="Y453" i="1"/>
  <c r="Z453" i="1" s="1"/>
  <c r="T454" i="1"/>
  <c r="U454" i="1"/>
  <c r="V454" i="1"/>
  <c r="Y454" i="1"/>
  <c r="T455" i="1"/>
  <c r="U455" i="1"/>
  <c r="V455" i="1"/>
  <c r="W455" i="1"/>
  <c r="AA455" i="1" s="1"/>
  <c r="X455" i="1"/>
  <c r="AB455" i="1" s="1"/>
  <c r="Y455" i="1"/>
  <c r="Z455" i="1" s="1"/>
  <c r="AC455" i="1"/>
  <c r="T456" i="1"/>
  <c r="U456" i="1"/>
  <c r="V456" i="1"/>
  <c r="W456" i="1"/>
  <c r="X456" i="1"/>
  <c r="AB456" i="1" s="1"/>
  <c r="Y456" i="1"/>
  <c r="AD456" i="1" s="1"/>
  <c r="Z456" i="1"/>
  <c r="AA456" i="1"/>
  <c r="T457" i="1"/>
  <c r="U457" i="1"/>
  <c r="V457" i="1"/>
  <c r="Y457" i="1"/>
  <c r="T458" i="1"/>
  <c r="U458" i="1"/>
  <c r="V458" i="1"/>
  <c r="T459" i="1"/>
  <c r="U459" i="1"/>
  <c r="V459" i="1"/>
  <c r="W459" i="1"/>
  <c r="AA459" i="1" s="1"/>
  <c r="X459" i="1"/>
  <c r="AB459" i="1" s="1"/>
  <c r="Y459" i="1"/>
  <c r="Z459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3" i="1"/>
  <c r="Y4" i="1"/>
  <c r="Y5" i="1"/>
  <c r="Y6" i="1"/>
  <c r="Y7" i="1"/>
  <c r="Y8" i="1"/>
  <c r="Y9" i="1"/>
  <c r="Y10" i="1"/>
  <c r="Y11" i="1"/>
  <c r="Z11" i="1" s="1"/>
  <c r="Y12" i="1"/>
  <c r="Y13" i="1"/>
  <c r="Y14" i="1"/>
  <c r="Y15" i="1"/>
  <c r="Y16" i="1"/>
  <c r="Y17" i="1"/>
  <c r="Y18" i="1"/>
  <c r="Y19" i="1"/>
  <c r="Y20" i="1"/>
  <c r="Y21" i="1"/>
  <c r="Y22" i="1"/>
  <c r="Z22" i="1" s="1"/>
  <c r="Y23" i="1"/>
  <c r="Z23" i="1" s="1"/>
  <c r="Y24" i="1"/>
  <c r="Y25" i="1"/>
  <c r="Z25" i="1" s="1"/>
  <c r="Y26" i="1"/>
  <c r="Z26" i="1" s="1"/>
  <c r="Y27" i="1"/>
  <c r="Z27" i="1" s="1"/>
  <c r="Y28" i="1"/>
  <c r="Y29" i="1"/>
  <c r="Y30" i="1"/>
  <c r="Y31" i="1"/>
  <c r="Y32" i="1"/>
  <c r="Y33" i="1"/>
  <c r="Y34" i="1"/>
  <c r="Z34" i="1" s="1"/>
  <c r="Y35" i="1"/>
  <c r="Z35" i="1" s="1"/>
  <c r="Y36" i="1"/>
  <c r="Z36" i="1" s="1"/>
  <c r="Y37" i="1"/>
  <c r="Y38" i="1"/>
  <c r="Y39" i="1"/>
  <c r="Y40" i="1"/>
  <c r="Y41" i="1"/>
  <c r="Y42" i="1"/>
  <c r="Y43" i="1"/>
  <c r="Y44" i="1"/>
  <c r="Y45" i="1"/>
  <c r="Y46" i="1"/>
  <c r="Y47" i="1"/>
  <c r="Z47" i="1" s="1"/>
  <c r="Y48" i="1"/>
  <c r="Y49" i="1"/>
  <c r="Y50" i="1"/>
  <c r="Y51" i="1"/>
  <c r="Y52" i="1"/>
  <c r="Y53" i="1"/>
  <c r="Y54" i="1"/>
  <c r="Y55" i="1"/>
  <c r="Y56" i="1"/>
  <c r="Y57" i="1"/>
  <c r="Y58" i="1"/>
  <c r="Y59" i="1"/>
  <c r="Z59" i="1" s="1"/>
  <c r="Y60" i="1"/>
  <c r="Y61" i="1"/>
  <c r="Y62" i="1"/>
  <c r="Y63" i="1"/>
  <c r="Y64" i="1"/>
  <c r="Y65" i="1"/>
  <c r="Y66" i="1"/>
  <c r="Y67" i="1"/>
  <c r="Y68" i="1"/>
  <c r="Y69" i="1"/>
  <c r="Y70" i="1"/>
  <c r="Y71" i="1"/>
  <c r="Z71" i="1" s="1"/>
  <c r="Y72" i="1"/>
  <c r="Y73" i="1"/>
  <c r="Y74" i="1"/>
  <c r="Y75" i="1"/>
  <c r="Y76" i="1"/>
  <c r="Y77" i="1"/>
  <c r="Y78" i="1"/>
  <c r="Y79" i="1"/>
  <c r="Y80" i="1"/>
  <c r="Y81" i="1"/>
  <c r="Y82" i="1"/>
  <c r="Y83" i="1"/>
  <c r="Z83" i="1" s="1"/>
  <c r="Y84" i="1"/>
  <c r="Y85" i="1"/>
  <c r="Y86" i="1"/>
  <c r="Y87" i="1"/>
  <c r="Y88" i="1"/>
  <c r="Y89" i="1"/>
  <c r="Y90" i="1"/>
  <c r="Y91" i="1"/>
  <c r="Y92" i="1"/>
  <c r="Y93" i="1"/>
  <c r="Y94" i="1"/>
  <c r="Y95" i="1"/>
  <c r="Z95" i="1" s="1"/>
  <c r="Y96" i="1"/>
  <c r="Y97" i="1"/>
  <c r="Y98" i="1"/>
  <c r="Y99" i="1"/>
  <c r="Y100" i="1"/>
  <c r="Y101" i="1"/>
  <c r="Y102" i="1"/>
  <c r="Y103" i="1"/>
  <c r="Y104" i="1"/>
  <c r="Y105" i="1"/>
  <c r="Y106" i="1"/>
  <c r="Y107" i="1"/>
  <c r="Z107" i="1" s="1"/>
  <c r="Y108" i="1"/>
  <c r="Y109" i="1"/>
  <c r="Y110" i="1"/>
  <c r="Y111" i="1"/>
  <c r="Y112" i="1"/>
  <c r="Y113" i="1"/>
  <c r="Y114" i="1"/>
  <c r="Y115" i="1"/>
  <c r="Y116" i="1"/>
  <c r="Y117" i="1"/>
  <c r="Y118" i="1"/>
  <c r="Y119" i="1"/>
  <c r="Z119" i="1" s="1"/>
  <c r="Y120" i="1"/>
  <c r="Y121" i="1"/>
  <c r="Y122" i="1"/>
  <c r="Y123" i="1"/>
  <c r="Y124" i="1"/>
  <c r="Y125" i="1"/>
  <c r="Y126" i="1"/>
  <c r="Y127" i="1"/>
  <c r="Y128" i="1"/>
  <c r="Y129" i="1"/>
  <c r="Y130" i="1"/>
  <c r="Y131" i="1"/>
  <c r="Z131" i="1" s="1"/>
  <c r="Y132" i="1"/>
  <c r="Y133" i="1"/>
  <c r="Y134" i="1"/>
  <c r="Y135" i="1"/>
  <c r="Y136" i="1"/>
  <c r="Y137" i="1"/>
  <c r="Y138" i="1"/>
  <c r="Y139" i="1"/>
  <c r="Y140" i="1"/>
  <c r="Y141" i="1"/>
  <c r="Y142" i="1"/>
  <c r="Y143" i="1"/>
  <c r="Z143" i="1" s="1"/>
  <c r="Y144" i="1"/>
  <c r="Y145" i="1"/>
  <c r="Y146" i="1"/>
  <c r="Y147" i="1"/>
  <c r="Y148" i="1"/>
  <c r="Y149" i="1"/>
  <c r="Y150" i="1"/>
  <c r="Y151" i="1"/>
  <c r="Y152" i="1"/>
  <c r="Y153" i="1"/>
  <c r="Y154" i="1"/>
  <c r="Y155" i="1"/>
  <c r="Z155" i="1" s="1"/>
  <c r="Y156" i="1"/>
  <c r="Y157" i="1"/>
  <c r="Y158" i="1"/>
  <c r="Y159" i="1"/>
  <c r="Y160" i="1"/>
  <c r="Y161" i="1"/>
  <c r="Y162" i="1"/>
  <c r="Y163" i="1"/>
  <c r="Y164" i="1"/>
  <c r="Y165" i="1"/>
  <c r="Y166" i="1"/>
  <c r="Y167" i="1"/>
  <c r="Z167" i="1" s="1"/>
  <c r="Y168" i="1"/>
  <c r="Y169" i="1"/>
  <c r="Y170" i="1"/>
  <c r="Y171" i="1"/>
  <c r="Y172" i="1"/>
  <c r="Y173" i="1"/>
  <c r="Y174" i="1"/>
  <c r="Y175" i="1"/>
  <c r="Y176" i="1"/>
  <c r="Y177" i="1"/>
  <c r="Y178" i="1"/>
  <c r="Y179" i="1"/>
  <c r="Z179" i="1" s="1"/>
  <c r="Y180" i="1"/>
  <c r="Y181" i="1"/>
  <c r="Y182" i="1"/>
  <c r="Y183" i="1"/>
  <c r="Y184" i="1"/>
  <c r="Y185" i="1"/>
  <c r="Y186" i="1"/>
  <c r="Y187" i="1"/>
  <c r="Y188" i="1"/>
  <c r="Y189" i="1"/>
  <c r="Y190" i="1"/>
  <c r="Y191" i="1"/>
  <c r="Z191" i="1" s="1"/>
  <c r="Y192" i="1"/>
  <c r="Y193" i="1"/>
  <c r="Y194" i="1"/>
  <c r="Y195" i="1"/>
  <c r="Y196" i="1"/>
  <c r="Y197" i="1"/>
  <c r="Y198" i="1"/>
  <c r="Y199" i="1"/>
  <c r="Y200" i="1"/>
  <c r="Y201" i="1"/>
  <c r="Y202" i="1"/>
  <c r="Y203" i="1"/>
  <c r="Z203" i="1" s="1"/>
  <c r="Y204" i="1"/>
  <c r="Y205" i="1"/>
  <c r="Y206" i="1"/>
  <c r="Y207" i="1"/>
  <c r="Y208" i="1"/>
  <c r="Y209" i="1"/>
  <c r="Y210" i="1"/>
  <c r="Y211" i="1"/>
  <c r="Y212" i="1"/>
  <c r="Y213" i="1"/>
  <c r="Y214" i="1"/>
  <c r="Y215" i="1"/>
  <c r="Z215" i="1" s="1"/>
  <c r="Y216" i="1"/>
  <c r="Y217" i="1"/>
  <c r="Y218" i="1"/>
  <c r="Y219" i="1"/>
  <c r="Y220" i="1"/>
  <c r="Y221" i="1"/>
  <c r="Y222" i="1"/>
  <c r="Y223" i="1"/>
  <c r="Y224" i="1"/>
  <c r="Y225" i="1"/>
  <c r="Y226" i="1"/>
  <c r="Y227" i="1"/>
  <c r="Z227" i="1" s="1"/>
  <c r="Y228" i="1"/>
  <c r="Y229" i="1"/>
  <c r="Y230" i="1"/>
  <c r="Y231" i="1"/>
  <c r="Y232" i="1"/>
  <c r="Y233" i="1"/>
  <c r="Y234" i="1"/>
  <c r="Y235" i="1"/>
  <c r="Y236" i="1"/>
  <c r="Y237" i="1"/>
  <c r="Y238" i="1"/>
  <c r="Y239" i="1"/>
  <c r="Z239" i="1" s="1"/>
  <c r="Y240" i="1"/>
  <c r="Y241" i="1"/>
  <c r="Y242" i="1"/>
  <c r="Y243" i="1"/>
  <c r="Y244" i="1"/>
  <c r="Y245" i="1"/>
  <c r="Y246" i="1"/>
  <c r="Y247" i="1"/>
  <c r="Y248" i="1"/>
  <c r="Y249" i="1"/>
  <c r="Y250" i="1"/>
  <c r="Y251" i="1"/>
  <c r="Z251" i="1" s="1"/>
  <c r="Y252" i="1"/>
  <c r="Y253" i="1"/>
  <c r="Y254" i="1"/>
  <c r="Y255" i="1"/>
  <c r="Y256" i="1"/>
  <c r="Y257" i="1"/>
  <c r="Y258" i="1"/>
  <c r="Y259" i="1"/>
  <c r="Y260" i="1"/>
  <c r="Y261" i="1"/>
  <c r="Y262" i="1"/>
  <c r="Y263" i="1"/>
  <c r="Z263" i="1" s="1"/>
  <c r="Y264" i="1"/>
  <c r="Y265" i="1"/>
  <c r="Y266" i="1"/>
  <c r="Y267" i="1"/>
  <c r="Y268" i="1"/>
  <c r="Y269" i="1"/>
  <c r="Y270" i="1"/>
  <c r="Y271" i="1"/>
  <c r="Y272" i="1"/>
  <c r="Y273" i="1"/>
  <c r="Y274" i="1"/>
  <c r="Y275" i="1"/>
  <c r="Z275" i="1" s="1"/>
  <c r="Y276" i="1"/>
  <c r="Y277" i="1"/>
  <c r="Y278" i="1"/>
  <c r="Y279" i="1"/>
  <c r="Y280" i="1"/>
  <c r="Y281" i="1"/>
  <c r="Y282" i="1"/>
  <c r="Y283" i="1"/>
  <c r="Y284" i="1"/>
  <c r="Y285" i="1"/>
  <c r="Y286" i="1"/>
  <c r="Y287" i="1"/>
  <c r="Z287" i="1" s="1"/>
  <c r="Y288" i="1"/>
  <c r="Y289" i="1"/>
  <c r="Y290" i="1"/>
  <c r="Y291" i="1"/>
  <c r="Y292" i="1"/>
  <c r="Y293" i="1"/>
  <c r="Y294" i="1"/>
  <c r="Y295" i="1"/>
  <c r="Y296" i="1"/>
  <c r="Y3" i="1"/>
  <c r="AB29" i="1"/>
  <c r="AA29" i="1"/>
  <c r="Z29" i="1"/>
  <c r="AB28" i="1"/>
  <c r="AA28" i="1"/>
  <c r="Z28" i="1"/>
  <c r="AB27" i="1"/>
  <c r="AA27" i="1"/>
  <c r="AB26" i="1"/>
  <c r="AA26" i="1"/>
  <c r="AB25" i="1"/>
  <c r="AA25" i="1"/>
  <c r="AB24" i="1"/>
  <c r="AA24" i="1"/>
  <c r="Z24" i="1"/>
  <c r="AB23" i="1"/>
  <c r="AA23" i="1"/>
  <c r="AB22" i="1"/>
  <c r="AA22" i="1"/>
  <c r="AB21" i="1"/>
  <c r="AA21" i="1"/>
  <c r="Z21" i="1"/>
  <c r="AB20" i="1"/>
  <c r="AA20" i="1"/>
  <c r="Z20" i="1"/>
  <c r="AB19" i="1"/>
  <c r="AA19" i="1"/>
  <c r="Z19" i="1"/>
  <c r="AB18" i="1"/>
  <c r="AA18" i="1"/>
  <c r="Z18" i="1"/>
  <c r="AB17" i="1"/>
  <c r="AA17" i="1"/>
  <c r="Z17" i="1"/>
  <c r="AB16" i="1"/>
  <c r="AA16" i="1"/>
  <c r="Z16" i="1"/>
  <c r="AB15" i="1"/>
  <c r="AA15" i="1"/>
  <c r="Z15" i="1"/>
  <c r="AB14" i="1"/>
  <c r="AA14" i="1"/>
  <c r="Z14" i="1"/>
  <c r="AB13" i="1"/>
  <c r="AA13" i="1"/>
  <c r="Z13" i="1"/>
  <c r="AB12" i="1"/>
  <c r="AA12" i="1"/>
  <c r="Z12" i="1"/>
  <c r="AB11" i="1"/>
  <c r="AA11" i="1"/>
  <c r="AB10" i="1"/>
  <c r="AA10" i="1"/>
  <c r="Z10" i="1"/>
  <c r="AB9" i="1"/>
  <c r="AA9" i="1"/>
  <c r="Z9" i="1"/>
  <c r="AB8" i="1"/>
  <c r="AA8" i="1"/>
  <c r="Z8" i="1"/>
  <c r="AB7" i="1"/>
  <c r="AA7" i="1"/>
  <c r="Z7" i="1"/>
  <c r="AB6" i="1"/>
  <c r="AA6" i="1"/>
  <c r="Z6" i="1"/>
  <c r="AB5" i="1"/>
  <c r="AA5" i="1"/>
  <c r="Z5" i="1"/>
  <c r="AB4" i="1"/>
  <c r="AA4" i="1"/>
  <c r="Z4" i="1"/>
  <c r="AB3" i="1"/>
  <c r="AA3" i="1"/>
  <c r="Z3" i="1"/>
  <c r="Z31" i="1"/>
  <c r="AA31" i="1"/>
  <c r="AB31" i="1"/>
  <c r="Z32" i="1"/>
  <c r="AA32" i="1"/>
  <c r="AB32" i="1"/>
  <c r="Z33" i="1"/>
  <c r="AA33" i="1"/>
  <c r="AB33" i="1"/>
  <c r="AA34" i="1"/>
  <c r="AB34" i="1"/>
  <c r="AA35" i="1"/>
  <c r="AB35" i="1"/>
  <c r="AA36" i="1"/>
  <c r="AB36" i="1"/>
  <c r="Z37" i="1"/>
  <c r="AA37" i="1"/>
  <c r="AB37" i="1"/>
  <c r="Z38" i="1"/>
  <c r="AA38" i="1"/>
  <c r="AB38" i="1"/>
  <c r="Z39" i="1"/>
  <c r="AA39" i="1"/>
  <c r="AB39" i="1"/>
  <c r="Z40" i="1"/>
  <c r="AA40" i="1"/>
  <c r="AB40" i="1"/>
  <c r="Z41" i="1"/>
  <c r="AA41" i="1"/>
  <c r="AB41" i="1"/>
  <c r="Z42" i="1"/>
  <c r="AA42" i="1"/>
  <c r="AB42" i="1"/>
  <c r="Z43" i="1"/>
  <c r="AA43" i="1"/>
  <c r="AB43" i="1"/>
  <c r="Z44" i="1"/>
  <c r="AA44" i="1"/>
  <c r="AB44" i="1"/>
  <c r="Z45" i="1"/>
  <c r="AA45" i="1"/>
  <c r="AB45" i="1"/>
  <c r="Z46" i="1"/>
  <c r="AA46" i="1"/>
  <c r="AB46" i="1"/>
  <c r="AA47" i="1"/>
  <c r="AB47" i="1"/>
  <c r="Z48" i="1"/>
  <c r="AA48" i="1"/>
  <c r="AB48" i="1"/>
  <c r="Z49" i="1"/>
  <c r="AA49" i="1"/>
  <c r="AB49" i="1"/>
  <c r="Z50" i="1"/>
  <c r="AA50" i="1"/>
  <c r="AB50" i="1"/>
  <c r="Z51" i="1"/>
  <c r="AA51" i="1"/>
  <c r="AB51" i="1"/>
  <c r="Z52" i="1"/>
  <c r="AA52" i="1"/>
  <c r="AB52" i="1"/>
  <c r="Z53" i="1"/>
  <c r="AA53" i="1"/>
  <c r="AB53" i="1"/>
  <c r="Z54" i="1"/>
  <c r="AA54" i="1"/>
  <c r="AB54" i="1"/>
  <c r="Z55" i="1"/>
  <c r="AA55" i="1"/>
  <c r="AB55" i="1"/>
  <c r="Z56" i="1"/>
  <c r="AA56" i="1"/>
  <c r="AB56" i="1"/>
  <c r="Z57" i="1"/>
  <c r="AA57" i="1"/>
  <c r="AB57" i="1"/>
  <c r="Z58" i="1"/>
  <c r="AA58" i="1"/>
  <c r="AB58" i="1"/>
  <c r="AA59" i="1"/>
  <c r="AB59" i="1"/>
  <c r="Z60" i="1"/>
  <c r="AA60" i="1"/>
  <c r="AB60" i="1"/>
  <c r="Z61" i="1"/>
  <c r="AA61" i="1"/>
  <c r="AB61" i="1"/>
  <c r="Z62" i="1"/>
  <c r="AA62" i="1"/>
  <c r="AB62" i="1"/>
  <c r="Z63" i="1"/>
  <c r="AA63" i="1"/>
  <c r="AB63" i="1"/>
  <c r="Z64" i="1"/>
  <c r="AA64" i="1"/>
  <c r="AB64" i="1"/>
  <c r="Z65" i="1"/>
  <c r="AA65" i="1"/>
  <c r="AB65" i="1"/>
  <c r="Z66" i="1"/>
  <c r="AA66" i="1"/>
  <c r="AB66" i="1"/>
  <c r="Z67" i="1"/>
  <c r="AA67" i="1"/>
  <c r="AB67" i="1"/>
  <c r="Z68" i="1"/>
  <c r="AA68" i="1"/>
  <c r="AB68" i="1"/>
  <c r="Z69" i="1"/>
  <c r="AA69" i="1"/>
  <c r="AB69" i="1"/>
  <c r="Z70" i="1"/>
  <c r="AA70" i="1"/>
  <c r="AB70" i="1"/>
  <c r="AA71" i="1"/>
  <c r="AB71" i="1"/>
  <c r="Z72" i="1"/>
  <c r="AA72" i="1"/>
  <c r="AB72" i="1"/>
  <c r="Z73" i="1"/>
  <c r="AA73" i="1"/>
  <c r="AB73" i="1"/>
  <c r="Z74" i="1"/>
  <c r="AA74" i="1"/>
  <c r="AB74" i="1"/>
  <c r="Z75" i="1"/>
  <c r="AA75" i="1"/>
  <c r="AB75" i="1"/>
  <c r="Z76" i="1"/>
  <c r="AA76" i="1"/>
  <c r="AB76" i="1"/>
  <c r="Z77" i="1"/>
  <c r="AA77" i="1"/>
  <c r="AB77" i="1"/>
  <c r="Z78" i="1"/>
  <c r="AA78" i="1"/>
  <c r="AB78" i="1"/>
  <c r="Z79" i="1"/>
  <c r="AA79" i="1"/>
  <c r="AB79" i="1"/>
  <c r="Z80" i="1"/>
  <c r="AA80" i="1"/>
  <c r="AB80" i="1"/>
  <c r="Z81" i="1"/>
  <c r="AA81" i="1"/>
  <c r="AB81" i="1"/>
  <c r="Z82" i="1"/>
  <c r="AA82" i="1"/>
  <c r="AB82" i="1"/>
  <c r="AA83" i="1"/>
  <c r="AB83" i="1"/>
  <c r="Z84" i="1"/>
  <c r="AA84" i="1"/>
  <c r="AB84" i="1"/>
  <c r="Z85" i="1"/>
  <c r="AA85" i="1"/>
  <c r="AB85" i="1"/>
  <c r="Z86" i="1"/>
  <c r="AA86" i="1"/>
  <c r="AB86" i="1"/>
  <c r="Z87" i="1"/>
  <c r="AA87" i="1"/>
  <c r="AB87" i="1"/>
  <c r="Z88" i="1"/>
  <c r="AA88" i="1"/>
  <c r="AB88" i="1"/>
  <c r="Z89" i="1"/>
  <c r="AA89" i="1"/>
  <c r="AB89" i="1"/>
  <c r="Z90" i="1"/>
  <c r="AA90" i="1"/>
  <c r="AB90" i="1"/>
  <c r="Z91" i="1"/>
  <c r="AA91" i="1"/>
  <c r="AB91" i="1"/>
  <c r="Z92" i="1"/>
  <c r="AA92" i="1"/>
  <c r="AB92" i="1"/>
  <c r="Z93" i="1"/>
  <c r="AA93" i="1"/>
  <c r="AB93" i="1"/>
  <c r="Z94" i="1"/>
  <c r="AA94" i="1"/>
  <c r="AB94" i="1"/>
  <c r="AA95" i="1"/>
  <c r="AB95" i="1"/>
  <c r="Z96" i="1"/>
  <c r="AA96" i="1"/>
  <c r="AB96" i="1"/>
  <c r="Z97" i="1"/>
  <c r="AA97" i="1"/>
  <c r="AB97" i="1"/>
  <c r="Z98" i="1"/>
  <c r="AA98" i="1"/>
  <c r="AB98" i="1"/>
  <c r="Z99" i="1"/>
  <c r="AA99" i="1"/>
  <c r="AB99" i="1"/>
  <c r="Z100" i="1"/>
  <c r="AA100" i="1"/>
  <c r="AB100" i="1"/>
  <c r="Z101" i="1"/>
  <c r="AA101" i="1"/>
  <c r="AB101" i="1"/>
  <c r="Z102" i="1"/>
  <c r="AA102" i="1"/>
  <c r="AB102" i="1"/>
  <c r="Z103" i="1"/>
  <c r="AA103" i="1"/>
  <c r="AB103" i="1"/>
  <c r="Z104" i="1"/>
  <c r="AA104" i="1"/>
  <c r="AB104" i="1"/>
  <c r="Z105" i="1"/>
  <c r="AA105" i="1"/>
  <c r="AB105" i="1"/>
  <c r="Z106" i="1"/>
  <c r="AA106" i="1"/>
  <c r="AB106" i="1"/>
  <c r="AA107" i="1"/>
  <c r="AB107" i="1"/>
  <c r="Z108" i="1"/>
  <c r="AA108" i="1"/>
  <c r="AB108" i="1"/>
  <c r="Z109" i="1"/>
  <c r="AA109" i="1"/>
  <c r="AB109" i="1"/>
  <c r="Z110" i="1"/>
  <c r="AA110" i="1"/>
  <c r="AB110" i="1"/>
  <c r="Z111" i="1"/>
  <c r="AA111" i="1"/>
  <c r="AB111" i="1"/>
  <c r="Z112" i="1"/>
  <c r="AA112" i="1"/>
  <c r="AB112" i="1"/>
  <c r="Z113" i="1"/>
  <c r="AA113" i="1"/>
  <c r="AB113" i="1"/>
  <c r="Z114" i="1"/>
  <c r="AA114" i="1"/>
  <c r="AB114" i="1"/>
  <c r="Z115" i="1"/>
  <c r="AA115" i="1"/>
  <c r="AB115" i="1"/>
  <c r="Z116" i="1"/>
  <c r="AA116" i="1"/>
  <c r="AB116" i="1"/>
  <c r="Z117" i="1"/>
  <c r="AA117" i="1"/>
  <c r="AB117" i="1"/>
  <c r="Z118" i="1"/>
  <c r="AA118" i="1"/>
  <c r="AB118" i="1"/>
  <c r="AA119" i="1"/>
  <c r="AB119" i="1"/>
  <c r="Z120" i="1"/>
  <c r="AA120" i="1"/>
  <c r="AB120" i="1"/>
  <c r="Z121" i="1"/>
  <c r="AA121" i="1"/>
  <c r="AB121" i="1"/>
  <c r="Z122" i="1"/>
  <c r="AA122" i="1"/>
  <c r="AB122" i="1"/>
  <c r="Z123" i="1"/>
  <c r="AA123" i="1"/>
  <c r="AB123" i="1"/>
  <c r="Z124" i="1"/>
  <c r="AA124" i="1"/>
  <c r="AB124" i="1"/>
  <c r="Z125" i="1"/>
  <c r="AA125" i="1"/>
  <c r="AB125" i="1"/>
  <c r="Z126" i="1"/>
  <c r="AA126" i="1"/>
  <c r="AB126" i="1"/>
  <c r="Z127" i="1"/>
  <c r="AA127" i="1"/>
  <c r="AB127" i="1"/>
  <c r="Z128" i="1"/>
  <c r="AA128" i="1"/>
  <c r="AB128" i="1"/>
  <c r="Z129" i="1"/>
  <c r="AA129" i="1"/>
  <c r="AB129" i="1"/>
  <c r="Z130" i="1"/>
  <c r="AA130" i="1"/>
  <c r="AB130" i="1"/>
  <c r="AA131" i="1"/>
  <c r="AB131" i="1"/>
  <c r="Z132" i="1"/>
  <c r="AA132" i="1"/>
  <c r="AB132" i="1"/>
  <c r="Z133" i="1"/>
  <c r="AA133" i="1"/>
  <c r="AB133" i="1"/>
  <c r="Z134" i="1"/>
  <c r="AA134" i="1"/>
  <c r="AB134" i="1"/>
  <c r="Z135" i="1"/>
  <c r="AA135" i="1"/>
  <c r="AB135" i="1"/>
  <c r="Z136" i="1"/>
  <c r="AA136" i="1"/>
  <c r="AB136" i="1"/>
  <c r="Z137" i="1"/>
  <c r="AA137" i="1"/>
  <c r="AB137" i="1"/>
  <c r="Z138" i="1"/>
  <c r="AA138" i="1"/>
  <c r="AB138" i="1"/>
  <c r="Z139" i="1"/>
  <c r="AA139" i="1"/>
  <c r="AB139" i="1"/>
  <c r="Z140" i="1"/>
  <c r="AA140" i="1"/>
  <c r="AB140" i="1"/>
  <c r="Z141" i="1"/>
  <c r="AA141" i="1"/>
  <c r="AB141" i="1"/>
  <c r="Z142" i="1"/>
  <c r="AA142" i="1"/>
  <c r="AB142" i="1"/>
  <c r="AA143" i="1"/>
  <c r="AB143" i="1"/>
  <c r="Z144" i="1"/>
  <c r="AA144" i="1"/>
  <c r="AB144" i="1"/>
  <c r="Z145" i="1"/>
  <c r="AA145" i="1"/>
  <c r="AB145" i="1"/>
  <c r="Z146" i="1"/>
  <c r="AA146" i="1"/>
  <c r="AB146" i="1"/>
  <c r="Z147" i="1"/>
  <c r="AA147" i="1"/>
  <c r="AB147" i="1"/>
  <c r="Z148" i="1"/>
  <c r="AA148" i="1"/>
  <c r="AB148" i="1"/>
  <c r="Z149" i="1"/>
  <c r="AA149" i="1"/>
  <c r="AB149" i="1"/>
  <c r="Z150" i="1"/>
  <c r="AA150" i="1"/>
  <c r="AB150" i="1"/>
  <c r="Z151" i="1"/>
  <c r="AA151" i="1"/>
  <c r="AB151" i="1"/>
  <c r="Z152" i="1"/>
  <c r="AA152" i="1"/>
  <c r="AB152" i="1"/>
  <c r="Z153" i="1"/>
  <c r="AA153" i="1"/>
  <c r="AB153" i="1"/>
  <c r="Z154" i="1"/>
  <c r="AA154" i="1"/>
  <c r="AB154" i="1"/>
  <c r="AA155" i="1"/>
  <c r="AB155" i="1"/>
  <c r="Z156" i="1"/>
  <c r="AA156" i="1"/>
  <c r="AB156" i="1"/>
  <c r="Z157" i="1"/>
  <c r="AA157" i="1"/>
  <c r="AB157" i="1"/>
  <c r="Z158" i="1"/>
  <c r="AA158" i="1"/>
  <c r="AB158" i="1"/>
  <c r="Z159" i="1"/>
  <c r="AA159" i="1"/>
  <c r="AB159" i="1"/>
  <c r="Z160" i="1"/>
  <c r="AA160" i="1"/>
  <c r="AB160" i="1"/>
  <c r="Z161" i="1"/>
  <c r="AA161" i="1"/>
  <c r="AB161" i="1"/>
  <c r="Z162" i="1"/>
  <c r="AA162" i="1"/>
  <c r="AB162" i="1"/>
  <c r="Z163" i="1"/>
  <c r="AA163" i="1"/>
  <c r="AB163" i="1"/>
  <c r="Z164" i="1"/>
  <c r="AA164" i="1"/>
  <c r="AB164" i="1"/>
  <c r="Z165" i="1"/>
  <c r="AA165" i="1"/>
  <c r="AB165" i="1"/>
  <c r="Z166" i="1"/>
  <c r="AA166" i="1"/>
  <c r="AB166" i="1"/>
  <c r="AA167" i="1"/>
  <c r="AB167" i="1"/>
  <c r="Z168" i="1"/>
  <c r="AA168" i="1"/>
  <c r="AB168" i="1"/>
  <c r="Z169" i="1"/>
  <c r="AA169" i="1"/>
  <c r="AB169" i="1"/>
  <c r="Z170" i="1"/>
  <c r="AA170" i="1"/>
  <c r="AB170" i="1"/>
  <c r="Z171" i="1"/>
  <c r="AA171" i="1"/>
  <c r="AB171" i="1"/>
  <c r="Z172" i="1"/>
  <c r="AA172" i="1"/>
  <c r="AB172" i="1"/>
  <c r="Z173" i="1"/>
  <c r="AA173" i="1"/>
  <c r="AB173" i="1"/>
  <c r="Z174" i="1"/>
  <c r="AA174" i="1"/>
  <c r="AB174" i="1"/>
  <c r="Z175" i="1"/>
  <c r="AA175" i="1"/>
  <c r="AB175" i="1"/>
  <c r="Z176" i="1"/>
  <c r="AA176" i="1"/>
  <c r="AB176" i="1"/>
  <c r="Z177" i="1"/>
  <c r="AA177" i="1"/>
  <c r="AB177" i="1"/>
  <c r="Z178" i="1"/>
  <c r="AA178" i="1"/>
  <c r="AB178" i="1"/>
  <c r="AA179" i="1"/>
  <c r="AB179" i="1"/>
  <c r="Z180" i="1"/>
  <c r="AA180" i="1"/>
  <c r="AB180" i="1"/>
  <c r="Z181" i="1"/>
  <c r="AA181" i="1"/>
  <c r="AB181" i="1"/>
  <c r="Z182" i="1"/>
  <c r="AA182" i="1"/>
  <c r="AB182" i="1"/>
  <c r="Z183" i="1"/>
  <c r="AA183" i="1"/>
  <c r="AB183" i="1"/>
  <c r="Z184" i="1"/>
  <c r="AA184" i="1"/>
  <c r="AB184" i="1"/>
  <c r="Z185" i="1"/>
  <c r="AA185" i="1"/>
  <c r="AB185" i="1"/>
  <c r="Z186" i="1"/>
  <c r="AA186" i="1"/>
  <c r="AB186" i="1"/>
  <c r="Z187" i="1"/>
  <c r="AA187" i="1"/>
  <c r="AB187" i="1"/>
  <c r="Z188" i="1"/>
  <c r="AA188" i="1"/>
  <c r="AB188" i="1"/>
  <c r="Z189" i="1"/>
  <c r="AA189" i="1"/>
  <c r="AB189" i="1"/>
  <c r="Z190" i="1"/>
  <c r="AA190" i="1"/>
  <c r="AB190" i="1"/>
  <c r="AA191" i="1"/>
  <c r="AB191" i="1"/>
  <c r="Z192" i="1"/>
  <c r="AA192" i="1"/>
  <c r="AB192" i="1"/>
  <c r="Z193" i="1"/>
  <c r="AA193" i="1"/>
  <c r="AB193" i="1"/>
  <c r="Z194" i="1"/>
  <c r="AA194" i="1"/>
  <c r="AB194" i="1"/>
  <c r="Z195" i="1"/>
  <c r="AA195" i="1"/>
  <c r="AB195" i="1"/>
  <c r="Z196" i="1"/>
  <c r="AA196" i="1"/>
  <c r="AB196" i="1"/>
  <c r="Z197" i="1"/>
  <c r="AA197" i="1"/>
  <c r="AB197" i="1"/>
  <c r="Z198" i="1"/>
  <c r="AA198" i="1"/>
  <c r="AB198" i="1"/>
  <c r="Z199" i="1"/>
  <c r="AA199" i="1"/>
  <c r="AB199" i="1"/>
  <c r="Z200" i="1"/>
  <c r="AA200" i="1"/>
  <c r="AB200" i="1"/>
  <c r="Z201" i="1"/>
  <c r="AA201" i="1"/>
  <c r="AB201" i="1"/>
  <c r="Z202" i="1"/>
  <c r="AA202" i="1"/>
  <c r="AB202" i="1"/>
  <c r="AA203" i="1"/>
  <c r="AB203" i="1"/>
  <c r="Z204" i="1"/>
  <c r="AA204" i="1"/>
  <c r="AB204" i="1"/>
  <c r="Z205" i="1"/>
  <c r="AA205" i="1"/>
  <c r="AB205" i="1"/>
  <c r="Z206" i="1"/>
  <c r="AA206" i="1"/>
  <c r="AB206" i="1"/>
  <c r="Z207" i="1"/>
  <c r="AA207" i="1"/>
  <c r="AB207" i="1"/>
  <c r="Z208" i="1"/>
  <c r="AA208" i="1"/>
  <c r="AB208" i="1"/>
  <c r="Z209" i="1"/>
  <c r="AA209" i="1"/>
  <c r="AB209" i="1"/>
  <c r="Z210" i="1"/>
  <c r="AA210" i="1"/>
  <c r="AB210" i="1"/>
  <c r="Z211" i="1"/>
  <c r="AA211" i="1"/>
  <c r="AB211" i="1"/>
  <c r="Z212" i="1"/>
  <c r="AA212" i="1"/>
  <c r="AB212" i="1"/>
  <c r="Z213" i="1"/>
  <c r="AA213" i="1"/>
  <c r="AB213" i="1"/>
  <c r="Z214" i="1"/>
  <c r="AA214" i="1"/>
  <c r="AB214" i="1"/>
  <c r="AA215" i="1"/>
  <c r="AB215" i="1"/>
  <c r="Z216" i="1"/>
  <c r="AA216" i="1"/>
  <c r="AB216" i="1"/>
  <c r="Z217" i="1"/>
  <c r="AA217" i="1"/>
  <c r="AB217" i="1"/>
  <c r="Z218" i="1"/>
  <c r="AA218" i="1"/>
  <c r="AB218" i="1"/>
  <c r="Z219" i="1"/>
  <c r="AA219" i="1"/>
  <c r="AB219" i="1"/>
  <c r="Z220" i="1"/>
  <c r="AA220" i="1"/>
  <c r="AB220" i="1"/>
  <c r="Z221" i="1"/>
  <c r="AA221" i="1"/>
  <c r="AB221" i="1"/>
  <c r="Z222" i="1"/>
  <c r="AA222" i="1"/>
  <c r="AB222" i="1"/>
  <c r="Z223" i="1"/>
  <c r="AA223" i="1"/>
  <c r="AB223" i="1"/>
  <c r="Z224" i="1"/>
  <c r="AA224" i="1"/>
  <c r="AB224" i="1"/>
  <c r="Z225" i="1"/>
  <c r="AA225" i="1"/>
  <c r="AB225" i="1"/>
  <c r="Z226" i="1"/>
  <c r="AA226" i="1"/>
  <c r="AB226" i="1"/>
  <c r="AA227" i="1"/>
  <c r="AB227" i="1"/>
  <c r="Z228" i="1"/>
  <c r="AA228" i="1"/>
  <c r="AB228" i="1"/>
  <c r="Z229" i="1"/>
  <c r="AA229" i="1"/>
  <c r="AB229" i="1"/>
  <c r="Z230" i="1"/>
  <c r="AA230" i="1"/>
  <c r="AB230" i="1"/>
  <c r="Z231" i="1"/>
  <c r="AA231" i="1"/>
  <c r="AB231" i="1"/>
  <c r="Z232" i="1"/>
  <c r="AA232" i="1"/>
  <c r="AB232" i="1"/>
  <c r="Z233" i="1"/>
  <c r="AA233" i="1"/>
  <c r="AB233" i="1"/>
  <c r="Z234" i="1"/>
  <c r="AA234" i="1"/>
  <c r="AB234" i="1"/>
  <c r="Z235" i="1"/>
  <c r="AA235" i="1"/>
  <c r="AB235" i="1"/>
  <c r="Z236" i="1"/>
  <c r="AA236" i="1"/>
  <c r="AB236" i="1"/>
  <c r="Z237" i="1"/>
  <c r="AA237" i="1"/>
  <c r="AB237" i="1"/>
  <c r="Z238" i="1"/>
  <c r="AA238" i="1"/>
  <c r="AB238" i="1"/>
  <c r="AA239" i="1"/>
  <c r="AB239" i="1"/>
  <c r="Z240" i="1"/>
  <c r="AA240" i="1"/>
  <c r="AB240" i="1"/>
  <c r="Z241" i="1"/>
  <c r="AA241" i="1"/>
  <c r="AB241" i="1"/>
  <c r="Z242" i="1"/>
  <c r="AA242" i="1"/>
  <c r="AB242" i="1"/>
  <c r="Z243" i="1"/>
  <c r="AA243" i="1"/>
  <c r="AB243" i="1"/>
  <c r="Z244" i="1"/>
  <c r="AA244" i="1"/>
  <c r="AB244" i="1"/>
  <c r="Z245" i="1"/>
  <c r="AA245" i="1"/>
  <c r="AB245" i="1"/>
  <c r="Z246" i="1"/>
  <c r="AA246" i="1"/>
  <c r="AB246" i="1"/>
  <c r="Z247" i="1"/>
  <c r="AA247" i="1"/>
  <c r="AB247" i="1"/>
  <c r="Z248" i="1"/>
  <c r="AA248" i="1"/>
  <c r="AB248" i="1"/>
  <c r="Z249" i="1"/>
  <c r="AA249" i="1"/>
  <c r="AB249" i="1"/>
  <c r="Z250" i="1"/>
  <c r="AA250" i="1"/>
  <c r="AB250" i="1"/>
  <c r="AA251" i="1"/>
  <c r="AB251" i="1"/>
  <c r="Z252" i="1"/>
  <c r="AA252" i="1"/>
  <c r="AB252" i="1"/>
  <c r="Z253" i="1"/>
  <c r="AA253" i="1"/>
  <c r="AB253" i="1"/>
  <c r="Z254" i="1"/>
  <c r="AA254" i="1"/>
  <c r="AB254" i="1"/>
  <c r="Z255" i="1"/>
  <c r="AA255" i="1"/>
  <c r="AB255" i="1"/>
  <c r="Z256" i="1"/>
  <c r="AA256" i="1"/>
  <c r="AB256" i="1"/>
  <c r="Z257" i="1"/>
  <c r="AA257" i="1"/>
  <c r="AB257" i="1"/>
  <c r="Z258" i="1"/>
  <c r="AA258" i="1"/>
  <c r="AB258" i="1"/>
  <c r="Z259" i="1"/>
  <c r="AA259" i="1"/>
  <c r="AB259" i="1"/>
  <c r="Z260" i="1"/>
  <c r="AA260" i="1"/>
  <c r="AB260" i="1"/>
  <c r="Z261" i="1"/>
  <c r="AA261" i="1"/>
  <c r="AB261" i="1"/>
  <c r="Z262" i="1"/>
  <c r="AA262" i="1"/>
  <c r="AB262" i="1"/>
  <c r="AA263" i="1"/>
  <c r="AB263" i="1"/>
  <c r="Z264" i="1"/>
  <c r="AA264" i="1"/>
  <c r="AB264" i="1"/>
  <c r="Z265" i="1"/>
  <c r="AA265" i="1"/>
  <c r="AB265" i="1"/>
  <c r="Z266" i="1"/>
  <c r="AA266" i="1"/>
  <c r="AB266" i="1"/>
  <c r="Z267" i="1"/>
  <c r="AA267" i="1"/>
  <c r="AB267" i="1"/>
  <c r="Z268" i="1"/>
  <c r="AA268" i="1"/>
  <c r="AB268" i="1"/>
  <c r="Z269" i="1"/>
  <c r="AA269" i="1"/>
  <c r="AB269" i="1"/>
  <c r="Z270" i="1"/>
  <c r="AA270" i="1"/>
  <c r="AB270" i="1"/>
  <c r="Z271" i="1"/>
  <c r="AA271" i="1"/>
  <c r="AB271" i="1"/>
  <c r="Z272" i="1"/>
  <c r="AA272" i="1"/>
  <c r="AB272" i="1"/>
  <c r="Z273" i="1"/>
  <c r="AA273" i="1"/>
  <c r="AB273" i="1"/>
  <c r="Z274" i="1"/>
  <c r="AA274" i="1"/>
  <c r="AB274" i="1"/>
  <c r="AA275" i="1"/>
  <c r="AB275" i="1"/>
  <c r="Z276" i="1"/>
  <c r="AA276" i="1"/>
  <c r="AB276" i="1"/>
  <c r="Z277" i="1"/>
  <c r="AA277" i="1"/>
  <c r="AB277" i="1"/>
  <c r="Z278" i="1"/>
  <c r="AA278" i="1"/>
  <c r="AB278" i="1"/>
  <c r="Z279" i="1"/>
  <c r="AA279" i="1"/>
  <c r="AB279" i="1"/>
  <c r="Z280" i="1"/>
  <c r="AA280" i="1"/>
  <c r="AB280" i="1"/>
  <c r="Z281" i="1"/>
  <c r="AA281" i="1"/>
  <c r="AB281" i="1"/>
  <c r="Z282" i="1"/>
  <c r="AA282" i="1"/>
  <c r="AB282" i="1"/>
  <c r="Z283" i="1"/>
  <c r="AA283" i="1"/>
  <c r="AB283" i="1"/>
  <c r="Z284" i="1"/>
  <c r="AA284" i="1"/>
  <c r="AB284" i="1"/>
  <c r="Z285" i="1"/>
  <c r="AA285" i="1"/>
  <c r="AB285" i="1"/>
  <c r="Z286" i="1"/>
  <c r="AA286" i="1"/>
  <c r="AB286" i="1"/>
  <c r="AA287" i="1"/>
  <c r="AB287" i="1"/>
  <c r="Z288" i="1"/>
  <c r="AA288" i="1"/>
  <c r="AB288" i="1"/>
  <c r="Z289" i="1"/>
  <c r="AA289" i="1"/>
  <c r="AB289" i="1"/>
  <c r="Z290" i="1"/>
  <c r="AA290" i="1"/>
  <c r="AB290" i="1"/>
  <c r="Z291" i="1"/>
  <c r="AA291" i="1"/>
  <c r="AB291" i="1"/>
  <c r="Z292" i="1"/>
  <c r="AA292" i="1"/>
  <c r="AB292" i="1"/>
  <c r="Z293" i="1"/>
  <c r="AA293" i="1"/>
  <c r="AB293" i="1"/>
  <c r="Z294" i="1"/>
  <c r="AA294" i="1"/>
  <c r="AB294" i="1"/>
  <c r="Z295" i="1"/>
  <c r="AA295" i="1"/>
  <c r="AB295" i="1"/>
  <c r="Z296" i="1"/>
  <c r="AA296" i="1"/>
  <c r="AB296" i="1"/>
  <c r="AB30" i="1"/>
  <c r="AA30" i="1"/>
  <c r="Z30" i="1"/>
  <c r="V64" i="1"/>
  <c r="W64" i="1" s="1"/>
  <c r="V65" i="1"/>
  <c r="W65" i="1" s="1"/>
  <c r="V66" i="1"/>
  <c r="W66" i="1" s="1"/>
  <c r="V67" i="1"/>
  <c r="W67" i="1" s="1"/>
  <c r="V68" i="1"/>
  <c r="X68" i="1" s="1"/>
  <c r="W68" i="1"/>
  <c r="V69" i="1"/>
  <c r="W69" i="1" s="1"/>
  <c r="V70" i="1"/>
  <c r="V71" i="1"/>
  <c r="W71" i="1" s="1"/>
  <c r="V72" i="1"/>
  <c r="W72" i="1"/>
  <c r="X72" i="1"/>
  <c r="V73" i="1"/>
  <c r="V74" i="1"/>
  <c r="V75" i="1"/>
  <c r="X75" i="1" s="1"/>
  <c r="W75" i="1"/>
  <c r="V76" i="1"/>
  <c r="V77" i="1"/>
  <c r="W77" i="1" s="1"/>
  <c r="V78" i="1"/>
  <c r="X78" i="1" s="1"/>
  <c r="V79" i="1"/>
  <c r="V80" i="1"/>
  <c r="W80" i="1" s="1"/>
  <c r="V81" i="1"/>
  <c r="X81" i="1" s="1"/>
  <c r="W81" i="1"/>
  <c r="V82" i="1"/>
  <c r="V83" i="1"/>
  <c r="W83" i="1" s="1"/>
  <c r="V84" i="1"/>
  <c r="W84" i="1"/>
  <c r="X84" i="1"/>
  <c r="V85" i="1"/>
  <c r="X85" i="1"/>
  <c r="V86" i="1"/>
  <c r="V87" i="1"/>
  <c r="X87" i="1" s="1"/>
  <c r="W87" i="1"/>
  <c r="V88" i="1"/>
  <c r="V89" i="1"/>
  <c r="X89" i="1" s="1"/>
  <c r="V90" i="1"/>
  <c r="W90" i="1" s="1"/>
  <c r="V91" i="1"/>
  <c r="W91" i="1"/>
  <c r="X91" i="1"/>
  <c r="V92" i="1"/>
  <c r="X92" i="1" s="1"/>
  <c r="V93" i="1"/>
  <c r="V94" i="1"/>
  <c r="W94" i="1"/>
  <c r="V95" i="1"/>
  <c r="X95" i="1" s="1"/>
  <c r="W95" i="1"/>
  <c r="V96" i="1"/>
  <c r="W96" i="1"/>
  <c r="X96" i="1"/>
  <c r="V97" i="1"/>
  <c r="V98" i="1"/>
  <c r="X98" i="1" s="1"/>
  <c r="V99" i="1"/>
  <c r="X99" i="1" s="1"/>
  <c r="W99" i="1"/>
  <c r="V100" i="1"/>
  <c r="W100" i="1"/>
  <c r="X100" i="1"/>
  <c r="V101" i="1"/>
  <c r="X101" i="1" s="1"/>
  <c r="W101" i="1"/>
  <c r="V102" i="1"/>
  <c r="W102" i="1"/>
  <c r="X102" i="1"/>
  <c r="V103" i="1"/>
  <c r="W103" i="1"/>
  <c r="X103" i="1"/>
  <c r="V104" i="1"/>
  <c r="X104" i="1" s="1"/>
  <c r="W104" i="1"/>
  <c r="V105" i="1"/>
  <c r="X105" i="1" s="1"/>
  <c r="W105" i="1"/>
  <c r="V106" i="1"/>
  <c r="W106" i="1"/>
  <c r="V107" i="1"/>
  <c r="X107" i="1" s="1"/>
  <c r="W107" i="1"/>
  <c r="V108" i="1"/>
  <c r="W108" i="1" s="1"/>
  <c r="V109" i="1"/>
  <c r="W109" i="1"/>
  <c r="X109" i="1"/>
  <c r="V110" i="1"/>
  <c r="X110" i="1" s="1"/>
  <c r="V111" i="1"/>
  <c r="W111" i="1"/>
  <c r="X111" i="1"/>
  <c r="V112" i="1"/>
  <c r="W112" i="1"/>
  <c r="V113" i="1"/>
  <c r="X113" i="1" s="1"/>
  <c r="W113" i="1"/>
  <c r="V114" i="1"/>
  <c r="W114" i="1"/>
  <c r="X114" i="1"/>
  <c r="V115" i="1"/>
  <c r="V116" i="1"/>
  <c r="X116" i="1" s="1"/>
  <c r="V117" i="1"/>
  <c r="X117" i="1" s="1"/>
  <c r="W117" i="1"/>
  <c r="V118" i="1"/>
  <c r="W118" i="1"/>
  <c r="X118" i="1"/>
  <c r="V119" i="1"/>
  <c r="X119" i="1" s="1"/>
  <c r="W119" i="1"/>
  <c r="V120" i="1"/>
  <c r="W120" i="1"/>
  <c r="X120" i="1"/>
  <c r="V121" i="1"/>
  <c r="W121" i="1"/>
  <c r="X121" i="1"/>
  <c r="V122" i="1"/>
  <c r="X122" i="1" s="1"/>
  <c r="W122" i="1"/>
  <c r="V123" i="1"/>
  <c r="X123" i="1" s="1"/>
  <c r="W123" i="1"/>
  <c r="V124" i="1"/>
  <c r="W124" i="1"/>
  <c r="V125" i="1"/>
  <c r="X125" i="1" s="1"/>
  <c r="W125" i="1"/>
  <c r="V126" i="1"/>
  <c r="W126" i="1" s="1"/>
  <c r="V127" i="1"/>
  <c r="W127" i="1"/>
  <c r="X127" i="1"/>
  <c r="V128" i="1"/>
  <c r="X128" i="1" s="1"/>
  <c r="V129" i="1"/>
  <c r="W129" i="1"/>
  <c r="X129" i="1"/>
  <c r="V130" i="1"/>
  <c r="W130" i="1"/>
  <c r="V131" i="1"/>
  <c r="X131" i="1" s="1"/>
  <c r="W131" i="1"/>
  <c r="V132" i="1"/>
  <c r="W132" i="1"/>
  <c r="X132" i="1"/>
  <c r="V133" i="1"/>
  <c r="V134" i="1"/>
  <c r="X134" i="1" s="1"/>
  <c r="V135" i="1"/>
  <c r="X135" i="1" s="1"/>
  <c r="W135" i="1"/>
  <c r="V136" i="1"/>
  <c r="W136" i="1"/>
  <c r="X136" i="1"/>
  <c r="V137" i="1"/>
  <c r="X137" i="1" s="1"/>
  <c r="W137" i="1"/>
  <c r="V138" i="1"/>
  <c r="W138" i="1"/>
  <c r="X138" i="1"/>
  <c r="V139" i="1"/>
  <c r="W139" i="1"/>
  <c r="X139" i="1"/>
  <c r="V140" i="1"/>
  <c r="X140" i="1" s="1"/>
  <c r="W140" i="1"/>
  <c r="V141" i="1"/>
  <c r="W141" i="1" s="1"/>
  <c r="V142" i="1"/>
  <c r="W142" i="1"/>
  <c r="V143" i="1"/>
  <c r="X143" i="1" s="1"/>
  <c r="W143" i="1"/>
  <c r="V144" i="1"/>
  <c r="W144" i="1" s="1"/>
  <c r="V145" i="1"/>
  <c r="W145" i="1"/>
  <c r="X145" i="1"/>
  <c r="V146" i="1"/>
  <c r="X146" i="1" s="1"/>
  <c r="V147" i="1"/>
  <c r="W147" i="1"/>
  <c r="X147" i="1"/>
  <c r="V148" i="1"/>
  <c r="V149" i="1"/>
  <c r="X149" i="1" s="1"/>
  <c r="W149" i="1"/>
  <c r="V150" i="1"/>
  <c r="W150" i="1"/>
  <c r="X150" i="1"/>
  <c r="V151" i="1"/>
  <c r="V152" i="1"/>
  <c r="X152" i="1" s="1"/>
  <c r="V153" i="1"/>
  <c r="X153" i="1" s="1"/>
  <c r="W153" i="1"/>
  <c r="V154" i="1"/>
  <c r="W154" i="1"/>
  <c r="X154" i="1"/>
  <c r="V155" i="1"/>
  <c r="X155" i="1" s="1"/>
  <c r="W155" i="1"/>
  <c r="V156" i="1"/>
  <c r="W156" i="1"/>
  <c r="X156" i="1"/>
  <c r="V157" i="1"/>
  <c r="W157" i="1"/>
  <c r="X157" i="1"/>
  <c r="V158" i="1"/>
  <c r="X158" i="1" s="1"/>
  <c r="W158" i="1"/>
  <c r="V159" i="1"/>
  <c r="W159" i="1" s="1"/>
  <c r="V160" i="1"/>
  <c r="W160" i="1"/>
  <c r="V161" i="1"/>
  <c r="X161" i="1" s="1"/>
  <c r="W161" i="1"/>
  <c r="V162" i="1"/>
  <c r="W162" i="1" s="1"/>
  <c r="V163" i="1"/>
  <c r="W163" i="1"/>
  <c r="X163" i="1"/>
  <c r="V164" i="1"/>
  <c r="X164" i="1" s="1"/>
  <c r="V165" i="1"/>
  <c r="W165" i="1"/>
  <c r="X165" i="1"/>
  <c r="V166" i="1"/>
  <c r="V167" i="1"/>
  <c r="X167" i="1" s="1"/>
  <c r="W167" i="1"/>
  <c r="V168" i="1"/>
  <c r="W168" i="1"/>
  <c r="X168" i="1"/>
  <c r="V169" i="1"/>
  <c r="V170" i="1"/>
  <c r="X170" i="1" s="1"/>
  <c r="V171" i="1"/>
  <c r="X171" i="1" s="1"/>
  <c r="W171" i="1"/>
  <c r="V172" i="1"/>
  <c r="W172" i="1"/>
  <c r="X172" i="1"/>
  <c r="V173" i="1"/>
  <c r="X173" i="1" s="1"/>
  <c r="W173" i="1"/>
  <c r="V174" i="1"/>
  <c r="W174" i="1"/>
  <c r="X174" i="1"/>
  <c r="V175" i="1"/>
  <c r="W175" i="1"/>
  <c r="X175" i="1"/>
  <c r="V176" i="1"/>
  <c r="X176" i="1" s="1"/>
  <c r="W176" i="1"/>
  <c r="V177" i="1"/>
  <c r="W177" i="1" s="1"/>
  <c r="V178" i="1"/>
  <c r="W178" i="1"/>
  <c r="V179" i="1"/>
  <c r="X179" i="1" s="1"/>
  <c r="W179" i="1"/>
  <c r="V180" i="1"/>
  <c r="W180" i="1" s="1"/>
  <c r="V181" i="1"/>
  <c r="W181" i="1"/>
  <c r="X181" i="1"/>
  <c r="V182" i="1"/>
  <c r="X182" i="1" s="1"/>
  <c r="V183" i="1"/>
  <c r="W183" i="1"/>
  <c r="X183" i="1"/>
  <c r="V184" i="1"/>
  <c r="V185" i="1"/>
  <c r="X185" i="1" s="1"/>
  <c r="W185" i="1"/>
  <c r="V186" i="1"/>
  <c r="W186" i="1"/>
  <c r="X186" i="1"/>
  <c r="V187" i="1"/>
  <c r="V188" i="1"/>
  <c r="X188" i="1" s="1"/>
  <c r="V189" i="1"/>
  <c r="X189" i="1" s="1"/>
  <c r="W189" i="1"/>
  <c r="V190" i="1"/>
  <c r="W190" i="1"/>
  <c r="X190" i="1"/>
  <c r="V191" i="1"/>
  <c r="X191" i="1" s="1"/>
  <c r="W191" i="1"/>
  <c r="V192" i="1"/>
  <c r="W192" i="1"/>
  <c r="X192" i="1"/>
  <c r="V193" i="1"/>
  <c r="W193" i="1"/>
  <c r="X193" i="1"/>
  <c r="V194" i="1"/>
  <c r="X194" i="1" s="1"/>
  <c r="W194" i="1"/>
  <c r="V195" i="1"/>
  <c r="W195" i="1" s="1"/>
  <c r="V196" i="1"/>
  <c r="W196" i="1"/>
  <c r="V197" i="1"/>
  <c r="X197" i="1" s="1"/>
  <c r="W197" i="1"/>
  <c r="V198" i="1"/>
  <c r="W198" i="1" s="1"/>
  <c r="V199" i="1"/>
  <c r="W199" i="1"/>
  <c r="X199" i="1"/>
  <c r="V200" i="1"/>
  <c r="X200" i="1" s="1"/>
  <c r="V201" i="1"/>
  <c r="W201" i="1"/>
  <c r="X201" i="1"/>
  <c r="V202" i="1"/>
  <c r="V203" i="1"/>
  <c r="X203" i="1" s="1"/>
  <c r="W203" i="1"/>
  <c r="V204" i="1"/>
  <c r="W204" i="1"/>
  <c r="X204" i="1"/>
  <c r="V205" i="1"/>
  <c r="V206" i="1"/>
  <c r="X206" i="1" s="1"/>
  <c r="V207" i="1"/>
  <c r="X207" i="1" s="1"/>
  <c r="W207" i="1"/>
  <c r="V208" i="1"/>
  <c r="W208" i="1"/>
  <c r="X208" i="1"/>
  <c r="V209" i="1"/>
  <c r="X209" i="1" s="1"/>
  <c r="W209" i="1"/>
  <c r="V210" i="1"/>
  <c r="W210" i="1"/>
  <c r="X210" i="1"/>
  <c r="V211" i="1"/>
  <c r="W211" i="1"/>
  <c r="X211" i="1"/>
  <c r="V212" i="1"/>
  <c r="X212" i="1" s="1"/>
  <c r="W212" i="1"/>
  <c r="V213" i="1"/>
  <c r="W213" i="1" s="1"/>
  <c r="V214" i="1"/>
  <c r="W214" i="1"/>
  <c r="X214" i="1"/>
  <c r="V215" i="1"/>
  <c r="X215" i="1" s="1"/>
  <c r="W215" i="1"/>
  <c r="V216" i="1"/>
  <c r="W216" i="1" s="1"/>
  <c r="V217" i="1"/>
  <c r="W217" i="1"/>
  <c r="X217" i="1"/>
  <c r="V218" i="1"/>
  <c r="X218" i="1" s="1"/>
  <c r="W218" i="1"/>
  <c r="V219" i="1"/>
  <c r="W219" i="1"/>
  <c r="X219" i="1"/>
  <c r="V220" i="1"/>
  <c r="V221" i="1"/>
  <c r="X221" i="1" s="1"/>
  <c r="W221" i="1"/>
  <c r="V222" i="1"/>
  <c r="W222" i="1"/>
  <c r="X222" i="1"/>
  <c r="V223" i="1"/>
  <c r="V224" i="1"/>
  <c r="X224" i="1" s="1"/>
  <c r="V225" i="1"/>
  <c r="W225" i="1"/>
  <c r="X225" i="1"/>
  <c r="V226" i="1"/>
  <c r="W226" i="1"/>
  <c r="X226" i="1"/>
  <c r="V227" i="1"/>
  <c r="X227" i="1" s="1"/>
  <c r="W227" i="1"/>
  <c r="V228" i="1"/>
  <c r="W228" i="1"/>
  <c r="X228" i="1"/>
  <c r="V229" i="1"/>
  <c r="W229" i="1"/>
  <c r="X229" i="1"/>
  <c r="V230" i="1"/>
  <c r="X230" i="1" s="1"/>
  <c r="W230" i="1"/>
  <c r="V231" i="1"/>
  <c r="X231" i="1" s="1"/>
  <c r="W231" i="1"/>
  <c r="V232" i="1"/>
  <c r="W232" i="1"/>
  <c r="X232" i="1"/>
  <c r="V233" i="1"/>
  <c r="X233" i="1" s="1"/>
  <c r="W233" i="1"/>
  <c r="V234" i="1"/>
  <c r="W234" i="1" s="1"/>
  <c r="V235" i="1"/>
  <c r="W235" i="1"/>
  <c r="X235" i="1"/>
  <c r="V236" i="1"/>
  <c r="X236" i="1" s="1"/>
  <c r="W236" i="1"/>
  <c r="V237" i="1"/>
  <c r="W237" i="1"/>
  <c r="X237" i="1"/>
  <c r="V238" i="1"/>
  <c r="W238" i="1"/>
  <c r="V239" i="1"/>
  <c r="X239" i="1" s="1"/>
  <c r="W239" i="1"/>
  <c r="V240" i="1"/>
  <c r="W240" i="1"/>
  <c r="X240" i="1"/>
  <c r="V241" i="1"/>
  <c r="V242" i="1"/>
  <c r="X242" i="1" s="1"/>
  <c r="V243" i="1"/>
  <c r="W243" i="1"/>
  <c r="X243" i="1"/>
  <c r="V244" i="1"/>
  <c r="W244" i="1"/>
  <c r="X244" i="1"/>
  <c r="V245" i="1"/>
  <c r="X245" i="1" s="1"/>
  <c r="W245" i="1"/>
  <c r="V246" i="1"/>
  <c r="W246" i="1"/>
  <c r="X246" i="1"/>
  <c r="V247" i="1"/>
  <c r="W247" i="1"/>
  <c r="X247" i="1"/>
  <c r="V248" i="1"/>
  <c r="X248" i="1" s="1"/>
  <c r="W248" i="1"/>
  <c r="V249" i="1"/>
  <c r="X249" i="1" s="1"/>
  <c r="W249" i="1"/>
  <c r="V250" i="1"/>
  <c r="W250" i="1"/>
  <c r="X250" i="1"/>
  <c r="V251" i="1"/>
  <c r="X251" i="1" s="1"/>
  <c r="W251" i="1"/>
  <c r="V252" i="1"/>
  <c r="W252" i="1" s="1"/>
  <c r="V253" i="1"/>
  <c r="W253" i="1"/>
  <c r="X253" i="1"/>
  <c r="V254" i="1"/>
  <c r="X254" i="1" s="1"/>
  <c r="W254" i="1"/>
  <c r="V255" i="1"/>
  <c r="W255" i="1"/>
  <c r="X255" i="1"/>
  <c r="V256" i="1"/>
  <c r="W256" i="1"/>
  <c r="V257" i="1"/>
  <c r="X257" i="1" s="1"/>
  <c r="W257" i="1"/>
  <c r="V258" i="1"/>
  <c r="W258" i="1"/>
  <c r="X258" i="1"/>
  <c r="V259" i="1"/>
  <c r="V260" i="1"/>
  <c r="X260" i="1" s="1"/>
  <c r="V261" i="1"/>
  <c r="W261" i="1"/>
  <c r="X261" i="1"/>
  <c r="V262" i="1"/>
  <c r="W262" i="1"/>
  <c r="X262" i="1"/>
  <c r="V263" i="1"/>
  <c r="X263" i="1" s="1"/>
  <c r="W263" i="1"/>
  <c r="V264" i="1"/>
  <c r="W264" i="1"/>
  <c r="X264" i="1"/>
  <c r="V265" i="1"/>
  <c r="W265" i="1"/>
  <c r="X265" i="1"/>
  <c r="V266" i="1"/>
  <c r="X266" i="1" s="1"/>
  <c r="W266" i="1"/>
  <c r="V267" i="1"/>
  <c r="X267" i="1" s="1"/>
  <c r="W267" i="1"/>
  <c r="V268" i="1"/>
  <c r="W268" i="1"/>
  <c r="X268" i="1"/>
  <c r="V269" i="1"/>
  <c r="X269" i="1" s="1"/>
  <c r="W269" i="1"/>
  <c r="V270" i="1"/>
  <c r="W270" i="1" s="1"/>
  <c r="V271" i="1"/>
  <c r="W271" i="1"/>
  <c r="X271" i="1"/>
  <c r="V272" i="1"/>
  <c r="X272" i="1" s="1"/>
  <c r="W272" i="1"/>
  <c r="V273" i="1"/>
  <c r="W273" i="1"/>
  <c r="X273" i="1"/>
  <c r="V274" i="1"/>
  <c r="W274" i="1"/>
  <c r="V275" i="1"/>
  <c r="X275" i="1" s="1"/>
  <c r="W275" i="1"/>
  <c r="V276" i="1"/>
  <c r="W276" i="1"/>
  <c r="X276" i="1"/>
  <c r="V277" i="1"/>
  <c r="V278" i="1"/>
  <c r="X278" i="1" s="1"/>
  <c r="V279" i="1"/>
  <c r="W279" i="1"/>
  <c r="X279" i="1"/>
  <c r="V280" i="1"/>
  <c r="W280" i="1"/>
  <c r="X280" i="1"/>
  <c r="V281" i="1"/>
  <c r="X281" i="1" s="1"/>
  <c r="W281" i="1"/>
  <c r="V282" i="1"/>
  <c r="W282" i="1"/>
  <c r="X282" i="1"/>
  <c r="V283" i="1"/>
  <c r="W283" i="1"/>
  <c r="X283" i="1"/>
  <c r="V284" i="1"/>
  <c r="X284" i="1" s="1"/>
  <c r="W284" i="1"/>
  <c r="V285" i="1"/>
  <c r="X285" i="1" s="1"/>
  <c r="W285" i="1"/>
  <c r="V286" i="1"/>
  <c r="W286" i="1"/>
  <c r="X286" i="1"/>
  <c r="V287" i="1"/>
  <c r="X287" i="1" s="1"/>
  <c r="W287" i="1"/>
  <c r="V288" i="1"/>
  <c r="W288" i="1" s="1"/>
  <c r="V289" i="1"/>
  <c r="W289" i="1"/>
  <c r="X289" i="1"/>
  <c r="V290" i="1"/>
  <c r="X290" i="1" s="1"/>
  <c r="W290" i="1"/>
  <c r="V291" i="1"/>
  <c r="W291" i="1"/>
  <c r="X291" i="1"/>
  <c r="V292" i="1"/>
  <c r="V293" i="1"/>
  <c r="X293" i="1" s="1"/>
  <c r="W293" i="1"/>
  <c r="V294" i="1"/>
  <c r="W294" i="1"/>
  <c r="X294" i="1"/>
  <c r="V295" i="1"/>
  <c r="V296" i="1"/>
  <c r="X296" i="1" s="1"/>
  <c r="T216" i="1"/>
  <c r="U216" i="1"/>
  <c r="T217" i="1"/>
  <c r="U217" i="1"/>
  <c r="T218" i="1"/>
  <c r="U218" i="1"/>
  <c r="T219" i="1"/>
  <c r="U219" i="1"/>
  <c r="T220" i="1"/>
  <c r="U220" i="1"/>
  <c r="T221" i="1"/>
  <c r="U221" i="1"/>
  <c r="T222" i="1"/>
  <c r="U222" i="1"/>
  <c r="T223" i="1"/>
  <c r="U223" i="1"/>
  <c r="T224" i="1"/>
  <c r="U224" i="1"/>
  <c r="T225" i="1"/>
  <c r="U225" i="1"/>
  <c r="T226" i="1"/>
  <c r="U226" i="1"/>
  <c r="T227" i="1"/>
  <c r="U227" i="1"/>
  <c r="T228" i="1"/>
  <c r="U228" i="1"/>
  <c r="T229" i="1"/>
  <c r="U229" i="1"/>
  <c r="T230" i="1"/>
  <c r="U230" i="1"/>
  <c r="T231" i="1"/>
  <c r="U231" i="1"/>
  <c r="T232" i="1"/>
  <c r="U232" i="1"/>
  <c r="T233" i="1"/>
  <c r="U233" i="1"/>
  <c r="T234" i="1"/>
  <c r="U234" i="1"/>
  <c r="T235" i="1"/>
  <c r="U235" i="1"/>
  <c r="T236" i="1"/>
  <c r="U236" i="1"/>
  <c r="T237" i="1"/>
  <c r="U237" i="1"/>
  <c r="T238" i="1"/>
  <c r="U238" i="1"/>
  <c r="T239" i="1"/>
  <c r="U239" i="1"/>
  <c r="T240" i="1"/>
  <c r="U240" i="1"/>
  <c r="T241" i="1"/>
  <c r="U241" i="1"/>
  <c r="T242" i="1"/>
  <c r="U242" i="1"/>
  <c r="T243" i="1"/>
  <c r="U243" i="1"/>
  <c r="T244" i="1"/>
  <c r="U244" i="1"/>
  <c r="T245" i="1"/>
  <c r="U245" i="1"/>
  <c r="T246" i="1"/>
  <c r="U246" i="1"/>
  <c r="T247" i="1"/>
  <c r="U247" i="1"/>
  <c r="T248" i="1"/>
  <c r="U248" i="1"/>
  <c r="T249" i="1"/>
  <c r="U249" i="1"/>
  <c r="T250" i="1"/>
  <c r="U250" i="1"/>
  <c r="T251" i="1"/>
  <c r="U251" i="1"/>
  <c r="T252" i="1"/>
  <c r="U252" i="1"/>
  <c r="T253" i="1"/>
  <c r="U253" i="1"/>
  <c r="T254" i="1"/>
  <c r="U254" i="1"/>
  <c r="T255" i="1"/>
  <c r="U255" i="1"/>
  <c r="T256" i="1"/>
  <c r="U256" i="1"/>
  <c r="T257" i="1"/>
  <c r="U257" i="1"/>
  <c r="T258" i="1"/>
  <c r="U258" i="1"/>
  <c r="T259" i="1"/>
  <c r="U259" i="1"/>
  <c r="T260" i="1"/>
  <c r="U260" i="1"/>
  <c r="T261" i="1"/>
  <c r="U261" i="1"/>
  <c r="T262" i="1"/>
  <c r="U262" i="1"/>
  <c r="T263" i="1"/>
  <c r="U263" i="1"/>
  <c r="T264" i="1"/>
  <c r="U264" i="1"/>
  <c r="T265" i="1"/>
  <c r="U265" i="1"/>
  <c r="T266" i="1"/>
  <c r="U266" i="1"/>
  <c r="T267" i="1"/>
  <c r="U267" i="1"/>
  <c r="T268" i="1"/>
  <c r="U268" i="1"/>
  <c r="T269" i="1"/>
  <c r="U269" i="1"/>
  <c r="T270" i="1"/>
  <c r="U270" i="1"/>
  <c r="T271" i="1"/>
  <c r="U271" i="1"/>
  <c r="T272" i="1"/>
  <c r="U272" i="1"/>
  <c r="T273" i="1"/>
  <c r="U273" i="1"/>
  <c r="T274" i="1"/>
  <c r="U274" i="1"/>
  <c r="T275" i="1"/>
  <c r="U275" i="1"/>
  <c r="T276" i="1"/>
  <c r="U276" i="1"/>
  <c r="T277" i="1"/>
  <c r="U277" i="1"/>
  <c r="T278" i="1"/>
  <c r="U278" i="1"/>
  <c r="T279" i="1"/>
  <c r="U279" i="1"/>
  <c r="T280" i="1"/>
  <c r="U280" i="1"/>
  <c r="T281" i="1"/>
  <c r="U281" i="1"/>
  <c r="T282" i="1"/>
  <c r="U282" i="1"/>
  <c r="T283" i="1"/>
  <c r="U283" i="1"/>
  <c r="T284" i="1"/>
  <c r="U284" i="1"/>
  <c r="T285" i="1"/>
  <c r="U285" i="1"/>
  <c r="T286" i="1"/>
  <c r="U286" i="1"/>
  <c r="T287" i="1"/>
  <c r="U287" i="1"/>
  <c r="T288" i="1"/>
  <c r="U288" i="1"/>
  <c r="T289" i="1"/>
  <c r="U289" i="1"/>
  <c r="T290" i="1"/>
  <c r="U290" i="1"/>
  <c r="T291" i="1"/>
  <c r="U291" i="1"/>
  <c r="T292" i="1"/>
  <c r="U292" i="1"/>
  <c r="T293" i="1"/>
  <c r="U293" i="1"/>
  <c r="T294" i="1"/>
  <c r="U294" i="1"/>
  <c r="T295" i="1"/>
  <c r="U295" i="1"/>
  <c r="T296" i="1"/>
  <c r="U296" i="1"/>
  <c r="T135" i="1"/>
  <c r="U135" i="1"/>
  <c r="T136" i="1"/>
  <c r="U136" i="1"/>
  <c r="T137" i="1"/>
  <c r="U137" i="1"/>
  <c r="T138" i="1"/>
  <c r="U138" i="1"/>
  <c r="T139" i="1"/>
  <c r="U139" i="1"/>
  <c r="T140" i="1"/>
  <c r="U140" i="1"/>
  <c r="T141" i="1"/>
  <c r="U141" i="1"/>
  <c r="T142" i="1"/>
  <c r="U142" i="1"/>
  <c r="T143" i="1"/>
  <c r="U143" i="1"/>
  <c r="T144" i="1"/>
  <c r="U144" i="1"/>
  <c r="T145" i="1"/>
  <c r="U145" i="1"/>
  <c r="T146" i="1"/>
  <c r="U146" i="1"/>
  <c r="T147" i="1"/>
  <c r="U147" i="1"/>
  <c r="T148" i="1"/>
  <c r="U148" i="1"/>
  <c r="T149" i="1"/>
  <c r="U149" i="1"/>
  <c r="T150" i="1"/>
  <c r="U150" i="1"/>
  <c r="T151" i="1"/>
  <c r="U151" i="1"/>
  <c r="T152" i="1"/>
  <c r="U152" i="1"/>
  <c r="T153" i="1"/>
  <c r="U153" i="1"/>
  <c r="T154" i="1"/>
  <c r="U154" i="1"/>
  <c r="T155" i="1"/>
  <c r="U155" i="1"/>
  <c r="T156" i="1"/>
  <c r="U156" i="1"/>
  <c r="T157" i="1"/>
  <c r="U157" i="1"/>
  <c r="T158" i="1"/>
  <c r="U158" i="1"/>
  <c r="T159" i="1"/>
  <c r="U159" i="1"/>
  <c r="T160" i="1"/>
  <c r="U160" i="1"/>
  <c r="T161" i="1"/>
  <c r="U161" i="1"/>
  <c r="T162" i="1"/>
  <c r="U162" i="1"/>
  <c r="T163" i="1"/>
  <c r="U163" i="1"/>
  <c r="T164" i="1"/>
  <c r="U164" i="1"/>
  <c r="T165" i="1"/>
  <c r="U165" i="1"/>
  <c r="T166" i="1"/>
  <c r="U166" i="1"/>
  <c r="T167" i="1"/>
  <c r="U167" i="1"/>
  <c r="T168" i="1"/>
  <c r="U168" i="1"/>
  <c r="T169" i="1"/>
  <c r="U169" i="1"/>
  <c r="T170" i="1"/>
  <c r="U170" i="1"/>
  <c r="T171" i="1"/>
  <c r="U171" i="1"/>
  <c r="T172" i="1"/>
  <c r="U172" i="1"/>
  <c r="T173" i="1"/>
  <c r="U173" i="1"/>
  <c r="T174" i="1"/>
  <c r="U174" i="1"/>
  <c r="T175" i="1"/>
  <c r="U175" i="1"/>
  <c r="T176" i="1"/>
  <c r="U176" i="1"/>
  <c r="T177" i="1"/>
  <c r="U177" i="1"/>
  <c r="T178" i="1"/>
  <c r="U178" i="1"/>
  <c r="T179" i="1"/>
  <c r="U179" i="1"/>
  <c r="T180" i="1"/>
  <c r="U180" i="1"/>
  <c r="T181" i="1"/>
  <c r="U181" i="1"/>
  <c r="T182" i="1"/>
  <c r="U182" i="1"/>
  <c r="T183" i="1"/>
  <c r="U183" i="1"/>
  <c r="T184" i="1"/>
  <c r="U184" i="1"/>
  <c r="T185" i="1"/>
  <c r="U185" i="1"/>
  <c r="T186" i="1"/>
  <c r="U186" i="1"/>
  <c r="T187" i="1"/>
  <c r="U187" i="1"/>
  <c r="T188" i="1"/>
  <c r="U188" i="1"/>
  <c r="T189" i="1"/>
  <c r="U189" i="1"/>
  <c r="T190" i="1"/>
  <c r="U190" i="1"/>
  <c r="T191" i="1"/>
  <c r="U191" i="1"/>
  <c r="T192" i="1"/>
  <c r="U192" i="1"/>
  <c r="T193" i="1"/>
  <c r="U193" i="1"/>
  <c r="T194" i="1"/>
  <c r="U194" i="1"/>
  <c r="T195" i="1"/>
  <c r="U195" i="1"/>
  <c r="T196" i="1"/>
  <c r="U196" i="1"/>
  <c r="T197" i="1"/>
  <c r="U197" i="1"/>
  <c r="T198" i="1"/>
  <c r="U198" i="1"/>
  <c r="T199" i="1"/>
  <c r="U199" i="1"/>
  <c r="T200" i="1"/>
  <c r="U200" i="1"/>
  <c r="T201" i="1"/>
  <c r="U201" i="1"/>
  <c r="T202" i="1"/>
  <c r="U202" i="1"/>
  <c r="T203" i="1"/>
  <c r="U203" i="1"/>
  <c r="T204" i="1"/>
  <c r="U204" i="1"/>
  <c r="T205" i="1"/>
  <c r="U205" i="1"/>
  <c r="T206" i="1"/>
  <c r="U206" i="1"/>
  <c r="T207" i="1"/>
  <c r="U207" i="1"/>
  <c r="T208" i="1"/>
  <c r="U208" i="1"/>
  <c r="T209" i="1"/>
  <c r="U209" i="1"/>
  <c r="T210" i="1"/>
  <c r="U210" i="1"/>
  <c r="T211" i="1"/>
  <c r="U211" i="1"/>
  <c r="T212" i="1"/>
  <c r="U212" i="1"/>
  <c r="T213" i="1"/>
  <c r="U213" i="1"/>
  <c r="T214" i="1"/>
  <c r="U214" i="1"/>
  <c r="T215" i="1"/>
  <c r="U215" i="1"/>
  <c r="T4" i="1"/>
  <c r="U4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T58" i="1"/>
  <c r="U58" i="1"/>
  <c r="T59" i="1"/>
  <c r="U59" i="1"/>
  <c r="T60" i="1"/>
  <c r="U60" i="1"/>
  <c r="T61" i="1"/>
  <c r="U61" i="1"/>
  <c r="T62" i="1"/>
  <c r="U62" i="1"/>
  <c r="T63" i="1"/>
  <c r="U63" i="1"/>
  <c r="T64" i="1"/>
  <c r="U64" i="1"/>
  <c r="T65" i="1"/>
  <c r="U65" i="1"/>
  <c r="T66" i="1"/>
  <c r="U66" i="1"/>
  <c r="T67" i="1"/>
  <c r="U67" i="1"/>
  <c r="T68" i="1"/>
  <c r="U68" i="1"/>
  <c r="T69" i="1"/>
  <c r="U69" i="1"/>
  <c r="T70" i="1"/>
  <c r="U70" i="1"/>
  <c r="T71" i="1"/>
  <c r="U71" i="1"/>
  <c r="T72" i="1"/>
  <c r="U72" i="1"/>
  <c r="T73" i="1"/>
  <c r="U73" i="1"/>
  <c r="T74" i="1"/>
  <c r="U74" i="1"/>
  <c r="T75" i="1"/>
  <c r="U75" i="1"/>
  <c r="T76" i="1"/>
  <c r="U76" i="1"/>
  <c r="T77" i="1"/>
  <c r="U77" i="1"/>
  <c r="T78" i="1"/>
  <c r="U78" i="1"/>
  <c r="T79" i="1"/>
  <c r="U79" i="1"/>
  <c r="T80" i="1"/>
  <c r="U80" i="1"/>
  <c r="T81" i="1"/>
  <c r="U81" i="1"/>
  <c r="T82" i="1"/>
  <c r="U82" i="1"/>
  <c r="T83" i="1"/>
  <c r="U83" i="1"/>
  <c r="T84" i="1"/>
  <c r="U84" i="1"/>
  <c r="T85" i="1"/>
  <c r="U85" i="1"/>
  <c r="T86" i="1"/>
  <c r="U86" i="1"/>
  <c r="T87" i="1"/>
  <c r="U87" i="1"/>
  <c r="T88" i="1"/>
  <c r="U88" i="1"/>
  <c r="T89" i="1"/>
  <c r="U89" i="1"/>
  <c r="T90" i="1"/>
  <c r="U90" i="1"/>
  <c r="T91" i="1"/>
  <c r="U91" i="1"/>
  <c r="T92" i="1"/>
  <c r="U92" i="1"/>
  <c r="T93" i="1"/>
  <c r="U93" i="1"/>
  <c r="T94" i="1"/>
  <c r="U94" i="1"/>
  <c r="T95" i="1"/>
  <c r="U95" i="1"/>
  <c r="T96" i="1"/>
  <c r="U96" i="1"/>
  <c r="T97" i="1"/>
  <c r="U97" i="1"/>
  <c r="T98" i="1"/>
  <c r="U98" i="1"/>
  <c r="T99" i="1"/>
  <c r="U99" i="1"/>
  <c r="T100" i="1"/>
  <c r="U100" i="1"/>
  <c r="T101" i="1"/>
  <c r="U101" i="1"/>
  <c r="T102" i="1"/>
  <c r="U102" i="1"/>
  <c r="T103" i="1"/>
  <c r="U103" i="1"/>
  <c r="T104" i="1"/>
  <c r="U104" i="1"/>
  <c r="T105" i="1"/>
  <c r="U105" i="1"/>
  <c r="T106" i="1"/>
  <c r="U106" i="1"/>
  <c r="T107" i="1"/>
  <c r="U107" i="1"/>
  <c r="T108" i="1"/>
  <c r="U108" i="1"/>
  <c r="T109" i="1"/>
  <c r="U109" i="1"/>
  <c r="T110" i="1"/>
  <c r="U110" i="1"/>
  <c r="T111" i="1"/>
  <c r="U111" i="1"/>
  <c r="T112" i="1"/>
  <c r="U112" i="1"/>
  <c r="T113" i="1"/>
  <c r="U113" i="1"/>
  <c r="T114" i="1"/>
  <c r="U114" i="1"/>
  <c r="T115" i="1"/>
  <c r="U115" i="1"/>
  <c r="T116" i="1"/>
  <c r="U116" i="1"/>
  <c r="T117" i="1"/>
  <c r="U117" i="1"/>
  <c r="T118" i="1"/>
  <c r="U118" i="1"/>
  <c r="T119" i="1"/>
  <c r="U119" i="1"/>
  <c r="T120" i="1"/>
  <c r="U120" i="1"/>
  <c r="T121" i="1"/>
  <c r="U121" i="1"/>
  <c r="T122" i="1"/>
  <c r="U122" i="1"/>
  <c r="T123" i="1"/>
  <c r="U123" i="1"/>
  <c r="T124" i="1"/>
  <c r="U124" i="1"/>
  <c r="T125" i="1"/>
  <c r="U125" i="1"/>
  <c r="T126" i="1"/>
  <c r="U126" i="1"/>
  <c r="T127" i="1"/>
  <c r="U127" i="1"/>
  <c r="T128" i="1"/>
  <c r="U128" i="1"/>
  <c r="T129" i="1"/>
  <c r="U129" i="1"/>
  <c r="T130" i="1"/>
  <c r="U130" i="1"/>
  <c r="T131" i="1"/>
  <c r="U131" i="1"/>
  <c r="T132" i="1"/>
  <c r="U132" i="1"/>
  <c r="T133" i="1"/>
  <c r="U133" i="1"/>
  <c r="T134" i="1"/>
  <c r="U134" i="1"/>
  <c r="U3" i="1"/>
  <c r="T3" i="1"/>
  <c r="V4" i="1"/>
  <c r="W4" i="1" s="1"/>
  <c r="V5" i="1"/>
  <c r="W5" i="1" s="1"/>
  <c r="V6" i="1"/>
  <c r="W6" i="1" s="1"/>
  <c r="V7" i="1"/>
  <c r="X7" i="1" s="1"/>
  <c r="W7" i="1"/>
  <c r="V8" i="1"/>
  <c r="W8" i="1"/>
  <c r="X8" i="1"/>
  <c r="V9" i="1"/>
  <c r="W9" i="1" s="1"/>
  <c r="V10" i="1"/>
  <c r="W10" i="1"/>
  <c r="X10" i="1"/>
  <c r="V11" i="1"/>
  <c r="W11" i="1"/>
  <c r="X11" i="1"/>
  <c r="V12" i="1"/>
  <c r="W12" i="1" s="1"/>
  <c r="V13" i="1"/>
  <c r="W13" i="1"/>
  <c r="X13" i="1"/>
  <c r="V14" i="1"/>
  <c r="W14" i="1"/>
  <c r="X14" i="1"/>
  <c r="V15" i="1"/>
  <c r="W15" i="1" s="1"/>
  <c r="V16" i="1"/>
  <c r="W16" i="1"/>
  <c r="X16" i="1"/>
  <c r="V17" i="1"/>
  <c r="W17" i="1"/>
  <c r="X17" i="1"/>
  <c r="V18" i="1"/>
  <c r="W18" i="1" s="1"/>
  <c r="V19" i="1"/>
  <c r="W19" i="1"/>
  <c r="X19" i="1"/>
  <c r="V20" i="1"/>
  <c r="W20" i="1"/>
  <c r="X20" i="1"/>
  <c r="V21" i="1"/>
  <c r="W21" i="1" s="1"/>
  <c r="V22" i="1"/>
  <c r="W22" i="1"/>
  <c r="X22" i="1"/>
  <c r="V23" i="1"/>
  <c r="W23" i="1"/>
  <c r="X23" i="1"/>
  <c r="V24" i="1"/>
  <c r="W24" i="1" s="1"/>
  <c r="V25" i="1"/>
  <c r="W25" i="1"/>
  <c r="X25" i="1"/>
  <c r="V26" i="1"/>
  <c r="W26" i="1"/>
  <c r="X26" i="1"/>
  <c r="V27" i="1"/>
  <c r="W27" i="1" s="1"/>
  <c r="V28" i="1"/>
  <c r="W28" i="1" s="1"/>
  <c r="X28" i="1"/>
  <c r="V29" i="1"/>
  <c r="W29" i="1"/>
  <c r="X29" i="1"/>
  <c r="V30" i="1"/>
  <c r="W30" i="1" s="1"/>
  <c r="V31" i="1"/>
  <c r="X31" i="1" s="1"/>
  <c r="W31" i="1"/>
  <c r="V32" i="1"/>
  <c r="W32" i="1"/>
  <c r="X32" i="1"/>
  <c r="V33" i="1"/>
  <c r="W33" i="1" s="1"/>
  <c r="V34" i="1"/>
  <c r="W34" i="1"/>
  <c r="X34" i="1"/>
  <c r="V35" i="1"/>
  <c r="W35" i="1" s="1"/>
  <c r="V36" i="1"/>
  <c r="W36" i="1" s="1"/>
  <c r="V37" i="1"/>
  <c r="W37" i="1"/>
  <c r="X37" i="1"/>
  <c r="V38" i="1"/>
  <c r="W38" i="1"/>
  <c r="X38" i="1"/>
  <c r="V39" i="1"/>
  <c r="W39" i="1" s="1"/>
  <c r="V40" i="1"/>
  <c r="W40" i="1" s="1"/>
  <c r="X40" i="1"/>
  <c r="V41" i="1"/>
  <c r="X41" i="1" s="1"/>
  <c r="W41" i="1"/>
  <c r="V42" i="1"/>
  <c r="W42" i="1" s="1"/>
  <c r="V43" i="1"/>
  <c r="W43" i="1"/>
  <c r="X43" i="1"/>
  <c r="V44" i="1"/>
  <c r="W44" i="1" s="1"/>
  <c r="X44" i="1"/>
  <c r="V45" i="1"/>
  <c r="W45" i="1" s="1"/>
  <c r="V46" i="1"/>
  <c r="W46" i="1"/>
  <c r="X46" i="1"/>
  <c r="V47" i="1"/>
  <c r="W47" i="1" s="1"/>
  <c r="V48" i="1"/>
  <c r="W48" i="1" s="1"/>
  <c r="V49" i="1"/>
  <c r="W49" i="1" s="1"/>
  <c r="V50" i="1"/>
  <c r="W50" i="1"/>
  <c r="X50" i="1"/>
  <c r="V51" i="1"/>
  <c r="W51" i="1" s="1"/>
  <c r="V52" i="1"/>
  <c r="W52" i="1"/>
  <c r="X52" i="1"/>
  <c r="V53" i="1"/>
  <c r="W53" i="1" s="1"/>
  <c r="X53" i="1"/>
  <c r="V54" i="1"/>
  <c r="W54" i="1" s="1"/>
  <c r="V55" i="1"/>
  <c r="W55" i="1"/>
  <c r="X55" i="1"/>
  <c r="V56" i="1"/>
  <c r="X56" i="1" s="1"/>
  <c r="W56" i="1"/>
  <c r="V57" i="1"/>
  <c r="W57" i="1" s="1"/>
  <c r="V58" i="1"/>
  <c r="W58" i="1"/>
  <c r="X58" i="1"/>
  <c r="V59" i="1"/>
  <c r="W59" i="1"/>
  <c r="X59" i="1"/>
  <c r="V60" i="1"/>
  <c r="W60" i="1" s="1"/>
  <c r="V61" i="1"/>
  <c r="W61" i="1" s="1"/>
  <c r="V62" i="1"/>
  <c r="W62" i="1"/>
  <c r="X62" i="1"/>
  <c r="V63" i="1"/>
  <c r="W63" i="1" s="1"/>
  <c r="V3" i="1"/>
  <c r="X3" i="1" s="1"/>
  <c r="AD438" i="1" l="1"/>
  <c r="AA438" i="1"/>
  <c r="AC438" i="1" s="1"/>
  <c r="AD428" i="1"/>
  <c r="AA428" i="1"/>
  <c r="Y416" i="1"/>
  <c r="W416" i="1"/>
  <c r="X416" i="1"/>
  <c r="AB416" i="1" s="1"/>
  <c r="Z397" i="1"/>
  <c r="AD397" i="1"/>
  <c r="X383" i="1"/>
  <c r="AB383" i="1" s="1"/>
  <c r="Y383" i="1"/>
  <c r="W383" i="1"/>
  <c r="Y348" i="1"/>
  <c r="W348" i="1"/>
  <c r="X348" i="1"/>
  <c r="AB348" i="1" s="1"/>
  <c r="AA334" i="1"/>
  <c r="AC334" i="1"/>
  <c r="AD334" i="1"/>
  <c r="AA299" i="1"/>
  <c r="AC299" i="1"/>
  <c r="AD299" i="1"/>
  <c r="Z404" i="1"/>
  <c r="AC404" i="1" s="1"/>
  <c r="AD404" i="1"/>
  <c r="W395" i="1"/>
  <c r="X395" i="1"/>
  <c r="AB395" i="1" s="1"/>
  <c r="Y395" i="1"/>
  <c r="Z395" i="1" s="1"/>
  <c r="AD388" i="1"/>
  <c r="Z334" i="1"/>
  <c r="Z299" i="1"/>
  <c r="W447" i="1"/>
  <c r="X447" i="1"/>
  <c r="AB447" i="1" s="1"/>
  <c r="Y447" i="1"/>
  <c r="Z447" i="1" s="1"/>
  <c r="AA443" i="1"/>
  <c r="Z443" i="1"/>
  <c r="AC443" i="1"/>
  <c r="AC388" i="1"/>
  <c r="AD372" i="1"/>
  <c r="AA372" i="1"/>
  <c r="W301" i="1"/>
  <c r="X301" i="1"/>
  <c r="AB301" i="1" s="1"/>
  <c r="Y449" i="1"/>
  <c r="X449" i="1"/>
  <c r="AD387" i="1"/>
  <c r="AC387" i="1"/>
  <c r="AA369" i="1"/>
  <c r="AC369" i="1"/>
  <c r="AD369" i="1"/>
  <c r="AD361" i="1"/>
  <c r="AA361" i="1"/>
  <c r="AA353" i="1"/>
  <c r="Z338" i="1"/>
  <c r="AB338" i="1"/>
  <c r="AC338" i="1"/>
  <c r="W336" i="1"/>
  <c r="X336" i="1"/>
  <c r="AB336" i="1" s="1"/>
  <c r="Y336" i="1"/>
  <c r="Z336" i="1" s="1"/>
  <c r="X325" i="1"/>
  <c r="AB325" i="1" s="1"/>
  <c r="W325" i="1"/>
  <c r="Y325" i="1"/>
  <c r="Z325" i="1" s="1"/>
  <c r="AC314" i="1"/>
  <c r="AA314" i="1"/>
  <c r="AD314" i="1"/>
  <c r="AD303" i="1"/>
  <c r="AA303" i="1"/>
  <c r="W427" i="1"/>
  <c r="X427" i="1"/>
  <c r="AB427" i="1" s="1"/>
  <c r="Y427" i="1"/>
  <c r="Z427" i="1" s="1"/>
  <c r="W425" i="1"/>
  <c r="X425" i="1"/>
  <c r="AB425" i="1" s="1"/>
  <c r="Y425" i="1"/>
  <c r="Z425" i="1" s="1"/>
  <c r="Z415" i="1"/>
  <c r="AB415" i="1"/>
  <c r="AD415" i="1"/>
  <c r="AA406" i="1"/>
  <c r="AD392" i="1"/>
  <c r="AA390" i="1"/>
  <c r="AC390" i="1"/>
  <c r="AD390" i="1"/>
  <c r="Z388" i="1"/>
  <c r="AD376" i="1"/>
  <c r="AA367" i="1"/>
  <c r="AC367" i="1"/>
  <c r="AA359" i="1"/>
  <c r="AD349" i="1"/>
  <c r="Z314" i="1"/>
  <c r="AA431" i="1"/>
  <c r="Y421" i="1"/>
  <c r="W421" i="1"/>
  <c r="X421" i="1"/>
  <c r="AB421" i="1" s="1"/>
  <c r="AD394" i="1"/>
  <c r="AC394" i="1"/>
  <c r="AC376" i="1"/>
  <c r="AC349" i="1"/>
  <c r="Z331" i="1"/>
  <c r="AB331" i="1"/>
  <c r="AD331" i="1"/>
  <c r="AD448" i="1"/>
  <c r="Z373" i="1"/>
  <c r="AC373" i="1" s="1"/>
  <c r="AD373" i="1"/>
  <c r="X371" i="1"/>
  <c r="AB371" i="1" s="1"/>
  <c r="W371" i="1"/>
  <c r="Y371" i="1"/>
  <c r="AA318" i="1"/>
  <c r="AD318" i="1"/>
  <c r="AD437" i="1"/>
  <c r="Z437" i="1"/>
  <c r="AC437" i="1" s="1"/>
  <c r="X405" i="1"/>
  <c r="AB405" i="1" s="1"/>
  <c r="W405" i="1"/>
  <c r="Y405" i="1"/>
  <c r="Z405" i="1" s="1"/>
  <c r="X378" i="1"/>
  <c r="AB378" i="1" s="1"/>
  <c r="Y378" i="1"/>
  <c r="Z378" i="1" s="1"/>
  <c r="AD320" i="1"/>
  <c r="X458" i="1"/>
  <c r="AB458" i="1" s="1"/>
  <c r="W458" i="1"/>
  <c r="Y458" i="1"/>
  <c r="Z458" i="1" s="1"/>
  <c r="Z454" i="1"/>
  <c r="AD446" i="1"/>
  <c r="Z446" i="1"/>
  <c r="AC446" i="1" s="1"/>
  <c r="AA446" i="1"/>
  <c r="X444" i="1"/>
  <c r="AB444" i="1" s="1"/>
  <c r="W444" i="1"/>
  <c r="Y444" i="1"/>
  <c r="Z444" i="1" s="1"/>
  <c r="X386" i="1"/>
  <c r="AB386" i="1" s="1"/>
  <c r="Y386" i="1"/>
  <c r="Z386" i="1" s="1"/>
  <c r="AA366" i="1"/>
  <c r="AC366" i="1"/>
  <c r="AD366" i="1"/>
  <c r="Z362" i="1"/>
  <c r="AC362" i="1"/>
  <c r="AD362" i="1"/>
  <c r="W454" i="1"/>
  <c r="X454" i="1"/>
  <c r="AB454" i="1" s="1"/>
  <c r="AC450" i="1"/>
  <c r="AC442" i="1"/>
  <c r="X440" i="1"/>
  <c r="AB440" i="1" s="1"/>
  <c r="Y440" i="1"/>
  <c r="Z440" i="1" s="1"/>
  <c r="Z438" i="1"/>
  <c r="AD451" i="1"/>
  <c r="AA364" i="1"/>
  <c r="AC364" i="1"/>
  <c r="W358" i="1"/>
  <c r="X358" i="1"/>
  <c r="AB358" i="1" s="1"/>
  <c r="Y358" i="1"/>
  <c r="Z358" i="1" s="1"/>
  <c r="AA328" i="1"/>
  <c r="Z328" i="1"/>
  <c r="AC328" i="1"/>
  <c r="AD328" i="1"/>
  <c r="AB326" i="1"/>
  <c r="Z326" i="1"/>
  <c r="AA326" i="1"/>
  <c r="AC451" i="1"/>
  <c r="AD443" i="1"/>
  <c r="W436" i="1"/>
  <c r="X436" i="1"/>
  <c r="AB436" i="1" s="1"/>
  <c r="Y436" i="1"/>
  <c r="AD432" i="1"/>
  <c r="AD430" i="1"/>
  <c r="AA430" i="1"/>
  <c r="AC430" i="1"/>
  <c r="AA387" i="1"/>
  <c r="AD385" i="1"/>
  <c r="Z372" i="1"/>
  <c r="AC372" i="1" s="1"/>
  <c r="Z350" i="1"/>
  <c r="AC350" i="1" s="1"/>
  <c r="AA350" i="1"/>
  <c r="AD350" i="1"/>
  <c r="AC337" i="1"/>
  <c r="AD337" i="1"/>
  <c r="AD322" i="1"/>
  <c r="AA322" i="1"/>
  <c r="AC322" i="1"/>
  <c r="W457" i="1"/>
  <c r="X457" i="1"/>
  <c r="AB457" i="1" s="1"/>
  <c r="AD453" i="1"/>
  <c r="AC433" i="1"/>
  <c r="AD418" i="1"/>
  <c r="W393" i="1"/>
  <c r="Y393" i="1"/>
  <c r="W381" i="1"/>
  <c r="Y381" i="1"/>
  <c r="Z381" i="1" s="1"/>
  <c r="Z364" i="1"/>
  <c r="AA346" i="1"/>
  <c r="W341" i="1"/>
  <c r="Y341" i="1"/>
  <c r="Z341" i="1" s="1"/>
  <c r="AD455" i="1"/>
  <c r="AD435" i="1"/>
  <c r="Z431" i="1"/>
  <c r="AC431" i="1" s="1"/>
  <c r="Z428" i="1"/>
  <c r="AC428" i="1" s="1"/>
  <c r="AD426" i="1"/>
  <c r="AC424" i="1"/>
  <c r="AD410" i="1"/>
  <c r="AD408" i="1"/>
  <c r="AA408" i="1"/>
  <c r="AC408" i="1" s="1"/>
  <c r="Y406" i="1"/>
  <c r="AC375" i="1"/>
  <c r="Z361" i="1"/>
  <c r="AC361" i="1" s="1"/>
  <c r="AC352" i="1"/>
  <c r="AD352" i="1"/>
  <c r="W329" i="1"/>
  <c r="Y329" i="1"/>
  <c r="Z323" i="1"/>
  <c r="Z318" i="1"/>
  <c r="AC318" i="1" s="1"/>
  <c r="AD316" i="1"/>
  <c r="AD312" i="1"/>
  <c r="AD307" i="1"/>
  <c r="AC459" i="1"/>
  <c r="Y434" i="1"/>
  <c r="W434" i="1"/>
  <c r="AC429" i="1"/>
  <c r="W413" i="1"/>
  <c r="Y413" i="1"/>
  <c r="X413" i="1"/>
  <c r="AB413" i="1" s="1"/>
  <c r="AD411" i="1"/>
  <c r="AC397" i="1"/>
  <c r="Y394" i="1"/>
  <c r="Z394" i="1" s="1"/>
  <c r="AD380" i="1"/>
  <c r="AB368" i="1"/>
  <c r="AC368" i="1" s="1"/>
  <c r="Z367" i="1"/>
  <c r="Y356" i="1"/>
  <c r="X356" i="1"/>
  <c r="AB356" i="1" s="1"/>
  <c r="AD354" i="1"/>
  <c r="W344" i="1"/>
  <c r="Y344" i="1"/>
  <c r="Z344" i="1" s="1"/>
  <c r="AD340" i="1"/>
  <c r="AD326" i="1"/>
  <c r="AC323" i="1"/>
  <c r="Y321" i="1"/>
  <c r="Z321" i="1" s="1"/>
  <c r="X315" i="1"/>
  <c r="AD313" i="1"/>
  <c r="AD308" i="1"/>
  <c r="Z307" i="1"/>
  <c r="AC307" i="1" s="1"/>
  <c r="AD304" i="1"/>
  <c r="AC304" i="1"/>
  <c r="Y441" i="1"/>
  <c r="W441" i="1"/>
  <c r="Z435" i="1"/>
  <c r="AC435" i="1" s="1"/>
  <c r="X419" i="1"/>
  <c r="AB419" i="1" s="1"/>
  <c r="W419" i="1"/>
  <c r="AD414" i="1"/>
  <c r="AC411" i="1"/>
  <c r="Y409" i="1"/>
  <c r="Y403" i="1"/>
  <c r="W403" i="1"/>
  <c r="Y391" i="1"/>
  <c r="X391" i="1"/>
  <c r="X385" i="1"/>
  <c r="AB385" i="1" s="1"/>
  <c r="AD382" i="1"/>
  <c r="AC382" i="1"/>
  <c r="AC379" i="1"/>
  <c r="W370" i="1"/>
  <c r="Y370" i="1"/>
  <c r="Z370" i="1" s="1"/>
  <c r="Y359" i="1"/>
  <c r="Y353" i="1"/>
  <c r="Z353" i="1" s="1"/>
  <c r="X347" i="1"/>
  <c r="AB347" i="1" s="1"/>
  <c r="Y347" i="1"/>
  <c r="W347" i="1"/>
  <c r="AC340" i="1"/>
  <c r="W321" i="1"/>
  <c r="AA313" i="1"/>
  <c r="AA310" i="1"/>
  <c r="AC310" i="1"/>
  <c r="AD302" i="1"/>
  <c r="AA302" i="1"/>
  <c r="AC302" i="1" s="1"/>
  <c r="AA448" i="1"/>
  <c r="AC448" i="1" s="1"/>
  <c r="AD433" i="1"/>
  <c r="AD368" i="1"/>
  <c r="X452" i="1"/>
  <c r="AB452" i="1" s="1"/>
  <c r="Y452" i="1"/>
  <c r="W452" i="1"/>
  <c r="AD450" i="1"/>
  <c r="AC445" i="1"/>
  <c r="AA432" i="1"/>
  <c r="AC432" i="1" s="1"/>
  <c r="AD402" i="1"/>
  <c r="W401" i="1"/>
  <c r="X401" i="1"/>
  <c r="AB401" i="1" s="1"/>
  <c r="AD399" i="1"/>
  <c r="AC396" i="1"/>
  <c r="AA392" i="1"/>
  <c r="AC392" i="1"/>
  <c r="W389" i="1"/>
  <c r="X389" i="1"/>
  <c r="AB389" i="1" s="1"/>
  <c r="AC365" i="1"/>
  <c r="AD365" i="1"/>
  <c r="AD346" i="1"/>
  <c r="X342" i="1"/>
  <c r="AA342" i="1" s="1"/>
  <c r="Y342" i="1"/>
  <c r="Z342" i="1" s="1"/>
  <c r="X333" i="1"/>
  <c r="AB333" i="1" s="1"/>
  <c r="W333" i="1"/>
  <c r="AD327" i="1"/>
  <c r="AC308" i="1"/>
  <c r="AD459" i="1"/>
  <c r="AC453" i="1"/>
  <c r="Z442" i="1"/>
  <c r="AA433" i="1"/>
  <c r="AD424" i="1"/>
  <c r="X423" i="1"/>
  <c r="AB423" i="1" s="1"/>
  <c r="Y423" i="1"/>
  <c r="Z423" i="1" s="1"/>
  <c r="AA418" i="1"/>
  <c r="AC418" i="1" s="1"/>
  <c r="W407" i="1"/>
  <c r="Y407" i="1"/>
  <c r="Z407" i="1" s="1"/>
  <c r="AC402" i="1"/>
  <c r="AD398" i="1"/>
  <c r="AC398" i="1"/>
  <c r="AB396" i="1"/>
  <c r="AD375" i="1"/>
  <c r="AD374" i="1"/>
  <c r="AC346" i="1"/>
  <c r="AA345" i="1"/>
  <c r="AC345" i="1"/>
  <c r="X330" i="1"/>
  <c r="Y330" i="1"/>
  <c r="Z330" i="1" s="1"/>
  <c r="AA453" i="1"/>
  <c r="Z430" i="1"/>
  <c r="AD420" i="1"/>
  <c r="AA417" i="1"/>
  <c r="AC417" i="1" s="1"/>
  <c r="AC384" i="1"/>
  <c r="Z374" i="1"/>
  <c r="AC374" i="1" s="1"/>
  <c r="X363" i="1"/>
  <c r="AB363" i="1" s="1"/>
  <c r="W363" i="1"/>
  <c r="AA360" i="1"/>
  <c r="AC360" i="1"/>
  <c r="AA357" i="1"/>
  <c r="AC357" i="1" s="1"/>
  <c r="AD357" i="1"/>
  <c r="AC312" i="1"/>
  <c r="AC311" i="1"/>
  <c r="AD311" i="1"/>
  <c r="AC343" i="1"/>
  <c r="AD338" i="1"/>
  <c r="AA331" i="1"/>
  <c r="AC331" i="1" s="1"/>
  <c r="AA320" i="1"/>
  <c r="AC320" i="1" s="1"/>
  <c r="AC316" i="1"/>
  <c r="X309" i="1"/>
  <c r="AB309" i="1" s="1"/>
  <c r="W305" i="1"/>
  <c r="Y305" i="1"/>
  <c r="Z305" i="1" s="1"/>
  <c r="AA300" i="1"/>
  <c r="AC300" i="1" s="1"/>
  <c r="AD300" i="1"/>
  <c r="AC456" i="1"/>
  <c r="AC426" i="1"/>
  <c r="AA422" i="1"/>
  <c r="AC422" i="1" s="1"/>
  <c r="AD384" i="1"/>
  <c r="Z380" i="1"/>
  <c r="AC380" i="1" s="1"/>
  <c r="W377" i="1"/>
  <c r="Y377" i="1"/>
  <c r="Y335" i="1"/>
  <c r="Z332" i="1"/>
  <c r="Z320" i="1"/>
  <c r="Y313" i="1"/>
  <c r="Z313" i="1" s="1"/>
  <c r="W309" i="1"/>
  <c r="Z303" i="1"/>
  <c r="AC303" i="1" s="1"/>
  <c r="AA297" i="1"/>
  <c r="AD297" i="1"/>
  <c r="AA439" i="1"/>
  <c r="AC439" i="1" s="1"/>
  <c r="AC415" i="1"/>
  <c r="AD396" i="1"/>
  <c r="X366" i="1"/>
  <c r="AB366" i="1" s="1"/>
  <c r="Y366" i="1"/>
  <c r="Z366" i="1" s="1"/>
  <c r="AD351" i="1"/>
  <c r="AA351" i="1"/>
  <c r="AC351" i="1" s="1"/>
  <c r="AC332" i="1"/>
  <c r="W317" i="1"/>
  <c r="Z317" i="1" s="1"/>
  <c r="X317" i="1"/>
  <c r="AB317" i="1" s="1"/>
  <c r="AC313" i="1"/>
  <c r="AD360" i="1"/>
  <c r="Y355" i="1"/>
  <c r="X355" i="1"/>
  <c r="AD324" i="1"/>
  <c r="Y319" i="1"/>
  <c r="X319" i="1"/>
  <c r="AD319" i="1" s="1"/>
  <c r="Y297" i="1"/>
  <c r="Y298" i="1"/>
  <c r="Z298" i="1" s="1"/>
  <c r="X297" i="1"/>
  <c r="AB297" i="1" s="1"/>
  <c r="X73" i="1"/>
  <c r="W89" i="1"/>
  <c r="W85" i="1"/>
  <c r="W73" i="1"/>
  <c r="X69" i="1"/>
  <c r="X93" i="1"/>
  <c r="W200" i="1"/>
  <c r="X196" i="1"/>
  <c r="W182" i="1"/>
  <c r="X178" i="1"/>
  <c r="W164" i="1"/>
  <c r="X160" i="1"/>
  <c r="W146" i="1"/>
  <c r="X142" i="1"/>
  <c r="W128" i="1"/>
  <c r="X124" i="1"/>
  <c r="W110" i="1"/>
  <c r="X106" i="1"/>
  <c r="W92" i="1"/>
  <c r="X88" i="1"/>
  <c r="X76" i="1"/>
  <c r="W88" i="1"/>
  <c r="W76" i="1"/>
  <c r="W93" i="1"/>
  <c r="X80" i="1"/>
  <c r="W78" i="1"/>
  <c r="X79" i="1"/>
  <c r="W296" i="1"/>
  <c r="X292" i="1"/>
  <c r="W278" i="1"/>
  <c r="X274" i="1"/>
  <c r="W260" i="1"/>
  <c r="X256" i="1"/>
  <c r="W242" i="1"/>
  <c r="X238" i="1"/>
  <c r="W224" i="1"/>
  <c r="X220" i="1"/>
  <c r="X213" i="1"/>
  <c r="W206" i="1"/>
  <c r="X202" i="1"/>
  <c r="X195" i="1"/>
  <c r="W188" i="1"/>
  <c r="X184" i="1"/>
  <c r="X177" i="1"/>
  <c r="W170" i="1"/>
  <c r="X166" i="1"/>
  <c r="X159" i="1"/>
  <c r="W152" i="1"/>
  <c r="X148" i="1"/>
  <c r="X141" i="1"/>
  <c r="W134" i="1"/>
  <c r="X130" i="1"/>
  <c r="W116" i="1"/>
  <c r="X112" i="1"/>
  <c r="W98" i="1"/>
  <c r="X94" i="1"/>
  <c r="W79" i="1"/>
  <c r="X67" i="1"/>
  <c r="X77" i="1"/>
  <c r="W292" i="1"/>
  <c r="W220" i="1"/>
  <c r="W202" i="1"/>
  <c r="W184" i="1"/>
  <c r="W166" i="1"/>
  <c r="W148" i="1"/>
  <c r="X83" i="1"/>
  <c r="X71" i="1"/>
  <c r="X74" i="1"/>
  <c r="X295" i="1"/>
  <c r="X288" i="1"/>
  <c r="X277" i="1"/>
  <c r="X270" i="1"/>
  <c r="X259" i="1"/>
  <c r="X241" i="1"/>
  <c r="X234" i="1"/>
  <c r="X205" i="1"/>
  <c r="X151" i="1"/>
  <c r="X144" i="1"/>
  <c r="X126" i="1"/>
  <c r="X115" i="1"/>
  <c r="X108" i="1"/>
  <c r="X97" i="1"/>
  <c r="X90" i="1"/>
  <c r="X82" i="1"/>
  <c r="X70" i="1"/>
  <c r="X86" i="1"/>
  <c r="X252" i="1"/>
  <c r="X223" i="1"/>
  <c r="X216" i="1"/>
  <c r="X198" i="1"/>
  <c r="X187" i="1"/>
  <c r="X180" i="1"/>
  <c r="X169" i="1"/>
  <c r="X162" i="1"/>
  <c r="X133" i="1"/>
  <c r="W295" i="1"/>
  <c r="W277" i="1"/>
  <c r="W259" i="1"/>
  <c r="W241" i="1"/>
  <c r="W223" i="1"/>
  <c r="W205" i="1"/>
  <c r="W187" i="1"/>
  <c r="W169" i="1"/>
  <c r="W151" i="1"/>
  <c r="W133" i="1"/>
  <c r="W115" i="1"/>
  <c r="W97" i="1"/>
  <c r="W86" i="1"/>
  <c r="W82" i="1"/>
  <c r="W74" i="1"/>
  <c r="W70" i="1"/>
  <c r="X66" i="1"/>
  <c r="X65" i="1"/>
  <c r="X64" i="1"/>
  <c r="X61" i="1"/>
  <c r="X49" i="1"/>
  <c r="X24" i="1"/>
  <c r="X21" i="1"/>
  <c r="X18" i="1"/>
  <c r="X15" i="1"/>
  <c r="X12" i="1"/>
  <c r="X9" i="1"/>
  <c r="X5" i="1"/>
  <c r="X35" i="1"/>
  <c r="X39" i="1"/>
  <c r="X36" i="1"/>
  <c r="X33" i="1"/>
  <c r="X30" i="1"/>
  <c r="X27" i="1"/>
  <c r="X63" i="1"/>
  <c r="X60" i="1"/>
  <c r="X57" i="1"/>
  <c r="X54" i="1"/>
  <c r="X51" i="1"/>
  <c r="X48" i="1"/>
  <c r="X45" i="1"/>
  <c r="X42" i="1"/>
  <c r="X47" i="1"/>
  <c r="X6" i="1"/>
  <c r="X4" i="1"/>
  <c r="W3" i="1"/>
  <c r="AA355" i="1" l="1"/>
  <c r="AB355" i="1"/>
  <c r="AC355" i="1"/>
  <c r="AD355" i="1"/>
  <c r="AD330" i="1"/>
  <c r="AA407" i="1"/>
  <c r="AC407" i="1" s="1"/>
  <c r="AD407" i="1"/>
  <c r="AD416" i="1"/>
  <c r="AA416" i="1"/>
  <c r="AC416" i="1" s="1"/>
  <c r="Z452" i="1"/>
  <c r="AA405" i="1"/>
  <c r="AC405" i="1"/>
  <c r="AD405" i="1"/>
  <c r="AD370" i="1"/>
  <c r="AA370" i="1"/>
  <c r="AC370" i="1" s="1"/>
  <c r="AD348" i="1"/>
  <c r="AA348" i="1"/>
  <c r="Z348" i="1"/>
  <c r="AC348" i="1" s="1"/>
  <c r="AD457" i="1"/>
  <c r="AA457" i="1"/>
  <c r="AA383" i="1"/>
  <c r="AC383" i="1" s="1"/>
  <c r="AD383" i="1"/>
  <c r="AA309" i="1"/>
  <c r="AD309" i="1"/>
  <c r="Z309" i="1"/>
  <c r="AC309" i="1" s="1"/>
  <c r="AD441" i="1"/>
  <c r="AA441" i="1"/>
  <c r="AC441" i="1"/>
  <c r="Z383" i="1"/>
  <c r="AD423" i="1"/>
  <c r="AB391" i="1"/>
  <c r="AC391" i="1"/>
  <c r="AA391" i="1"/>
  <c r="AD391" i="1"/>
  <c r="AA356" i="1"/>
  <c r="AA385" i="1"/>
  <c r="AA301" i="1"/>
  <c r="AC301" i="1"/>
  <c r="AD301" i="1"/>
  <c r="AD386" i="1"/>
  <c r="AD377" i="1"/>
  <c r="AA377" i="1"/>
  <c r="Z409" i="1"/>
  <c r="AD409" i="1"/>
  <c r="AA329" i="1"/>
  <c r="AD329" i="1"/>
  <c r="AA393" i="1"/>
  <c r="AD393" i="1"/>
  <c r="AC371" i="1"/>
  <c r="AD371" i="1"/>
  <c r="AA371" i="1"/>
  <c r="Z355" i="1"/>
  <c r="AA330" i="1"/>
  <c r="AB330" i="1"/>
  <c r="AC330" i="1" s="1"/>
  <c r="AA333" i="1"/>
  <c r="AC333" i="1"/>
  <c r="AD333" i="1"/>
  <c r="Z333" i="1"/>
  <c r="AD452" i="1"/>
  <c r="AA452" i="1"/>
  <c r="AC452" i="1"/>
  <c r="Z359" i="1"/>
  <c r="AC359" i="1" s="1"/>
  <c r="AD359" i="1"/>
  <c r="Z356" i="1"/>
  <c r="AD434" i="1"/>
  <c r="AA434" i="1"/>
  <c r="AC434" i="1"/>
  <c r="AA436" i="1"/>
  <c r="AC436" i="1" s="1"/>
  <c r="AD436" i="1"/>
  <c r="Z434" i="1"/>
  <c r="AA325" i="1"/>
  <c r="AC325" i="1"/>
  <c r="AD325" i="1"/>
  <c r="Z416" i="1"/>
  <c r="AD363" i="1"/>
  <c r="AA363" i="1"/>
  <c r="AD401" i="1"/>
  <c r="AA401" i="1"/>
  <c r="AC401" i="1" s="1"/>
  <c r="Z401" i="1"/>
  <c r="AA419" i="1"/>
  <c r="AD419" i="1"/>
  <c r="AB315" i="1"/>
  <c r="AC353" i="1"/>
  <c r="AA425" i="1"/>
  <c r="AC425" i="1"/>
  <c r="AD425" i="1"/>
  <c r="AB342" i="1"/>
  <c r="AC342" i="1" s="1"/>
  <c r="AD342" i="1"/>
  <c r="Z315" i="1"/>
  <c r="AC315" i="1" s="1"/>
  <c r="AD358" i="1"/>
  <c r="AA358" i="1"/>
  <c r="AC358" i="1"/>
  <c r="AA458" i="1"/>
  <c r="AC458" i="1" s="1"/>
  <c r="AD458" i="1"/>
  <c r="AD421" i="1"/>
  <c r="AA421" i="1"/>
  <c r="AA395" i="1"/>
  <c r="AC395" i="1" s="1"/>
  <c r="AD395" i="1"/>
  <c r="AA317" i="1"/>
  <c r="AC317" i="1"/>
  <c r="AD317" i="1"/>
  <c r="Z363" i="1"/>
  <c r="AC363" i="1" s="1"/>
  <c r="AD353" i="1"/>
  <c r="AA454" i="1"/>
  <c r="AD454" i="1"/>
  <c r="AC454" i="1"/>
  <c r="AD440" i="1"/>
  <c r="Z421" i="1"/>
  <c r="AC421" i="1" s="1"/>
  <c r="AA423" i="1"/>
  <c r="AC423" i="1" s="1"/>
  <c r="Z406" i="1"/>
  <c r="AC406" i="1"/>
  <c r="AD341" i="1"/>
  <c r="AA341" i="1"/>
  <c r="AC341" i="1" s="1"/>
  <c r="AA315" i="1"/>
  <c r="AC326" i="1"/>
  <c r="AD356" i="1"/>
  <c r="AA440" i="1"/>
  <c r="AA427" i="1"/>
  <c r="AC427" i="1"/>
  <c r="AD427" i="1"/>
  <c r="AD336" i="1"/>
  <c r="AA336" i="1"/>
  <c r="AC336" i="1"/>
  <c r="AB449" i="1"/>
  <c r="AD449" i="1"/>
  <c r="AA321" i="1"/>
  <c r="AC321" i="1"/>
  <c r="AD321" i="1"/>
  <c r="Z441" i="1"/>
  <c r="AD315" i="1"/>
  <c r="AC356" i="1"/>
  <c r="AC440" i="1"/>
  <c r="Z449" i="1"/>
  <c r="AD447" i="1"/>
  <c r="AA447" i="1"/>
  <c r="AC447" i="1"/>
  <c r="Z457" i="1"/>
  <c r="AC457" i="1" s="1"/>
  <c r="Z297" i="1"/>
  <c r="AC297" i="1" s="1"/>
  <c r="Z385" i="1"/>
  <c r="AC385" i="1" s="1"/>
  <c r="AD298" i="1"/>
  <c r="AC409" i="1"/>
  <c r="AA449" i="1"/>
  <c r="AC449" i="1" s="1"/>
  <c r="AA319" i="1"/>
  <c r="AB319" i="1"/>
  <c r="AA389" i="1"/>
  <c r="AD389" i="1"/>
  <c r="Z389" i="1"/>
  <c r="AC389" i="1" s="1"/>
  <c r="AC347" i="1"/>
  <c r="AA347" i="1"/>
  <c r="AD347" i="1"/>
  <c r="Z391" i="1"/>
  <c r="AC298" i="1"/>
  <c r="Z413" i="1"/>
  <c r="AC413" i="1" s="1"/>
  <c r="AD444" i="1"/>
  <c r="AC444" i="1"/>
  <c r="AA444" i="1"/>
  <c r="AD406" i="1"/>
  <c r="AD378" i="1"/>
  <c r="Z319" i="1"/>
  <c r="AC319" i="1" s="1"/>
  <c r="Z335" i="1"/>
  <c r="AC335" i="1" s="1"/>
  <c r="AD335" i="1"/>
  <c r="AA305" i="1"/>
  <c r="AC305" i="1"/>
  <c r="AD305" i="1"/>
  <c r="Z347" i="1"/>
  <c r="AC403" i="1"/>
  <c r="AA403" i="1"/>
  <c r="AD403" i="1"/>
  <c r="AA344" i="1"/>
  <c r="AC344" i="1" s="1"/>
  <c r="AD344" i="1"/>
  <c r="AD413" i="1"/>
  <c r="AA413" i="1"/>
  <c r="AA381" i="1"/>
  <c r="AC381" i="1"/>
  <c r="AD381" i="1"/>
  <c r="Z377" i="1"/>
  <c r="AC377" i="1" s="1"/>
  <c r="Z403" i="1"/>
  <c r="Z419" i="1"/>
  <c r="AC419" i="1" s="1"/>
  <c r="Z329" i="1"/>
  <c r="AC329" i="1" s="1"/>
  <c r="Z393" i="1"/>
  <c r="AC393" i="1" s="1"/>
  <c r="Z436" i="1"/>
  <c r="AA386" i="1"/>
  <c r="AC386" i="1" s="1"/>
  <c r="Z371" i="1"/>
  <c r="Z301" i="1"/>
  <c r="AA378" i="1"/>
  <c r="AC37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tc={E511AC9D-5D3F-4E35-8831-C7E0CCF359CC}</author>
    <author>tc={36642B4E-6B9C-4B1A-8E65-9C12F2A8B271}</author>
    <author>tc={AC6B322F-FC49-4D0F-B663-23F689CA77F7}</author>
    <author>tc={D1DFAD58-7AAF-4151-9DB8-1E96443D4F82}</author>
    <author>tc={AD3DDB5F-F6B5-492D-AD40-26D44A41DF95}</author>
    <author>tc={042EDE47-83A9-4470-A321-27DD3E853C71}</author>
    <author>tc={B719D6F3-6F8C-489E-8746-9F8B8ADE15D7}</author>
    <author>tc={19CF7533-8DDA-4B32-81C0-F19070EE7B93}</author>
    <author>tc={90B6557A-B11A-4B07-BA11-E0DA55030D52}</author>
    <author>tc={AE76F81B-332A-4145-9F04-0EC2C323A61F}</author>
  </authors>
  <commentList>
    <comment ref="H2" authorId="0" shapeId="0" xr:uid="{E511AC9D-5D3F-4E35-8831-C7E0CCF359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height is the mean height, in metres, of the 100 trees of largest dbh per hectare. </t>
      </text>
    </comment>
    <comment ref="I2" authorId="1" shapeId="0" xr:uid="{36642B4E-6B9C-4B1A-8E65-9C12F2A8B2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 of measurable trees per hectare, i.e. only those with a dbh of at least 7 cm overbark. 
</t>
      </text>
    </comment>
    <comment ref="J2" authorId="2" shapeId="0" xr:uid="{AC6B322F-FC49-4D0F-B663-23F689CA77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Quadratic mean dbh (diameter at breast height), in centimetres, of the measurable trees. </t>
      </text>
    </comment>
    <comment ref="M2" authorId="3" shapeId="0" xr:uid="{D1DFAD58-7AAF-4151-9DB8-1E96443D4F82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Volume per hectare is the sum of stem volumes, in cubic metres, for individual measurable trees to a top diameter of 7 cm overbark, expressed on a per-hectare basis</t>
      </text>
    </comment>
    <comment ref="R2" authorId="4" shapeId="0" xr:uid="{AD3DDB5F-F6B5-492D-AD40-26D44A41DF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Overbark
</t>
      </text>
    </comment>
    <comment ref="S2" authorId="5" shapeId="0" xr:uid="{042EDE47-83A9-4470-A321-27DD3E853C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Overbark
</t>
      </text>
    </comment>
    <comment ref="W2" authorId="6" shapeId="0" xr:uid="{B719D6F3-6F8C-489E-8746-9F8B8ADE15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10% loss and conversion from overbark to underbark</t>
      </text>
    </comment>
    <comment ref="X2" authorId="7" shapeId="0" xr:uid="{19CF7533-8DDA-4B32-81C0-F19070EE7B9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10% loss and conversion from overbark to underbark</t>
      </text>
    </comment>
    <comment ref="Z2" authorId="8" shapeId="0" xr:uid="{90B6557A-B11A-4B07-BA11-E0DA55030D52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paper and fuel in short-lived category</t>
      </text>
    </comment>
    <comment ref="AA2" authorId="9" shapeId="0" xr:uid="{AE76F81B-332A-4145-9F04-0EC2C323A6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Assume panel board and fencing in medium-lived category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tc={8421388F-F08F-4D23-A9AA-345770C35DD2}</author>
    <author>tc={51E10244-B97C-4357-B080-72F1837E58B3}</author>
  </authors>
  <commentList>
    <comment ref="J1" authorId="0" shapeId="0" xr:uid="{8421388F-F08F-4D23-A9AA-345770C35D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Assumes it was previously cropland/moorland
</t>
      </text>
    </comment>
    <comment ref="N1" authorId="1" shapeId="0" xr:uid="{51E10244-B97C-4357-B080-72F1837E58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2017 - Conversion factors - Forest Research </t>
      </text>
    </comment>
  </commentList>
</comments>
</file>

<file path=xl/sharedStrings.xml><?xml version="1.0" encoding="utf-8"?>
<sst xmlns="http://schemas.openxmlformats.org/spreadsheetml/2006/main" count="6119" uniqueCount="52">
  <si>
    <t>Stand details</t>
  </si>
  <si>
    <t>Yield tables</t>
  </si>
  <si>
    <t>Products</t>
  </si>
  <si>
    <t>Tree Spp</t>
  </si>
  <si>
    <t>YC</t>
  </si>
  <si>
    <t>Spacing</t>
  </si>
  <si>
    <t>Thinning treatment</t>
  </si>
  <si>
    <t>Spacing (m)</t>
  </si>
  <si>
    <t>Stand area (ha)</t>
  </si>
  <si>
    <t>Age</t>
  </si>
  <si>
    <t>Top ht m</t>
  </si>
  <si>
    <t>Trees /ha</t>
  </si>
  <si>
    <t>Mean dbh cm</t>
  </si>
  <si>
    <t>BA m²/ha</t>
  </si>
  <si>
    <t>Mean vol m³</t>
  </si>
  <si>
    <t>Vol m³/ha</t>
  </si>
  <si>
    <t>Percent mortality</t>
  </si>
  <si>
    <t>MAI vol m³/ha /yr</t>
  </si>
  <si>
    <t>(age)</t>
  </si>
  <si>
    <t>(mean dbh)</t>
  </si>
  <si>
    <t xml:space="preserve">Small RW Main crop volume (m3/ha) </t>
  </si>
  <si>
    <t>Sawlog Main crop volume (m3/ha)</t>
  </si>
  <si>
    <t>Check</t>
  </si>
  <si>
    <t>check</t>
  </si>
  <si>
    <t>Over to underbark conversion (%)</t>
  </si>
  <si>
    <t>Extracted Small RW (m3/ha)</t>
  </si>
  <si>
    <t>Extracted Sawlogs (m3/ha)</t>
  </si>
  <si>
    <t>Bark (m3/ha)</t>
  </si>
  <si>
    <t>Volume short-lived products (m3/ha)</t>
  </si>
  <si>
    <t>Volume medium-lived products (m3/ha)</t>
  </si>
  <si>
    <t>Volume long-lived products (m3/ha)</t>
  </si>
  <si>
    <t>Scots pine</t>
  </si>
  <si>
    <t>No thinning</t>
  </si>
  <si>
    <t>Sitka spruce</t>
  </si>
  <si>
    <t>Mean dbh</t>
  </si>
  <si>
    <t>%_Sitka</t>
  </si>
  <si>
    <t>%_Scots</t>
  </si>
  <si>
    <t>For mean dbh &lt; 10 cm apply 10 cm values</t>
  </si>
  <si>
    <t>For mean dbh &gt; 50 cm apply 50 cm values</t>
  </si>
  <si>
    <t>tree_species</t>
  </si>
  <si>
    <t>yield_class</t>
  </si>
  <si>
    <t>management</t>
  </si>
  <si>
    <t>year</t>
  </si>
  <si>
    <t>tree_carbon (t C/ha)</t>
  </si>
  <si>
    <t>deadwood_carbon (t C/ha)</t>
  </si>
  <si>
    <t>litter_carbon (t C/ha)</t>
  </si>
  <si>
    <t>Total tree carbon (t C/ha)</t>
  </si>
  <si>
    <t>Total tree biomass (green t/ha)</t>
  </si>
  <si>
    <t>Total tree biomass (m3/ha)</t>
  </si>
  <si>
    <t>sitka_spruce</t>
  </si>
  <si>
    <t>no_thinning_no_felling</t>
  </si>
  <si>
    <t>scots_pine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</si>
</sst>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sz val="8.25"/>
      <color indexed="8"/>
      <name val="Verdana"/>
      <family val="2"/>
    </font>
    <font>
      <sz val="12"/>
      <color theme="1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8.25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4" fillId="0" borderId="0"/>
  </cellStyleXfs>
  <cellXfs count="28">
    <xf numFmtId="0" fontId="0" fillId="0" borderId="0" xfId="0"/>
    <xf numFmtId="0" fontId="6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5" fillId="0" borderId="0" xfId="1" applyFont="1" applyAlignment="1">
      <alignment horizontal="right" vertical="top"/>
    </xf>
    <xf numFmtId="0" fontId="7" fillId="2" borderId="0" xfId="3" applyFont="1" applyFill="1" applyAlignment="1">
      <alignment horizontal="center" vertical="top" wrapText="1"/>
    </xf>
    <xf numFmtId="0" fontId="6" fillId="3" borderId="0" xfId="0" applyFont="1" applyFill="1" applyAlignment="1">
      <alignment vertical="top" wrapText="1"/>
    </xf>
    <xf numFmtId="0" fontId="2" fillId="2" borderId="0" xfId="0" applyFont="1" applyFill="1" applyAlignment="1">
      <alignment horizontal="center"/>
    </xf>
    <xf numFmtId="0" fontId="6" fillId="4" borderId="0" xfId="0" applyFont="1" applyFill="1" applyAlignment="1">
      <alignment vertical="top" wrapText="1"/>
    </xf>
    <xf numFmtId="0" fontId="5" fillId="0" borderId="0" xfId="3" applyFont="1" applyAlignment="1">
      <alignment horizontal="center" vertical="top" wrapText="1"/>
    </xf>
    <xf numFmtId="0" fontId="5" fillId="0" borderId="0" xfId="3" applyFont="1" applyAlignment="1">
      <alignment horizontal="right" vertical="top" wrapText="1"/>
    </xf>
    <xf numFmtId="0" fontId="5" fillId="0" borderId="0" xfId="3" applyFont="1" applyAlignment="1">
      <alignment horizontal="right" vertical="top"/>
    </xf>
    <xf numFmtId="0" fontId="8" fillId="0" borderId="0" xfId="3" applyFont="1" applyAlignment="1">
      <alignment horizontal="right" vertical="top" wrapText="1"/>
    </xf>
    <xf numFmtId="0" fontId="8" fillId="0" borderId="0" xfId="3" applyFont="1" applyAlignment="1">
      <alignment horizontal="center" vertical="top" wrapText="1"/>
    </xf>
    <xf numFmtId="0" fontId="8" fillId="0" borderId="0" xfId="3" applyFont="1" applyAlignment="1">
      <alignment horizontal="right" vertical="top"/>
    </xf>
    <xf numFmtId="9" fontId="8" fillId="0" borderId="0" xfId="1" applyFont="1" applyAlignment="1">
      <alignment horizontal="right" vertical="top"/>
    </xf>
    <xf numFmtId="0" fontId="8" fillId="0" borderId="0" xfId="2" applyFont="1" applyAlignment="1">
      <alignment horizontal="right" vertical="top" wrapText="1"/>
    </xf>
    <xf numFmtId="0" fontId="8" fillId="0" borderId="0" xfId="2" applyFont="1" applyAlignment="1">
      <alignment horizontal="center" vertical="top" wrapText="1"/>
    </xf>
    <xf numFmtId="0" fontId="8" fillId="0" borderId="0" xfId="2" applyFont="1" applyAlignment="1">
      <alignment horizontal="right" vertical="top"/>
    </xf>
    <xf numFmtId="11" fontId="0" fillId="0" borderId="0" xfId="0" applyNumberFormat="1"/>
    <xf numFmtId="0" fontId="2" fillId="0" borderId="0" xfId="0" applyFont="1"/>
    <xf numFmtId="0" fontId="9" fillId="2" borderId="0" xfId="3" applyFont="1" applyFill="1" applyAlignment="1">
      <alignment horizontal="center" vertical="top" wrapText="1"/>
    </xf>
    <xf numFmtId="0" fontId="10" fillId="0" borderId="0" xfId="3" applyFont="1" applyAlignment="1">
      <alignment horizontal="right" vertical="top" wrapText="1"/>
    </xf>
    <xf numFmtId="0" fontId="10" fillId="0" borderId="0" xfId="2" applyFont="1" applyAlignment="1">
      <alignment horizontal="right" vertical="top" wrapText="1"/>
    </xf>
    <xf numFmtId="0" fontId="11" fillId="0" borderId="0" xfId="3" applyFont="1" applyAlignment="1">
      <alignment horizontal="right" vertical="top"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4">
    <cellStyle name="Normal" xfId="0" builtinId="0"/>
    <cellStyle name="Normal 2" xfId="2" xr:uid="{C8B4C628-5426-4CB7-9407-EB0893B9141B}"/>
    <cellStyle name="Normal 3" xfId="3" xr:uid="{89011A8C-4292-4478-A095-29EA1557963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y Whittaker" id="{4F36CEEA-48E5-4462-8A07-F1B9A45A6418}" userId="S::carly.whittaker@ForestResearch.gov.uk::981bb72f-eb1e-462f-8660-ce8151eab89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5-12-10T16:59:49.70" personId="{4F36CEEA-48E5-4462-8A07-F1B9A45A6418}" id="{E511AC9D-5D3F-4E35-8831-C7E0CCF359CC}">
    <text xml:space="preserve">Top height is the mean height, in metres, of the 100 trees of largest dbh per hectare. </text>
  </threadedComment>
  <threadedComment ref="I2" dT="2025-12-10T17:00:02.52" personId="{4F36CEEA-48E5-4462-8A07-F1B9A45A6418}" id="{36642B4E-6B9C-4B1A-8E65-9C12F2A8B271}">
    <text xml:space="preserve">Number of measurable trees per hectare, i.e. only those with a dbh of at least 7 cm overbark. 
</text>
  </threadedComment>
  <threadedComment ref="J2" dT="2025-12-10T17:00:17.56" personId="{4F36CEEA-48E5-4462-8A07-F1B9A45A6418}" id="{AC6B322F-FC49-4D0F-B663-23F689CA77F7}">
    <text xml:space="preserve">Quadratic mean dbh (diameter at breast height), in centimetres, of the measurable trees. </text>
  </threadedComment>
  <threadedComment ref="M2" dT="2025-12-10T17:06:09.97" personId="{4F36CEEA-48E5-4462-8A07-F1B9A45A6418}" id="{D1DFAD58-7AAF-4151-9DB8-1E96443D4F82}">
    <text>Volume per hectare is the sum of stem volumes, in cubic metres, for individual measurable trees to a top diameter of 7 cm overbark, expressed on a per-hectare basis</text>
  </threadedComment>
  <threadedComment ref="R2" dT="2025-12-10T10:32:19.87" personId="{4F36CEEA-48E5-4462-8A07-F1B9A45A6418}" id="{AD3DDB5F-F6B5-492D-AD40-26D44A41DF95}">
    <text xml:space="preserve">Overbark
</text>
  </threadedComment>
  <threadedComment ref="S2" dT="2025-12-10T10:32:25.46" personId="{4F36CEEA-48E5-4462-8A07-F1B9A45A6418}" id="{042EDE47-83A9-4470-A321-27DD3E853C71}">
    <text xml:space="preserve">Overbark
</text>
  </threadedComment>
  <threadedComment ref="W2" dT="2025-12-10T10:32:13.00" personId="{4F36CEEA-48E5-4462-8A07-F1B9A45A6418}" id="{B719D6F3-6F8C-489E-8746-9F8B8ADE15D7}">
    <text>Includes 10% loss and conversion from overbark to underbark</text>
  </threadedComment>
  <threadedComment ref="X2" dT="2025-12-10T10:32:43.11" personId="{4F36CEEA-48E5-4462-8A07-F1B9A45A6418}" id="{19CF7533-8DDA-4B32-81C0-F19070EE7B93}">
    <text>Includes 10% loss and conversion from overbark to underbark</text>
  </threadedComment>
  <threadedComment ref="Z2" dT="2025-12-10T17:55:35.53" personId="{4F36CEEA-48E5-4462-8A07-F1B9A45A6418}" id="{90B6557A-B11A-4B07-BA11-E0DA55030D52}">
    <text>Assume paper and fuel in short-lived category</text>
  </threadedComment>
  <threadedComment ref="AA2" dT="2025-12-10T17:55:25.05" personId="{4F36CEEA-48E5-4462-8A07-F1B9A45A6418}" id="{AE76F81B-332A-4145-9F04-0EC2C323A61F}">
    <text xml:space="preserve">Assume panel board and fencing in medium-lived category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" dT="2025-12-15T09:10:31.61" personId="{4F36CEEA-48E5-4462-8A07-F1B9A45A6418}" id="{8421388F-F08F-4D23-A9AA-345770C35DD2}">
    <text xml:space="preserve">Assumes it was previously cropland/moorland
</text>
  </threadedComment>
  <threadedComment ref="N1" dT="2025-12-15T09:22:48.22" personId="{4F36CEEA-48E5-4462-8A07-F1B9A45A6418}" id="{51E10244-B97C-4357-B080-72F1837E58B3}">
    <text xml:space="preserve">2017 - Conversion factors - Forest Research </text>
    <extLst>
      <x:ext xmlns:xltc2="http://schemas.microsoft.com/office/spreadsheetml/2020/threadedcomments2" uri="{F7C98A9C-CBB3-438F-8F68-D28B6AF4A901}">
        <xltc2:checksum>1017524558</xltc2:checksum>
        <xltc2:hyperlink startIndex="0" length="43" url="https://www.forestresearch.gov.uk/tools-and-resources/statistics/publications/forestry-statistics/forestry-statistics-2017/sources-2/timber-4/conversion-factors-3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36E9-728F-4541-B40C-E3C525E8BA8E}">
  <dimension ref="A1:AD540"/>
  <sheetViews>
    <sheetView workbookViewId="0">
      <pane ySplit="2" topLeftCell="A429" activePane="bottomLeft" state="frozen"/>
      <selection pane="bottomLeft" activeCell="R2" sqref="R2"/>
    </sheetView>
  </sheetViews>
  <sheetFormatPr defaultRowHeight="14.5" x14ac:dyDescent="0.35"/>
  <cols>
    <col min="4" max="4" width="10.1796875" customWidth="1"/>
    <col min="12" max="12" width="11.453125" bestFit="1" customWidth="1"/>
    <col min="13" max="13" width="9.1796875" style="20"/>
    <col min="18" max="18" width="19.26953125" customWidth="1"/>
    <col min="19" max="19" width="23" bestFit="1" customWidth="1"/>
    <col min="20" max="20" width="6.453125" bestFit="1" customWidth="1"/>
    <col min="21" max="21" width="6.1796875" bestFit="1" customWidth="1"/>
    <col min="22" max="22" width="16.26953125" bestFit="1" customWidth="1"/>
    <col min="23" max="23" width="19.1796875" customWidth="1"/>
    <col min="24" max="24" width="18.453125" customWidth="1"/>
    <col min="25" max="25" width="13.54296875" customWidth="1"/>
    <col min="26" max="26" width="18.7265625" customWidth="1"/>
    <col min="27" max="27" width="20.1796875" customWidth="1"/>
    <col min="28" max="28" width="21.453125" customWidth="1"/>
  </cols>
  <sheetData>
    <row r="1" spans="1:30" x14ac:dyDescent="0.35">
      <c r="A1" s="26" t="s">
        <v>0</v>
      </c>
      <c r="B1" s="26"/>
      <c r="C1" s="26"/>
      <c r="D1" s="26"/>
      <c r="E1" s="26"/>
      <c r="F1" s="26"/>
      <c r="G1" s="26"/>
      <c r="H1" s="25" t="s">
        <v>1</v>
      </c>
      <c r="I1" s="25"/>
      <c r="J1" s="25"/>
      <c r="K1" s="25"/>
      <c r="L1" s="25"/>
      <c r="M1" s="25"/>
      <c r="N1" s="25"/>
      <c r="O1" s="25"/>
      <c r="P1" s="7"/>
      <c r="Q1" s="7"/>
      <c r="Z1" s="27" t="s">
        <v>2</v>
      </c>
      <c r="AA1" s="27"/>
      <c r="AB1" s="27"/>
    </row>
    <row r="2" spans="1:30" s="1" customFormat="1" ht="48" x14ac:dyDescent="0.35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21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8" t="s">
        <v>28</v>
      </c>
      <c r="AA2" s="8" t="s">
        <v>29</v>
      </c>
      <c r="AB2" s="8" t="s">
        <v>30</v>
      </c>
      <c r="AC2" s="1" t="s">
        <v>22</v>
      </c>
      <c r="AD2" s="1" t="s">
        <v>22</v>
      </c>
    </row>
    <row r="3" spans="1:30" x14ac:dyDescent="0.35">
      <c r="A3" t="s">
        <v>31</v>
      </c>
      <c r="B3">
        <v>4</v>
      </c>
      <c r="C3">
        <v>2</v>
      </c>
      <c r="D3" t="s">
        <v>32</v>
      </c>
      <c r="E3">
        <v>2</v>
      </c>
      <c r="F3">
        <v>1</v>
      </c>
      <c r="G3" s="12">
        <v>40</v>
      </c>
      <c r="H3" s="12">
        <v>8.2899999999999991</v>
      </c>
      <c r="I3" s="12">
        <v>2183</v>
      </c>
      <c r="J3" s="12">
        <v>10.19</v>
      </c>
      <c r="K3" s="12">
        <v>17.803000000000001</v>
      </c>
      <c r="L3" s="12">
        <v>2.5000000000000001E-2</v>
      </c>
      <c r="M3" s="22">
        <v>54</v>
      </c>
      <c r="N3" s="12">
        <v>0</v>
      </c>
      <c r="O3" s="13">
        <v>1.35</v>
      </c>
      <c r="P3" s="14">
        <v>40</v>
      </c>
      <c r="Q3" s="14">
        <v>10.19</v>
      </c>
      <c r="R3" s="14">
        <v>54</v>
      </c>
      <c r="S3" s="14">
        <v>0</v>
      </c>
      <c r="T3" s="14" t="b">
        <f>G3=P3</f>
        <v>1</v>
      </c>
      <c r="U3" s="14" t="b">
        <f>J3=Q3</f>
        <v>1</v>
      </c>
      <c r="V3" s="15">
        <f>VLOOKUP(IF(J3&lt;10, 10, IF(J3&gt;50,50,J3)),'Over to underbark'!$A$3:$C$43,IF(A3="Scots pine",3,IF(A3="Sitka spruce",2, "error")),TRUE)/100</f>
        <v>0.53</v>
      </c>
      <c r="W3">
        <f>R3*0.9*V3</f>
        <v>25.758000000000003</v>
      </c>
      <c r="X3">
        <f>S3*0.9*V3</f>
        <v>0</v>
      </c>
      <c r="Y3">
        <f>(R3+S3)*0.9*(100%-V3)</f>
        <v>22.841999999999999</v>
      </c>
      <c r="Z3">
        <f t="shared" ref="Z3:Z29" si="0">Y3+(57%*W3)+(15%*X3)</f>
        <v>37.524059999999999</v>
      </c>
      <c r="AA3">
        <f t="shared" ref="AA3:AA29" si="1">(43%*W3)+(25%*X3)</f>
        <v>11.075940000000001</v>
      </c>
      <c r="AB3">
        <f t="shared" ref="AB3:AB29" si="2">60%*X3</f>
        <v>0</v>
      </c>
      <c r="AC3" t="b">
        <f>SUM(W3:Y3)=SUM(Z3:AB3)</f>
        <v>1</v>
      </c>
      <c r="AD3" t="b">
        <f>SUM(R3:S3)*0.9 = SUM(W3:Y3)</f>
        <v>1</v>
      </c>
    </row>
    <row r="4" spans="1:30" x14ac:dyDescent="0.35">
      <c r="A4" t="s">
        <v>31</v>
      </c>
      <c r="B4">
        <v>4</v>
      </c>
      <c r="C4">
        <v>2</v>
      </c>
      <c r="D4" t="s">
        <v>32</v>
      </c>
      <c r="E4">
        <v>2</v>
      </c>
      <c r="F4">
        <v>1</v>
      </c>
      <c r="G4" s="12">
        <v>41</v>
      </c>
      <c r="H4" s="12">
        <v>8.5359999999999996</v>
      </c>
      <c r="I4" s="12">
        <v>2172</v>
      </c>
      <c r="J4" s="12">
        <v>10.484999999999999</v>
      </c>
      <c r="K4" s="12">
        <v>18.751999999999999</v>
      </c>
      <c r="L4" s="12">
        <v>2.7E-2</v>
      </c>
      <c r="M4" s="22">
        <v>59.2</v>
      </c>
      <c r="N4" s="12">
        <v>0</v>
      </c>
      <c r="O4" s="13">
        <v>1.444</v>
      </c>
      <c r="P4" s="14">
        <v>41</v>
      </c>
      <c r="Q4" s="14">
        <v>10.484999999999999</v>
      </c>
      <c r="R4" s="14">
        <v>59.2</v>
      </c>
      <c r="S4" s="14">
        <v>0</v>
      </c>
      <c r="T4" s="14" t="b">
        <f t="shared" ref="T4:T67" si="3">G4=P4</f>
        <v>1</v>
      </c>
      <c r="U4" s="14" t="b">
        <f t="shared" ref="U4:U67" si="4">J4=Q4</f>
        <v>1</v>
      </c>
      <c r="V4" s="15">
        <f>VLOOKUP(IF(J4&lt;10, 10, IF(J4&gt;50,50,J4)),'Over to underbark'!$A$3:$C$43,IF(A4="Scots pine",3,IF(A4="Sitka spruce",2, "error")),TRUE)/100</f>
        <v>0.53</v>
      </c>
      <c r="W4">
        <f t="shared" ref="W4:W63" si="5">R4*0.9*V4</f>
        <v>28.238400000000002</v>
      </c>
      <c r="X4">
        <f t="shared" ref="X4:X63" si="6">S4*0.9*V4</f>
        <v>0</v>
      </c>
      <c r="Y4">
        <f t="shared" ref="Y4:Y67" si="7">(R4+S4)*0.9*(100%-V4)</f>
        <v>25.041599999999999</v>
      </c>
      <c r="Z4">
        <f t="shared" si="0"/>
        <v>41.137487999999998</v>
      </c>
      <c r="AA4">
        <f t="shared" si="1"/>
        <v>12.142512</v>
      </c>
      <c r="AB4">
        <f t="shared" si="2"/>
        <v>0</v>
      </c>
      <c r="AC4" t="b">
        <f t="shared" ref="AC4:AC67" si="8">SUM(W4:Y4)=SUM(Z4:AB4)</f>
        <v>1</v>
      </c>
      <c r="AD4" t="b">
        <f t="shared" ref="AD4:AD67" si="9">SUM(R4:S4)*0.9 = SUM(W4:Y4)</f>
        <v>1</v>
      </c>
    </row>
    <row r="5" spans="1:30" x14ac:dyDescent="0.35">
      <c r="A5" t="s">
        <v>31</v>
      </c>
      <c r="B5">
        <v>4</v>
      </c>
      <c r="C5">
        <v>2</v>
      </c>
      <c r="D5" t="s">
        <v>32</v>
      </c>
      <c r="E5">
        <v>2</v>
      </c>
      <c r="F5">
        <v>1</v>
      </c>
      <c r="G5" s="12">
        <v>42</v>
      </c>
      <c r="H5" s="12">
        <v>8.782</v>
      </c>
      <c r="I5" s="12">
        <v>2161</v>
      </c>
      <c r="J5" s="12">
        <v>10.773999999999999</v>
      </c>
      <c r="K5" s="12">
        <v>19.702000000000002</v>
      </c>
      <c r="L5" s="12">
        <v>0.03</v>
      </c>
      <c r="M5" s="22">
        <v>64.400000000000006</v>
      </c>
      <c r="N5" s="12">
        <v>0</v>
      </c>
      <c r="O5" s="13">
        <v>1.5329999999999999</v>
      </c>
      <c r="P5" s="14">
        <v>42</v>
      </c>
      <c r="Q5" s="14">
        <v>10.773999999999999</v>
      </c>
      <c r="R5" s="14">
        <v>64.400000000000006</v>
      </c>
      <c r="S5" s="14">
        <v>0</v>
      </c>
      <c r="T5" s="14" t="b">
        <f t="shared" si="3"/>
        <v>1</v>
      </c>
      <c r="U5" s="14" t="b">
        <f t="shared" si="4"/>
        <v>1</v>
      </c>
      <c r="V5" s="15">
        <f>VLOOKUP(IF(J5&lt;10, 10, IF(J5&gt;50,50,J5)),'Over to underbark'!$A$3:$C$43,IF(A5="Scots pine",3,IF(A5="Sitka spruce",2, "error")),TRUE)/100</f>
        <v>0.53</v>
      </c>
      <c r="W5">
        <f t="shared" si="5"/>
        <v>30.718800000000005</v>
      </c>
      <c r="X5">
        <f t="shared" si="6"/>
        <v>0</v>
      </c>
      <c r="Y5">
        <f t="shared" si="7"/>
        <v>27.241200000000003</v>
      </c>
      <c r="Z5">
        <f t="shared" si="0"/>
        <v>44.750916000000004</v>
      </c>
      <c r="AA5">
        <f t="shared" si="1"/>
        <v>13.209084000000002</v>
      </c>
      <c r="AB5">
        <f t="shared" si="2"/>
        <v>0</v>
      </c>
      <c r="AC5" t="b">
        <f t="shared" si="8"/>
        <v>1</v>
      </c>
      <c r="AD5" t="b">
        <f t="shared" si="9"/>
        <v>1</v>
      </c>
    </row>
    <row r="6" spans="1:30" x14ac:dyDescent="0.35">
      <c r="A6" t="s">
        <v>31</v>
      </c>
      <c r="B6">
        <v>4</v>
      </c>
      <c r="C6">
        <v>2</v>
      </c>
      <c r="D6" t="s">
        <v>32</v>
      </c>
      <c r="E6">
        <v>2</v>
      </c>
      <c r="F6">
        <v>1</v>
      </c>
      <c r="G6" s="12">
        <v>43</v>
      </c>
      <c r="H6" s="12">
        <v>9.0280000000000005</v>
      </c>
      <c r="I6" s="12">
        <v>2151</v>
      </c>
      <c r="J6" s="12">
        <v>11.055999999999999</v>
      </c>
      <c r="K6" s="12">
        <v>20.651</v>
      </c>
      <c r="L6" s="12">
        <v>3.2000000000000001E-2</v>
      </c>
      <c r="M6" s="22">
        <v>69.599999999999994</v>
      </c>
      <c r="N6" s="12">
        <v>0</v>
      </c>
      <c r="O6" s="13">
        <v>1.619</v>
      </c>
      <c r="P6" s="14">
        <v>43</v>
      </c>
      <c r="Q6" s="14">
        <v>11.055999999999999</v>
      </c>
      <c r="R6" s="14">
        <v>69.599999999999994</v>
      </c>
      <c r="S6" s="14">
        <v>0</v>
      </c>
      <c r="T6" s="14" t="b">
        <f t="shared" si="3"/>
        <v>1</v>
      </c>
      <c r="U6" s="14" t="b">
        <f t="shared" si="4"/>
        <v>1</v>
      </c>
      <c r="V6" s="15">
        <f>VLOOKUP(IF(J6&lt;10, 10, IF(J6&gt;50,50,J6)),'Over to underbark'!$A$3:$C$43,IF(A6="Scots pine",3,IF(A6="Sitka spruce",2, "error")),TRUE)/100</f>
        <v>0.66</v>
      </c>
      <c r="W6">
        <f t="shared" si="5"/>
        <v>41.342399999999998</v>
      </c>
      <c r="X6">
        <f t="shared" si="6"/>
        <v>0</v>
      </c>
      <c r="Y6">
        <f t="shared" si="7"/>
        <v>21.297599999999996</v>
      </c>
      <c r="Z6">
        <f t="shared" si="0"/>
        <v>44.862767999999988</v>
      </c>
      <c r="AA6">
        <f t="shared" si="1"/>
        <v>17.777231999999998</v>
      </c>
      <c r="AB6">
        <f t="shared" si="2"/>
        <v>0</v>
      </c>
      <c r="AC6" t="b">
        <f t="shared" si="8"/>
        <v>1</v>
      </c>
      <c r="AD6" t="b">
        <f t="shared" si="9"/>
        <v>1</v>
      </c>
    </row>
    <row r="7" spans="1:30" x14ac:dyDescent="0.35">
      <c r="A7" t="s">
        <v>31</v>
      </c>
      <c r="B7">
        <v>4</v>
      </c>
      <c r="C7">
        <v>2</v>
      </c>
      <c r="D7" t="s">
        <v>32</v>
      </c>
      <c r="E7">
        <v>2</v>
      </c>
      <c r="F7">
        <v>1</v>
      </c>
      <c r="G7" s="12">
        <v>44</v>
      </c>
      <c r="H7" s="12">
        <v>9.2739999999999991</v>
      </c>
      <c r="I7" s="12">
        <v>2140</v>
      </c>
      <c r="J7" s="12">
        <v>11.336</v>
      </c>
      <c r="K7" s="12">
        <v>21.6</v>
      </c>
      <c r="L7" s="12">
        <v>3.5000000000000003E-2</v>
      </c>
      <c r="M7" s="22">
        <v>74.8</v>
      </c>
      <c r="N7" s="12">
        <v>0</v>
      </c>
      <c r="O7" s="13">
        <v>1.7</v>
      </c>
      <c r="P7" s="14">
        <v>44</v>
      </c>
      <c r="Q7" s="14">
        <v>11.336</v>
      </c>
      <c r="R7" s="14">
        <v>74.8</v>
      </c>
      <c r="S7" s="14">
        <v>0</v>
      </c>
      <c r="T7" s="14" t="b">
        <f t="shared" si="3"/>
        <v>1</v>
      </c>
      <c r="U7" s="14" t="b">
        <f t="shared" si="4"/>
        <v>1</v>
      </c>
      <c r="V7" s="15">
        <f>VLOOKUP(IF(J7&lt;10, 10, IF(J7&gt;50,50,J7)),'Over to underbark'!$A$3:$C$43,IF(A7="Scots pine",3,IF(A7="Sitka spruce",2, "error")),TRUE)/100</f>
        <v>0.66</v>
      </c>
      <c r="W7">
        <f t="shared" si="5"/>
        <v>44.431199999999997</v>
      </c>
      <c r="X7">
        <f t="shared" si="6"/>
        <v>0</v>
      </c>
      <c r="Y7">
        <f t="shared" si="7"/>
        <v>22.888799999999996</v>
      </c>
      <c r="Z7">
        <f t="shared" si="0"/>
        <v>48.214583999999988</v>
      </c>
      <c r="AA7">
        <f t="shared" si="1"/>
        <v>19.105415999999998</v>
      </c>
      <c r="AB7">
        <f t="shared" si="2"/>
        <v>0</v>
      </c>
      <c r="AC7" t="b">
        <f t="shared" si="8"/>
        <v>1</v>
      </c>
      <c r="AD7" t="b">
        <f t="shared" si="9"/>
        <v>1</v>
      </c>
    </row>
    <row r="8" spans="1:30" x14ac:dyDescent="0.35">
      <c r="A8" t="s">
        <v>31</v>
      </c>
      <c r="B8">
        <v>4</v>
      </c>
      <c r="C8">
        <v>2</v>
      </c>
      <c r="D8" t="s">
        <v>32</v>
      </c>
      <c r="E8">
        <v>2</v>
      </c>
      <c r="F8">
        <v>1</v>
      </c>
      <c r="G8" s="12">
        <v>45</v>
      </c>
      <c r="H8" s="12">
        <v>9.52</v>
      </c>
      <c r="I8" s="12">
        <v>2130</v>
      </c>
      <c r="J8" s="12">
        <v>11.61</v>
      </c>
      <c r="K8" s="12">
        <v>22.548999999999999</v>
      </c>
      <c r="L8" s="12">
        <v>3.7999999999999999E-2</v>
      </c>
      <c r="M8" s="22">
        <v>80</v>
      </c>
      <c r="N8" s="12">
        <v>0</v>
      </c>
      <c r="O8" s="13">
        <v>1.778</v>
      </c>
      <c r="P8" s="14">
        <v>45</v>
      </c>
      <c r="Q8" s="14">
        <v>11.61</v>
      </c>
      <c r="R8" s="14">
        <v>80</v>
      </c>
      <c r="S8" s="14">
        <v>0</v>
      </c>
      <c r="T8" s="14" t="b">
        <f t="shared" si="3"/>
        <v>1</v>
      </c>
      <c r="U8" s="14" t="b">
        <f t="shared" si="4"/>
        <v>1</v>
      </c>
      <c r="V8" s="15">
        <f>VLOOKUP(IF(J8&lt;10, 10, IF(J8&gt;50,50,J8)),'Over to underbark'!$A$3:$C$43,IF(A8="Scots pine",3,IF(A8="Sitka spruce",2, "error")),TRUE)/100</f>
        <v>0.66</v>
      </c>
      <c r="W8">
        <f t="shared" si="5"/>
        <v>47.52</v>
      </c>
      <c r="X8">
        <f t="shared" si="6"/>
        <v>0</v>
      </c>
      <c r="Y8">
        <f t="shared" si="7"/>
        <v>24.479999999999997</v>
      </c>
      <c r="Z8">
        <f t="shared" si="0"/>
        <v>51.566400000000002</v>
      </c>
      <c r="AA8">
        <f t="shared" si="1"/>
        <v>20.433600000000002</v>
      </c>
      <c r="AB8">
        <f t="shared" si="2"/>
        <v>0</v>
      </c>
      <c r="AC8" t="b">
        <f t="shared" si="8"/>
        <v>1</v>
      </c>
      <c r="AD8" t="b">
        <f t="shared" si="9"/>
        <v>1</v>
      </c>
    </row>
    <row r="9" spans="1:30" x14ac:dyDescent="0.35">
      <c r="A9" t="s">
        <v>31</v>
      </c>
      <c r="B9">
        <v>4</v>
      </c>
      <c r="C9">
        <v>2</v>
      </c>
      <c r="D9" t="s">
        <v>32</v>
      </c>
      <c r="E9">
        <v>2</v>
      </c>
      <c r="F9">
        <v>1</v>
      </c>
      <c r="G9" s="12">
        <v>46</v>
      </c>
      <c r="H9" s="12">
        <v>9.7479999999999993</v>
      </c>
      <c r="I9" s="12">
        <v>2106</v>
      </c>
      <c r="J9" s="12">
        <v>11.881</v>
      </c>
      <c r="K9" s="12">
        <v>23.347999999999999</v>
      </c>
      <c r="L9" s="12">
        <v>4.1000000000000002E-2</v>
      </c>
      <c r="M9" s="22">
        <v>86.06</v>
      </c>
      <c r="N9" s="12">
        <v>0</v>
      </c>
      <c r="O9" s="13">
        <v>1.871</v>
      </c>
      <c r="P9" s="14">
        <v>46</v>
      </c>
      <c r="Q9" s="14">
        <v>11.881</v>
      </c>
      <c r="R9" s="14">
        <v>86.06</v>
      </c>
      <c r="S9" s="14">
        <v>0</v>
      </c>
      <c r="T9" s="14" t="b">
        <f t="shared" si="3"/>
        <v>1</v>
      </c>
      <c r="U9" s="14" t="b">
        <f t="shared" si="4"/>
        <v>1</v>
      </c>
      <c r="V9" s="15">
        <f>VLOOKUP(IF(J9&lt;10, 10, IF(J9&gt;50,50,J9)),'Over to underbark'!$A$3:$C$43,IF(A9="Scots pine",3,IF(A9="Sitka spruce",2, "error")),TRUE)/100</f>
        <v>0.66</v>
      </c>
      <c r="W9">
        <f t="shared" si="5"/>
        <v>51.119640000000004</v>
      </c>
      <c r="X9">
        <f t="shared" si="6"/>
        <v>0</v>
      </c>
      <c r="Y9">
        <f t="shared" si="7"/>
        <v>26.33436</v>
      </c>
      <c r="Z9">
        <f t="shared" si="0"/>
        <v>55.472554799999997</v>
      </c>
      <c r="AA9">
        <f t="shared" si="1"/>
        <v>21.981445200000003</v>
      </c>
      <c r="AB9">
        <f t="shared" si="2"/>
        <v>0</v>
      </c>
      <c r="AC9" t="b">
        <f t="shared" si="8"/>
        <v>1</v>
      </c>
      <c r="AD9" t="b">
        <f t="shared" si="9"/>
        <v>1</v>
      </c>
    </row>
    <row r="10" spans="1:30" x14ac:dyDescent="0.35">
      <c r="A10" t="s">
        <v>31</v>
      </c>
      <c r="B10">
        <v>4</v>
      </c>
      <c r="C10">
        <v>2</v>
      </c>
      <c r="D10" t="s">
        <v>32</v>
      </c>
      <c r="E10">
        <v>2</v>
      </c>
      <c r="F10">
        <v>1</v>
      </c>
      <c r="G10" s="12">
        <v>47</v>
      </c>
      <c r="H10" s="12">
        <v>9.9760000000000009</v>
      </c>
      <c r="I10" s="12">
        <v>2082</v>
      </c>
      <c r="J10" s="12">
        <v>12.151999999999999</v>
      </c>
      <c r="K10" s="12">
        <v>24.146000000000001</v>
      </c>
      <c r="L10" s="12">
        <v>4.3999999999999997E-2</v>
      </c>
      <c r="M10" s="22">
        <v>92.12</v>
      </c>
      <c r="N10" s="12">
        <v>4.2999999999999997E-2</v>
      </c>
      <c r="O10" s="13">
        <v>1.96</v>
      </c>
      <c r="P10" s="14">
        <v>47</v>
      </c>
      <c r="Q10" s="14">
        <v>12.151999999999999</v>
      </c>
      <c r="R10" s="14">
        <v>92.12</v>
      </c>
      <c r="S10" s="14">
        <v>0</v>
      </c>
      <c r="T10" s="14" t="b">
        <f t="shared" si="3"/>
        <v>1</v>
      </c>
      <c r="U10" s="14" t="b">
        <f t="shared" si="4"/>
        <v>1</v>
      </c>
      <c r="V10" s="15">
        <f>VLOOKUP(IF(J10&lt;10, 10, IF(J10&gt;50,50,J10)),'Over to underbark'!$A$3:$C$43,IF(A10="Scots pine",3,IF(A10="Sitka spruce",2, "error")),TRUE)/100</f>
        <v>0.74</v>
      </c>
      <c r="W10">
        <f t="shared" si="5"/>
        <v>61.35192</v>
      </c>
      <c r="X10">
        <f t="shared" si="6"/>
        <v>0</v>
      </c>
      <c r="Y10">
        <f t="shared" si="7"/>
        <v>21.556080000000001</v>
      </c>
      <c r="Z10">
        <f t="shared" si="0"/>
        <v>56.526674399999997</v>
      </c>
      <c r="AA10">
        <f t="shared" si="1"/>
        <v>26.3813256</v>
      </c>
      <c r="AB10">
        <f t="shared" si="2"/>
        <v>0</v>
      </c>
      <c r="AC10" t="b">
        <f t="shared" si="8"/>
        <v>1</v>
      </c>
      <c r="AD10" t="b">
        <f t="shared" si="9"/>
        <v>1</v>
      </c>
    </row>
    <row r="11" spans="1:30" x14ac:dyDescent="0.35">
      <c r="A11" t="s">
        <v>31</v>
      </c>
      <c r="B11">
        <v>4</v>
      </c>
      <c r="C11">
        <v>2</v>
      </c>
      <c r="D11" t="s">
        <v>32</v>
      </c>
      <c r="E11">
        <v>2</v>
      </c>
      <c r="F11">
        <v>1</v>
      </c>
      <c r="G11" s="12">
        <v>48</v>
      </c>
      <c r="H11" s="12">
        <v>10.204000000000001</v>
      </c>
      <c r="I11" s="12">
        <v>2059</v>
      </c>
      <c r="J11" s="12">
        <v>12.42</v>
      </c>
      <c r="K11" s="12">
        <v>24.945</v>
      </c>
      <c r="L11" s="12">
        <v>4.8000000000000001E-2</v>
      </c>
      <c r="M11" s="22">
        <v>98.18</v>
      </c>
      <c r="N11" s="12">
        <v>6.0999999999999999E-2</v>
      </c>
      <c r="O11" s="13">
        <v>2.0449999999999999</v>
      </c>
      <c r="P11" s="14">
        <v>48</v>
      </c>
      <c r="Q11" s="14">
        <v>12.42</v>
      </c>
      <c r="R11" s="14">
        <v>98.18</v>
      </c>
      <c r="S11" s="14">
        <v>0</v>
      </c>
      <c r="T11" s="14" t="b">
        <f t="shared" si="3"/>
        <v>1</v>
      </c>
      <c r="U11" s="14" t="b">
        <f t="shared" si="4"/>
        <v>1</v>
      </c>
      <c r="V11" s="15">
        <f>VLOOKUP(IF(J11&lt;10, 10, IF(J11&gt;50,50,J11)),'Over to underbark'!$A$3:$C$43,IF(A11="Scots pine",3,IF(A11="Sitka spruce",2, "error")),TRUE)/100</f>
        <v>0.74</v>
      </c>
      <c r="W11">
        <f t="shared" si="5"/>
        <v>65.38788000000001</v>
      </c>
      <c r="X11">
        <f t="shared" si="6"/>
        <v>0</v>
      </c>
      <c r="Y11">
        <f t="shared" si="7"/>
        <v>22.974120000000003</v>
      </c>
      <c r="Z11">
        <f t="shared" si="0"/>
        <v>60.245211600000005</v>
      </c>
      <c r="AA11">
        <f t="shared" si="1"/>
        <v>28.116788400000004</v>
      </c>
      <c r="AB11">
        <f t="shared" si="2"/>
        <v>0</v>
      </c>
      <c r="AC11" t="b">
        <f t="shared" si="8"/>
        <v>1</v>
      </c>
      <c r="AD11" t="b">
        <f t="shared" si="9"/>
        <v>1</v>
      </c>
    </row>
    <row r="12" spans="1:30" x14ac:dyDescent="0.35">
      <c r="A12" t="s">
        <v>31</v>
      </c>
      <c r="B12">
        <v>4</v>
      </c>
      <c r="C12">
        <v>2</v>
      </c>
      <c r="D12" t="s">
        <v>32</v>
      </c>
      <c r="E12">
        <v>2</v>
      </c>
      <c r="F12">
        <v>1</v>
      </c>
      <c r="G12" s="12">
        <v>49</v>
      </c>
      <c r="H12" s="12">
        <v>10.432</v>
      </c>
      <c r="I12" s="12">
        <v>2035</v>
      </c>
      <c r="J12" s="12">
        <v>12.691000000000001</v>
      </c>
      <c r="K12" s="12">
        <v>25.742999999999999</v>
      </c>
      <c r="L12" s="12">
        <v>5.0999999999999997E-2</v>
      </c>
      <c r="M12" s="22">
        <v>104.24</v>
      </c>
      <c r="N12" s="12">
        <v>5.8000000000000003E-2</v>
      </c>
      <c r="O12" s="13">
        <v>2.1269999999999998</v>
      </c>
      <c r="P12" s="14">
        <v>49</v>
      </c>
      <c r="Q12" s="14">
        <v>12.691000000000001</v>
      </c>
      <c r="R12" s="14">
        <v>104.226</v>
      </c>
      <c r="S12" s="14">
        <v>1.4E-2</v>
      </c>
      <c r="T12" s="14" t="b">
        <f t="shared" si="3"/>
        <v>1</v>
      </c>
      <c r="U12" s="14" t="b">
        <f t="shared" si="4"/>
        <v>1</v>
      </c>
      <c r="V12" s="15">
        <f>VLOOKUP(IF(J12&lt;10, 10, IF(J12&gt;50,50,J12)),'Over to underbark'!$A$3:$C$43,IF(A12="Scots pine",3,IF(A12="Sitka spruce",2, "error")),TRUE)/100</f>
        <v>0.74</v>
      </c>
      <c r="W12">
        <f t="shared" si="5"/>
        <v>69.414515999999992</v>
      </c>
      <c r="X12">
        <f t="shared" si="6"/>
        <v>9.3240000000000007E-3</v>
      </c>
      <c r="Y12">
        <f t="shared" si="7"/>
        <v>24.392160000000001</v>
      </c>
      <c r="Z12">
        <f t="shared" si="0"/>
        <v>63.959832719999994</v>
      </c>
      <c r="AA12">
        <f t="shared" si="1"/>
        <v>29.850572879999998</v>
      </c>
      <c r="AB12">
        <f t="shared" si="2"/>
        <v>5.5944000000000002E-3</v>
      </c>
      <c r="AC12" t="b">
        <f t="shared" si="8"/>
        <v>1</v>
      </c>
      <c r="AD12" t="b">
        <f t="shared" si="9"/>
        <v>1</v>
      </c>
    </row>
    <row r="13" spans="1:30" x14ac:dyDescent="0.35">
      <c r="A13" t="s">
        <v>31</v>
      </c>
      <c r="B13">
        <v>4</v>
      </c>
      <c r="C13">
        <v>2</v>
      </c>
      <c r="D13" t="s">
        <v>32</v>
      </c>
      <c r="E13">
        <v>2</v>
      </c>
      <c r="F13">
        <v>1</v>
      </c>
      <c r="G13" s="12">
        <v>50</v>
      </c>
      <c r="H13" s="12">
        <v>10.66</v>
      </c>
      <c r="I13" s="12">
        <v>2012</v>
      </c>
      <c r="J13" s="12">
        <v>12.96</v>
      </c>
      <c r="K13" s="12">
        <v>26.542000000000002</v>
      </c>
      <c r="L13" s="12">
        <v>5.5E-2</v>
      </c>
      <c r="M13" s="22">
        <v>110.3</v>
      </c>
      <c r="N13" s="12">
        <v>9.0999999999999998E-2</v>
      </c>
      <c r="O13" s="13">
        <v>2.206</v>
      </c>
      <c r="P13" s="14">
        <v>50</v>
      </c>
      <c r="Q13" s="14">
        <v>12.96</v>
      </c>
      <c r="R13" s="14">
        <v>108.65</v>
      </c>
      <c r="S13" s="14">
        <v>1.65</v>
      </c>
      <c r="T13" s="14" t="b">
        <f t="shared" si="3"/>
        <v>1</v>
      </c>
      <c r="U13" s="14" t="b">
        <f t="shared" si="4"/>
        <v>1</v>
      </c>
      <c r="V13" s="15">
        <f>VLOOKUP(IF(J13&lt;10, 10, IF(J13&gt;50,50,J13)),'Over to underbark'!$A$3:$C$43,IF(A13="Scots pine",3,IF(A13="Sitka spruce",2, "error")),TRUE)/100</f>
        <v>0.74</v>
      </c>
      <c r="W13">
        <f t="shared" si="5"/>
        <v>72.360900000000001</v>
      </c>
      <c r="X13">
        <f t="shared" si="6"/>
        <v>1.0989</v>
      </c>
      <c r="Y13">
        <f t="shared" si="7"/>
        <v>25.810200000000002</v>
      </c>
      <c r="Z13">
        <f t="shared" si="0"/>
        <v>67.220748</v>
      </c>
      <c r="AA13">
        <f t="shared" si="1"/>
        <v>31.389911999999999</v>
      </c>
      <c r="AB13">
        <f t="shared" si="2"/>
        <v>0.65933999999999993</v>
      </c>
      <c r="AC13" t="b">
        <f t="shared" si="8"/>
        <v>1</v>
      </c>
      <c r="AD13" t="b">
        <f t="shared" si="9"/>
        <v>1</v>
      </c>
    </row>
    <row r="14" spans="1:30" x14ac:dyDescent="0.35">
      <c r="A14" t="s">
        <v>31</v>
      </c>
      <c r="B14">
        <v>4</v>
      </c>
      <c r="C14">
        <v>2</v>
      </c>
      <c r="D14" t="s">
        <v>32</v>
      </c>
      <c r="E14">
        <v>2</v>
      </c>
      <c r="F14">
        <v>1</v>
      </c>
      <c r="G14" s="12">
        <v>51</v>
      </c>
      <c r="H14" s="12">
        <v>10.868</v>
      </c>
      <c r="I14" s="12">
        <v>1997</v>
      </c>
      <c r="J14" s="12">
        <v>13.211</v>
      </c>
      <c r="K14" s="12">
        <v>27.372</v>
      </c>
      <c r="L14" s="12">
        <v>5.8000000000000003E-2</v>
      </c>
      <c r="M14" s="22">
        <v>116.76</v>
      </c>
      <c r="N14" s="12">
        <v>0.13700000000000001</v>
      </c>
      <c r="O14" s="13">
        <v>2.2890000000000001</v>
      </c>
      <c r="P14" s="14">
        <v>51</v>
      </c>
      <c r="Q14" s="14">
        <v>13.211</v>
      </c>
      <c r="R14" s="14">
        <v>113.369</v>
      </c>
      <c r="S14" s="14">
        <v>3.391</v>
      </c>
      <c r="T14" s="14" t="b">
        <f t="shared" si="3"/>
        <v>1</v>
      </c>
      <c r="U14" s="14" t="b">
        <f t="shared" si="4"/>
        <v>1</v>
      </c>
      <c r="V14" s="15">
        <f>VLOOKUP(IF(J14&lt;10, 10, IF(J14&gt;50,50,J14)),'Over to underbark'!$A$3:$C$43,IF(A14="Scots pine",3,IF(A14="Sitka spruce",2, "error")),TRUE)/100</f>
        <v>0.79</v>
      </c>
      <c r="W14">
        <f t="shared" si="5"/>
        <v>80.605359000000007</v>
      </c>
      <c r="X14">
        <f t="shared" si="6"/>
        <v>2.4110010000000002</v>
      </c>
      <c r="Y14">
        <f t="shared" si="7"/>
        <v>22.067639999999997</v>
      </c>
      <c r="Z14">
        <f t="shared" si="0"/>
        <v>68.374344780000001</v>
      </c>
      <c r="AA14">
        <f t="shared" si="1"/>
        <v>35.263054620000005</v>
      </c>
      <c r="AB14">
        <f t="shared" si="2"/>
        <v>1.4466006</v>
      </c>
      <c r="AC14" t="b">
        <f t="shared" si="8"/>
        <v>1</v>
      </c>
      <c r="AD14" t="b">
        <f t="shared" si="9"/>
        <v>1</v>
      </c>
    </row>
    <row r="15" spans="1:30" x14ac:dyDescent="0.35">
      <c r="A15" t="s">
        <v>31</v>
      </c>
      <c r="B15">
        <v>4</v>
      </c>
      <c r="C15">
        <v>2</v>
      </c>
      <c r="D15" t="s">
        <v>32</v>
      </c>
      <c r="E15">
        <v>2</v>
      </c>
      <c r="F15">
        <v>1</v>
      </c>
      <c r="G15" s="12">
        <v>52</v>
      </c>
      <c r="H15" s="12">
        <v>11.076000000000001</v>
      </c>
      <c r="I15" s="12">
        <v>1983</v>
      </c>
      <c r="J15" s="12">
        <v>13.457000000000001</v>
      </c>
      <c r="K15" s="12">
        <v>28.202999999999999</v>
      </c>
      <c r="L15" s="12">
        <v>6.2E-2</v>
      </c>
      <c r="M15" s="22">
        <v>123.22</v>
      </c>
      <c r="N15" s="12">
        <v>0.17799999999999999</v>
      </c>
      <c r="O15" s="13">
        <v>2.37</v>
      </c>
      <c r="P15" s="14">
        <v>52</v>
      </c>
      <c r="Q15" s="14">
        <v>13.457000000000001</v>
      </c>
      <c r="R15" s="14">
        <v>117.914</v>
      </c>
      <c r="S15" s="14">
        <v>5.306</v>
      </c>
      <c r="T15" s="14" t="b">
        <f t="shared" si="3"/>
        <v>1</v>
      </c>
      <c r="U15" s="14" t="b">
        <f t="shared" si="4"/>
        <v>1</v>
      </c>
      <c r="V15" s="15">
        <f>VLOOKUP(IF(J15&lt;10, 10, IF(J15&gt;50,50,J15)),'Over to underbark'!$A$3:$C$43,IF(A15="Scots pine",3,IF(A15="Sitka spruce",2, "error")),TRUE)/100</f>
        <v>0.79</v>
      </c>
      <c r="W15">
        <f t="shared" si="5"/>
        <v>83.836854000000002</v>
      </c>
      <c r="X15">
        <f t="shared" si="6"/>
        <v>3.7725660000000003</v>
      </c>
      <c r="Y15">
        <f t="shared" si="7"/>
        <v>23.288579999999996</v>
      </c>
      <c r="Z15">
        <f t="shared" si="0"/>
        <v>71.641471679999995</v>
      </c>
      <c r="AA15">
        <f t="shared" si="1"/>
        <v>36.992988720000007</v>
      </c>
      <c r="AB15">
        <f t="shared" si="2"/>
        <v>2.2635396000000001</v>
      </c>
      <c r="AC15" t="b">
        <f t="shared" si="8"/>
        <v>1</v>
      </c>
      <c r="AD15" t="b">
        <f t="shared" si="9"/>
        <v>1</v>
      </c>
    </row>
    <row r="16" spans="1:30" x14ac:dyDescent="0.35">
      <c r="A16" t="s">
        <v>31</v>
      </c>
      <c r="B16">
        <v>4</v>
      </c>
      <c r="C16">
        <v>2</v>
      </c>
      <c r="D16" t="s">
        <v>32</v>
      </c>
      <c r="E16">
        <v>2</v>
      </c>
      <c r="F16">
        <v>1</v>
      </c>
      <c r="G16" s="12">
        <v>53</v>
      </c>
      <c r="H16" s="12">
        <v>11.284000000000001</v>
      </c>
      <c r="I16" s="12">
        <v>1969</v>
      </c>
      <c r="J16" s="12">
        <v>13.702</v>
      </c>
      <c r="K16" s="12">
        <v>29.033999999999999</v>
      </c>
      <c r="L16" s="12">
        <v>6.6000000000000003E-2</v>
      </c>
      <c r="M16" s="22">
        <v>129.68</v>
      </c>
      <c r="N16" s="12">
        <v>0.215</v>
      </c>
      <c r="O16" s="13">
        <v>2.4470000000000001</v>
      </c>
      <c r="P16" s="14">
        <v>53</v>
      </c>
      <c r="Q16" s="14">
        <v>13.702</v>
      </c>
      <c r="R16" s="14">
        <v>122.262</v>
      </c>
      <c r="S16" s="14">
        <v>7.4180000000000001</v>
      </c>
      <c r="T16" s="14" t="b">
        <f t="shared" si="3"/>
        <v>1</v>
      </c>
      <c r="U16" s="14" t="b">
        <f t="shared" si="4"/>
        <v>1</v>
      </c>
      <c r="V16" s="15">
        <f>VLOOKUP(IF(J16&lt;10, 10, IF(J16&gt;50,50,J16)),'Over to underbark'!$A$3:$C$43,IF(A16="Scots pine",3,IF(A16="Sitka spruce",2, "error")),TRUE)/100</f>
        <v>0.79</v>
      </c>
      <c r="W16">
        <f t="shared" si="5"/>
        <v>86.92828200000001</v>
      </c>
      <c r="X16">
        <f t="shared" si="6"/>
        <v>5.2741980000000011</v>
      </c>
      <c r="Y16">
        <f t="shared" si="7"/>
        <v>24.509519999999995</v>
      </c>
      <c r="Z16">
        <f t="shared" si="0"/>
        <v>74.849770439999986</v>
      </c>
      <c r="AA16">
        <f t="shared" si="1"/>
        <v>38.697710760000007</v>
      </c>
      <c r="AB16">
        <f t="shared" si="2"/>
        <v>3.1645188000000006</v>
      </c>
      <c r="AC16" t="b">
        <f t="shared" si="8"/>
        <v>1</v>
      </c>
      <c r="AD16" t="b">
        <f t="shared" si="9"/>
        <v>1</v>
      </c>
    </row>
    <row r="17" spans="1:30" x14ac:dyDescent="0.35">
      <c r="A17" t="s">
        <v>31</v>
      </c>
      <c r="B17">
        <v>4</v>
      </c>
      <c r="C17">
        <v>2</v>
      </c>
      <c r="D17" t="s">
        <v>32</v>
      </c>
      <c r="E17">
        <v>2</v>
      </c>
      <c r="F17">
        <v>1</v>
      </c>
      <c r="G17" s="12">
        <v>54</v>
      </c>
      <c r="H17" s="12">
        <v>11.492000000000001</v>
      </c>
      <c r="I17" s="12">
        <v>1955</v>
      </c>
      <c r="J17" s="12">
        <v>13.946</v>
      </c>
      <c r="K17" s="12">
        <v>29.864999999999998</v>
      </c>
      <c r="L17" s="12">
        <v>7.0000000000000007E-2</v>
      </c>
      <c r="M17" s="22">
        <v>136.13999999999999</v>
      </c>
      <c r="N17" s="12">
        <v>0.249</v>
      </c>
      <c r="O17" s="13">
        <v>2.5209999999999999</v>
      </c>
      <c r="P17" s="14">
        <v>54</v>
      </c>
      <c r="Q17" s="14">
        <v>13.946</v>
      </c>
      <c r="R17" s="14">
        <v>126.411</v>
      </c>
      <c r="S17" s="14">
        <v>9.7289999999999992</v>
      </c>
      <c r="T17" s="14" t="b">
        <f t="shared" si="3"/>
        <v>1</v>
      </c>
      <c r="U17" s="14" t="b">
        <f t="shared" si="4"/>
        <v>1</v>
      </c>
      <c r="V17" s="15">
        <f>VLOOKUP(IF(J17&lt;10, 10, IF(J17&gt;50,50,J17)),'Over to underbark'!$A$3:$C$43,IF(A17="Scots pine",3,IF(A17="Sitka spruce",2, "error")),TRUE)/100</f>
        <v>0.79</v>
      </c>
      <c r="W17">
        <f t="shared" si="5"/>
        <v>89.878221000000011</v>
      </c>
      <c r="X17">
        <f t="shared" si="6"/>
        <v>6.917319</v>
      </c>
      <c r="Y17">
        <f t="shared" si="7"/>
        <v>25.730459999999994</v>
      </c>
      <c r="Z17">
        <f t="shared" si="0"/>
        <v>77.998643819999984</v>
      </c>
      <c r="AA17">
        <f t="shared" si="1"/>
        <v>40.376964780000002</v>
      </c>
      <c r="AB17">
        <f t="shared" si="2"/>
        <v>4.1503914000000002</v>
      </c>
      <c r="AC17" t="b">
        <f t="shared" si="8"/>
        <v>1</v>
      </c>
      <c r="AD17" t="b">
        <f t="shared" si="9"/>
        <v>1</v>
      </c>
    </row>
    <row r="18" spans="1:30" x14ac:dyDescent="0.35">
      <c r="A18" t="s">
        <v>31</v>
      </c>
      <c r="B18">
        <v>4</v>
      </c>
      <c r="C18">
        <v>2</v>
      </c>
      <c r="D18" t="s">
        <v>32</v>
      </c>
      <c r="E18">
        <v>2</v>
      </c>
      <c r="F18">
        <v>1</v>
      </c>
      <c r="G18" s="12">
        <v>55</v>
      </c>
      <c r="H18" s="12">
        <v>11.7</v>
      </c>
      <c r="I18" s="12">
        <v>1941</v>
      </c>
      <c r="J18" s="12">
        <v>14.19</v>
      </c>
      <c r="K18" s="12">
        <v>30.696000000000002</v>
      </c>
      <c r="L18" s="12">
        <v>7.2999999999999995E-2</v>
      </c>
      <c r="M18" s="22">
        <v>142.6</v>
      </c>
      <c r="N18" s="12">
        <v>0.28000000000000003</v>
      </c>
      <c r="O18" s="13">
        <v>2.593</v>
      </c>
      <c r="P18" s="14">
        <v>55</v>
      </c>
      <c r="Q18" s="14">
        <v>14.19</v>
      </c>
      <c r="R18" s="14">
        <v>130.35499999999999</v>
      </c>
      <c r="S18" s="14">
        <v>12.244999999999999</v>
      </c>
      <c r="T18" s="14" t="b">
        <f t="shared" si="3"/>
        <v>1</v>
      </c>
      <c r="U18" s="14" t="b">
        <f t="shared" si="4"/>
        <v>1</v>
      </c>
      <c r="V18" s="15">
        <f>VLOOKUP(IF(J18&lt;10, 10, IF(J18&gt;50,50,J18)),'Over to underbark'!$A$3:$C$43,IF(A18="Scots pine",3,IF(A18="Sitka spruce",2, "error")),TRUE)/100</f>
        <v>0.82</v>
      </c>
      <c r="W18">
        <f t="shared" si="5"/>
        <v>96.201989999999981</v>
      </c>
      <c r="X18">
        <f t="shared" si="6"/>
        <v>9.0368099999999991</v>
      </c>
      <c r="Y18">
        <f t="shared" si="7"/>
        <v>23.101200000000006</v>
      </c>
      <c r="Z18">
        <f t="shared" si="0"/>
        <v>79.291855799999993</v>
      </c>
      <c r="AA18">
        <f t="shared" si="1"/>
        <v>43.626058199999989</v>
      </c>
      <c r="AB18">
        <f t="shared" si="2"/>
        <v>5.4220859999999993</v>
      </c>
      <c r="AC18" t="b">
        <f t="shared" si="8"/>
        <v>1</v>
      </c>
      <c r="AD18" t="b">
        <f t="shared" si="9"/>
        <v>1</v>
      </c>
    </row>
    <row r="19" spans="1:30" x14ac:dyDescent="0.35">
      <c r="A19" t="s">
        <v>31</v>
      </c>
      <c r="B19">
        <v>4</v>
      </c>
      <c r="C19">
        <v>2</v>
      </c>
      <c r="D19" t="s">
        <v>32</v>
      </c>
      <c r="E19">
        <v>2</v>
      </c>
      <c r="F19">
        <v>1</v>
      </c>
      <c r="G19" s="12">
        <v>56</v>
      </c>
      <c r="H19" s="12">
        <v>11.891999999999999</v>
      </c>
      <c r="I19" s="12">
        <v>1926</v>
      </c>
      <c r="J19" s="12">
        <v>14.416</v>
      </c>
      <c r="K19" s="12">
        <v>31.437999999999999</v>
      </c>
      <c r="L19" s="12">
        <v>7.6999999999999999E-2</v>
      </c>
      <c r="M19" s="22">
        <v>149.13999999999999</v>
      </c>
      <c r="N19" s="12">
        <v>0.33400000000000002</v>
      </c>
      <c r="O19" s="13">
        <v>2.6629999999999998</v>
      </c>
      <c r="P19" s="14">
        <v>56</v>
      </c>
      <c r="Q19" s="14">
        <v>14.416</v>
      </c>
      <c r="R19" s="14">
        <v>134.32499999999999</v>
      </c>
      <c r="S19" s="14">
        <v>14.815</v>
      </c>
      <c r="T19" s="14" t="b">
        <f t="shared" si="3"/>
        <v>1</v>
      </c>
      <c r="U19" s="14" t="b">
        <f t="shared" si="4"/>
        <v>1</v>
      </c>
      <c r="V19" s="15">
        <f>VLOOKUP(IF(J19&lt;10, 10, IF(J19&gt;50,50,J19)),'Over to underbark'!$A$3:$C$43,IF(A19="Scots pine",3,IF(A19="Sitka spruce",2, "error")),TRUE)/100</f>
        <v>0.82</v>
      </c>
      <c r="W19">
        <f t="shared" si="5"/>
        <v>99.131849999999986</v>
      </c>
      <c r="X19">
        <f t="shared" si="6"/>
        <v>10.933469999999998</v>
      </c>
      <c r="Y19">
        <f t="shared" si="7"/>
        <v>24.160680000000006</v>
      </c>
      <c r="Z19">
        <f t="shared" si="0"/>
        <v>82.305854999999994</v>
      </c>
      <c r="AA19">
        <f t="shared" si="1"/>
        <v>45.360062999999997</v>
      </c>
      <c r="AB19">
        <f t="shared" si="2"/>
        <v>6.5600819999999986</v>
      </c>
      <c r="AC19" t="b">
        <f t="shared" si="8"/>
        <v>1</v>
      </c>
      <c r="AD19" t="b">
        <f t="shared" si="9"/>
        <v>1</v>
      </c>
    </row>
    <row r="20" spans="1:30" x14ac:dyDescent="0.35">
      <c r="A20" t="s">
        <v>31</v>
      </c>
      <c r="B20">
        <v>4</v>
      </c>
      <c r="C20">
        <v>2</v>
      </c>
      <c r="D20" t="s">
        <v>32</v>
      </c>
      <c r="E20">
        <v>2</v>
      </c>
      <c r="F20">
        <v>1</v>
      </c>
      <c r="G20" s="12">
        <v>57</v>
      </c>
      <c r="H20" s="12">
        <v>12.084</v>
      </c>
      <c r="I20" s="12">
        <v>1912</v>
      </c>
      <c r="J20" s="12">
        <v>14.638999999999999</v>
      </c>
      <c r="K20" s="12">
        <v>32.18</v>
      </c>
      <c r="L20" s="12">
        <v>8.1000000000000003E-2</v>
      </c>
      <c r="M20" s="22">
        <v>155.68</v>
      </c>
      <c r="N20" s="12">
        <v>0.38400000000000001</v>
      </c>
      <c r="O20" s="13">
        <v>2.7309999999999999</v>
      </c>
      <c r="P20" s="14">
        <v>57</v>
      </c>
      <c r="Q20" s="14">
        <v>14.638999999999999</v>
      </c>
      <c r="R20" s="14">
        <v>138.13200000000001</v>
      </c>
      <c r="S20" s="14">
        <v>17.547999999999998</v>
      </c>
      <c r="T20" s="14" t="b">
        <f t="shared" si="3"/>
        <v>1</v>
      </c>
      <c r="U20" s="14" t="b">
        <f t="shared" si="4"/>
        <v>1</v>
      </c>
      <c r="V20" s="15">
        <f>VLOOKUP(IF(J20&lt;10, 10, IF(J20&gt;50,50,J20)),'Over to underbark'!$A$3:$C$43,IF(A20="Scots pine",3,IF(A20="Sitka spruce",2, "error")),TRUE)/100</f>
        <v>0.82</v>
      </c>
      <c r="W20">
        <f t="shared" si="5"/>
        <v>101.941416</v>
      </c>
      <c r="X20">
        <f t="shared" si="6"/>
        <v>12.950423999999998</v>
      </c>
      <c r="Y20">
        <f t="shared" si="7"/>
        <v>25.220160000000011</v>
      </c>
      <c r="Z20">
        <f t="shared" si="0"/>
        <v>85.269330720000013</v>
      </c>
      <c r="AA20">
        <f t="shared" si="1"/>
        <v>47.072414880000004</v>
      </c>
      <c r="AB20">
        <f t="shared" si="2"/>
        <v>7.7702543999999989</v>
      </c>
      <c r="AC20" t="b">
        <f t="shared" si="8"/>
        <v>1</v>
      </c>
      <c r="AD20" t="b">
        <f t="shared" si="9"/>
        <v>1</v>
      </c>
    </row>
    <row r="21" spans="1:30" x14ac:dyDescent="0.35">
      <c r="A21" t="s">
        <v>31</v>
      </c>
      <c r="B21">
        <v>4</v>
      </c>
      <c r="C21">
        <v>2</v>
      </c>
      <c r="D21" t="s">
        <v>32</v>
      </c>
      <c r="E21">
        <v>2</v>
      </c>
      <c r="F21">
        <v>1</v>
      </c>
      <c r="G21" s="12">
        <v>58</v>
      </c>
      <c r="H21" s="12">
        <v>12.276</v>
      </c>
      <c r="I21" s="12">
        <v>1897</v>
      </c>
      <c r="J21" s="12">
        <v>14.865</v>
      </c>
      <c r="K21" s="12">
        <v>32.923000000000002</v>
      </c>
      <c r="L21" s="12">
        <v>8.5999999999999993E-2</v>
      </c>
      <c r="M21" s="22">
        <v>162.22</v>
      </c>
      <c r="N21" s="12">
        <v>0.43</v>
      </c>
      <c r="O21" s="13">
        <v>2.7970000000000002</v>
      </c>
      <c r="P21" s="14">
        <v>58</v>
      </c>
      <c r="Q21" s="14">
        <v>14.865</v>
      </c>
      <c r="R21" s="14">
        <v>141.72</v>
      </c>
      <c r="S21" s="14">
        <v>20.5</v>
      </c>
      <c r="T21" s="14" t="b">
        <f t="shared" si="3"/>
        <v>1</v>
      </c>
      <c r="U21" s="14" t="b">
        <f t="shared" si="4"/>
        <v>1</v>
      </c>
      <c r="V21" s="15">
        <f>VLOOKUP(IF(J21&lt;10, 10, IF(J21&gt;50,50,J21)),'Over to underbark'!$A$3:$C$43,IF(A21="Scots pine",3,IF(A21="Sitka spruce",2, "error")),TRUE)/100</f>
        <v>0.82</v>
      </c>
      <c r="W21">
        <f t="shared" si="5"/>
        <v>104.58936</v>
      </c>
      <c r="X21">
        <f t="shared" si="6"/>
        <v>15.128999999999998</v>
      </c>
      <c r="Y21">
        <f t="shared" si="7"/>
        <v>26.279640000000004</v>
      </c>
      <c r="Z21">
        <f t="shared" si="0"/>
        <v>88.164925199999999</v>
      </c>
      <c r="AA21">
        <f t="shared" si="1"/>
        <v>48.755674799999994</v>
      </c>
      <c r="AB21">
        <f t="shared" si="2"/>
        <v>9.077399999999999</v>
      </c>
      <c r="AC21" t="b">
        <f t="shared" si="8"/>
        <v>1</v>
      </c>
      <c r="AD21" t="b">
        <f t="shared" si="9"/>
        <v>1</v>
      </c>
    </row>
    <row r="22" spans="1:30" x14ac:dyDescent="0.35">
      <c r="A22" t="s">
        <v>31</v>
      </c>
      <c r="B22">
        <v>4</v>
      </c>
      <c r="C22">
        <v>2</v>
      </c>
      <c r="D22" t="s">
        <v>32</v>
      </c>
      <c r="E22">
        <v>2</v>
      </c>
      <c r="F22">
        <v>1</v>
      </c>
      <c r="G22" s="12">
        <v>59</v>
      </c>
      <c r="H22" s="12">
        <v>12.468</v>
      </c>
      <c r="I22" s="12">
        <v>1883</v>
      </c>
      <c r="J22" s="12">
        <v>15.087999999999999</v>
      </c>
      <c r="K22" s="12">
        <v>33.664999999999999</v>
      </c>
      <c r="L22" s="12">
        <v>0.09</v>
      </c>
      <c r="M22" s="22">
        <v>168.76</v>
      </c>
      <c r="N22" s="12">
        <v>0.47199999999999998</v>
      </c>
      <c r="O22" s="13">
        <v>2.86</v>
      </c>
      <c r="P22" s="14">
        <v>59</v>
      </c>
      <c r="Q22" s="14">
        <v>15.087999999999999</v>
      </c>
      <c r="R22" s="14">
        <v>145.149</v>
      </c>
      <c r="S22" s="14">
        <v>23.611000000000001</v>
      </c>
      <c r="T22" s="14" t="b">
        <f t="shared" si="3"/>
        <v>1</v>
      </c>
      <c r="U22" s="14" t="b">
        <f t="shared" si="4"/>
        <v>1</v>
      </c>
      <c r="V22" s="15">
        <f>VLOOKUP(IF(J22&lt;10, 10, IF(J22&gt;50,50,J22)),'Over to underbark'!$A$3:$C$43,IF(A22="Scots pine",3,IF(A22="Sitka spruce",2, "error")),TRUE)/100</f>
        <v>0.84</v>
      </c>
      <c r="W22">
        <f t="shared" si="5"/>
        <v>109.73264400000001</v>
      </c>
      <c r="X22">
        <f t="shared" si="6"/>
        <v>17.849916</v>
      </c>
      <c r="Y22">
        <f t="shared" si="7"/>
        <v>24.301440000000003</v>
      </c>
      <c r="Z22">
        <f t="shared" si="0"/>
        <v>89.526534480000009</v>
      </c>
      <c r="AA22">
        <f t="shared" si="1"/>
        <v>51.647515920000004</v>
      </c>
      <c r="AB22">
        <f t="shared" si="2"/>
        <v>10.7099496</v>
      </c>
      <c r="AC22" t="b">
        <f t="shared" si="8"/>
        <v>1</v>
      </c>
      <c r="AD22" t="b">
        <f t="shared" si="9"/>
        <v>1</v>
      </c>
    </row>
    <row r="23" spans="1:30" x14ac:dyDescent="0.35">
      <c r="A23" t="s">
        <v>31</v>
      </c>
      <c r="B23">
        <v>4</v>
      </c>
      <c r="C23">
        <v>2</v>
      </c>
      <c r="D23" t="s">
        <v>32</v>
      </c>
      <c r="E23">
        <v>2</v>
      </c>
      <c r="F23">
        <v>1</v>
      </c>
      <c r="G23" s="12">
        <v>60</v>
      </c>
      <c r="H23" s="12">
        <v>12.66</v>
      </c>
      <c r="I23" s="12">
        <v>1869</v>
      </c>
      <c r="J23" s="12">
        <v>15.31</v>
      </c>
      <c r="K23" s="12">
        <v>34.406999999999996</v>
      </c>
      <c r="L23" s="12">
        <v>9.4E-2</v>
      </c>
      <c r="M23" s="22">
        <v>175.3</v>
      </c>
      <c r="N23" s="12">
        <v>0.51100000000000001</v>
      </c>
      <c r="O23" s="13">
        <v>2.9220000000000002</v>
      </c>
      <c r="P23" s="14">
        <v>60</v>
      </c>
      <c r="Q23" s="14">
        <v>15.31</v>
      </c>
      <c r="R23" s="14">
        <v>148.40199999999999</v>
      </c>
      <c r="S23" s="14">
        <v>26.898</v>
      </c>
      <c r="T23" s="14" t="b">
        <f t="shared" si="3"/>
        <v>1</v>
      </c>
      <c r="U23" s="14" t="b">
        <f t="shared" si="4"/>
        <v>1</v>
      </c>
      <c r="V23" s="15">
        <f>VLOOKUP(IF(J23&lt;10, 10, IF(J23&gt;50,50,J23)),'Over to underbark'!$A$3:$C$43,IF(A23="Scots pine",3,IF(A23="Sitka spruce",2, "error")),TRUE)/100</f>
        <v>0.84</v>
      </c>
      <c r="W23">
        <f t="shared" si="5"/>
        <v>112.191912</v>
      </c>
      <c r="X23">
        <f t="shared" si="6"/>
        <v>20.334887999999999</v>
      </c>
      <c r="Y23">
        <f t="shared" si="7"/>
        <v>25.243200000000002</v>
      </c>
      <c r="Z23">
        <f t="shared" si="0"/>
        <v>92.24282303999999</v>
      </c>
      <c r="AA23">
        <f t="shared" si="1"/>
        <v>53.326244160000002</v>
      </c>
      <c r="AB23">
        <f t="shared" si="2"/>
        <v>12.200932799999999</v>
      </c>
      <c r="AC23" t="b">
        <f t="shared" si="8"/>
        <v>1</v>
      </c>
      <c r="AD23" t="b">
        <f t="shared" si="9"/>
        <v>1</v>
      </c>
    </row>
    <row r="24" spans="1:30" x14ac:dyDescent="0.35">
      <c r="A24" t="s">
        <v>31</v>
      </c>
      <c r="B24">
        <v>4</v>
      </c>
      <c r="C24">
        <v>2</v>
      </c>
      <c r="D24" t="s">
        <v>32</v>
      </c>
      <c r="E24">
        <v>2</v>
      </c>
      <c r="F24">
        <v>1</v>
      </c>
      <c r="G24" s="12">
        <v>61</v>
      </c>
      <c r="H24" s="12">
        <v>12.832000000000001</v>
      </c>
      <c r="I24" s="12">
        <v>1855</v>
      </c>
      <c r="J24" s="12">
        <v>15.510999999999999</v>
      </c>
      <c r="K24" s="12">
        <v>35.052</v>
      </c>
      <c r="L24" s="12">
        <v>9.8000000000000004E-2</v>
      </c>
      <c r="M24" s="22">
        <v>181.58</v>
      </c>
      <c r="N24" s="12">
        <v>0.59099999999999997</v>
      </c>
      <c r="O24" s="13">
        <v>2.9769999999999999</v>
      </c>
      <c r="P24" s="14">
        <v>61</v>
      </c>
      <c r="Q24" s="14">
        <v>15.510999999999999</v>
      </c>
      <c r="R24" s="14">
        <v>151.48599999999999</v>
      </c>
      <c r="S24" s="14">
        <v>30.094000000000001</v>
      </c>
      <c r="T24" s="14" t="b">
        <f t="shared" si="3"/>
        <v>1</v>
      </c>
      <c r="U24" s="14" t="b">
        <f t="shared" si="4"/>
        <v>1</v>
      </c>
      <c r="V24" s="15">
        <f>VLOOKUP(IF(J24&lt;10, 10, IF(J24&gt;50,50,J24)),'Over to underbark'!$A$3:$C$43,IF(A24="Scots pine",3,IF(A24="Sitka spruce",2, "error")),TRUE)/100</f>
        <v>0.84</v>
      </c>
      <c r="W24">
        <f t="shared" si="5"/>
        <v>114.523416</v>
      </c>
      <c r="X24">
        <f t="shared" si="6"/>
        <v>22.751064</v>
      </c>
      <c r="Y24">
        <f t="shared" si="7"/>
        <v>26.147520000000004</v>
      </c>
      <c r="Z24">
        <f t="shared" si="0"/>
        <v>94.83852671999999</v>
      </c>
      <c r="AA24">
        <f t="shared" si="1"/>
        <v>54.932834880000001</v>
      </c>
      <c r="AB24">
        <f t="shared" si="2"/>
        <v>13.6506384</v>
      </c>
      <c r="AC24" t="b">
        <f t="shared" si="8"/>
        <v>1</v>
      </c>
      <c r="AD24" t="b">
        <f t="shared" si="9"/>
        <v>1</v>
      </c>
    </row>
    <row r="25" spans="1:30" x14ac:dyDescent="0.35">
      <c r="A25" t="s">
        <v>31</v>
      </c>
      <c r="B25">
        <v>4</v>
      </c>
      <c r="C25">
        <v>2</v>
      </c>
      <c r="D25" t="s">
        <v>32</v>
      </c>
      <c r="E25">
        <v>2</v>
      </c>
      <c r="F25">
        <v>1</v>
      </c>
      <c r="G25" s="12">
        <v>62</v>
      </c>
      <c r="H25" s="12">
        <v>13.004</v>
      </c>
      <c r="I25" s="12">
        <v>1841</v>
      </c>
      <c r="J25" s="12">
        <v>15.712999999999999</v>
      </c>
      <c r="K25" s="12">
        <v>35.697000000000003</v>
      </c>
      <c r="L25" s="12">
        <v>0.10199999999999999</v>
      </c>
      <c r="M25" s="22">
        <v>187.86</v>
      </c>
      <c r="N25" s="12">
        <v>0.66600000000000004</v>
      </c>
      <c r="O25" s="13">
        <v>3.03</v>
      </c>
      <c r="P25" s="14">
        <v>62</v>
      </c>
      <c r="Q25" s="14">
        <v>15.712999999999999</v>
      </c>
      <c r="R25" s="14">
        <v>154.4</v>
      </c>
      <c r="S25" s="14">
        <v>33.46</v>
      </c>
      <c r="T25" s="14" t="b">
        <f t="shared" si="3"/>
        <v>1</v>
      </c>
      <c r="U25" s="14" t="b">
        <f t="shared" si="4"/>
        <v>1</v>
      </c>
      <c r="V25" s="15">
        <f>VLOOKUP(IF(J25&lt;10, 10, IF(J25&gt;50,50,J25)),'Over to underbark'!$A$3:$C$43,IF(A25="Scots pine",3,IF(A25="Sitka spruce",2, "error")),TRUE)/100</f>
        <v>0.84</v>
      </c>
      <c r="W25">
        <f t="shared" si="5"/>
        <v>116.7264</v>
      </c>
      <c r="X25">
        <f t="shared" si="6"/>
        <v>25.295760000000001</v>
      </c>
      <c r="Y25">
        <f t="shared" si="7"/>
        <v>27.051840000000006</v>
      </c>
      <c r="Z25">
        <f t="shared" si="0"/>
        <v>97.380252000000013</v>
      </c>
      <c r="AA25">
        <f t="shared" si="1"/>
        <v>56.516292</v>
      </c>
      <c r="AB25">
        <f t="shared" si="2"/>
        <v>15.177455999999999</v>
      </c>
      <c r="AC25" t="b">
        <f t="shared" si="8"/>
        <v>1</v>
      </c>
      <c r="AD25" t="b">
        <f t="shared" si="9"/>
        <v>1</v>
      </c>
    </row>
    <row r="26" spans="1:30" x14ac:dyDescent="0.35">
      <c r="A26" t="s">
        <v>31</v>
      </c>
      <c r="B26">
        <v>4</v>
      </c>
      <c r="C26">
        <v>2</v>
      </c>
      <c r="D26" t="s">
        <v>32</v>
      </c>
      <c r="E26">
        <v>2</v>
      </c>
      <c r="F26">
        <v>1</v>
      </c>
      <c r="G26" s="12">
        <v>63</v>
      </c>
      <c r="H26" s="12">
        <v>13.176</v>
      </c>
      <c r="I26" s="12">
        <v>1827</v>
      </c>
      <c r="J26" s="12">
        <v>15.914</v>
      </c>
      <c r="K26" s="12">
        <v>36.341999999999999</v>
      </c>
      <c r="L26" s="12">
        <v>0.106</v>
      </c>
      <c r="M26" s="22">
        <v>194.14</v>
      </c>
      <c r="N26" s="12">
        <v>0.73599999999999999</v>
      </c>
      <c r="O26" s="13">
        <v>3.0819999999999999</v>
      </c>
      <c r="P26" s="14">
        <v>63</v>
      </c>
      <c r="Q26" s="14">
        <v>15.914</v>
      </c>
      <c r="R26" s="14">
        <v>157.167</v>
      </c>
      <c r="S26" s="14">
        <v>36.972999999999999</v>
      </c>
      <c r="T26" s="14" t="b">
        <f t="shared" si="3"/>
        <v>1</v>
      </c>
      <c r="U26" s="14" t="b">
        <f t="shared" si="4"/>
        <v>1</v>
      </c>
      <c r="V26" s="15">
        <f>VLOOKUP(IF(J26&lt;10, 10, IF(J26&gt;50,50,J26)),'Over to underbark'!$A$3:$C$43,IF(A26="Scots pine",3,IF(A26="Sitka spruce",2, "error")),TRUE)/100</f>
        <v>0.84</v>
      </c>
      <c r="W26">
        <f t="shared" si="5"/>
        <v>118.818252</v>
      </c>
      <c r="X26">
        <f t="shared" si="6"/>
        <v>27.951588000000001</v>
      </c>
      <c r="Y26">
        <f t="shared" si="7"/>
        <v>27.956160000000004</v>
      </c>
      <c r="Z26">
        <f t="shared" si="0"/>
        <v>99.875301840000006</v>
      </c>
      <c r="AA26">
        <f t="shared" si="1"/>
        <v>58.079745360000004</v>
      </c>
      <c r="AB26">
        <f t="shared" si="2"/>
        <v>16.7709528</v>
      </c>
      <c r="AC26" t="b">
        <f t="shared" si="8"/>
        <v>1</v>
      </c>
      <c r="AD26" t="b">
        <f t="shared" si="9"/>
        <v>1</v>
      </c>
    </row>
    <row r="27" spans="1:30" x14ac:dyDescent="0.35">
      <c r="A27" t="s">
        <v>31</v>
      </c>
      <c r="B27">
        <v>4</v>
      </c>
      <c r="C27">
        <v>2</v>
      </c>
      <c r="D27" t="s">
        <v>32</v>
      </c>
      <c r="E27">
        <v>2</v>
      </c>
      <c r="F27">
        <v>1</v>
      </c>
      <c r="G27" s="12">
        <v>64</v>
      </c>
      <c r="H27" s="12">
        <v>13.348000000000001</v>
      </c>
      <c r="I27" s="12">
        <v>1813</v>
      </c>
      <c r="J27" s="12">
        <v>16.117000000000001</v>
      </c>
      <c r="K27" s="12">
        <v>36.987000000000002</v>
      </c>
      <c r="L27" s="12">
        <v>0.111</v>
      </c>
      <c r="M27" s="22">
        <v>200.42</v>
      </c>
      <c r="N27" s="12">
        <v>0.80200000000000005</v>
      </c>
      <c r="O27" s="13">
        <v>3.1320000000000001</v>
      </c>
      <c r="P27" s="14">
        <v>64</v>
      </c>
      <c r="Q27" s="14">
        <v>16.117000000000001</v>
      </c>
      <c r="R27" s="14">
        <v>159.75299999999999</v>
      </c>
      <c r="S27" s="14">
        <v>40.667000000000002</v>
      </c>
      <c r="T27" s="14" t="b">
        <f t="shared" si="3"/>
        <v>1</v>
      </c>
      <c r="U27" s="14" t="b">
        <f t="shared" si="4"/>
        <v>1</v>
      </c>
      <c r="V27" s="15">
        <f>VLOOKUP(IF(J27&lt;10, 10, IF(J27&gt;50,50,J27)),'Over to underbark'!$A$3:$C$43,IF(A27="Scots pine",3,IF(A27="Sitka spruce",2, "error")),TRUE)/100</f>
        <v>0.84</v>
      </c>
      <c r="W27">
        <f t="shared" si="5"/>
        <v>120.77326799999997</v>
      </c>
      <c r="X27">
        <f t="shared" si="6"/>
        <v>30.744252000000003</v>
      </c>
      <c r="Y27">
        <f t="shared" si="7"/>
        <v>28.860480000000003</v>
      </c>
      <c r="Z27">
        <f t="shared" si="0"/>
        <v>102.31288055999998</v>
      </c>
      <c r="AA27">
        <f t="shared" si="1"/>
        <v>59.618568239999988</v>
      </c>
      <c r="AB27">
        <f t="shared" si="2"/>
        <v>18.446551200000002</v>
      </c>
      <c r="AC27" t="b">
        <f t="shared" si="8"/>
        <v>1</v>
      </c>
      <c r="AD27" t="b">
        <f t="shared" si="9"/>
        <v>1</v>
      </c>
    </row>
    <row r="28" spans="1:30" x14ac:dyDescent="0.35">
      <c r="A28" t="s">
        <v>31</v>
      </c>
      <c r="B28">
        <v>4</v>
      </c>
      <c r="C28">
        <v>2</v>
      </c>
      <c r="D28" t="s">
        <v>32</v>
      </c>
      <c r="E28">
        <v>2</v>
      </c>
      <c r="F28">
        <v>1</v>
      </c>
      <c r="G28" s="12">
        <v>65</v>
      </c>
      <c r="H28" s="12">
        <v>13.52</v>
      </c>
      <c r="I28" s="12">
        <v>1799</v>
      </c>
      <c r="J28" s="12">
        <v>16.32</v>
      </c>
      <c r="K28" s="12">
        <v>37.631999999999998</v>
      </c>
      <c r="L28" s="12">
        <v>0.115</v>
      </c>
      <c r="M28" s="22">
        <v>206.7</v>
      </c>
      <c r="N28" s="12">
        <v>0.86299999999999999</v>
      </c>
      <c r="O28" s="13">
        <v>3.18</v>
      </c>
      <c r="P28" s="14">
        <v>65</v>
      </c>
      <c r="Q28" s="14">
        <v>16.32</v>
      </c>
      <c r="R28" s="14">
        <v>162.18299999999999</v>
      </c>
      <c r="S28" s="14">
        <v>44.517000000000003</v>
      </c>
      <c r="T28" s="14" t="b">
        <f t="shared" si="3"/>
        <v>1</v>
      </c>
      <c r="U28" s="14" t="b">
        <f t="shared" si="4"/>
        <v>1</v>
      </c>
      <c r="V28" s="15">
        <f>VLOOKUP(IF(J28&lt;10, 10, IF(J28&gt;50,50,J28)),'Over to underbark'!$A$3:$C$43,IF(A28="Scots pine",3,IF(A28="Sitka spruce",2, "error")),TRUE)/100</f>
        <v>0.84</v>
      </c>
      <c r="W28">
        <f t="shared" si="5"/>
        <v>122.61034799999999</v>
      </c>
      <c r="X28">
        <f t="shared" si="6"/>
        <v>33.654851999999998</v>
      </c>
      <c r="Y28">
        <f t="shared" si="7"/>
        <v>29.764800000000005</v>
      </c>
      <c r="Z28">
        <f t="shared" si="0"/>
        <v>104.70092615999999</v>
      </c>
      <c r="AA28">
        <f t="shared" si="1"/>
        <v>61.136162639999995</v>
      </c>
      <c r="AB28">
        <f t="shared" si="2"/>
        <v>20.192911199999998</v>
      </c>
      <c r="AC28" t="b">
        <f t="shared" si="8"/>
        <v>1</v>
      </c>
      <c r="AD28" t="b">
        <f t="shared" si="9"/>
        <v>1</v>
      </c>
    </row>
    <row r="29" spans="1:30" x14ac:dyDescent="0.35">
      <c r="A29" t="s">
        <v>31</v>
      </c>
      <c r="B29">
        <v>4</v>
      </c>
      <c r="C29">
        <v>2</v>
      </c>
      <c r="D29" t="s">
        <v>32</v>
      </c>
      <c r="E29">
        <v>2</v>
      </c>
      <c r="F29">
        <v>1</v>
      </c>
      <c r="G29" s="12">
        <v>66</v>
      </c>
      <c r="H29" s="12">
        <v>13.672000000000001</v>
      </c>
      <c r="I29" s="12">
        <v>1785</v>
      </c>
      <c r="J29" s="12">
        <v>16.501000000000001</v>
      </c>
      <c r="K29" s="12">
        <v>38.173000000000002</v>
      </c>
      <c r="L29" s="12">
        <v>0.11899999999999999</v>
      </c>
      <c r="M29" s="22">
        <v>212.54</v>
      </c>
      <c r="N29" s="12">
        <v>0.94099999999999995</v>
      </c>
      <c r="O29" s="13">
        <v>3.22</v>
      </c>
      <c r="P29" s="14">
        <v>66</v>
      </c>
      <c r="Q29" s="14">
        <v>16.501000000000001</v>
      </c>
      <c r="R29" s="14">
        <v>164.405</v>
      </c>
      <c r="S29" s="14">
        <v>48.134999999999998</v>
      </c>
      <c r="T29" s="14" t="b">
        <f t="shared" si="3"/>
        <v>1</v>
      </c>
      <c r="U29" s="14" t="b">
        <f t="shared" si="4"/>
        <v>1</v>
      </c>
      <c r="V29" s="15">
        <f>VLOOKUP(IF(J29&lt;10, 10, IF(J29&gt;50,50,J29)),'Over to underbark'!$A$3:$C$43,IF(A29="Scots pine",3,IF(A29="Sitka spruce",2, "error")),TRUE)/100</f>
        <v>0.84</v>
      </c>
      <c r="W29">
        <f t="shared" si="5"/>
        <v>124.29018000000001</v>
      </c>
      <c r="X29">
        <f t="shared" si="6"/>
        <v>36.390059999999998</v>
      </c>
      <c r="Y29">
        <f t="shared" si="7"/>
        <v>30.605760000000007</v>
      </c>
      <c r="Z29">
        <f t="shared" si="0"/>
        <v>106.9096716</v>
      </c>
      <c r="AA29">
        <f t="shared" si="1"/>
        <v>62.542292400000001</v>
      </c>
      <c r="AB29">
        <f t="shared" si="2"/>
        <v>21.834035999999998</v>
      </c>
      <c r="AC29" t="b">
        <f t="shared" si="8"/>
        <v>1</v>
      </c>
      <c r="AD29" t="b">
        <f t="shared" si="9"/>
        <v>1</v>
      </c>
    </row>
    <row r="30" spans="1:30" x14ac:dyDescent="0.35">
      <c r="A30" t="s">
        <v>31</v>
      </c>
      <c r="B30">
        <v>4</v>
      </c>
      <c r="C30">
        <v>2</v>
      </c>
      <c r="D30" t="s">
        <v>32</v>
      </c>
      <c r="E30">
        <v>2</v>
      </c>
      <c r="F30">
        <v>1</v>
      </c>
      <c r="G30" s="12">
        <v>67</v>
      </c>
      <c r="H30" s="12">
        <v>13.824</v>
      </c>
      <c r="I30" s="12">
        <v>1772</v>
      </c>
      <c r="J30" s="12">
        <v>16.678999999999998</v>
      </c>
      <c r="K30" s="12">
        <v>38.713999999999999</v>
      </c>
      <c r="L30" s="12">
        <v>0.123</v>
      </c>
      <c r="M30" s="22">
        <v>218.38</v>
      </c>
      <c r="N30" s="12">
        <v>1.0149999999999999</v>
      </c>
      <c r="O30" s="13">
        <v>3.2589999999999999</v>
      </c>
      <c r="P30" s="14">
        <v>67</v>
      </c>
      <c r="Q30" s="14">
        <v>16.678999999999998</v>
      </c>
      <c r="R30" s="14">
        <v>166.541</v>
      </c>
      <c r="S30" s="14">
        <v>51.838999999999999</v>
      </c>
      <c r="T30" s="14" t="b">
        <f t="shared" si="3"/>
        <v>1</v>
      </c>
      <c r="U30" s="14" t="b">
        <f t="shared" si="4"/>
        <v>1</v>
      </c>
      <c r="V30" s="15">
        <f>VLOOKUP(IF(J30&lt;10, 10, IF(J30&gt;50,50,J30)),'Over to underbark'!$A$3:$C$43,IF(A30="Scots pine",3,IF(A30="Sitka spruce",2, "error")),TRUE)/100</f>
        <v>0.84</v>
      </c>
      <c r="W30">
        <f t="shared" si="5"/>
        <v>125.904996</v>
      </c>
      <c r="X30">
        <f t="shared" si="6"/>
        <v>39.190283999999998</v>
      </c>
      <c r="Y30">
        <f t="shared" si="7"/>
        <v>31.446720000000006</v>
      </c>
      <c r="Z30">
        <f>Y30+(57%*W30)+(15%*X30)</f>
        <v>109.09111032000001</v>
      </c>
      <c r="AA30">
        <f>(43%*W30)+(25%*X30)</f>
        <v>63.936719279999998</v>
      </c>
      <c r="AB30">
        <f>60%*X30</f>
        <v>23.514170399999998</v>
      </c>
      <c r="AC30" t="b">
        <f t="shared" si="8"/>
        <v>1</v>
      </c>
      <c r="AD30" t="b">
        <f t="shared" si="9"/>
        <v>1</v>
      </c>
    </row>
    <row r="31" spans="1:30" x14ac:dyDescent="0.35">
      <c r="A31" t="s">
        <v>31</v>
      </c>
      <c r="B31">
        <v>4</v>
      </c>
      <c r="C31">
        <v>2</v>
      </c>
      <c r="D31" t="s">
        <v>32</v>
      </c>
      <c r="E31">
        <v>2</v>
      </c>
      <c r="F31">
        <v>1</v>
      </c>
      <c r="G31" s="12">
        <v>68</v>
      </c>
      <c r="H31" s="12">
        <v>13.976000000000001</v>
      </c>
      <c r="I31" s="12">
        <v>1758</v>
      </c>
      <c r="J31" s="12">
        <v>16.861000000000001</v>
      </c>
      <c r="K31" s="12">
        <v>39.255000000000003</v>
      </c>
      <c r="L31" s="12">
        <v>0.128</v>
      </c>
      <c r="M31" s="22">
        <v>224.22</v>
      </c>
      <c r="N31" s="12">
        <v>1.085</v>
      </c>
      <c r="O31" s="13">
        <v>3.2970000000000002</v>
      </c>
      <c r="P31" s="14">
        <v>68</v>
      </c>
      <c r="Q31" s="14">
        <v>16.861000000000001</v>
      </c>
      <c r="R31" s="14">
        <v>168.499</v>
      </c>
      <c r="S31" s="14">
        <v>55.720999999999997</v>
      </c>
      <c r="T31" s="14" t="b">
        <f t="shared" si="3"/>
        <v>1</v>
      </c>
      <c r="U31" s="14" t="b">
        <f t="shared" si="4"/>
        <v>1</v>
      </c>
      <c r="V31" s="15">
        <f>VLOOKUP(IF(J31&lt;10, 10, IF(J31&gt;50,50,J31)),'Over to underbark'!$A$3:$C$43,IF(A31="Scots pine",3,IF(A31="Sitka spruce",2, "error")),TRUE)/100</f>
        <v>0.84</v>
      </c>
      <c r="W31">
        <f t="shared" si="5"/>
        <v>127.385244</v>
      </c>
      <c r="X31">
        <f t="shared" si="6"/>
        <v>42.125076</v>
      </c>
      <c r="Y31">
        <f t="shared" si="7"/>
        <v>32.287680000000009</v>
      </c>
      <c r="Z31">
        <f t="shared" ref="Z31:Z94" si="10">Y31+(57%*W31)+(15%*X31)</f>
        <v>111.21603048</v>
      </c>
      <c r="AA31">
        <f t="shared" ref="AA31:AA94" si="11">(43%*W31)+(25%*X31)</f>
        <v>65.306923920000003</v>
      </c>
      <c r="AB31">
        <f t="shared" ref="AB31:AB94" si="12">60%*X31</f>
        <v>25.275045599999999</v>
      </c>
      <c r="AC31" t="b">
        <f t="shared" si="8"/>
        <v>1</v>
      </c>
      <c r="AD31" t="b">
        <f t="shared" si="9"/>
        <v>1</v>
      </c>
    </row>
    <row r="32" spans="1:30" x14ac:dyDescent="0.35">
      <c r="A32" t="s">
        <v>31</v>
      </c>
      <c r="B32">
        <v>4</v>
      </c>
      <c r="C32">
        <v>2</v>
      </c>
      <c r="D32" t="s">
        <v>32</v>
      </c>
      <c r="E32">
        <v>2</v>
      </c>
      <c r="F32">
        <v>1</v>
      </c>
      <c r="G32" s="12">
        <v>69</v>
      </c>
      <c r="H32" s="12">
        <v>14.128</v>
      </c>
      <c r="I32" s="12">
        <v>1745</v>
      </c>
      <c r="J32" s="12">
        <v>17.04</v>
      </c>
      <c r="K32" s="12">
        <v>39.795999999999999</v>
      </c>
      <c r="L32" s="12">
        <v>0.13200000000000001</v>
      </c>
      <c r="M32" s="22">
        <v>230.06</v>
      </c>
      <c r="N32" s="12">
        <v>1.151</v>
      </c>
      <c r="O32" s="13">
        <v>3.3340000000000001</v>
      </c>
      <c r="P32" s="14">
        <v>69</v>
      </c>
      <c r="Q32" s="14">
        <v>17.04</v>
      </c>
      <c r="R32" s="14">
        <v>170.375</v>
      </c>
      <c r="S32" s="14">
        <v>59.685000000000002</v>
      </c>
      <c r="T32" s="14" t="b">
        <f t="shared" si="3"/>
        <v>1</v>
      </c>
      <c r="U32" s="14" t="b">
        <f t="shared" si="4"/>
        <v>1</v>
      </c>
      <c r="V32" s="15">
        <f>VLOOKUP(IF(J32&lt;10, 10, IF(J32&gt;50,50,J32)),'Over to underbark'!$A$3:$C$43,IF(A32="Scots pine",3,IF(A32="Sitka spruce",2, "error")),TRUE)/100</f>
        <v>0.84</v>
      </c>
      <c r="W32">
        <f t="shared" si="5"/>
        <v>128.80350000000001</v>
      </c>
      <c r="X32">
        <f t="shared" si="6"/>
        <v>45.121859999999998</v>
      </c>
      <c r="Y32">
        <f t="shared" si="7"/>
        <v>33.128640000000004</v>
      </c>
      <c r="Z32">
        <f t="shared" si="10"/>
        <v>113.31491400000002</v>
      </c>
      <c r="AA32">
        <f t="shared" si="11"/>
        <v>66.665970000000002</v>
      </c>
      <c r="AB32">
        <f t="shared" si="12"/>
        <v>27.073115999999999</v>
      </c>
      <c r="AC32" t="b">
        <f t="shared" si="8"/>
        <v>1</v>
      </c>
      <c r="AD32" t="b">
        <f t="shared" si="9"/>
        <v>1</v>
      </c>
    </row>
    <row r="33" spans="1:30" x14ac:dyDescent="0.35">
      <c r="A33" t="s">
        <v>31</v>
      </c>
      <c r="B33">
        <v>4</v>
      </c>
      <c r="C33">
        <v>2</v>
      </c>
      <c r="D33" t="s">
        <v>32</v>
      </c>
      <c r="E33">
        <v>2</v>
      </c>
      <c r="F33">
        <v>1</v>
      </c>
      <c r="G33" s="12">
        <v>70</v>
      </c>
      <c r="H33" s="12">
        <v>14.28</v>
      </c>
      <c r="I33" s="12">
        <v>1732</v>
      </c>
      <c r="J33" s="12">
        <v>17.22</v>
      </c>
      <c r="K33" s="12">
        <v>40.337000000000003</v>
      </c>
      <c r="L33" s="12">
        <v>0.13600000000000001</v>
      </c>
      <c r="M33" s="22">
        <v>235.9</v>
      </c>
      <c r="N33" s="12">
        <v>1.214</v>
      </c>
      <c r="O33" s="13">
        <v>3.37</v>
      </c>
      <c r="P33" s="14">
        <v>70</v>
      </c>
      <c r="Q33" s="14">
        <v>17.22</v>
      </c>
      <c r="R33" s="14">
        <v>172.11600000000001</v>
      </c>
      <c r="S33" s="14">
        <v>63.783999999999999</v>
      </c>
      <c r="T33" s="14" t="b">
        <f t="shared" si="3"/>
        <v>1</v>
      </c>
      <c r="U33" s="14" t="b">
        <f t="shared" si="4"/>
        <v>1</v>
      </c>
      <c r="V33" s="15">
        <f>VLOOKUP(IF(J33&lt;10, 10, IF(J33&gt;50,50,J33)),'Over to underbark'!$A$3:$C$43,IF(A33="Scots pine",3,IF(A33="Sitka spruce",2, "error")),TRUE)/100</f>
        <v>0.84</v>
      </c>
      <c r="W33">
        <f t="shared" si="5"/>
        <v>130.119696</v>
      </c>
      <c r="X33">
        <f t="shared" si="6"/>
        <v>48.220703999999998</v>
      </c>
      <c r="Y33">
        <f t="shared" si="7"/>
        <v>33.969600000000007</v>
      </c>
      <c r="Z33">
        <f t="shared" si="10"/>
        <v>115.37093231999999</v>
      </c>
      <c r="AA33">
        <f t="shared" si="11"/>
        <v>68.006645280000001</v>
      </c>
      <c r="AB33">
        <f t="shared" si="12"/>
        <v>28.932422399999997</v>
      </c>
      <c r="AC33" t="b">
        <f t="shared" si="8"/>
        <v>1</v>
      </c>
      <c r="AD33" t="b">
        <f t="shared" si="9"/>
        <v>1</v>
      </c>
    </row>
    <row r="34" spans="1:30" x14ac:dyDescent="0.35">
      <c r="A34" t="s">
        <v>31</v>
      </c>
      <c r="B34">
        <v>4</v>
      </c>
      <c r="C34">
        <v>2</v>
      </c>
      <c r="D34" t="s">
        <v>32</v>
      </c>
      <c r="E34">
        <v>2</v>
      </c>
      <c r="F34">
        <v>1</v>
      </c>
      <c r="G34" s="12">
        <v>71</v>
      </c>
      <c r="H34" s="12">
        <v>14.414</v>
      </c>
      <c r="I34" s="12">
        <v>1719</v>
      </c>
      <c r="J34" s="12">
        <v>17.384</v>
      </c>
      <c r="K34" s="12">
        <v>40.802</v>
      </c>
      <c r="L34" s="12">
        <v>0.14000000000000001</v>
      </c>
      <c r="M34" s="22">
        <v>241.18</v>
      </c>
      <c r="N34" s="12">
        <v>1.3009999999999999</v>
      </c>
      <c r="O34" s="13">
        <v>3.3969999999999998</v>
      </c>
      <c r="P34" s="14">
        <v>71</v>
      </c>
      <c r="Q34" s="14">
        <v>17.384</v>
      </c>
      <c r="R34" s="14">
        <v>173.56899999999999</v>
      </c>
      <c r="S34" s="14">
        <v>67.611000000000004</v>
      </c>
      <c r="T34" s="14" t="b">
        <f t="shared" si="3"/>
        <v>1</v>
      </c>
      <c r="U34" s="14" t="b">
        <f t="shared" si="4"/>
        <v>1</v>
      </c>
      <c r="V34" s="15">
        <f>VLOOKUP(IF(J34&lt;10, 10, IF(J34&gt;50,50,J34)),'Over to underbark'!$A$3:$C$43,IF(A34="Scots pine",3,IF(A34="Sitka spruce",2, "error")),TRUE)/100</f>
        <v>0.84</v>
      </c>
      <c r="W34">
        <f t="shared" si="5"/>
        <v>131.218164</v>
      </c>
      <c r="X34">
        <f t="shared" si="6"/>
        <v>51.113916000000003</v>
      </c>
      <c r="Y34">
        <f t="shared" si="7"/>
        <v>34.729920000000007</v>
      </c>
      <c r="Z34">
        <f t="shared" si="10"/>
        <v>117.19136088</v>
      </c>
      <c r="AA34">
        <f t="shared" si="11"/>
        <v>69.202289519999994</v>
      </c>
      <c r="AB34">
        <f t="shared" si="12"/>
        <v>30.668349599999999</v>
      </c>
      <c r="AC34" t="b">
        <f t="shared" si="8"/>
        <v>1</v>
      </c>
      <c r="AD34" t="b">
        <f t="shared" si="9"/>
        <v>1</v>
      </c>
    </row>
    <row r="35" spans="1:30" x14ac:dyDescent="0.35">
      <c r="A35" t="s">
        <v>31</v>
      </c>
      <c r="B35">
        <v>4</v>
      </c>
      <c r="C35">
        <v>2</v>
      </c>
      <c r="D35" t="s">
        <v>32</v>
      </c>
      <c r="E35">
        <v>2</v>
      </c>
      <c r="F35">
        <v>1</v>
      </c>
      <c r="G35" s="12">
        <v>72</v>
      </c>
      <c r="H35" s="12">
        <v>14.548</v>
      </c>
      <c r="I35" s="12">
        <v>1707</v>
      </c>
      <c r="J35" s="12">
        <v>17.545000000000002</v>
      </c>
      <c r="K35" s="12">
        <v>41.268000000000001</v>
      </c>
      <c r="L35" s="12">
        <v>0.14399999999999999</v>
      </c>
      <c r="M35" s="22">
        <v>246.46</v>
      </c>
      <c r="N35" s="12">
        <v>1.3839999999999999</v>
      </c>
      <c r="O35" s="13">
        <v>3.423</v>
      </c>
      <c r="P35" s="14">
        <v>72</v>
      </c>
      <c r="Q35" s="14">
        <v>17.545000000000002</v>
      </c>
      <c r="R35" s="14">
        <v>174.97</v>
      </c>
      <c r="S35" s="14">
        <v>71.489999999999995</v>
      </c>
      <c r="T35" s="14" t="b">
        <f t="shared" si="3"/>
        <v>1</v>
      </c>
      <c r="U35" s="14" t="b">
        <f t="shared" si="4"/>
        <v>1</v>
      </c>
      <c r="V35" s="15">
        <f>VLOOKUP(IF(J35&lt;10, 10, IF(J35&gt;50,50,J35)),'Over to underbark'!$A$3:$C$43,IF(A35="Scots pine",3,IF(A35="Sitka spruce",2, "error")),TRUE)/100</f>
        <v>0.84</v>
      </c>
      <c r="W35">
        <f t="shared" si="5"/>
        <v>132.27732</v>
      </c>
      <c r="X35">
        <f t="shared" si="6"/>
        <v>54.04643999999999</v>
      </c>
      <c r="Y35">
        <f t="shared" si="7"/>
        <v>35.490240000000007</v>
      </c>
      <c r="Z35">
        <f t="shared" si="10"/>
        <v>118.99527839999999</v>
      </c>
      <c r="AA35">
        <f t="shared" si="11"/>
        <v>70.390857600000004</v>
      </c>
      <c r="AB35">
        <f t="shared" si="12"/>
        <v>32.427863999999992</v>
      </c>
      <c r="AC35" t="b">
        <f t="shared" si="8"/>
        <v>1</v>
      </c>
      <c r="AD35" t="b">
        <f t="shared" si="9"/>
        <v>1</v>
      </c>
    </row>
    <row r="36" spans="1:30" x14ac:dyDescent="0.35">
      <c r="A36" t="s">
        <v>31</v>
      </c>
      <c r="B36">
        <v>4</v>
      </c>
      <c r="C36">
        <v>2</v>
      </c>
      <c r="D36" t="s">
        <v>32</v>
      </c>
      <c r="E36">
        <v>2</v>
      </c>
      <c r="F36">
        <v>1</v>
      </c>
      <c r="G36" s="12">
        <v>73</v>
      </c>
      <c r="H36" s="12">
        <v>14.682</v>
      </c>
      <c r="I36" s="12">
        <v>1695</v>
      </c>
      <c r="J36" s="12">
        <v>17.706</v>
      </c>
      <c r="K36" s="12">
        <v>41.732999999999997</v>
      </c>
      <c r="L36" s="12">
        <v>0.14899999999999999</v>
      </c>
      <c r="M36" s="22">
        <v>251.74</v>
      </c>
      <c r="N36" s="12">
        <v>1.464</v>
      </c>
      <c r="O36" s="13">
        <v>3.448</v>
      </c>
      <c r="P36" s="14">
        <v>73</v>
      </c>
      <c r="Q36" s="14">
        <v>17.706</v>
      </c>
      <c r="R36" s="14">
        <v>176.27799999999999</v>
      </c>
      <c r="S36" s="14">
        <v>75.462000000000003</v>
      </c>
      <c r="T36" s="14" t="b">
        <f t="shared" si="3"/>
        <v>1</v>
      </c>
      <c r="U36" s="14" t="b">
        <f t="shared" si="4"/>
        <v>1</v>
      </c>
      <c r="V36" s="15">
        <f>VLOOKUP(IF(J36&lt;10, 10, IF(J36&gt;50,50,J36)),'Over to underbark'!$A$3:$C$43,IF(A36="Scots pine",3,IF(A36="Sitka spruce",2, "error")),TRUE)/100</f>
        <v>0.84</v>
      </c>
      <c r="W36">
        <f t="shared" si="5"/>
        <v>133.26616799999999</v>
      </c>
      <c r="X36">
        <f t="shared" si="6"/>
        <v>57.049272000000002</v>
      </c>
      <c r="Y36">
        <f t="shared" si="7"/>
        <v>36.250560000000007</v>
      </c>
      <c r="Z36">
        <f t="shared" si="10"/>
        <v>120.76966655999999</v>
      </c>
      <c r="AA36">
        <f t="shared" si="11"/>
        <v>71.566770239999997</v>
      </c>
      <c r="AB36">
        <f t="shared" si="12"/>
        <v>34.229563200000001</v>
      </c>
      <c r="AC36" t="b">
        <f t="shared" si="8"/>
        <v>1</v>
      </c>
      <c r="AD36" t="b">
        <f t="shared" si="9"/>
        <v>1</v>
      </c>
    </row>
    <row r="37" spans="1:30" x14ac:dyDescent="0.35">
      <c r="A37" t="s">
        <v>31</v>
      </c>
      <c r="B37">
        <v>4</v>
      </c>
      <c r="C37">
        <v>2</v>
      </c>
      <c r="D37" t="s">
        <v>32</v>
      </c>
      <c r="E37">
        <v>2</v>
      </c>
      <c r="F37">
        <v>1</v>
      </c>
      <c r="G37" s="12">
        <v>74</v>
      </c>
      <c r="H37" s="12">
        <v>14.816000000000001</v>
      </c>
      <c r="I37" s="12">
        <v>1683</v>
      </c>
      <c r="J37" s="12">
        <v>17.867000000000001</v>
      </c>
      <c r="K37" s="12">
        <v>42.198</v>
      </c>
      <c r="L37" s="12">
        <v>0.153</v>
      </c>
      <c r="M37" s="22">
        <v>257.02</v>
      </c>
      <c r="N37" s="12">
        <v>1.54</v>
      </c>
      <c r="O37" s="13">
        <v>3.4729999999999999</v>
      </c>
      <c r="P37" s="14">
        <v>74</v>
      </c>
      <c r="Q37" s="14">
        <v>17.867000000000001</v>
      </c>
      <c r="R37" s="14">
        <v>177.49299999999999</v>
      </c>
      <c r="S37" s="14">
        <v>79.527000000000001</v>
      </c>
      <c r="T37" s="14" t="b">
        <f t="shared" si="3"/>
        <v>1</v>
      </c>
      <c r="U37" s="14" t="b">
        <f t="shared" si="4"/>
        <v>1</v>
      </c>
      <c r="V37" s="15">
        <f>VLOOKUP(IF(J37&lt;10, 10, IF(J37&gt;50,50,J37)),'Over to underbark'!$A$3:$C$43,IF(A37="Scots pine",3,IF(A37="Sitka spruce",2, "error")),TRUE)/100</f>
        <v>0.84</v>
      </c>
      <c r="W37">
        <f t="shared" si="5"/>
        <v>134.184708</v>
      </c>
      <c r="X37">
        <f t="shared" si="6"/>
        <v>60.122412000000004</v>
      </c>
      <c r="Y37">
        <f t="shared" si="7"/>
        <v>37.010880000000007</v>
      </c>
      <c r="Z37">
        <f t="shared" si="10"/>
        <v>122.51452536000002</v>
      </c>
      <c r="AA37">
        <f t="shared" si="11"/>
        <v>72.730027440000001</v>
      </c>
      <c r="AB37">
        <f t="shared" si="12"/>
        <v>36.073447200000004</v>
      </c>
      <c r="AC37" t="b">
        <f t="shared" si="8"/>
        <v>1</v>
      </c>
      <c r="AD37" t="b">
        <f t="shared" si="9"/>
        <v>1</v>
      </c>
    </row>
    <row r="38" spans="1:30" x14ac:dyDescent="0.35">
      <c r="A38" t="s">
        <v>31</v>
      </c>
      <c r="B38">
        <v>4</v>
      </c>
      <c r="C38">
        <v>2</v>
      </c>
      <c r="D38" t="s">
        <v>32</v>
      </c>
      <c r="E38">
        <v>2</v>
      </c>
      <c r="F38">
        <v>1</v>
      </c>
      <c r="G38" s="12">
        <v>75</v>
      </c>
      <c r="H38" s="12">
        <v>14.95</v>
      </c>
      <c r="I38" s="12">
        <v>1671</v>
      </c>
      <c r="J38" s="12">
        <v>18.03</v>
      </c>
      <c r="K38" s="12">
        <v>42.664000000000001</v>
      </c>
      <c r="L38" s="12">
        <v>0.157</v>
      </c>
      <c r="M38" s="22">
        <v>262.3</v>
      </c>
      <c r="N38" s="12">
        <v>1.613</v>
      </c>
      <c r="O38" s="13">
        <v>3.4969999999999999</v>
      </c>
      <c r="P38" s="14">
        <v>75</v>
      </c>
      <c r="Q38" s="14">
        <v>18.03</v>
      </c>
      <c r="R38" s="14">
        <v>178.58600000000001</v>
      </c>
      <c r="S38" s="14">
        <v>83.713999999999999</v>
      </c>
      <c r="T38" s="14" t="b">
        <f t="shared" si="3"/>
        <v>1</v>
      </c>
      <c r="U38" s="14" t="b">
        <f t="shared" si="4"/>
        <v>1</v>
      </c>
      <c r="V38" s="15">
        <f>VLOOKUP(IF(J38&lt;10, 10, IF(J38&gt;50,50,J38)),'Over to underbark'!$A$3:$C$43,IF(A38="Scots pine",3,IF(A38="Sitka spruce",2, "error")),TRUE)/100</f>
        <v>0.84</v>
      </c>
      <c r="W38">
        <f t="shared" si="5"/>
        <v>135.01101600000001</v>
      </c>
      <c r="X38">
        <f t="shared" si="6"/>
        <v>63.287784000000002</v>
      </c>
      <c r="Y38">
        <f t="shared" si="7"/>
        <v>37.771200000000007</v>
      </c>
      <c r="Z38">
        <f t="shared" si="10"/>
        <v>124.22064672000002</v>
      </c>
      <c r="AA38">
        <f t="shared" si="11"/>
        <v>73.876682880000004</v>
      </c>
      <c r="AB38">
        <f t="shared" si="12"/>
        <v>37.972670399999998</v>
      </c>
      <c r="AC38" t="b">
        <f t="shared" si="8"/>
        <v>1</v>
      </c>
      <c r="AD38" t="b">
        <f t="shared" si="9"/>
        <v>1</v>
      </c>
    </row>
    <row r="39" spans="1:30" x14ac:dyDescent="0.35">
      <c r="A39" t="s">
        <v>31</v>
      </c>
      <c r="B39">
        <v>4</v>
      </c>
      <c r="C39">
        <v>2</v>
      </c>
      <c r="D39" t="s">
        <v>32</v>
      </c>
      <c r="E39">
        <v>2</v>
      </c>
      <c r="F39">
        <v>1</v>
      </c>
      <c r="G39" s="12">
        <v>76</v>
      </c>
      <c r="H39" s="12">
        <v>15.061999999999999</v>
      </c>
      <c r="I39" s="12">
        <v>1660</v>
      </c>
      <c r="J39" s="12">
        <v>18.178999999999998</v>
      </c>
      <c r="K39" s="12">
        <v>43.087000000000003</v>
      </c>
      <c r="L39" s="12">
        <v>0.161</v>
      </c>
      <c r="M39" s="22">
        <v>267.06</v>
      </c>
      <c r="N39" s="12">
        <v>1.7010000000000001</v>
      </c>
      <c r="O39" s="13">
        <v>3.5139999999999998</v>
      </c>
      <c r="P39" s="14">
        <v>76</v>
      </c>
      <c r="Q39" s="14">
        <v>18.178999999999998</v>
      </c>
      <c r="R39" s="14">
        <v>179.46199999999999</v>
      </c>
      <c r="S39" s="14">
        <v>87.597999999999999</v>
      </c>
      <c r="T39" s="14" t="b">
        <f t="shared" si="3"/>
        <v>1</v>
      </c>
      <c r="U39" s="14" t="b">
        <f t="shared" si="4"/>
        <v>1</v>
      </c>
      <c r="V39" s="15">
        <f>VLOOKUP(IF(J39&lt;10, 10, IF(J39&gt;50,50,J39)),'Over to underbark'!$A$3:$C$43,IF(A39="Scots pine",3,IF(A39="Sitka spruce",2, "error")),TRUE)/100</f>
        <v>0.84</v>
      </c>
      <c r="W39">
        <f t="shared" si="5"/>
        <v>135.67327199999997</v>
      </c>
      <c r="X39">
        <f t="shared" si="6"/>
        <v>66.224087999999995</v>
      </c>
      <c r="Y39">
        <f t="shared" si="7"/>
        <v>38.456640000000007</v>
      </c>
      <c r="Z39">
        <f t="shared" si="10"/>
        <v>125.72401823999998</v>
      </c>
      <c r="AA39">
        <f t="shared" si="11"/>
        <v>74.895528959999979</v>
      </c>
      <c r="AB39">
        <f t="shared" si="12"/>
        <v>39.734452799999993</v>
      </c>
      <c r="AC39" t="b">
        <f t="shared" si="8"/>
        <v>1</v>
      </c>
      <c r="AD39" t="b">
        <f t="shared" si="9"/>
        <v>1</v>
      </c>
    </row>
    <row r="40" spans="1:30" x14ac:dyDescent="0.35">
      <c r="A40" t="s">
        <v>31</v>
      </c>
      <c r="B40">
        <v>4</v>
      </c>
      <c r="C40">
        <v>2</v>
      </c>
      <c r="D40" t="s">
        <v>32</v>
      </c>
      <c r="E40">
        <v>2</v>
      </c>
      <c r="F40">
        <v>1</v>
      </c>
      <c r="G40" s="12">
        <v>77</v>
      </c>
      <c r="H40" s="12">
        <v>15.173999999999999</v>
      </c>
      <c r="I40" s="12">
        <v>1650</v>
      </c>
      <c r="J40" s="12">
        <v>18.323</v>
      </c>
      <c r="K40" s="12">
        <v>43.51</v>
      </c>
      <c r="L40" s="12">
        <v>0.16500000000000001</v>
      </c>
      <c r="M40" s="22">
        <v>271.82</v>
      </c>
      <c r="N40" s="12">
        <v>1.7849999999999999</v>
      </c>
      <c r="O40" s="13">
        <v>3.53</v>
      </c>
      <c r="P40" s="14">
        <v>77</v>
      </c>
      <c r="Q40" s="14">
        <v>18.323</v>
      </c>
      <c r="R40" s="14">
        <v>180.345</v>
      </c>
      <c r="S40" s="14">
        <v>91.474999999999994</v>
      </c>
      <c r="T40" s="14" t="b">
        <f t="shared" si="3"/>
        <v>1</v>
      </c>
      <c r="U40" s="14" t="b">
        <f t="shared" si="4"/>
        <v>1</v>
      </c>
      <c r="V40" s="15">
        <f>VLOOKUP(IF(J40&lt;10, 10, IF(J40&gt;50,50,J40)),'Over to underbark'!$A$3:$C$43,IF(A40="Scots pine",3,IF(A40="Sitka spruce",2, "error")),TRUE)/100</f>
        <v>0.84</v>
      </c>
      <c r="W40">
        <f t="shared" si="5"/>
        <v>136.34081999999998</v>
      </c>
      <c r="X40">
        <f t="shared" si="6"/>
        <v>69.155100000000004</v>
      </c>
      <c r="Y40">
        <f t="shared" si="7"/>
        <v>39.142080000000007</v>
      </c>
      <c r="Z40">
        <f t="shared" si="10"/>
        <v>127.22961239999999</v>
      </c>
      <c r="AA40">
        <f t="shared" si="11"/>
        <v>75.915327599999983</v>
      </c>
      <c r="AB40">
        <f t="shared" si="12"/>
        <v>41.49306</v>
      </c>
      <c r="AC40" t="b">
        <f t="shared" si="8"/>
        <v>1</v>
      </c>
      <c r="AD40" t="b">
        <f t="shared" si="9"/>
        <v>1</v>
      </c>
    </row>
    <row r="41" spans="1:30" x14ac:dyDescent="0.35">
      <c r="A41" t="s">
        <v>31</v>
      </c>
      <c r="B41">
        <v>4</v>
      </c>
      <c r="C41">
        <v>2</v>
      </c>
      <c r="D41" t="s">
        <v>32</v>
      </c>
      <c r="E41">
        <v>2</v>
      </c>
      <c r="F41">
        <v>1</v>
      </c>
      <c r="G41" s="12">
        <v>78</v>
      </c>
      <c r="H41" s="12">
        <v>15.286</v>
      </c>
      <c r="I41" s="12">
        <v>1640</v>
      </c>
      <c r="J41" s="12">
        <v>18.468</v>
      </c>
      <c r="K41" s="12">
        <v>43.933</v>
      </c>
      <c r="L41" s="12">
        <v>0.16900000000000001</v>
      </c>
      <c r="M41" s="22">
        <v>276.58</v>
      </c>
      <c r="N41" s="12">
        <v>1.8660000000000001</v>
      </c>
      <c r="O41" s="13">
        <v>3.5459999999999998</v>
      </c>
      <c r="P41" s="14">
        <v>78</v>
      </c>
      <c r="Q41" s="14">
        <v>18.468</v>
      </c>
      <c r="R41" s="14">
        <v>181.142</v>
      </c>
      <c r="S41" s="14">
        <v>95.438000000000002</v>
      </c>
      <c r="T41" s="14" t="b">
        <f t="shared" si="3"/>
        <v>1</v>
      </c>
      <c r="U41" s="14" t="b">
        <f t="shared" si="4"/>
        <v>1</v>
      </c>
      <c r="V41" s="15">
        <f>VLOOKUP(IF(J41&lt;10, 10, IF(J41&gt;50,50,J41)),'Over to underbark'!$A$3:$C$43,IF(A41="Scots pine",3,IF(A41="Sitka spruce",2, "error")),TRUE)/100</f>
        <v>0.84</v>
      </c>
      <c r="W41">
        <f t="shared" si="5"/>
        <v>136.943352</v>
      </c>
      <c r="X41">
        <f t="shared" si="6"/>
        <v>72.151128</v>
      </c>
      <c r="Y41">
        <f t="shared" si="7"/>
        <v>39.827520000000007</v>
      </c>
      <c r="Z41">
        <f t="shared" si="10"/>
        <v>128.70789984000001</v>
      </c>
      <c r="AA41">
        <f t="shared" si="11"/>
        <v>76.923423360000001</v>
      </c>
      <c r="AB41">
        <f t="shared" si="12"/>
        <v>43.2906768</v>
      </c>
      <c r="AC41" t="b">
        <f t="shared" si="8"/>
        <v>1</v>
      </c>
      <c r="AD41" t="b">
        <f t="shared" si="9"/>
        <v>1</v>
      </c>
    </row>
    <row r="42" spans="1:30" x14ac:dyDescent="0.35">
      <c r="A42" t="s">
        <v>31</v>
      </c>
      <c r="B42">
        <v>4</v>
      </c>
      <c r="C42">
        <v>2</v>
      </c>
      <c r="D42" t="s">
        <v>32</v>
      </c>
      <c r="E42">
        <v>2</v>
      </c>
      <c r="F42">
        <v>1</v>
      </c>
      <c r="G42" s="12">
        <v>79</v>
      </c>
      <c r="H42" s="12">
        <v>15.398</v>
      </c>
      <c r="I42" s="12">
        <v>1630</v>
      </c>
      <c r="J42" s="12">
        <v>18.614000000000001</v>
      </c>
      <c r="K42" s="12">
        <v>44.356000000000002</v>
      </c>
      <c r="L42" s="12">
        <v>0.17299999999999999</v>
      </c>
      <c r="M42" s="22">
        <v>281.33999999999997</v>
      </c>
      <c r="N42" s="12">
        <v>1.9450000000000001</v>
      </c>
      <c r="O42" s="13">
        <v>3.5609999999999999</v>
      </c>
      <c r="P42" s="14">
        <v>79</v>
      </c>
      <c r="Q42" s="14">
        <v>18.614000000000001</v>
      </c>
      <c r="R42" s="14">
        <v>181.85300000000001</v>
      </c>
      <c r="S42" s="14">
        <v>99.486999999999995</v>
      </c>
      <c r="T42" s="14" t="b">
        <f t="shared" si="3"/>
        <v>1</v>
      </c>
      <c r="U42" s="14" t="b">
        <f t="shared" si="4"/>
        <v>1</v>
      </c>
      <c r="V42" s="15">
        <f>VLOOKUP(IF(J42&lt;10, 10, IF(J42&gt;50,50,J42)),'Over to underbark'!$A$3:$C$43,IF(A42="Scots pine",3,IF(A42="Sitka spruce",2, "error")),TRUE)/100</f>
        <v>0.84</v>
      </c>
      <c r="W42">
        <f t="shared" si="5"/>
        <v>137.48086800000002</v>
      </c>
      <c r="X42">
        <f t="shared" si="6"/>
        <v>75.212171999999995</v>
      </c>
      <c r="Y42">
        <f t="shared" si="7"/>
        <v>40.512960000000014</v>
      </c>
      <c r="Z42">
        <f t="shared" si="10"/>
        <v>130.15888056000003</v>
      </c>
      <c r="AA42">
        <f t="shared" si="11"/>
        <v>77.919816240000003</v>
      </c>
      <c r="AB42">
        <f t="shared" si="12"/>
        <v>45.127303199999993</v>
      </c>
      <c r="AC42" t="b">
        <f t="shared" si="8"/>
        <v>1</v>
      </c>
      <c r="AD42" t="b">
        <f t="shared" si="9"/>
        <v>1</v>
      </c>
    </row>
    <row r="43" spans="1:30" x14ac:dyDescent="0.35">
      <c r="A43" t="s">
        <v>31</v>
      </c>
      <c r="B43">
        <v>4</v>
      </c>
      <c r="C43">
        <v>2</v>
      </c>
      <c r="D43" t="s">
        <v>32</v>
      </c>
      <c r="E43">
        <v>2</v>
      </c>
      <c r="F43">
        <v>1</v>
      </c>
      <c r="G43" s="12">
        <v>80</v>
      </c>
      <c r="H43" s="12">
        <v>15.51</v>
      </c>
      <c r="I43" s="12">
        <v>1620</v>
      </c>
      <c r="J43" s="12">
        <v>18.760000000000002</v>
      </c>
      <c r="K43" s="12">
        <v>44.779000000000003</v>
      </c>
      <c r="L43" s="12">
        <v>0.17699999999999999</v>
      </c>
      <c r="M43" s="22">
        <v>286.10000000000002</v>
      </c>
      <c r="N43" s="12">
        <v>2.0209999999999999</v>
      </c>
      <c r="O43" s="13">
        <v>3.5760000000000001</v>
      </c>
      <c r="P43" s="14">
        <v>80</v>
      </c>
      <c r="Q43" s="14">
        <v>18.760000000000002</v>
      </c>
      <c r="R43" s="14">
        <v>182.49700000000001</v>
      </c>
      <c r="S43" s="14">
        <v>103.60299999999999</v>
      </c>
      <c r="T43" s="14" t="b">
        <f t="shared" si="3"/>
        <v>1</v>
      </c>
      <c r="U43" s="14" t="b">
        <f t="shared" si="4"/>
        <v>1</v>
      </c>
      <c r="V43" s="15">
        <f>VLOOKUP(IF(J43&lt;10, 10, IF(J43&gt;50,50,J43)),'Over to underbark'!$A$3:$C$43,IF(A43="Scots pine",3,IF(A43="Sitka spruce",2, "error")),TRUE)/100</f>
        <v>0.84</v>
      </c>
      <c r="W43">
        <f t="shared" si="5"/>
        <v>137.96773200000001</v>
      </c>
      <c r="X43">
        <f t="shared" si="6"/>
        <v>78.32386799999999</v>
      </c>
      <c r="Y43">
        <f t="shared" si="7"/>
        <v>41.198400000000007</v>
      </c>
      <c r="Z43">
        <f t="shared" si="10"/>
        <v>131.58858744</v>
      </c>
      <c r="AA43">
        <f t="shared" si="11"/>
        <v>78.90709176</v>
      </c>
      <c r="AB43">
        <f t="shared" si="12"/>
        <v>46.99432079999999</v>
      </c>
      <c r="AC43" t="b">
        <f t="shared" si="8"/>
        <v>1</v>
      </c>
      <c r="AD43" t="b">
        <f t="shared" si="9"/>
        <v>1</v>
      </c>
    </row>
    <row r="44" spans="1:30" x14ac:dyDescent="0.35">
      <c r="A44" t="s">
        <v>31</v>
      </c>
      <c r="B44">
        <v>4</v>
      </c>
      <c r="C44">
        <v>2</v>
      </c>
      <c r="D44" t="s">
        <v>32</v>
      </c>
      <c r="E44">
        <v>2</v>
      </c>
      <c r="F44">
        <v>1</v>
      </c>
      <c r="G44" s="12">
        <v>81</v>
      </c>
      <c r="H44" s="12">
        <v>15.608000000000001</v>
      </c>
      <c r="I44" s="12">
        <v>1611</v>
      </c>
      <c r="J44" s="12">
        <v>18.891999999999999</v>
      </c>
      <c r="K44" s="12">
        <v>45.158999999999999</v>
      </c>
      <c r="L44" s="12">
        <v>0.18</v>
      </c>
      <c r="M44" s="22">
        <v>290.45999999999998</v>
      </c>
      <c r="N44" s="12">
        <v>2.1230000000000002</v>
      </c>
      <c r="O44" s="13">
        <v>3.5859999999999999</v>
      </c>
      <c r="P44" s="14">
        <v>81</v>
      </c>
      <c r="Q44" s="14">
        <v>18.891999999999999</v>
      </c>
      <c r="R44" s="14">
        <v>183.05699999999999</v>
      </c>
      <c r="S44" s="14">
        <v>107.40300000000001</v>
      </c>
      <c r="T44" s="14" t="b">
        <f t="shared" si="3"/>
        <v>1</v>
      </c>
      <c r="U44" s="14" t="b">
        <f t="shared" si="4"/>
        <v>1</v>
      </c>
      <c r="V44" s="15">
        <f>VLOOKUP(IF(J44&lt;10, 10, IF(J44&gt;50,50,J44)),'Over to underbark'!$A$3:$C$43,IF(A44="Scots pine",3,IF(A44="Sitka spruce",2, "error")),TRUE)/100</f>
        <v>0.84</v>
      </c>
      <c r="W44">
        <f t="shared" si="5"/>
        <v>138.39109199999999</v>
      </c>
      <c r="X44">
        <f t="shared" si="6"/>
        <v>81.196668000000003</v>
      </c>
      <c r="Y44">
        <f t="shared" si="7"/>
        <v>41.826240000000006</v>
      </c>
      <c r="Z44">
        <f t="shared" si="10"/>
        <v>132.88866264000001</v>
      </c>
      <c r="AA44">
        <f t="shared" si="11"/>
        <v>79.807336559999996</v>
      </c>
      <c r="AB44">
        <f t="shared" si="12"/>
        <v>48.718000799999999</v>
      </c>
      <c r="AC44" t="b">
        <f t="shared" si="8"/>
        <v>1</v>
      </c>
      <c r="AD44" t="b">
        <f t="shared" si="9"/>
        <v>1</v>
      </c>
    </row>
    <row r="45" spans="1:30" x14ac:dyDescent="0.35">
      <c r="A45" t="s">
        <v>31</v>
      </c>
      <c r="B45">
        <v>4</v>
      </c>
      <c r="C45">
        <v>2</v>
      </c>
      <c r="D45" t="s">
        <v>32</v>
      </c>
      <c r="E45">
        <v>2</v>
      </c>
      <c r="F45">
        <v>1</v>
      </c>
      <c r="G45" s="12">
        <v>82</v>
      </c>
      <c r="H45" s="12">
        <v>15.706</v>
      </c>
      <c r="I45" s="12">
        <v>1602</v>
      </c>
      <c r="J45" s="12">
        <v>19.024999999999999</v>
      </c>
      <c r="K45" s="12">
        <v>45.54</v>
      </c>
      <c r="L45" s="12">
        <v>0.184</v>
      </c>
      <c r="M45" s="22">
        <v>294.82</v>
      </c>
      <c r="N45" s="12">
        <v>2.222</v>
      </c>
      <c r="O45" s="13">
        <v>3.5950000000000002</v>
      </c>
      <c r="P45" s="14">
        <v>82</v>
      </c>
      <c r="Q45" s="14">
        <v>19.024999999999999</v>
      </c>
      <c r="R45" s="14">
        <v>183.54599999999999</v>
      </c>
      <c r="S45" s="14">
        <v>111.274</v>
      </c>
      <c r="T45" s="14" t="b">
        <f t="shared" si="3"/>
        <v>1</v>
      </c>
      <c r="U45" s="14" t="b">
        <f t="shared" si="4"/>
        <v>1</v>
      </c>
      <c r="V45" s="15">
        <f>VLOOKUP(IF(J45&lt;10, 10, IF(J45&gt;50,50,J45)),'Over to underbark'!$A$3:$C$43,IF(A45="Scots pine",3,IF(A45="Sitka spruce",2, "error")),TRUE)/100</f>
        <v>0.84</v>
      </c>
      <c r="W45">
        <f t="shared" si="5"/>
        <v>138.76077599999999</v>
      </c>
      <c r="X45">
        <f t="shared" si="6"/>
        <v>84.123143999999996</v>
      </c>
      <c r="Y45">
        <f t="shared" si="7"/>
        <v>42.454080000000012</v>
      </c>
      <c r="Z45">
        <f t="shared" si="10"/>
        <v>134.16619391999998</v>
      </c>
      <c r="AA45">
        <f t="shared" si="11"/>
        <v>80.697919679999998</v>
      </c>
      <c r="AB45">
        <f t="shared" si="12"/>
        <v>50.473886399999998</v>
      </c>
      <c r="AC45" t="b">
        <f t="shared" si="8"/>
        <v>1</v>
      </c>
      <c r="AD45" t="b">
        <f t="shared" si="9"/>
        <v>1</v>
      </c>
    </row>
    <row r="46" spans="1:30" x14ac:dyDescent="0.35">
      <c r="A46" t="s">
        <v>31</v>
      </c>
      <c r="B46">
        <v>4</v>
      </c>
      <c r="C46">
        <v>2</v>
      </c>
      <c r="D46" t="s">
        <v>32</v>
      </c>
      <c r="E46">
        <v>2</v>
      </c>
      <c r="F46">
        <v>1</v>
      </c>
      <c r="G46" s="12">
        <v>83</v>
      </c>
      <c r="H46" s="12">
        <v>15.804</v>
      </c>
      <c r="I46" s="12">
        <v>1593</v>
      </c>
      <c r="J46" s="12">
        <v>19.158000000000001</v>
      </c>
      <c r="K46" s="12">
        <v>45.92</v>
      </c>
      <c r="L46" s="12">
        <v>0.188</v>
      </c>
      <c r="M46" s="22">
        <v>299.18</v>
      </c>
      <c r="N46" s="12">
        <v>2.3180000000000001</v>
      </c>
      <c r="O46" s="13">
        <v>3.605</v>
      </c>
      <c r="P46" s="14">
        <v>83</v>
      </c>
      <c r="Q46" s="14">
        <v>19.158000000000001</v>
      </c>
      <c r="R46" s="14">
        <v>183.98</v>
      </c>
      <c r="S46" s="14">
        <v>115.2</v>
      </c>
      <c r="T46" s="14" t="b">
        <f t="shared" si="3"/>
        <v>1</v>
      </c>
      <c r="U46" s="14" t="b">
        <f t="shared" si="4"/>
        <v>1</v>
      </c>
      <c r="V46" s="15">
        <f>VLOOKUP(IF(J46&lt;10, 10, IF(J46&gt;50,50,J46)),'Over to underbark'!$A$3:$C$43,IF(A46="Scots pine",3,IF(A46="Sitka spruce",2, "error")),TRUE)/100</f>
        <v>0.84</v>
      </c>
      <c r="W46">
        <f t="shared" si="5"/>
        <v>139.08887999999999</v>
      </c>
      <c r="X46">
        <f t="shared" si="6"/>
        <v>87.091200000000001</v>
      </c>
      <c r="Y46">
        <f t="shared" si="7"/>
        <v>43.081920000000011</v>
      </c>
      <c r="Z46">
        <f t="shared" si="10"/>
        <v>135.4262616</v>
      </c>
      <c r="AA46">
        <f t="shared" si="11"/>
        <v>81.581018399999991</v>
      </c>
      <c r="AB46">
        <f t="shared" si="12"/>
        <v>52.254719999999999</v>
      </c>
      <c r="AC46" t="b">
        <f t="shared" si="8"/>
        <v>1</v>
      </c>
      <c r="AD46" t="b">
        <f t="shared" si="9"/>
        <v>1</v>
      </c>
    </row>
    <row r="47" spans="1:30" x14ac:dyDescent="0.35">
      <c r="A47" t="s">
        <v>31</v>
      </c>
      <c r="B47">
        <v>4</v>
      </c>
      <c r="C47">
        <v>2</v>
      </c>
      <c r="D47" t="s">
        <v>32</v>
      </c>
      <c r="E47">
        <v>2</v>
      </c>
      <c r="F47">
        <v>1</v>
      </c>
      <c r="G47" s="12">
        <v>84</v>
      </c>
      <c r="H47" s="12">
        <v>15.901999999999999</v>
      </c>
      <c r="I47" s="12">
        <v>1584</v>
      </c>
      <c r="J47" s="12">
        <v>19.292000000000002</v>
      </c>
      <c r="K47" s="12">
        <v>46.301000000000002</v>
      </c>
      <c r="L47" s="12">
        <v>0.192</v>
      </c>
      <c r="M47" s="22">
        <v>303.54000000000002</v>
      </c>
      <c r="N47" s="12">
        <v>2.411</v>
      </c>
      <c r="O47" s="13">
        <v>3.6139999999999999</v>
      </c>
      <c r="P47" s="14">
        <v>84</v>
      </c>
      <c r="Q47" s="14">
        <v>19.292000000000002</v>
      </c>
      <c r="R47" s="14">
        <v>184.34399999999999</v>
      </c>
      <c r="S47" s="14">
        <v>119.196</v>
      </c>
      <c r="T47" s="14" t="b">
        <f t="shared" si="3"/>
        <v>1</v>
      </c>
      <c r="U47" s="14" t="b">
        <f t="shared" si="4"/>
        <v>1</v>
      </c>
      <c r="V47" s="15">
        <f>VLOOKUP(IF(J47&lt;10, 10, IF(J47&gt;50,50,J47)),'Over to underbark'!$A$3:$C$43,IF(A47="Scots pine",3,IF(A47="Sitka spruce",2, "error")),TRUE)/100</f>
        <v>0.84</v>
      </c>
      <c r="W47">
        <f t="shared" si="5"/>
        <v>139.36406400000001</v>
      </c>
      <c r="X47">
        <f t="shared" si="6"/>
        <v>90.112175999999991</v>
      </c>
      <c r="Y47">
        <f t="shared" si="7"/>
        <v>43.709760000000003</v>
      </c>
      <c r="Z47">
        <f t="shared" si="10"/>
        <v>136.66410288</v>
      </c>
      <c r="AA47">
        <f t="shared" si="11"/>
        <v>82.454591520000008</v>
      </c>
      <c r="AB47">
        <f t="shared" si="12"/>
        <v>54.06730559999999</v>
      </c>
      <c r="AC47" t="b">
        <f t="shared" si="8"/>
        <v>1</v>
      </c>
      <c r="AD47" t="b">
        <f t="shared" si="9"/>
        <v>1</v>
      </c>
    </row>
    <row r="48" spans="1:30" x14ac:dyDescent="0.35">
      <c r="A48" t="s">
        <v>31</v>
      </c>
      <c r="B48">
        <v>4</v>
      </c>
      <c r="C48">
        <v>2</v>
      </c>
      <c r="D48" t="s">
        <v>32</v>
      </c>
      <c r="E48">
        <v>2</v>
      </c>
      <c r="F48">
        <v>1</v>
      </c>
      <c r="G48" s="12">
        <v>85</v>
      </c>
      <c r="H48" s="12">
        <v>16</v>
      </c>
      <c r="I48" s="12">
        <v>1576</v>
      </c>
      <c r="J48" s="12">
        <v>19.420000000000002</v>
      </c>
      <c r="K48" s="12">
        <v>46.680999999999997</v>
      </c>
      <c r="L48" s="12">
        <v>0.19500000000000001</v>
      </c>
      <c r="M48" s="22">
        <v>307.89999999999998</v>
      </c>
      <c r="N48" s="12">
        <v>2.5019999999999998</v>
      </c>
      <c r="O48" s="13">
        <v>3.6219999999999999</v>
      </c>
      <c r="P48" s="14">
        <v>85</v>
      </c>
      <c r="Q48" s="14">
        <v>19.420000000000002</v>
      </c>
      <c r="R48" s="14">
        <v>184.761</v>
      </c>
      <c r="S48" s="14">
        <v>123.139</v>
      </c>
      <c r="T48" s="14" t="b">
        <f t="shared" si="3"/>
        <v>1</v>
      </c>
      <c r="U48" s="14" t="b">
        <f t="shared" si="4"/>
        <v>1</v>
      </c>
      <c r="V48" s="15">
        <f>VLOOKUP(IF(J48&lt;10, 10, IF(J48&gt;50,50,J48)),'Over to underbark'!$A$3:$C$43,IF(A48="Scots pine",3,IF(A48="Sitka spruce",2, "error")),TRUE)/100</f>
        <v>0.84</v>
      </c>
      <c r="W48">
        <f t="shared" si="5"/>
        <v>139.679316</v>
      </c>
      <c r="X48">
        <f t="shared" si="6"/>
        <v>93.09308399999999</v>
      </c>
      <c r="Y48">
        <f t="shared" si="7"/>
        <v>44.337600000000009</v>
      </c>
      <c r="Z48">
        <f t="shared" si="10"/>
        <v>137.91877271999999</v>
      </c>
      <c r="AA48">
        <f t="shared" si="11"/>
        <v>83.335376879999998</v>
      </c>
      <c r="AB48">
        <f t="shared" si="12"/>
        <v>55.855850399999994</v>
      </c>
      <c r="AC48" t="b">
        <f t="shared" si="8"/>
        <v>1</v>
      </c>
      <c r="AD48" t="b">
        <f t="shared" si="9"/>
        <v>1</v>
      </c>
    </row>
    <row r="49" spans="1:30" x14ac:dyDescent="0.35">
      <c r="A49" t="s">
        <v>31</v>
      </c>
      <c r="B49">
        <v>4</v>
      </c>
      <c r="C49">
        <v>2</v>
      </c>
      <c r="D49" t="s">
        <v>32</v>
      </c>
      <c r="E49">
        <v>2</v>
      </c>
      <c r="F49">
        <v>1</v>
      </c>
      <c r="G49" s="12">
        <v>86</v>
      </c>
      <c r="H49" s="12">
        <v>16.088000000000001</v>
      </c>
      <c r="I49" s="12">
        <v>1568</v>
      </c>
      <c r="J49" s="12">
        <v>19.545000000000002</v>
      </c>
      <c r="K49" s="12">
        <v>47.043999999999997</v>
      </c>
      <c r="L49" s="12">
        <v>0.19900000000000001</v>
      </c>
      <c r="M49" s="22">
        <v>311.95999999999998</v>
      </c>
      <c r="N49" s="12">
        <v>2.61</v>
      </c>
      <c r="O49" s="13">
        <v>3.6269999999999998</v>
      </c>
      <c r="P49" s="14">
        <v>86</v>
      </c>
      <c r="Q49" s="14">
        <v>19.545000000000002</v>
      </c>
      <c r="R49" s="14">
        <v>185.00200000000001</v>
      </c>
      <c r="S49" s="14">
        <v>126.958</v>
      </c>
      <c r="T49" s="14" t="b">
        <f t="shared" si="3"/>
        <v>1</v>
      </c>
      <c r="U49" s="14" t="b">
        <f t="shared" si="4"/>
        <v>1</v>
      </c>
      <c r="V49" s="15">
        <f>VLOOKUP(IF(J49&lt;10, 10, IF(J49&gt;50,50,J49)),'Over to underbark'!$A$3:$C$43,IF(A49="Scots pine",3,IF(A49="Sitka spruce",2, "error")),TRUE)/100</f>
        <v>0.84</v>
      </c>
      <c r="W49">
        <f t="shared" si="5"/>
        <v>139.861512</v>
      </c>
      <c r="X49">
        <f t="shared" si="6"/>
        <v>95.980248000000003</v>
      </c>
      <c r="Y49">
        <f t="shared" si="7"/>
        <v>44.922240000000016</v>
      </c>
      <c r="Z49">
        <f t="shared" si="10"/>
        <v>139.04033903999999</v>
      </c>
      <c r="AA49">
        <f t="shared" si="11"/>
        <v>84.135512160000005</v>
      </c>
      <c r="AB49">
        <f t="shared" si="12"/>
        <v>57.588148799999999</v>
      </c>
      <c r="AC49" t="b">
        <f t="shared" si="8"/>
        <v>1</v>
      </c>
      <c r="AD49" t="b">
        <f t="shared" si="9"/>
        <v>1</v>
      </c>
    </row>
    <row r="50" spans="1:30" x14ac:dyDescent="0.35">
      <c r="A50" t="s">
        <v>31</v>
      </c>
      <c r="B50">
        <v>4</v>
      </c>
      <c r="C50">
        <v>2</v>
      </c>
      <c r="D50" t="s">
        <v>32</v>
      </c>
      <c r="E50">
        <v>2</v>
      </c>
      <c r="F50">
        <v>1</v>
      </c>
      <c r="G50" s="12">
        <v>87</v>
      </c>
      <c r="H50" s="12">
        <v>16.175999999999998</v>
      </c>
      <c r="I50" s="12">
        <v>1560</v>
      </c>
      <c r="J50" s="12">
        <v>19.670999999999999</v>
      </c>
      <c r="K50" s="12">
        <v>47.406999999999996</v>
      </c>
      <c r="L50" s="12">
        <v>0.20300000000000001</v>
      </c>
      <c r="M50" s="22">
        <v>316.02</v>
      </c>
      <c r="N50" s="12">
        <v>2.7149999999999999</v>
      </c>
      <c r="O50" s="13">
        <v>3.6320000000000001</v>
      </c>
      <c r="P50" s="14">
        <v>87</v>
      </c>
      <c r="Q50" s="14">
        <v>19.670999999999999</v>
      </c>
      <c r="R50" s="14">
        <v>185.18199999999999</v>
      </c>
      <c r="S50" s="14">
        <v>130.83799999999999</v>
      </c>
      <c r="T50" s="14" t="b">
        <f t="shared" si="3"/>
        <v>1</v>
      </c>
      <c r="U50" s="14" t="b">
        <f t="shared" si="4"/>
        <v>1</v>
      </c>
      <c r="V50" s="15">
        <f>VLOOKUP(IF(J50&lt;10, 10, IF(J50&gt;50,50,J50)),'Over to underbark'!$A$3:$C$43,IF(A50="Scots pine",3,IF(A50="Sitka spruce",2, "error")),TRUE)/100</f>
        <v>0.84</v>
      </c>
      <c r="W50">
        <f t="shared" si="5"/>
        <v>139.99759199999997</v>
      </c>
      <c r="X50">
        <f t="shared" si="6"/>
        <v>98.913527999999999</v>
      </c>
      <c r="Y50">
        <f t="shared" si="7"/>
        <v>45.50688000000001</v>
      </c>
      <c r="Z50">
        <f t="shared" si="10"/>
        <v>140.14253663999997</v>
      </c>
      <c r="AA50">
        <f t="shared" si="11"/>
        <v>84.927346559999989</v>
      </c>
      <c r="AB50">
        <f t="shared" si="12"/>
        <v>59.3481168</v>
      </c>
      <c r="AC50" t="b">
        <f t="shared" si="8"/>
        <v>1</v>
      </c>
      <c r="AD50" t="b">
        <f t="shared" si="9"/>
        <v>1</v>
      </c>
    </row>
    <row r="51" spans="1:30" x14ac:dyDescent="0.35">
      <c r="A51" t="s">
        <v>31</v>
      </c>
      <c r="B51">
        <v>4</v>
      </c>
      <c r="C51">
        <v>2</v>
      </c>
      <c r="D51" t="s">
        <v>32</v>
      </c>
      <c r="E51">
        <v>2</v>
      </c>
      <c r="F51">
        <v>1</v>
      </c>
      <c r="G51" s="12">
        <v>88</v>
      </c>
      <c r="H51" s="12">
        <v>16.263999999999999</v>
      </c>
      <c r="I51" s="12">
        <v>1552</v>
      </c>
      <c r="J51" s="12">
        <v>19.797000000000001</v>
      </c>
      <c r="K51" s="12">
        <v>47.77</v>
      </c>
      <c r="L51" s="12">
        <v>0.20599999999999999</v>
      </c>
      <c r="M51" s="22">
        <v>320.08</v>
      </c>
      <c r="N51" s="12">
        <v>2.8180000000000001</v>
      </c>
      <c r="O51" s="13">
        <v>3.637</v>
      </c>
      <c r="P51" s="14">
        <v>88</v>
      </c>
      <c r="Q51" s="14">
        <v>19.797000000000001</v>
      </c>
      <c r="R51" s="14">
        <v>185.31899999999999</v>
      </c>
      <c r="S51" s="14">
        <v>134.761</v>
      </c>
      <c r="T51" s="14" t="b">
        <f t="shared" si="3"/>
        <v>1</v>
      </c>
      <c r="U51" s="14" t="b">
        <f t="shared" si="4"/>
        <v>1</v>
      </c>
      <c r="V51" s="15">
        <f>VLOOKUP(IF(J51&lt;10, 10, IF(J51&gt;50,50,J51)),'Over to underbark'!$A$3:$C$43,IF(A51="Scots pine",3,IF(A51="Sitka spruce",2, "error")),TRUE)/100</f>
        <v>0.84</v>
      </c>
      <c r="W51">
        <f t="shared" si="5"/>
        <v>140.10116399999998</v>
      </c>
      <c r="X51">
        <f t="shared" si="6"/>
        <v>101.87931599999999</v>
      </c>
      <c r="Y51">
        <f t="shared" si="7"/>
        <v>46.09152000000001</v>
      </c>
      <c r="Z51">
        <f t="shared" si="10"/>
        <v>141.23108087999998</v>
      </c>
      <c r="AA51">
        <f t="shared" si="11"/>
        <v>85.713329519999988</v>
      </c>
      <c r="AB51">
        <f t="shared" si="12"/>
        <v>61.127589599999993</v>
      </c>
      <c r="AC51" t="b">
        <f t="shared" si="8"/>
        <v>1</v>
      </c>
      <c r="AD51" t="b">
        <f t="shared" si="9"/>
        <v>1</v>
      </c>
    </row>
    <row r="52" spans="1:30" x14ac:dyDescent="0.35">
      <c r="A52" t="s">
        <v>31</v>
      </c>
      <c r="B52">
        <v>4</v>
      </c>
      <c r="C52">
        <v>2</v>
      </c>
      <c r="D52" t="s">
        <v>32</v>
      </c>
      <c r="E52">
        <v>2</v>
      </c>
      <c r="F52">
        <v>1</v>
      </c>
      <c r="G52" s="12">
        <v>89</v>
      </c>
      <c r="H52" s="12">
        <v>16.352</v>
      </c>
      <c r="I52" s="12">
        <v>1544</v>
      </c>
      <c r="J52" s="12">
        <v>19.922999999999998</v>
      </c>
      <c r="K52" s="12">
        <v>48.133000000000003</v>
      </c>
      <c r="L52" s="12">
        <v>0.21</v>
      </c>
      <c r="M52" s="22">
        <v>324.14</v>
      </c>
      <c r="N52" s="12">
        <v>2.9169999999999998</v>
      </c>
      <c r="O52" s="13">
        <v>3.6419999999999999</v>
      </c>
      <c r="P52" s="14">
        <v>89</v>
      </c>
      <c r="Q52" s="14">
        <v>19.922999999999998</v>
      </c>
      <c r="R52" s="14">
        <v>185.41399999999999</v>
      </c>
      <c r="S52" s="14">
        <v>138.726</v>
      </c>
      <c r="T52" s="14" t="b">
        <f t="shared" si="3"/>
        <v>1</v>
      </c>
      <c r="U52" s="14" t="b">
        <f t="shared" si="4"/>
        <v>1</v>
      </c>
      <c r="V52" s="15">
        <f>VLOOKUP(IF(J52&lt;10, 10, IF(J52&gt;50,50,J52)),'Over to underbark'!$A$3:$C$43,IF(A52="Scots pine",3,IF(A52="Sitka spruce",2, "error")),TRUE)/100</f>
        <v>0.84</v>
      </c>
      <c r="W52">
        <f t="shared" si="5"/>
        <v>140.17298399999999</v>
      </c>
      <c r="X52">
        <f t="shared" si="6"/>
        <v>104.876856</v>
      </c>
      <c r="Y52">
        <f t="shared" si="7"/>
        <v>46.67616000000001</v>
      </c>
      <c r="Z52">
        <f t="shared" si="10"/>
        <v>142.30628927999999</v>
      </c>
      <c r="AA52">
        <f t="shared" si="11"/>
        <v>86.493597120000004</v>
      </c>
      <c r="AB52">
        <f t="shared" si="12"/>
        <v>62.926113600000001</v>
      </c>
      <c r="AC52" t="b">
        <f t="shared" si="8"/>
        <v>1</v>
      </c>
      <c r="AD52" t="b">
        <f t="shared" si="9"/>
        <v>1</v>
      </c>
    </row>
    <row r="53" spans="1:30" x14ac:dyDescent="0.35">
      <c r="A53" t="s">
        <v>31</v>
      </c>
      <c r="B53">
        <v>4</v>
      </c>
      <c r="C53">
        <v>2</v>
      </c>
      <c r="D53" t="s">
        <v>32</v>
      </c>
      <c r="E53">
        <v>2</v>
      </c>
      <c r="F53">
        <v>1</v>
      </c>
      <c r="G53" s="12">
        <v>90</v>
      </c>
      <c r="H53" s="12">
        <v>16.440000000000001</v>
      </c>
      <c r="I53" s="12">
        <v>1536</v>
      </c>
      <c r="J53" s="12">
        <v>20.05</v>
      </c>
      <c r="K53" s="12">
        <v>48.496000000000002</v>
      </c>
      <c r="L53" s="12">
        <v>0.214</v>
      </c>
      <c r="M53" s="22">
        <v>328.2</v>
      </c>
      <c r="N53" s="12">
        <v>3.0139999999999998</v>
      </c>
      <c r="O53" s="13">
        <v>3.6469999999999998</v>
      </c>
      <c r="P53" s="14">
        <v>90</v>
      </c>
      <c r="Q53" s="14">
        <v>20.05</v>
      </c>
      <c r="R53" s="14">
        <v>185.44900000000001</v>
      </c>
      <c r="S53" s="14">
        <v>142.751</v>
      </c>
      <c r="T53" s="14" t="b">
        <f t="shared" si="3"/>
        <v>1</v>
      </c>
      <c r="U53" s="14" t="b">
        <f t="shared" si="4"/>
        <v>1</v>
      </c>
      <c r="V53" s="15">
        <f>VLOOKUP(IF(J53&lt;10, 10, IF(J53&gt;50,50,J53)),'Over to underbark'!$A$3:$C$43,IF(A53="Scots pine",3,IF(A53="Sitka spruce",2, "error")),TRUE)/100</f>
        <v>0.84</v>
      </c>
      <c r="W53">
        <f t="shared" si="5"/>
        <v>140.19944400000003</v>
      </c>
      <c r="X53">
        <f t="shared" si="6"/>
        <v>107.91975599999999</v>
      </c>
      <c r="Y53">
        <f t="shared" si="7"/>
        <v>47.260800000000017</v>
      </c>
      <c r="Z53">
        <f t="shared" si="10"/>
        <v>143.36244648000002</v>
      </c>
      <c r="AA53">
        <f t="shared" si="11"/>
        <v>87.265699920000003</v>
      </c>
      <c r="AB53">
        <f t="shared" si="12"/>
        <v>64.75185359999999</v>
      </c>
      <c r="AC53" t="b">
        <f t="shared" si="8"/>
        <v>1</v>
      </c>
      <c r="AD53" t="b">
        <f t="shared" si="9"/>
        <v>1</v>
      </c>
    </row>
    <row r="54" spans="1:30" x14ac:dyDescent="0.35">
      <c r="A54" t="s">
        <v>31</v>
      </c>
      <c r="B54">
        <v>4</v>
      </c>
      <c r="C54">
        <v>2</v>
      </c>
      <c r="D54" t="s">
        <v>32</v>
      </c>
      <c r="E54">
        <v>2</v>
      </c>
      <c r="F54">
        <v>1</v>
      </c>
      <c r="G54" s="12">
        <v>91</v>
      </c>
      <c r="H54" s="12">
        <v>16.515999999999998</v>
      </c>
      <c r="I54" s="12">
        <v>1528</v>
      </c>
      <c r="J54" s="12">
        <v>20.166</v>
      </c>
      <c r="K54" s="12">
        <v>48.805999999999997</v>
      </c>
      <c r="L54" s="12">
        <v>0.217</v>
      </c>
      <c r="M54" s="22">
        <v>331.68</v>
      </c>
      <c r="N54" s="12">
        <v>3.125</v>
      </c>
      <c r="O54" s="13">
        <v>3.645</v>
      </c>
      <c r="P54" s="14">
        <v>91</v>
      </c>
      <c r="Q54" s="14">
        <v>20.166</v>
      </c>
      <c r="R54" s="14">
        <v>185.31800000000001</v>
      </c>
      <c r="S54" s="14">
        <v>146.36199999999999</v>
      </c>
      <c r="T54" s="14" t="b">
        <f t="shared" si="3"/>
        <v>1</v>
      </c>
      <c r="U54" s="14" t="b">
        <f t="shared" si="4"/>
        <v>1</v>
      </c>
      <c r="V54" s="15">
        <f>VLOOKUP(IF(J54&lt;10, 10, IF(J54&gt;50,50,J54)),'Over to underbark'!$A$3:$C$43,IF(A54="Scots pine",3,IF(A54="Sitka spruce",2, "error")),TRUE)/100</f>
        <v>0.84</v>
      </c>
      <c r="W54">
        <f t="shared" si="5"/>
        <v>140.10040799999999</v>
      </c>
      <c r="X54">
        <f t="shared" si="6"/>
        <v>110.649672</v>
      </c>
      <c r="Y54">
        <f t="shared" si="7"/>
        <v>47.761920000000011</v>
      </c>
      <c r="Z54">
        <f t="shared" si="10"/>
        <v>144.21660335999999</v>
      </c>
      <c r="AA54">
        <f t="shared" si="11"/>
        <v>87.90559343999999</v>
      </c>
      <c r="AB54">
        <f t="shared" si="12"/>
        <v>66.389803199999989</v>
      </c>
      <c r="AC54" t="b">
        <f t="shared" si="8"/>
        <v>1</v>
      </c>
      <c r="AD54" t="b">
        <f t="shared" si="9"/>
        <v>1</v>
      </c>
    </row>
    <row r="55" spans="1:30" x14ac:dyDescent="0.35">
      <c r="A55" t="s">
        <v>31</v>
      </c>
      <c r="B55">
        <v>4</v>
      </c>
      <c r="C55">
        <v>2</v>
      </c>
      <c r="D55" t="s">
        <v>32</v>
      </c>
      <c r="E55">
        <v>2</v>
      </c>
      <c r="F55">
        <v>1</v>
      </c>
      <c r="G55" s="12">
        <v>92</v>
      </c>
      <c r="H55" s="12">
        <v>16.591999999999999</v>
      </c>
      <c r="I55" s="12">
        <v>1521</v>
      </c>
      <c r="J55" s="12">
        <v>20.277000000000001</v>
      </c>
      <c r="K55" s="12">
        <v>49.115000000000002</v>
      </c>
      <c r="L55" s="12">
        <v>0.22</v>
      </c>
      <c r="M55" s="22">
        <v>335.16</v>
      </c>
      <c r="N55" s="12">
        <v>3.234</v>
      </c>
      <c r="O55" s="13">
        <v>3.6429999999999998</v>
      </c>
      <c r="P55" s="14">
        <v>92</v>
      </c>
      <c r="Q55" s="14">
        <v>20.277000000000001</v>
      </c>
      <c r="R55" s="14">
        <v>185.24700000000001</v>
      </c>
      <c r="S55" s="14">
        <v>149.91300000000001</v>
      </c>
      <c r="T55" s="14" t="b">
        <f t="shared" si="3"/>
        <v>1</v>
      </c>
      <c r="U55" s="14" t="b">
        <f t="shared" si="4"/>
        <v>1</v>
      </c>
      <c r="V55" s="15">
        <f>VLOOKUP(IF(J55&lt;10, 10, IF(J55&gt;50,50,J55)),'Over to underbark'!$A$3:$C$43,IF(A55="Scots pine",3,IF(A55="Sitka spruce",2, "error")),TRUE)/100</f>
        <v>0.84</v>
      </c>
      <c r="W55">
        <f t="shared" si="5"/>
        <v>140.04673200000002</v>
      </c>
      <c r="X55">
        <f t="shared" si="6"/>
        <v>113.33422800000001</v>
      </c>
      <c r="Y55">
        <f t="shared" si="7"/>
        <v>48.263040000000011</v>
      </c>
      <c r="Z55">
        <f t="shared" si="10"/>
        <v>145.08981144000001</v>
      </c>
      <c r="AA55">
        <f t="shared" si="11"/>
        <v>88.553651760000008</v>
      </c>
      <c r="AB55">
        <f t="shared" si="12"/>
        <v>68.000536800000006</v>
      </c>
      <c r="AC55" t="b">
        <f t="shared" si="8"/>
        <v>1</v>
      </c>
      <c r="AD55" t="b">
        <f t="shared" si="9"/>
        <v>1</v>
      </c>
    </row>
    <row r="56" spans="1:30" x14ac:dyDescent="0.35">
      <c r="A56" t="s">
        <v>31</v>
      </c>
      <c r="B56">
        <v>4</v>
      </c>
      <c r="C56">
        <v>2</v>
      </c>
      <c r="D56" t="s">
        <v>32</v>
      </c>
      <c r="E56">
        <v>2</v>
      </c>
      <c r="F56">
        <v>1</v>
      </c>
      <c r="G56" s="12">
        <v>93</v>
      </c>
      <c r="H56" s="12">
        <v>16.667999999999999</v>
      </c>
      <c r="I56" s="12">
        <v>1514</v>
      </c>
      <c r="J56" s="12">
        <v>20.387</v>
      </c>
      <c r="K56" s="12">
        <v>49.423999999999999</v>
      </c>
      <c r="L56" s="12">
        <v>0.224</v>
      </c>
      <c r="M56" s="22">
        <v>338.64</v>
      </c>
      <c r="N56" s="12">
        <v>3.34</v>
      </c>
      <c r="O56" s="13">
        <v>3.641</v>
      </c>
      <c r="P56" s="14">
        <v>93</v>
      </c>
      <c r="Q56" s="14">
        <v>20.387</v>
      </c>
      <c r="R56" s="14">
        <v>185.16499999999999</v>
      </c>
      <c r="S56" s="14">
        <v>153.47499999999999</v>
      </c>
      <c r="T56" s="14" t="b">
        <f t="shared" si="3"/>
        <v>1</v>
      </c>
      <c r="U56" s="14" t="b">
        <f t="shared" si="4"/>
        <v>1</v>
      </c>
      <c r="V56" s="15">
        <f>VLOOKUP(IF(J56&lt;10, 10, IF(J56&gt;50,50,J56)),'Over to underbark'!$A$3:$C$43,IF(A56="Scots pine",3,IF(A56="Sitka spruce",2, "error")),TRUE)/100</f>
        <v>0.84</v>
      </c>
      <c r="W56">
        <f t="shared" si="5"/>
        <v>139.98473999999999</v>
      </c>
      <c r="X56">
        <f t="shared" si="6"/>
        <v>116.02709999999999</v>
      </c>
      <c r="Y56">
        <f t="shared" si="7"/>
        <v>48.764160000000011</v>
      </c>
      <c r="Z56">
        <f t="shared" si="10"/>
        <v>145.95952679999999</v>
      </c>
      <c r="AA56">
        <f t="shared" si="11"/>
        <v>89.200213199999993</v>
      </c>
      <c r="AB56">
        <f t="shared" si="12"/>
        <v>69.616259999999997</v>
      </c>
      <c r="AC56" t="b">
        <f t="shared" si="8"/>
        <v>1</v>
      </c>
      <c r="AD56" t="b">
        <f t="shared" si="9"/>
        <v>1</v>
      </c>
    </row>
    <row r="57" spans="1:30" x14ac:dyDescent="0.35">
      <c r="A57" t="s">
        <v>31</v>
      </c>
      <c r="B57">
        <v>4</v>
      </c>
      <c r="C57">
        <v>2</v>
      </c>
      <c r="D57" t="s">
        <v>32</v>
      </c>
      <c r="E57">
        <v>2</v>
      </c>
      <c r="F57">
        <v>1</v>
      </c>
      <c r="G57" s="12">
        <v>94</v>
      </c>
      <c r="H57" s="12">
        <v>16.744</v>
      </c>
      <c r="I57" s="12">
        <v>1507</v>
      </c>
      <c r="J57" s="12">
        <v>20.498000000000001</v>
      </c>
      <c r="K57" s="12">
        <v>49.732999999999997</v>
      </c>
      <c r="L57" s="12">
        <v>0.22700000000000001</v>
      </c>
      <c r="M57" s="22">
        <v>342.12</v>
      </c>
      <c r="N57" s="12">
        <v>3.4430000000000001</v>
      </c>
      <c r="O57" s="13">
        <v>3.64</v>
      </c>
      <c r="P57" s="14">
        <v>94</v>
      </c>
      <c r="Q57" s="14">
        <v>20.498000000000001</v>
      </c>
      <c r="R57" s="14">
        <v>185.036</v>
      </c>
      <c r="S57" s="14">
        <v>157.084</v>
      </c>
      <c r="T57" s="14" t="b">
        <f t="shared" si="3"/>
        <v>1</v>
      </c>
      <c r="U57" s="14" t="b">
        <f t="shared" si="4"/>
        <v>1</v>
      </c>
      <c r="V57" s="15">
        <f>VLOOKUP(IF(J57&lt;10, 10, IF(J57&gt;50,50,J57)),'Over to underbark'!$A$3:$C$43,IF(A57="Scots pine",3,IF(A57="Sitka spruce",2, "error")),TRUE)/100</f>
        <v>0.84</v>
      </c>
      <c r="W57">
        <f t="shared" si="5"/>
        <v>139.887216</v>
      </c>
      <c r="X57">
        <f t="shared" si="6"/>
        <v>118.75550400000002</v>
      </c>
      <c r="Y57">
        <f t="shared" si="7"/>
        <v>49.265280000000011</v>
      </c>
      <c r="Z57">
        <f t="shared" si="10"/>
        <v>146.81431872000002</v>
      </c>
      <c r="AA57">
        <f t="shared" si="11"/>
        <v>89.840378880000003</v>
      </c>
      <c r="AB57">
        <f t="shared" si="12"/>
        <v>71.25330240000001</v>
      </c>
      <c r="AC57" t="b">
        <f t="shared" si="8"/>
        <v>1</v>
      </c>
      <c r="AD57" t="b">
        <f t="shared" si="9"/>
        <v>1</v>
      </c>
    </row>
    <row r="58" spans="1:30" x14ac:dyDescent="0.35">
      <c r="A58" t="s">
        <v>31</v>
      </c>
      <c r="B58">
        <v>4</v>
      </c>
      <c r="C58">
        <v>2</v>
      </c>
      <c r="D58" t="s">
        <v>32</v>
      </c>
      <c r="E58">
        <v>2</v>
      </c>
      <c r="F58">
        <v>1</v>
      </c>
      <c r="G58" s="12">
        <v>95</v>
      </c>
      <c r="H58" s="12">
        <v>16.82</v>
      </c>
      <c r="I58" s="12">
        <v>1500</v>
      </c>
      <c r="J58" s="12">
        <v>20.61</v>
      </c>
      <c r="K58" s="12">
        <v>50.042000000000002</v>
      </c>
      <c r="L58" s="12">
        <v>0.23</v>
      </c>
      <c r="M58" s="22">
        <v>345.6</v>
      </c>
      <c r="N58" s="12">
        <v>3.5449999999999999</v>
      </c>
      <c r="O58" s="13">
        <v>3.6379999999999999</v>
      </c>
      <c r="P58" s="14">
        <v>95</v>
      </c>
      <c r="Q58" s="14">
        <v>20.61</v>
      </c>
      <c r="R58" s="14">
        <v>184.86099999999999</v>
      </c>
      <c r="S58" s="14">
        <v>160.739</v>
      </c>
      <c r="T58" s="14" t="b">
        <f t="shared" si="3"/>
        <v>1</v>
      </c>
      <c r="U58" s="14" t="b">
        <f t="shared" si="4"/>
        <v>1</v>
      </c>
      <c r="V58" s="15">
        <f>VLOOKUP(IF(J58&lt;10, 10, IF(J58&gt;50,50,J58)),'Over to underbark'!$A$3:$C$43,IF(A58="Scots pine",3,IF(A58="Sitka spruce",2, "error")),TRUE)/100</f>
        <v>0.84</v>
      </c>
      <c r="W58">
        <f t="shared" si="5"/>
        <v>139.75491599999998</v>
      </c>
      <c r="X58">
        <f t="shared" si="6"/>
        <v>121.51868399999999</v>
      </c>
      <c r="Y58">
        <f t="shared" si="7"/>
        <v>49.766400000000012</v>
      </c>
      <c r="Z58">
        <f t="shared" si="10"/>
        <v>147.65450471999998</v>
      </c>
      <c r="AA58">
        <f t="shared" si="11"/>
        <v>90.474284879999985</v>
      </c>
      <c r="AB58">
        <f t="shared" si="12"/>
        <v>72.911210399999987</v>
      </c>
      <c r="AC58" t="b">
        <f t="shared" si="8"/>
        <v>1</v>
      </c>
      <c r="AD58" t="b">
        <f t="shared" si="9"/>
        <v>1</v>
      </c>
    </row>
    <row r="59" spans="1:30" x14ac:dyDescent="0.35">
      <c r="A59" t="s">
        <v>31</v>
      </c>
      <c r="B59">
        <v>4</v>
      </c>
      <c r="C59">
        <v>2</v>
      </c>
      <c r="D59" t="s">
        <v>32</v>
      </c>
      <c r="E59">
        <v>2</v>
      </c>
      <c r="F59">
        <v>1</v>
      </c>
      <c r="G59" s="12">
        <v>96</v>
      </c>
      <c r="H59" s="12">
        <v>16.86</v>
      </c>
      <c r="I59" s="12">
        <v>1493</v>
      </c>
      <c r="J59" s="12">
        <v>20.704000000000001</v>
      </c>
      <c r="K59" s="12">
        <v>50.264000000000003</v>
      </c>
      <c r="L59" s="12">
        <v>0.23300000000000001</v>
      </c>
      <c r="M59" s="22">
        <v>348.38</v>
      </c>
      <c r="N59" s="12">
        <v>3.6509999999999998</v>
      </c>
      <c r="O59" s="13">
        <v>3.629</v>
      </c>
      <c r="P59" s="14">
        <v>96</v>
      </c>
      <c r="Q59" s="14">
        <v>20.704000000000001</v>
      </c>
      <c r="R59" s="14">
        <v>184.61799999999999</v>
      </c>
      <c r="S59" s="14">
        <v>163.762</v>
      </c>
      <c r="T59" s="14" t="b">
        <f t="shared" si="3"/>
        <v>1</v>
      </c>
      <c r="U59" s="14" t="b">
        <f t="shared" si="4"/>
        <v>1</v>
      </c>
      <c r="V59" s="15">
        <f>VLOOKUP(IF(J59&lt;10, 10, IF(J59&gt;50,50,J59)),'Over to underbark'!$A$3:$C$43,IF(A59="Scots pine",3,IF(A59="Sitka spruce",2, "error")),TRUE)/100</f>
        <v>0.84</v>
      </c>
      <c r="W59">
        <f t="shared" si="5"/>
        <v>139.57120800000001</v>
      </c>
      <c r="X59">
        <f t="shared" si="6"/>
        <v>123.80407200000001</v>
      </c>
      <c r="Y59">
        <f t="shared" si="7"/>
        <v>50.166720000000012</v>
      </c>
      <c r="Z59">
        <f t="shared" si="10"/>
        <v>148.29291936000001</v>
      </c>
      <c r="AA59">
        <f t="shared" si="11"/>
        <v>90.96663744</v>
      </c>
      <c r="AB59">
        <f t="shared" si="12"/>
        <v>74.282443200000003</v>
      </c>
      <c r="AC59" t="b">
        <f t="shared" si="8"/>
        <v>1</v>
      </c>
      <c r="AD59" t="b">
        <f t="shared" si="9"/>
        <v>1</v>
      </c>
    </row>
    <row r="60" spans="1:30" x14ac:dyDescent="0.35">
      <c r="A60" t="s">
        <v>31</v>
      </c>
      <c r="B60">
        <v>4</v>
      </c>
      <c r="C60">
        <v>2</v>
      </c>
      <c r="D60" t="s">
        <v>32</v>
      </c>
      <c r="E60">
        <v>2</v>
      </c>
      <c r="F60">
        <v>1</v>
      </c>
      <c r="G60" s="12">
        <v>97</v>
      </c>
      <c r="H60" s="12">
        <v>16.899999999999999</v>
      </c>
      <c r="I60" s="12">
        <v>1486</v>
      </c>
      <c r="J60" s="12">
        <v>20.797999999999998</v>
      </c>
      <c r="K60" s="12">
        <v>50.485999999999997</v>
      </c>
      <c r="L60" s="12">
        <v>0.23599999999999999</v>
      </c>
      <c r="M60" s="22">
        <v>351.16</v>
      </c>
      <c r="N60" s="12">
        <v>3.7549999999999999</v>
      </c>
      <c r="O60" s="13">
        <v>3.62</v>
      </c>
      <c r="P60" s="14">
        <v>97</v>
      </c>
      <c r="Q60" s="14">
        <v>20.797999999999998</v>
      </c>
      <c r="R60" s="14">
        <v>184.357</v>
      </c>
      <c r="S60" s="14">
        <v>166.803</v>
      </c>
      <c r="T60" s="14" t="b">
        <f t="shared" si="3"/>
        <v>1</v>
      </c>
      <c r="U60" s="14" t="b">
        <f t="shared" si="4"/>
        <v>1</v>
      </c>
      <c r="V60" s="15">
        <f>VLOOKUP(IF(J60&lt;10, 10, IF(J60&gt;50,50,J60)),'Over to underbark'!$A$3:$C$43,IF(A60="Scots pine",3,IF(A60="Sitka spruce",2, "error")),TRUE)/100</f>
        <v>0.84</v>
      </c>
      <c r="W60">
        <f t="shared" si="5"/>
        <v>139.37389199999998</v>
      </c>
      <c r="X60">
        <f t="shared" si="6"/>
        <v>126.10306800000001</v>
      </c>
      <c r="Y60">
        <f t="shared" si="7"/>
        <v>50.567040000000006</v>
      </c>
      <c r="Z60">
        <f t="shared" si="10"/>
        <v>148.92561864000001</v>
      </c>
      <c r="AA60">
        <f t="shared" si="11"/>
        <v>91.456540559999993</v>
      </c>
      <c r="AB60">
        <f t="shared" si="12"/>
        <v>75.661840800000007</v>
      </c>
      <c r="AC60" t="b">
        <f t="shared" si="8"/>
        <v>1</v>
      </c>
      <c r="AD60" t="b">
        <f t="shared" si="9"/>
        <v>1</v>
      </c>
    </row>
    <row r="61" spans="1:30" x14ac:dyDescent="0.35">
      <c r="A61" t="s">
        <v>31</v>
      </c>
      <c r="B61">
        <v>4</v>
      </c>
      <c r="C61">
        <v>2</v>
      </c>
      <c r="D61" t="s">
        <v>32</v>
      </c>
      <c r="E61">
        <v>2</v>
      </c>
      <c r="F61">
        <v>1</v>
      </c>
      <c r="G61" s="12">
        <v>98</v>
      </c>
      <c r="H61" s="12">
        <v>16.940000000000001</v>
      </c>
      <c r="I61" s="12">
        <v>1480</v>
      </c>
      <c r="J61" s="12">
        <v>20.885999999999999</v>
      </c>
      <c r="K61" s="12">
        <v>50.707000000000001</v>
      </c>
      <c r="L61" s="12">
        <v>0.23899999999999999</v>
      </c>
      <c r="M61" s="22">
        <v>353.94</v>
      </c>
      <c r="N61" s="12">
        <v>3.8570000000000002</v>
      </c>
      <c r="O61" s="13">
        <v>3.6120000000000001</v>
      </c>
      <c r="P61" s="14">
        <v>98</v>
      </c>
      <c r="Q61" s="14">
        <v>20.885999999999999</v>
      </c>
      <c r="R61" s="14">
        <v>184.18899999999999</v>
      </c>
      <c r="S61" s="14">
        <v>169.751</v>
      </c>
      <c r="T61" s="14" t="b">
        <f t="shared" si="3"/>
        <v>1</v>
      </c>
      <c r="U61" s="14" t="b">
        <f t="shared" si="4"/>
        <v>1</v>
      </c>
      <c r="V61" s="15">
        <f>VLOOKUP(IF(J61&lt;10, 10, IF(J61&gt;50,50,J61)),'Over to underbark'!$A$3:$C$43,IF(A61="Scots pine",3,IF(A61="Sitka spruce",2, "error")),TRUE)/100</f>
        <v>0.84</v>
      </c>
      <c r="W61">
        <f t="shared" si="5"/>
        <v>139.24688399999999</v>
      </c>
      <c r="X61">
        <f t="shared" si="6"/>
        <v>128.33175600000001</v>
      </c>
      <c r="Y61">
        <f t="shared" si="7"/>
        <v>50.967360000000006</v>
      </c>
      <c r="Z61">
        <f t="shared" si="10"/>
        <v>149.58784728000001</v>
      </c>
      <c r="AA61">
        <f t="shared" si="11"/>
        <v>91.959099119999991</v>
      </c>
      <c r="AB61">
        <f t="shared" si="12"/>
        <v>76.999053600000011</v>
      </c>
      <c r="AC61" t="b">
        <f t="shared" si="8"/>
        <v>1</v>
      </c>
      <c r="AD61" t="b">
        <f t="shared" si="9"/>
        <v>1</v>
      </c>
    </row>
    <row r="62" spans="1:30" x14ac:dyDescent="0.35">
      <c r="A62" t="s">
        <v>31</v>
      </c>
      <c r="B62">
        <v>4</v>
      </c>
      <c r="C62">
        <v>2</v>
      </c>
      <c r="D62" t="s">
        <v>32</v>
      </c>
      <c r="E62">
        <v>2</v>
      </c>
      <c r="F62">
        <v>1</v>
      </c>
      <c r="G62" s="12">
        <v>99</v>
      </c>
      <c r="H62" s="12">
        <v>16.98</v>
      </c>
      <c r="I62" s="12">
        <v>1473</v>
      </c>
      <c r="J62" s="12">
        <v>20.981000000000002</v>
      </c>
      <c r="K62" s="12">
        <v>50.929000000000002</v>
      </c>
      <c r="L62" s="12">
        <v>0.24199999999999999</v>
      </c>
      <c r="M62" s="22">
        <v>356.72</v>
      </c>
      <c r="N62" s="12">
        <v>3.9580000000000002</v>
      </c>
      <c r="O62" s="13">
        <v>3.6030000000000002</v>
      </c>
      <c r="P62" s="14">
        <v>99</v>
      </c>
      <c r="Q62" s="14">
        <v>20.981000000000002</v>
      </c>
      <c r="R62" s="14">
        <v>183.876</v>
      </c>
      <c r="S62" s="14">
        <v>172.84399999999999</v>
      </c>
      <c r="T62" s="14" t="b">
        <f t="shared" si="3"/>
        <v>1</v>
      </c>
      <c r="U62" s="14" t="b">
        <f t="shared" si="4"/>
        <v>1</v>
      </c>
      <c r="V62" s="15">
        <f>VLOOKUP(IF(J62&lt;10, 10, IF(J62&gt;50,50,J62)),'Over to underbark'!$A$3:$C$43,IF(A62="Scots pine",3,IF(A62="Sitka spruce",2, "error")),TRUE)/100</f>
        <v>0.84</v>
      </c>
      <c r="W62">
        <f t="shared" si="5"/>
        <v>139.010256</v>
      </c>
      <c r="X62">
        <f t="shared" si="6"/>
        <v>130.670064</v>
      </c>
      <c r="Y62">
        <f t="shared" si="7"/>
        <v>51.367680000000021</v>
      </c>
      <c r="Z62">
        <f t="shared" si="10"/>
        <v>150.20403552000002</v>
      </c>
      <c r="AA62">
        <f t="shared" si="11"/>
        <v>92.441926080000002</v>
      </c>
      <c r="AB62">
        <f t="shared" si="12"/>
        <v>78.402038399999995</v>
      </c>
      <c r="AC62" t="b">
        <f t="shared" si="8"/>
        <v>1</v>
      </c>
      <c r="AD62" t="b">
        <f t="shared" si="9"/>
        <v>1</v>
      </c>
    </row>
    <row r="63" spans="1:30" x14ac:dyDescent="0.35">
      <c r="A63" t="s">
        <v>31</v>
      </c>
      <c r="B63">
        <v>4</v>
      </c>
      <c r="C63">
        <v>2</v>
      </c>
      <c r="D63" t="s">
        <v>32</v>
      </c>
      <c r="E63">
        <v>2</v>
      </c>
      <c r="F63">
        <v>1</v>
      </c>
      <c r="G63" s="12">
        <v>100</v>
      </c>
      <c r="H63" s="12">
        <v>17.02</v>
      </c>
      <c r="I63" s="12">
        <v>1467</v>
      </c>
      <c r="J63" s="12">
        <v>21.07</v>
      </c>
      <c r="K63" s="12">
        <v>51.15</v>
      </c>
      <c r="L63" s="12">
        <v>0.245</v>
      </c>
      <c r="M63" s="22">
        <v>359.5</v>
      </c>
      <c r="N63" s="12">
        <v>4.0570000000000004</v>
      </c>
      <c r="O63" s="13">
        <v>3.5950000000000002</v>
      </c>
      <c r="P63" s="14">
        <v>100</v>
      </c>
      <c r="Q63" s="14">
        <v>21.07</v>
      </c>
      <c r="R63" s="14">
        <v>183.65600000000001</v>
      </c>
      <c r="S63" s="14">
        <v>175.84399999999999</v>
      </c>
      <c r="T63" s="14" t="b">
        <f t="shared" si="3"/>
        <v>1</v>
      </c>
      <c r="U63" s="14" t="b">
        <f t="shared" si="4"/>
        <v>1</v>
      </c>
      <c r="V63" s="15">
        <f>VLOOKUP(IF(J63&lt;10, 10, IF(J63&gt;50,50,J63)),'Over to underbark'!$A$3:$C$43,IF(A63="Scots pine",3,IF(A63="Sitka spruce",2, "error")),TRUE)/100</f>
        <v>0.84</v>
      </c>
      <c r="W63">
        <f t="shared" si="5"/>
        <v>138.84393599999999</v>
      </c>
      <c r="X63">
        <f t="shared" si="6"/>
        <v>132.938064</v>
      </c>
      <c r="Y63">
        <f t="shared" si="7"/>
        <v>51.768000000000015</v>
      </c>
      <c r="Z63">
        <f t="shared" si="10"/>
        <v>150.84975312</v>
      </c>
      <c r="AA63">
        <f t="shared" si="11"/>
        <v>92.937408479999988</v>
      </c>
      <c r="AB63">
        <f t="shared" si="12"/>
        <v>79.762838399999993</v>
      </c>
      <c r="AC63" t="b">
        <f t="shared" si="8"/>
        <v>1</v>
      </c>
      <c r="AD63" t="b">
        <f t="shared" si="9"/>
        <v>1</v>
      </c>
    </row>
    <row r="64" spans="1:30" x14ac:dyDescent="0.35">
      <c r="A64" t="s">
        <v>31</v>
      </c>
      <c r="B64">
        <v>6</v>
      </c>
      <c r="C64">
        <v>2</v>
      </c>
      <c r="D64" t="s">
        <v>32</v>
      </c>
      <c r="E64">
        <v>2</v>
      </c>
      <c r="F64">
        <v>1</v>
      </c>
      <c r="G64" s="16">
        <v>30</v>
      </c>
      <c r="H64" s="16">
        <v>8.0500000000000007</v>
      </c>
      <c r="I64" s="16">
        <v>2193</v>
      </c>
      <c r="J64" s="16">
        <v>10.58</v>
      </c>
      <c r="K64" s="16">
        <v>19.28</v>
      </c>
      <c r="L64" s="16">
        <v>2.5999999999999999E-2</v>
      </c>
      <c r="M64" s="23">
        <v>56.6</v>
      </c>
      <c r="N64" s="16">
        <v>0</v>
      </c>
      <c r="O64" s="17">
        <v>1.887</v>
      </c>
      <c r="P64" s="18">
        <v>30</v>
      </c>
      <c r="Q64" s="18">
        <v>10.58</v>
      </c>
      <c r="R64" s="18">
        <v>56.6</v>
      </c>
      <c r="S64" s="18">
        <v>0</v>
      </c>
      <c r="T64" s="14" t="b">
        <f t="shared" si="3"/>
        <v>1</v>
      </c>
      <c r="U64" s="14" t="b">
        <f t="shared" si="4"/>
        <v>1</v>
      </c>
      <c r="V64" s="15">
        <f>VLOOKUP(IF(J64&lt;10, 10, IF(J64&gt;50,50,J64)),'Over to underbark'!$A$3:$C$43,IF(A64="Scots pine",3,IF(A64="Sitka spruce",2, "error")),TRUE)/100</f>
        <v>0.53</v>
      </c>
      <c r="W64">
        <f t="shared" ref="W64:W127" si="13">R64*0.9*V64</f>
        <v>26.998200000000004</v>
      </c>
      <c r="X64">
        <f t="shared" ref="X64:X127" si="14">S64*0.9*V64</f>
        <v>0</v>
      </c>
      <c r="Y64">
        <f t="shared" si="7"/>
        <v>23.941800000000001</v>
      </c>
      <c r="Z64">
        <f t="shared" si="10"/>
        <v>39.330774000000005</v>
      </c>
      <c r="AA64">
        <f t="shared" si="11"/>
        <v>11.609226000000001</v>
      </c>
      <c r="AB64">
        <f t="shared" si="12"/>
        <v>0</v>
      </c>
      <c r="AC64" t="b">
        <f t="shared" si="8"/>
        <v>1</v>
      </c>
      <c r="AD64" t="b">
        <f t="shared" si="9"/>
        <v>1</v>
      </c>
    </row>
    <row r="65" spans="1:30" x14ac:dyDescent="0.35">
      <c r="A65" t="s">
        <v>31</v>
      </c>
      <c r="B65">
        <v>6</v>
      </c>
      <c r="C65">
        <v>2</v>
      </c>
      <c r="D65" t="s">
        <v>32</v>
      </c>
      <c r="E65">
        <v>2</v>
      </c>
      <c r="F65">
        <v>1</v>
      </c>
      <c r="G65" s="16">
        <v>31</v>
      </c>
      <c r="H65" s="16">
        <v>8.3559999999999999</v>
      </c>
      <c r="I65" s="16">
        <v>2180</v>
      </c>
      <c r="J65" s="16">
        <v>10.909000000000001</v>
      </c>
      <c r="K65" s="16">
        <v>20.375</v>
      </c>
      <c r="L65" s="16">
        <v>2.9000000000000001E-2</v>
      </c>
      <c r="M65" s="23">
        <v>62.98</v>
      </c>
      <c r="N65" s="16">
        <v>0</v>
      </c>
      <c r="O65" s="17">
        <v>2.032</v>
      </c>
      <c r="P65" s="18">
        <v>31</v>
      </c>
      <c r="Q65" s="18">
        <v>10.909000000000001</v>
      </c>
      <c r="R65" s="18">
        <v>62.98</v>
      </c>
      <c r="S65" s="18">
        <v>0</v>
      </c>
      <c r="T65" s="14" t="b">
        <f t="shared" si="3"/>
        <v>1</v>
      </c>
      <c r="U65" s="14" t="b">
        <f t="shared" si="4"/>
        <v>1</v>
      </c>
      <c r="V65" s="15">
        <f>VLOOKUP(IF(J65&lt;10, 10, IF(J65&gt;50,50,J65)),'Over to underbark'!$A$3:$C$43,IF(A65="Scots pine",3,IF(A65="Sitka spruce",2, "error")),TRUE)/100</f>
        <v>0.53</v>
      </c>
      <c r="W65">
        <f t="shared" si="13"/>
        <v>30.041459999999997</v>
      </c>
      <c r="X65">
        <f t="shared" si="14"/>
        <v>0</v>
      </c>
      <c r="Y65">
        <f t="shared" si="7"/>
        <v>26.640539999999998</v>
      </c>
      <c r="Z65">
        <f t="shared" si="10"/>
        <v>43.76417219999999</v>
      </c>
      <c r="AA65">
        <f t="shared" si="11"/>
        <v>12.917827799999998</v>
      </c>
      <c r="AB65">
        <f t="shared" si="12"/>
        <v>0</v>
      </c>
      <c r="AC65" t="b">
        <f t="shared" si="8"/>
        <v>1</v>
      </c>
      <c r="AD65" t="b">
        <f t="shared" si="9"/>
        <v>1</v>
      </c>
    </row>
    <row r="66" spans="1:30" x14ac:dyDescent="0.35">
      <c r="A66" t="s">
        <v>31</v>
      </c>
      <c r="B66">
        <v>6</v>
      </c>
      <c r="C66">
        <v>2</v>
      </c>
      <c r="D66" t="s">
        <v>32</v>
      </c>
      <c r="E66">
        <v>2</v>
      </c>
      <c r="F66">
        <v>1</v>
      </c>
      <c r="G66" s="16">
        <v>32</v>
      </c>
      <c r="H66" s="16">
        <v>8.6620000000000008</v>
      </c>
      <c r="I66" s="16">
        <v>2167</v>
      </c>
      <c r="J66" s="16">
        <v>11.231</v>
      </c>
      <c r="K66" s="16">
        <v>21.469000000000001</v>
      </c>
      <c r="L66" s="16">
        <v>3.2000000000000001E-2</v>
      </c>
      <c r="M66" s="23">
        <v>69.36</v>
      </c>
      <c r="N66" s="16">
        <v>0</v>
      </c>
      <c r="O66" s="17">
        <v>2.1669999999999998</v>
      </c>
      <c r="P66" s="18">
        <v>32</v>
      </c>
      <c r="Q66" s="18">
        <v>11.231</v>
      </c>
      <c r="R66" s="18">
        <v>69.36</v>
      </c>
      <c r="S66" s="18">
        <v>0</v>
      </c>
      <c r="T66" s="14" t="b">
        <f t="shared" si="3"/>
        <v>1</v>
      </c>
      <c r="U66" s="14" t="b">
        <f t="shared" si="4"/>
        <v>1</v>
      </c>
      <c r="V66" s="15">
        <f>VLOOKUP(IF(J66&lt;10, 10, IF(J66&gt;50,50,J66)),'Over to underbark'!$A$3:$C$43,IF(A66="Scots pine",3,IF(A66="Sitka spruce",2, "error")),TRUE)/100</f>
        <v>0.66</v>
      </c>
      <c r="W66">
        <f t="shared" si="13"/>
        <v>41.199840000000002</v>
      </c>
      <c r="X66">
        <f t="shared" si="14"/>
        <v>0</v>
      </c>
      <c r="Y66">
        <f t="shared" si="7"/>
        <v>21.224159999999998</v>
      </c>
      <c r="Z66">
        <f t="shared" si="10"/>
        <v>44.708068799999992</v>
      </c>
      <c r="AA66">
        <f t="shared" si="11"/>
        <v>17.7159312</v>
      </c>
      <c r="AB66">
        <f t="shared" si="12"/>
        <v>0</v>
      </c>
      <c r="AC66" t="b">
        <f t="shared" si="8"/>
        <v>1</v>
      </c>
      <c r="AD66" t="b">
        <f t="shared" si="9"/>
        <v>1</v>
      </c>
    </row>
    <row r="67" spans="1:30" x14ac:dyDescent="0.35">
      <c r="A67" t="s">
        <v>31</v>
      </c>
      <c r="B67">
        <v>6</v>
      </c>
      <c r="C67">
        <v>2</v>
      </c>
      <c r="D67" t="s">
        <v>32</v>
      </c>
      <c r="E67">
        <v>2</v>
      </c>
      <c r="F67">
        <v>1</v>
      </c>
      <c r="G67" s="16">
        <v>33</v>
      </c>
      <c r="H67" s="16">
        <v>8.968</v>
      </c>
      <c r="I67" s="16">
        <v>2154</v>
      </c>
      <c r="J67" s="16">
        <v>11.548999999999999</v>
      </c>
      <c r="K67" s="16">
        <v>22.564</v>
      </c>
      <c r="L67" s="16">
        <v>3.5000000000000003E-2</v>
      </c>
      <c r="M67" s="23">
        <v>75.739999999999995</v>
      </c>
      <c r="N67" s="16">
        <v>0</v>
      </c>
      <c r="O67" s="17">
        <v>2.2949999999999999</v>
      </c>
      <c r="P67" s="18">
        <v>33</v>
      </c>
      <c r="Q67" s="18">
        <v>11.548999999999999</v>
      </c>
      <c r="R67" s="18">
        <v>75.739999999999995</v>
      </c>
      <c r="S67" s="18">
        <v>0</v>
      </c>
      <c r="T67" s="14" t="b">
        <f t="shared" si="3"/>
        <v>1</v>
      </c>
      <c r="U67" s="14" t="b">
        <f t="shared" si="4"/>
        <v>1</v>
      </c>
      <c r="V67" s="15">
        <f>VLOOKUP(IF(J67&lt;10, 10, IF(J67&gt;50,50,J67)),'Over to underbark'!$A$3:$C$43,IF(A67="Scots pine",3,IF(A67="Sitka spruce",2, "error")),TRUE)/100</f>
        <v>0.66</v>
      </c>
      <c r="W67">
        <f t="shared" si="13"/>
        <v>44.989559999999997</v>
      </c>
      <c r="X67">
        <f t="shared" si="14"/>
        <v>0</v>
      </c>
      <c r="Y67">
        <f t="shared" si="7"/>
        <v>23.176439999999996</v>
      </c>
      <c r="Z67">
        <f t="shared" si="10"/>
        <v>48.820489199999997</v>
      </c>
      <c r="AA67">
        <f t="shared" si="11"/>
        <v>19.3455108</v>
      </c>
      <c r="AB67">
        <f t="shared" si="12"/>
        <v>0</v>
      </c>
      <c r="AC67" t="b">
        <f t="shared" si="8"/>
        <v>1</v>
      </c>
      <c r="AD67" t="b">
        <f t="shared" si="9"/>
        <v>1</v>
      </c>
    </row>
    <row r="68" spans="1:30" x14ac:dyDescent="0.35">
      <c r="A68" t="s">
        <v>31</v>
      </c>
      <c r="B68">
        <v>6</v>
      </c>
      <c r="C68">
        <v>2</v>
      </c>
      <c r="D68" t="s">
        <v>32</v>
      </c>
      <c r="E68">
        <v>2</v>
      </c>
      <c r="F68">
        <v>1</v>
      </c>
      <c r="G68" s="16">
        <v>34</v>
      </c>
      <c r="H68" s="16">
        <v>9.2739999999999991</v>
      </c>
      <c r="I68" s="16">
        <v>2141</v>
      </c>
      <c r="J68" s="16">
        <v>11.862</v>
      </c>
      <c r="K68" s="16">
        <v>23.658999999999999</v>
      </c>
      <c r="L68" s="16">
        <v>3.7999999999999999E-2</v>
      </c>
      <c r="M68" s="23">
        <v>82.12</v>
      </c>
      <c r="N68" s="16">
        <v>0</v>
      </c>
      <c r="O68" s="17">
        <v>2.415</v>
      </c>
      <c r="P68" s="18">
        <v>34</v>
      </c>
      <c r="Q68" s="18">
        <v>11.862</v>
      </c>
      <c r="R68" s="18">
        <v>82.12</v>
      </c>
      <c r="S68" s="18">
        <v>0</v>
      </c>
      <c r="T68" s="14" t="b">
        <f t="shared" ref="T68:T131" si="15">G68=P68</f>
        <v>1</v>
      </c>
      <c r="U68" s="14" t="b">
        <f t="shared" ref="U68:U131" si="16">J68=Q68</f>
        <v>1</v>
      </c>
      <c r="V68" s="15">
        <f>VLOOKUP(IF(J68&lt;10, 10, IF(J68&gt;50,50,J68)),'Over to underbark'!$A$3:$C$43,IF(A68="Scots pine",3,IF(A68="Sitka spruce",2, "error")),TRUE)/100</f>
        <v>0.66</v>
      </c>
      <c r="W68">
        <f t="shared" si="13"/>
        <v>48.77928</v>
      </c>
      <c r="X68">
        <f t="shared" si="14"/>
        <v>0</v>
      </c>
      <c r="Y68">
        <f t="shared" ref="Y68:Y131" si="17">(R68+S68)*0.9*(100%-V68)</f>
        <v>25.128719999999998</v>
      </c>
      <c r="Z68">
        <f t="shared" si="10"/>
        <v>52.932909599999995</v>
      </c>
      <c r="AA68">
        <f t="shared" si="11"/>
        <v>20.975090399999999</v>
      </c>
      <c r="AB68">
        <f t="shared" si="12"/>
        <v>0</v>
      </c>
      <c r="AC68" t="b">
        <f t="shared" ref="AC68:AC131" si="18">SUM(W68:Y68)=SUM(Z68:AB68)</f>
        <v>1</v>
      </c>
      <c r="AD68" t="b">
        <f t="shared" ref="AD68:AD131" si="19">SUM(R68:S68)*0.9 = SUM(W68:Y68)</f>
        <v>1</v>
      </c>
    </row>
    <row r="69" spans="1:30" x14ac:dyDescent="0.35">
      <c r="A69" t="s">
        <v>31</v>
      </c>
      <c r="B69">
        <v>6</v>
      </c>
      <c r="C69">
        <v>2</v>
      </c>
      <c r="D69" t="s">
        <v>32</v>
      </c>
      <c r="E69">
        <v>2</v>
      </c>
      <c r="F69">
        <v>1</v>
      </c>
      <c r="G69" s="16">
        <v>35</v>
      </c>
      <c r="H69" s="16">
        <v>9.58</v>
      </c>
      <c r="I69" s="16">
        <v>2128</v>
      </c>
      <c r="J69" s="16">
        <v>12.17</v>
      </c>
      <c r="K69" s="16">
        <v>24.754000000000001</v>
      </c>
      <c r="L69" s="16">
        <v>4.2000000000000003E-2</v>
      </c>
      <c r="M69" s="23">
        <v>88.5</v>
      </c>
      <c r="N69" s="16">
        <v>0</v>
      </c>
      <c r="O69" s="17">
        <v>2.5289999999999999</v>
      </c>
      <c r="P69" s="18">
        <v>35</v>
      </c>
      <c r="Q69" s="18">
        <v>12.17</v>
      </c>
      <c r="R69" s="18">
        <v>88.5</v>
      </c>
      <c r="S69" s="18">
        <v>0</v>
      </c>
      <c r="T69" s="14" t="b">
        <f t="shared" si="15"/>
        <v>1</v>
      </c>
      <c r="U69" s="14" t="b">
        <f t="shared" si="16"/>
        <v>1</v>
      </c>
      <c r="V69" s="15">
        <f>VLOOKUP(IF(J69&lt;10, 10, IF(J69&gt;50,50,J69)),'Over to underbark'!$A$3:$C$43,IF(A69="Scots pine",3,IF(A69="Sitka spruce",2, "error")),TRUE)/100</f>
        <v>0.74</v>
      </c>
      <c r="W69">
        <f t="shared" si="13"/>
        <v>58.941000000000003</v>
      </c>
      <c r="X69">
        <f t="shared" si="14"/>
        <v>0</v>
      </c>
      <c r="Y69">
        <f t="shared" si="17"/>
        <v>20.709000000000003</v>
      </c>
      <c r="Z69">
        <f t="shared" si="10"/>
        <v>54.305370000000003</v>
      </c>
      <c r="AA69">
        <f t="shared" si="11"/>
        <v>25.344630000000002</v>
      </c>
      <c r="AB69">
        <f t="shared" si="12"/>
        <v>0</v>
      </c>
      <c r="AC69" t="b">
        <f t="shared" si="18"/>
        <v>1</v>
      </c>
      <c r="AD69" t="b">
        <f t="shared" si="19"/>
        <v>1</v>
      </c>
    </row>
    <row r="70" spans="1:30" x14ac:dyDescent="0.35">
      <c r="A70" t="s">
        <v>31</v>
      </c>
      <c r="B70">
        <v>6</v>
      </c>
      <c r="C70">
        <v>2</v>
      </c>
      <c r="D70" t="s">
        <v>32</v>
      </c>
      <c r="E70">
        <v>2</v>
      </c>
      <c r="F70">
        <v>1</v>
      </c>
      <c r="G70" s="16">
        <v>36</v>
      </c>
      <c r="H70" s="16">
        <v>9.8640000000000008</v>
      </c>
      <c r="I70" s="16">
        <v>2103</v>
      </c>
      <c r="J70" s="16">
        <v>12.476000000000001</v>
      </c>
      <c r="K70" s="16">
        <v>25.709</v>
      </c>
      <c r="L70" s="16">
        <v>4.5999999999999999E-2</v>
      </c>
      <c r="M70" s="23">
        <v>96.16</v>
      </c>
      <c r="N70" s="16">
        <v>4.2000000000000003E-2</v>
      </c>
      <c r="O70" s="17">
        <v>2.6709999999999998</v>
      </c>
      <c r="P70" s="18">
        <v>36</v>
      </c>
      <c r="Q70" s="18">
        <v>12.476000000000001</v>
      </c>
      <c r="R70" s="18">
        <v>96.16</v>
      </c>
      <c r="S70" s="18">
        <v>0</v>
      </c>
      <c r="T70" s="14" t="b">
        <f t="shared" si="15"/>
        <v>1</v>
      </c>
      <c r="U70" s="14" t="b">
        <f t="shared" si="16"/>
        <v>1</v>
      </c>
      <c r="V70" s="15">
        <f>VLOOKUP(IF(J70&lt;10, 10, IF(J70&gt;50,50,J70)),'Over to underbark'!$A$3:$C$43,IF(A70="Scots pine",3,IF(A70="Sitka spruce",2, "error")),TRUE)/100</f>
        <v>0.74</v>
      </c>
      <c r="W70">
        <f t="shared" si="13"/>
        <v>64.042559999999995</v>
      </c>
      <c r="X70">
        <f t="shared" si="14"/>
        <v>0</v>
      </c>
      <c r="Y70">
        <f t="shared" si="17"/>
        <v>22.501439999999999</v>
      </c>
      <c r="Z70">
        <f t="shared" si="10"/>
        <v>59.005699199999995</v>
      </c>
      <c r="AA70">
        <f t="shared" si="11"/>
        <v>27.538300799999998</v>
      </c>
      <c r="AB70">
        <f t="shared" si="12"/>
        <v>0</v>
      </c>
      <c r="AC70" t="b">
        <f t="shared" si="18"/>
        <v>1</v>
      </c>
      <c r="AD70" t="b">
        <f t="shared" si="19"/>
        <v>1</v>
      </c>
    </row>
    <row r="71" spans="1:30" x14ac:dyDescent="0.35">
      <c r="A71" t="s">
        <v>31</v>
      </c>
      <c r="B71">
        <v>6</v>
      </c>
      <c r="C71">
        <v>2</v>
      </c>
      <c r="D71" t="s">
        <v>32</v>
      </c>
      <c r="E71">
        <v>2</v>
      </c>
      <c r="F71">
        <v>1</v>
      </c>
      <c r="G71" s="16">
        <v>37</v>
      </c>
      <c r="H71" s="16">
        <v>10.148</v>
      </c>
      <c r="I71" s="16">
        <v>2079</v>
      </c>
      <c r="J71" s="16">
        <v>12.779</v>
      </c>
      <c r="K71" s="16">
        <v>26.663</v>
      </c>
      <c r="L71" s="16">
        <v>0.05</v>
      </c>
      <c r="M71" s="23">
        <v>103.82</v>
      </c>
      <c r="N71" s="16">
        <v>7.6999999999999999E-2</v>
      </c>
      <c r="O71" s="17">
        <v>2.806</v>
      </c>
      <c r="P71" s="18">
        <v>37</v>
      </c>
      <c r="Q71" s="18">
        <v>12.779</v>
      </c>
      <c r="R71" s="18">
        <v>103.306</v>
      </c>
      <c r="S71" s="18">
        <v>0.51400000000000001</v>
      </c>
      <c r="T71" s="14" t="b">
        <f t="shared" si="15"/>
        <v>1</v>
      </c>
      <c r="U71" s="14" t="b">
        <f t="shared" si="16"/>
        <v>1</v>
      </c>
      <c r="V71" s="15">
        <f>VLOOKUP(IF(J71&lt;10, 10, IF(J71&gt;50,50,J71)),'Over to underbark'!$A$3:$C$43,IF(A71="Scots pine",3,IF(A71="Sitka spruce",2, "error")),TRUE)/100</f>
        <v>0.74</v>
      </c>
      <c r="W71">
        <f t="shared" si="13"/>
        <v>68.801795999999996</v>
      </c>
      <c r="X71">
        <f t="shared" si="14"/>
        <v>0.34232400000000002</v>
      </c>
      <c r="Y71">
        <f t="shared" si="17"/>
        <v>24.293880000000001</v>
      </c>
      <c r="Z71">
        <f t="shared" si="10"/>
        <v>63.562252319999992</v>
      </c>
      <c r="AA71">
        <f t="shared" si="11"/>
        <v>29.67035328</v>
      </c>
      <c r="AB71">
        <f t="shared" si="12"/>
        <v>0.2053944</v>
      </c>
      <c r="AC71" t="b">
        <f t="shared" si="18"/>
        <v>1</v>
      </c>
      <c r="AD71" t="b">
        <f t="shared" si="19"/>
        <v>1</v>
      </c>
    </row>
    <row r="72" spans="1:30" x14ac:dyDescent="0.35">
      <c r="A72" t="s">
        <v>31</v>
      </c>
      <c r="B72">
        <v>6</v>
      </c>
      <c r="C72">
        <v>2</v>
      </c>
      <c r="D72" t="s">
        <v>32</v>
      </c>
      <c r="E72">
        <v>2</v>
      </c>
      <c r="F72">
        <v>1</v>
      </c>
      <c r="G72" s="16">
        <v>38</v>
      </c>
      <c r="H72" s="16">
        <v>10.432</v>
      </c>
      <c r="I72" s="16">
        <v>2054</v>
      </c>
      <c r="J72" s="16">
        <v>13.084</v>
      </c>
      <c r="K72" s="16">
        <v>27.617999999999999</v>
      </c>
      <c r="L72" s="16">
        <v>5.3999999999999999E-2</v>
      </c>
      <c r="M72" s="23">
        <v>111.48</v>
      </c>
      <c r="N72" s="16">
        <v>0.108</v>
      </c>
      <c r="O72" s="17">
        <v>2.9340000000000002</v>
      </c>
      <c r="P72" s="18">
        <v>38</v>
      </c>
      <c r="Q72" s="18">
        <v>13.084</v>
      </c>
      <c r="R72" s="18">
        <v>109.04</v>
      </c>
      <c r="S72" s="18">
        <v>2.44</v>
      </c>
      <c r="T72" s="14" t="b">
        <f t="shared" si="15"/>
        <v>1</v>
      </c>
      <c r="U72" s="14" t="b">
        <f t="shared" si="16"/>
        <v>1</v>
      </c>
      <c r="V72" s="15">
        <f>VLOOKUP(IF(J72&lt;10, 10, IF(J72&gt;50,50,J72)),'Over to underbark'!$A$3:$C$43,IF(A72="Scots pine",3,IF(A72="Sitka spruce",2, "error")),TRUE)/100</f>
        <v>0.79</v>
      </c>
      <c r="W72">
        <f t="shared" si="13"/>
        <v>77.527440000000013</v>
      </c>
      <c r="X72">
        <f t="shared" si="14"/>
        <v>1.7348400000000002</v>
      </c>
      <c r="Y72">
        <f t="shared" si="17"/>
        <v>21.069719999999997</v>
      </c>
      <c r="Z72">
        <f t="shared" si="10"/>
        <v>65.520586800000004</v>
      </c>
      <c r="AA72">
        <f t="shared" si="11"/>
        <v>33.770509199999999</v>
      </c>
      <c r="AB72">
        <f t="shared" si="12"/>
        <v>1.0409040000000001</v>
      </c>
      <c r="AC72" t="b">
        <f t="shared" si="18"/>
        <v>1</v>
      </c>
      <c r="AD72" t="b">
        <f t="shared" si="19"/>
        <v>1</v>
      </c>
    </row>
    <row r="73" spans="1:30" x14ac:dyDescent="0.35">
      <c r="A73" t="s">
        <v>31</v>
      </c>
      <c r="B73">
        <v>6</v>
      </c>
      <c r="C73">
        <v>2</v>
      </c>
      <c r="D73" t="s">
        <v>32</v>
      </c>
      <c r="E73">
        <v>2</v>
      </c>
      <c r="F73">
        <v>1</v>
      </c>
      <c r="G73" s="16">
        <v>39</v>
      </c>
      <c r="H73" s="16">
        <v>10.715999999999999</v>
      </c>
      <c r="I73" s="16">
        <v>2030</v>
      </c>
      <c r="J73" s="16">
        <v>13.387</v>
      </c>
      <c r="K73" s="16">
        <v>28.573</v>
      </c>
      <c r="L73" s="16">
        <v>5.8999999999999997E-2</v>
      </c>
      <c r="M73" s="23">
        <v>119.14</v>
      </c>
      <c r="N73" s="16">
        <v>0.13400000000000001</v>
      </c>
      <c r="O73" s="17">
        <v>3.0550000000000002</v>
      </c>
      <c r="P73" s="18">
        <v>39</v>
      </c>
      <c r="Q73" s="18">
        <v>13.387</v>
      </c>
      <c r="R73" s="18">
        <v>114.48699999999999</v>
      </c>
      <c r="S73" s="18">
        <v>4.6529999999999996</v>
      </c>
      <c r="T73" s="14" t="b">
        <f t="shared" si="15"/>
        <v>1</v>
      </c>
      <c r="U73" s="14" t="b">
        <f t="shared" si="16"/>
        <v>1</v>
      </c>
      <c r="V73" s="15">
        <f>VLOOKUP(IF(J73&lt;10, 10, IF(J73&gt;50,50,J73)),'Over to underbark'!$A$3:$C$43,IF(A73="Scots pine",3,IF(A73="Sitka spruce",2, "error")),TRUE)/100</f>
        <v>0.79</v>
      </c>
      <c r="W73">
        <f t="shared" si="13"/>
        <v>81.400256999999996</v>
      </c>
      <c r="X73">
        <f t="shared" si="14"/>
        <v>3.3082829999999999</v>
      </c>
      <c r="Y73">
        <f t="shared" si="17"/>
        <v>22.517459999999996</v>
      </c>
      <c r="Z73">
        <f t="shared" si="10"/>
        <v>69.411848939999985</v>
      </c>
      <c r="AA73">
        <f t="shared" si="11"/>
        <v>35.829181259999999</v>
      </c>
      <c r="AB73">
        <f t="shared" si="12"/>
        <v>1.9849697999999998</v>
      </c>
      <c r="AC73" t="b">
        <f t="shared" si="18"/>
        <v>1</v>
      </c>
      <c r="AD73" t="b">
        <f t="shared" si="19"/>
        <v>1</v>
      </c>
    </row>
    <row r="74" spans="1:30" x14ac:dyDescent="0.35">
      <c r="A74" t="s">
        <v>31</v>
      </c>
      <c r="B74">
        <v>6</v>
      </c>
      <c r="C74">
        <v>2</v>
      </c>
      <c r="D74" t="s">
        <v>32</v>
      </c>
      <c r="E74">
        <v>2</v>
      </c>
      <c r="F74">
        <v>1</v>
      </c>
      <c r="G74" s="16">
        <v>40</v>
      </c>
      <c r="H74" s="16">
        <v>11</v>
      </c>
      <c r="I74" s="16">
        <v>2006</v>
      </c>
      <c r="J74" s="16">
        <v>13.69</v>
      </c>
      <c r="K74" s="16">
        <v>29.527999999999999</v>
      </c>
      <c r="L74" s="16">
        <v>6.3E-2</v>
      </c>
      <c r="M74" s="23">
        <v>126.8</v>
      </c>
      <c r="N74" s="16">
        <v>0.157</v>
      </c>
      <c r="O74" s="17">
        <v>3.17</v>
      </c>
      <c r="P74" s="18">
        <v>40</v>
      </c>
      <c r="Q74" s="18">
        <v>13.69</v>
      </c>
      <c r="R74" s="18">
        <v>119.63500000000001</v>
      </c>
      <c r="S74" s="18">
        <v>7.165</v>
      </c>
      <c r="T74" s="14" t="b">
        <f t="shared" si="15"/>
        <v>1</v>
      </c>
      <c r="U74" s="14" t="b">
        <f t="shared" si="16"/>
        <v>1</v>
      </c>
      <c r="V74" s="15">
        <f>VLOOKUP(IF(J74&lt;10, 10, IF(J74&gt;50,50,J74)),'Over to underbark'!$A$3:$C$43,IF(A74="Scots pine",3,IF(A74="Sitka spruce",2, "error")),TRUE)/100</f>
        <v>0.79</v>
      </c>
      <c r="W74">
        <f t="shared" si="13"/>
        <v>85.060485000000014</v>
      </c>
      <c r="X74">
        <f t="shared" si="14"/>
        <v>5.0943149999999999</v>
      </c>
      <c r="Y74">
        <f t="shared" si="17"/>
        <v>23.965199999999999</v>
      </c>
      <c r="Z74">
        <f t="shared" si="10"/>
        <v>73.213823699999992</v>
      </c>
      <c r="AA74">
        <f t="shared" si="11"/>
        <v>37.849587300000003</v>
      </c>
      <c r="AB74">
        <f t="shared" si="12"/>
        <v>3.0565889999999998</v>
      </c>
      <c r="AC74" t="b">
        <f t="shared" si="18"/>
        <v>1</v>
      </c>
      <c r="AD74" t="b">
        <f t="shared" si="19"/>
        <v>1</v>
      </c>
    </row>
    <row r="75" spans="1:30" x14ac:dyDescent="0.35">
      <c r="A75" t="s">
        <v>31</v>
      </c>
      <c r="B75">
        <v>6</v>
      </c>
      <c r="C75">
        <v>2</v>
      </c>
      <c r="D75" t="s">
        <v>32</v>
      </c>
      <c r="E75">
        <v>2</v>
      </c>
      <c r="F75">
        <v>1</v>
      </c>
      <c r="G75" s="16">
        <v>41</v>
      </c>
      <c r="H75" s="16">
        <v>11.257999999999999</v>
      </c>
      <c r="I75" s="16">
        <v>1984</v>
      </c>
      <c r="J75" s="16">
        <v>13.984</v>
      </c>
      <c r="K75" s="16">
        <v>30.472000000000001</v>
      </c>
      <c r="L75" s="16">
        <v>6.8000000000000005E-2</v>
      </c>
      <c r="M75" s="23">
        <v>135.16</v>
      </c>
      <c r="N75" s="16">
        <v>0.251</v>
      </c>
      <c r="O75" s="17">
        <v>3.2970000000000002</v>
      </c>
      <c r="P75" s="18">
        <v>41</v>
      </c>
      <c r="Q75" s="18">
        <v>13.984</v>
      </c>
      <c r="R75" s="18">
        <v>125.199</v>
      </c>
      <c r="S75" s="18">
        <v>9.9610000000000003</v>
      </c>
      <c r="T75" s="14" t="b">
        <f t="shared" si="15"/>
        <v>1</v>
      </c>
      <c r="U75" s="14" t="b">
        <f t="shared" si="16"/>
        <v>1</v>
      </c>
      <c r="V75" s="15">
        <f>VLOOKUP(IF(J75&lt;10, 10, IF(J75&gt;50,50,J75)),'Over to underbark'!$A$3:$C$43,IF(A75="Scots pine",3,IF(A75="Sitka spruce",2, "error")),TRUE)/100</f>
        <v>0.79</v>
      </c>
      <c r="W75">
        <f t="shared" si="13"/>
        <v>89.016489000000007</v>
      </c>
      <c r="X75">
        <f t="shared" si="14"/>
        <v>7.0822710000000004</v>
      </c>
      <c r="Y75">
        <f t="shared" si="17"/>
        <v>25.545239999999996</v>
      </c>
      <c r="Z75">
        <f t="shared" si="10"/>
        <v>77.346979379999993</v>
      </c>
      <c r="AA75">
        <f t="shared" si="11"/>
        <v>40.04765802</v>
      </c>
      <c r="AB75">
        <f t="shared" si="12"/>
        <v>4.2493626000000004</v>
      </c>
      <c r="AC75" t="b">
        <f t="shared" si="18"/>
        <v>1</v>
      </c>
      <c r="AD75" t="b">
        <f t="shared" si="19"/>
        <v>1</v>
      </c>
    </row>
    <row r="76" spans="1:30" x14ac:dyDescent="0.35">
      <c r="A76" t="s">
        <v>31</v>
      </c>
      <c r="B76">
        <v>6</v>
      </c>
      <c r="C76">
        <v>2</v>
      </c>
      <c r="D76" t="s">
        <v>32</v>
      </c>
      <c r="E76">
        <v>2</v>
      </c>
      <c r="F76">
        <v>1</v>
      </c>
      <c r="G76" s="16">
        <v>42</v>
      </c>
      <c r="H76" s="16">
        <v>11.516</v>
      </c>
      <c r="I76" s="16">
        <v>1963</v>
      </c>
      <c r="J76" s="16">
        <v>14.275</v>
      </c>
      <c r="K76" s="16">
        <v>31.417000000000002</v>
      </c>
      <c r="L76" s="16">
        <v>7.2999999999999995E-2</v>
      </c>
      <c r="M76" s="23">
        <v>143.52000000000001</v>
      </c>
      <c r="N76" s="16">
        <v>0.33300000000000002</v>
      </c>
      <c r="O76" s="17">
        <v>3.4169999999999998</v>
      </c>
      <c r="P76" s="18">
        <v>42</v>
      </c>
      <c r="Q76" s="18">
        <v>14.275</v>
      </c>
      <c r="R76" s="18">
        <v>130.471</v>
      </c>
      <c r="S76" s="18">
        <v>13.048999999999999</v>
      </c>
      <c r="T76" s="14" t="b">
        <f t="shared" si="15"/>
        <v>1</v>
      </c>
      <c r="U76" s="14" t="b">
        <f t="shared" si="16"/>
        <v>1</v>
      </c>
      <c r="V76" s="15">
        <f>VLOOKUP(IF(J76&lt;10, 10, IF(J76&gt;50,50,J76)),'Over to underbark'!$A$3:$C$43,IF(A76="Scots pine",3,IF(A76="Sitka spruce",2, "error")),TRUE)/100</f>
        <v>0.82</v>
      </c>
      <c r="W76">
        <f t="shared" si="13"/>
        <v>96.287598000000003</v>
      </c>
      <c r="X76">
        <f t="shared" si="14"/>
        <v>9.6301619999999986</v>
      </c>
      <c r="Y76">
        <f t="shared" si="17"/>
        <v>23.250240000000009</v>
      </c>
      <c r="Z76">
        <f t="shared" si="10"/>
        <v>79.578695160000009</v>
      </c>
      <c r="AA76">
        <f t="shared" si="11"/>
        <v>43.811207640000006</v>
      </c>
      <c r="AB76">
        <f t="shared" si="12"/>
        <v>5.7780971999999986</v>
      </c>
      <c r="AC76" t="b">
        <f t="shared" si="18"/>
        <v>1</v>
      </c>
      <c r="AD76" t="b">
        <f t="shared" si="19"/>
        <v>1</v>
      </c>
    </row>
    <row r="77" spans="1:30" x14ac:dyDescent="0.35">
      <c r="A77" t="s">
        <v>31</v>
      </c>
      <c r="B77">
        <v>6</v>
      </c>
      <c r="C77">
        <v>2</v>
      </c>
      <c r="D77" t="s">
        <v>32</v>
      </c>
      <c r="E77">
        <v>2</v>
      </c>
      <c r="F77">
        <v>1</v>
      </c>
      <c r="G77" s="16">
        <v>43</v>
      </c>
      <c r="H77" s="16">
        <v>11.773999999999999</v>
      </c>
      <c r="I77" s="16">
        <v>1942</v>
      </c>
      <c r="J77" s="16">
        <v>14.566000000000001</v>
      </c>
      <c r="K77" s="16">
        <v>32.360999999999997</v>
      </c>
      <c r="L77" s="16">
        <v>7.8E-2</v>
      </c>
      <c r="M77" s="23">
        <v>151.88</v>
      </c>
      <c r="N77" s="16">
        <v>0.40699999999999997</v>
      </c>
      <c r="O77" s="17">
        <v>3.532</v>
      </c>
      <c r="P77" s="18">
        <v>43</v>
      </c>
      <c r="Q77" s="18">
        <v>14.566000000000001</v>
      </c>
      <c r="R77" s="18">
        <v>135.42699999999999</v>
      </c>
      <c r="S77" s="18">
        <v>16.452999999999999</v>
      </c>
      <c r="T77" s="14" t="b">
        <f t="shared" si="15"/>
        <v>1</v>
      </c>
      <c r="U77" s="14" t="b">
        <f t="shared" si="16"/>
        <v>1</v>
      </c>
      <c r="V77" s="15">
        <f>VLOOKUP(IF(J77&lt;10, 10, IF(J77&gt;50,50,J77)),'Over to underbark'!$A$3:$C$43,IF(A77="Scots pine",3,IF(A77="Sitka spruce",2, "error")),TRUE)/100</f>
        <v>0.82</v>
      </c>
      <c r="W77">
        <f t="shared" si="13"/>
        <v>99.945125999999988</v>
      </c>
      <c r="X77">
        <f t="shared" si="14"/>
        <v>12.142313999999999</v>
      </c>
      <c r="Y77">
        <f t="shared" si="17"/>
        <v>24.604560000000006</v>
      </c>
      <c r="Z77">
        <f t="shared" si="10"/>
        <v>83.394628919999988</v>
      </c>
      <c r="AA77">
        <f t="shared" si="11"/>
        <v>46.011982679999996</v>
      </c>
      <c r="AB77">
        <f t="shared" si="12"/>
        <v>7.2853883999999987</v>
      </c>
      <c r="AC77" t="b">
        <f t="shared" si="18"/>
        <v>1</v>
      </c>
      <c r="AD77" t="b">
        <f t="shared" si="19"/>
        <v>1</v>
      </c>
    </row>
    <row r="78" spans="1:30" x14ac:dyDescent="0.35">
      <c r="A78" t="s">
        <v>31</v>
      </c>
      <c r="B78">
        <v>6</v>
      </c>
      <c r="C78">
        <v>2</v>
      </c>
      <c r="D78" t="s">
        <v>32</v>
      </c>
      <c r="E78">
        <v>2</v>
      </c>
      <c r="F78">
        <v>1</v>
      </c>
      <c r="G78" s="16">
        <v>44</v>
      </c>
      <c r="H78" s="16">
        <v>12.032</v>
      </c>
      <c r="I78" s="16">
        <v>1921</v>
      </c>
      <c r="J78" s="16">
        <v>14.858000000000001</v>
      </c>
      <c r="K78" s="16">
        <v>33.305999999999997</v>
      </c>
      <c r="L78" s="16">
        <v>8.3000000000000004E-2</v>
      </c>
      <c r="M78" s="23">
        <v>160.24</v>
      </c>
      <c r="N78" s="16">
        <v>0.47199999999999998</v>
      </c>
      <c r="O78" s="17">
        <v>3.6419999999999999</v>
      </c>
      <c r="P78" s="18">
        <v>44</v>
      </c>
      <c r="Q78" s="18">
        <v>14.858000000000001</v>
      </c>
      <c r="R78" s="18">
        <v>140.059</v>
      </c>
      <c r="S78" s="18">
        <v>20.181000000000001</v>
      </c>
      <c r="T78" s="14" t="b">
        <f t="shared" si="15"/>
        <v>1</v>
      </c>
      <c r="U78" s="14" t="b">
        <f t="shared" si="16"/>
        <v>1</v>
      </c>
      <c r="V78" s="15">
        <f>VLOOKUP(IF(J78&lt;10, 10, IF(J78&gt;50,50,J78)),'Over to underbark'!$A$3:$C$43,IF(A78="Scots pine",3,IF(A78="Sitka spruce",2, "error")),TRUE)/100</f>
        <v>0.82</v>
      </c>
      <c r="W78">
        <f t="shared" si="13"/>
        <v>103.363542</v>
      </c>
      <c r="X78">
        <f t="shared" si="14"/>
        <v>14.893578</v>
      </c>
      <c r="Y78">
        <f t="shared" si="17"/>
        <v>25.958880000000008</v>
      </c>
      <c r="Z78">
        <f t="shared" si="10"/>
        <v>87.110135639999996</v>
      </c>
      <c r="AA78">
        <f t="shared" si="11"/>
        <v>48.169717559999995</v>
      </c>
      <c r="AB78">
        <f t="shared" si="12"/>
        <v>8.9361467999999995</v>
      </c>
      <c r="AC78" t="b">
        <f t="shared" si="18"/>
        <v>1</v>
      </c>
      <c r="AD78" t="b">
        <f t="shared" si="19"/>
        <v>1</v>
      </c>
    </row>
    <row r="79" spans="1:30" x14ac:dyDescent="0.35">
      <c r="A79" t="s">
        <v>31</v>
      </c>
      <c r="B79">
        <v>6</v>
      </c>
      <c r="C79">
        <v>2</v>
      </c>
      <c r="D79" t="s">
        <v>32</v>
      </c>
      <c r="E79">
        <v>2</v>
      </c>
      <c r="F79">
        <v>1</v>
      </c>
      <c r="G79" s="16">
        <v>45</v>
      </c>
      <c r="H79" s="16">
        <v>12.29</v>
      </c>
      <c r="I79" s="16">
        <v>1900</v>
      </c>
      <c r="J79" s="16">
        <v>15.15</v>
      </c>
      <c r="K79" s="16">
        <v>34.250999999999998</v>
      </c>
      <c r="L79" s="16">
        <v>8.8999999999999996E-2</v>
      </c>
      <c r="M79" s="23">
        <v>168.6</v>
      </c>
      <c r="N79" s="16">
        <v>0.53100000000000003</v>
      </c>
      <c r="O79" s="17">
        <v>3.7469999999999999</v>
      </c>
      <c r="P79" s="18">
        <v>45</v>
      </c>
      <c r="Q79" s="18">
        <v>15.15</v>
      </c>
      <c r="R79" s="18">
        <v>144.375</v>
      </c>
      <c r="S79" s="18">
        <v>24.225000000000001</v>
      </c>
      <c r="T79" s="14" t="b">
        <f t="shared" si="15"/>
        <v>1</v>
      </c>
      <c r="U79" s="14" t="b">
        <f t="shared" si="16"/>
        <v>1</v>
      </c>
      <c r="V79" s="15">
        <f>VLOOKUP(IF(J79&lt;10, 10, IF(J79&gt;50,50,J79)),'Over to underbark'!$A$3:$C$43,IF(A79="Scots pine",3,IF(A79="Sitka spruce",2, "error")),TRUE)/100</f>
        <v>0.84</v>
      </c>
      <c r="W79">
        <f t="shared" si="13"/>
        <v>109.14749999999999</v>
      </c>
      <c r="X79">
        <f t="shared" si="14"/>
        <v>18.3141</v>
      </c>
      <c r="Y79">
        <f t="shared" si="17"/>
        <v>24.278400000000005</v>
      </c>
      <c r="Z79">
        <f t="shared" si="10"/>
        <v>89.239589999999993</v>
      </c>
      <c r="AA79">
        <f t="shared" si="11"/>
        <v>51.511949999999999</v>
      </c>
      <c r="AB79">
        <f t="shared" si="12"/>
        <v>10.98846</v>
      </c>
      <c r="AC79" t="b">
        <f t="shared" si="18"/>
        <v>1</v>
      </c>
      <c r="AD79" t="b">
        <f t="shared" si="19"/>
        <v>1</v>
      </c>
    </row>
    <row r="80" spans="1:30" x14ac:dyDescent="0.35">
      <c r="A80" t="s">
        <v>31</v>
      </c>
      <c r="B80">
        <v>6</v>
      </c>
      <c r="C80">
        <v>2</v>
      </c>
      <c r="D80" t="s">
        <v>32</v>
      </c>
      <c r="E80">
        <v>2</v>
      </c>
      <c r="F80">
        <v>1</v>
      </c>
      <c r="G80" s="16">
        <v>46</v>
      </c>
      <c r="H80" s="16">
        <v>12.53</v>
      </c>
      <c r="I80" s="16">
        <v>1880</v>
      </c>
      <c r="J80" s="16">
        <v>15.427</v>
      </c>
      <c r="K80" s="16">
        <v>35.14</v>
      </c>
      <c r="L80" s="16">
        <v>9.4E-2</v>
      </c>
      <c r="M80" s="23">
        <v>177.3</v>
      </c>
      <c r="N80" s="16">
        <v>0.628</v>
      </c>
      <c r="O80" s="17">
        <v>3.8540000000000001</v>
      </c>
      <c r="P80" s="18">
        <v>46</v>
      </c>
      <c r="Q80" s="18">
        <v>15.427</v>
      </c>
      <c r="R80" s="18">
        <v>148.827</v>
      </c>
      <c r="S80" s="18">
        <v>28.472999999999999</v>
      </c>
      <c r="T80" s="14" t="b">
        <f t="shared" si="15"/>
        <v>1</v>
      </c>
      <c r="U80" s="14" t="b">
        <f t="shared" si="16"/>
        <v>1</v>
      </c>
      <c r="V80" s="15">
        <f>VLOOKUP(IF(J80&lt;10, 10, IF(J80&gt;50,50,J80)),'Over to underbark'!$A$3:$C$43,IF(A80="Scots pine",3,IF(A80="Sitka spruce",2, "error")),TRUE)/100</f>
        <v>0.84</v>
      </c>
      <c r="W80">
        <f t="shared" si="13"/>
        <v>112.513212</v>
      </c>
      <c r="X80">
        <f t="shared" si="14"/>
        <v>21.525587999999999</v>
      </c>
      <c r="Y80">
        <f t="shared" si="17"/>
        <v>25.531200000000009</v>
      </c>
      <c r="Z80">
        <f t="shared" si="10"/>
        <v>92.892569039999998</v>
      </c>
      <c r="AA80">
        <f t="shared" si="11"/>
        <v>53.762078159999994</v>
      </c>
      <c r="AB80">
        <f t="shared" si="12"/>
        <v>12.915352799999999</v>
      </c>
      <c r="AC80" t="b">
        <f t="shared" si="18"/>
        <v>1</v>
      </c>
      <c r="AD80" t="b">
        <f t="shared" si="19"/>
        <v>1</v>
      </c>
    </row>
    <row r="81" spans="1:30" x14ac:dyDescent="0.35">
      <c r="A81" t="s">
        <v>31</v>
      </c>
      <c r="B81">
        <v>6</v>
      </c>
      <c r="C81">
        <v>2</v>
      </c>
      <c r="D81" t="s">
        <v>32</v>
      </c>
      <c r="E81">
        <v>2</v>
      </c>
      <c r="F81">
        <v>1</v>
      </c>
      <c r="G81" s="16">
        <v>47</v>
      </c>
      <c r="H81" s="16">
        <v>12.77</v>
      </c>
      <c r="I81" s="16">
        <v>1860</v>
      </c>
      <c r="J81" s="16">
        <v>15.705</v>
      </c>
      <c r="K81" s="16">
        <v>36.029000000000003</v>
      </c>
      <c r="L81" s="16">
        <v>0.1</v>
      </c>
      <c r="M81" s="23">
        <v>186</v>
      </c>
      <c r="N81" s="16">
        <v>0.71499999999999997</v>
      </c>
      <c r="O81" s="17">
        <v>3.9569999999999999</v>
      </c>
      <c r="P81" s="18">
        <v>47</v>
      </c>
      <c r="Q81" s="18">
        <v>15.705</v>
      </c>
      <c r="R81" s="18">
        <v>152.96299999999999</v>
      </c>
      <c r="S81" s="18">
        <v>33.036999999999999</v>
      </c>
      <c r="T81" s="14" t="b">
        <f t="shared" si="15"/>
        <v>1</v>
      </c>
      <c r="U81" s="14" t="b">
        <f t="shared" si="16"/>
        <v>1</v>
      </c>
      <c r="V81" s="15">
        <f>VLOOKUP(IF(J81&lt;10, 10, IF(J81&gt;50,50,J81)),'Over to underbark'!$A$3:$C$43,IF(A81="Scots pine",3,IF(A81="Sitka spruce",2, "error")),TRUE)/100</f>
        <v>0.84</v>
      </c>
      <c r="W81">
        <f t="shared" si="13"/>
        <v>115.64002799999999</v>
      </c>
      <c r="X81">
        <f t="shared" si="14"/>
        <v>24.975971999999999</v>
      </c>
      <c r="Y81">
        <f t="shared" si="17"/>
        <v>26.784000000000006</v>
      </c>
      <c r="Z81">
        <f t="shared" si="10"/>
        <v>96.445211759999992</v>
      </c>
      <c r="AA81">
        <f t="shared" si="11"/>
        <v>55.969205039999991</v>
      </c>
      <c r="AB81">
        <f t="shared" si="12"/>
        <v>14.985583199999999</v>
      </c>
      <c r="AC81" t="b">
        <f t="shared" si="18"/>
        <v>1</v>
      </c>
      <c r="AD81" t="b">
        <f t="shared" si="19"/>
        <v>1</v>
      </c>
    </row>
    <row r="82" spans="1:30" x14ac:dyDescent="0.35">
      <c r="A82" t="s">
        <v>31</v>
      </c>
      <c r="B82">
        <v>6</v>
      </c>
      <c r="C82">
        <v>2</v>
      </c>
      <c r="D82" t="s">
        <v>32</v>
      </c>
      <c r="E82">
        <v>2</v>
      </c>
      <c r="F82">
        <v>1</v>
      </c>
      <c r="G82" s="16">
        <v>48</v>
      </c>
      <c r="H82" s="16">
        <v>13.01</v>
      </c>
      <c r="I82" s="16">
        <v>1840</v>
      </c>
      <c r="J82" s="16">
        <v>15.983000000000001</v>
      </c>
      <c r="K82" s="16">
        <v>36.917999999999999</v>
      </c>
      <c r="L82" s="16">
        <v>0.106</v>
      </c>
      <c r="M82" s="23">
        <v>194.7</v>
      </c>
      <c r="N82" s="16">
        <v>0.79500000000000004</v>
      </c>
      <c r="O82" s="17">
        <v>4.056</v>
      </c>
      <c r="P82" s="18">
        <v>48</v>
      </c>
      <c r="Q82" s="18">
        <v>15.983000000000001</v>
      </c>
      <c r="R82" s="18">
        <v>156.79599999999999</v>
      </c>
      <c r="S82" s="18">
        <v>37.904000000000003</v>
      </c>
      <c r="T82" s="14" t="b">
        <f t="shared" si="15"/>
        <v>1</v>
      </c>
      <c r="U82" s="14" t="b">
        <f t="shared" si="16"/>
        <v>1</v>
      </c>
      <c r="V82" s="15">
        <f>VLOOKUP(IF(J82&lt;10, 10, IF(J82&gt;50,50,J82)),'Over to underbark'!$A$3:$C$43,IF(A82="Scots pine",3,IF(A82="Sitka spruce",2, "error")),TRUE)/100</f>
        <v>0.84</v>
      </c>
      <c r="W82">
        <f t="shared" si="13"/>
        <v>118.53777599999999</v>
      </c>
      <c r="X82">
        <f t="shared" si="14"/>
        <v>28.655424000000004</v>
      </c>
      <c r="Y82">
        <f t="shared" si="17"/>
        <v>28.036800000000003</v>
      </c>
      <c r="Z82">
        <f t="shared" si="10"/>
        <v>99.901645919999993</v>
      </c>
      <c r="AA82">
        <f t="shared" si="11"/>
        <v>58.135099679999996</v>
      </c>
      <c r="AB82">
        <f t="shared" si="12"/>
        <v>17.193254400000001</v>
      </c>
      <c r="AC82" t="b">
        <f t="shared" si="18"/>
        <v>1</v>
      </c>
      <c r="AD82" t="b">
        <f t="shared" si="19"/>
        <v>1</v>
      </c>
    </row>
    <row r="83" spans="1:30" x14ac:dyDescent="0.35">
      <c r="A83" t="s">
        <v>31</v>
      </c>
      <c r="B83">
        <v>6</v>
      </c>
      <c r="C83">
        <v>2</v>
      </c>
      <c r="D83" t="s">
        <v>32</v>
      </c>
      <c r="E83">
        <v>2</v>
      </c>
      <c r="F83">
        <v>1</v>
      </c>
      <c r="G83" s="16">
        <v>49</v>
      </c>
      <c r="H83" s="16">
        <v>13.25</v>
      </c>
      <c r="I83" s="16">
        <v>1820</v>
      </c>
      <c r="J83" s="16">
        <v>16.263000000000002</v>
      </c>
      <c r="K83" s="16">
        <v>37.808</v>
      </c>
      <c r="L83" s="16">
        <v>0.112</v>
      </c>
      <c r="M83" s="23">
        <v>203.4</v>
      </c>
      <c r="N83" s="16">
        <v>0.86799999999999999</v>
      </c>
      <c r="O83" s="17">
        <v>4.1509999999999998</v>
      </c>
      <c r="P83" s="18">
        <v>49</v>
      </c>
      <c r="Q83" s="18">
        <v>16.263000000000002</v>
      </c>
      <c r="R83" s="18">
        <v>160.30600000000001</v>
      </c>
      <c r="S83" s="18">
        <v>43.094000000000001</v>
      </c>
      <c r="T83" s="14" t="b">
        <f t="shared" si="15"/>
        <v>1</v>
      </c>
      <c r="U83" s="14" t="b">
        <f t="shared" si="16"/>
        <v>1</v>
      </c>
      <c r="V83" s="15">
        <f>VLOOKUP(IF(J83&lt;10, 10, IF(J83&gt;50,50,J83)),'Over to underbark'!$A$3:$C$43,IF(A83="Scots pine",3,IF(A83="Sitka spruce",2, "error")),TRUE)/100</f>
        <v>0.84</v>
      </c>
      <c r="W83">
        <f t="shared" si="13"/>
        <v>121.19133600000001</v>
      </c>
      <c r="X83">
        <f t="shared" si="14"/>
        <v>32.579064000000002</v>
      </c>
      <c r="Y83">
        <f t="shared" si="17"/>
        <v>29.289600000000007</v>
      </c>
      <c r="Z83">
        <f t="shared" si="10"/>
        <v>103.25552112</v>
      </c>
      <c r="AA83">
        <f t="shared" si="11"/>
        <v>60.257040480000001</v>
      </c>
      <c r="AB83">
        <f t="shared" si="12"/>
        <v>19.547438400000001</v>
      </c>
      <c r="AC83" t="b">
        <f t="shared" si="18"/>
        <v>1</v>
      </c>
      <c r="AD83" t="b">
        <f t="shared" si="19"/>
        <v>1</v>
      </c>
    </row>
    <row r="84" spans="1:30" x14ac:dyDescent="0.35">
      <c r="A84" t="s">
        <v>31</v>
      </c>
      <c r="B84">
        <v>6</v>
      </c>
      <c r="C84">
        <v>2</v>
      </c>
      <c r="D84" t="s">
        <v>32</v>
      </c>
      <c r="E84">
        <v>2</v>
      </c>
      <c r="F84">
        <v>1</v>
      </c>
      <c r="G84" s="16">
        <v>50</v>
      </c>
      <c r="H84" s="16">
        <v>13.49</v>
      </c>
      <c r="I84" s="16">
        <v>1801</v>
      </c>
      <c r="J84" s="16">
        <v>16.54</v>
      </c>
      <c r="K84" s="16">
        <v>38.697000000000003</v>
      </c>
      <c r="L84" s="16">
        <v>0.11799999999999999</v>
      </c>
      <c r="M84" s="23">
        <v>212.1</v>
      </c>
      <c r="N84" s="16">
        <v>0.93400000000000005</v>
      </c>
      <c r="O84" s="17">
        <v>4.242</v>
      </c>
      <c r="P84" s="18">
        <v>50</v>
      </c>
      <c r="Q84" s="18">
        <v>16.54</v>
      </c>
      <c r="R84" s="18">
        <v>163.55799999999999</v>
      </c>
      <c r="S84" s="18">
        <v>48.542000000000002</v>
      </c>
      <c r="T84" s="14" t="b">
        <f t="shared" si="15"/>
        <v>1</v>
      </c>
      <c r="U84" s="14" t="b">
        <f t="shared" si="16"/>
        <v>1</v>
      </c>
      <c r="V84" s="15">
        <f>VLOOKUP(IF(J84&lt;10, 10, IF(J84&gt;50,50,J84)),'Over to underbark'!$A$3:$C$43,IF(A84="Scots pine",3,IF(A84="Sitka spruce",2, "error")),TRUE)/100</f>
        <v>0.84</v>
      </c>
      <c r="W84">
        <f t="shared" si="13"/>
        <v>123.64984800000001</v>
      </c>
      <c r="X84">
        <f t="shared" si="14"/>
        <v>36.697752000000001</v>
      </c>
      <c r="Y84">
        <f t="shared" si="17"/>
        <v>30.542400000000004</v>
      </c>
      <c r="Z84">
        <f t="shared" si="10"/>
        <v>106.52747616000001</v>
      </c>
      <c r="AA84">
        <f t="shared" si="11"/>
        <v>62.343872640000001</v>
      </c>
      <c r="AB84">
        <f t="shared" si="12"/>
        <v>22.018651200000001</v>
      </c>
      <c r="AC84" t="b">
        <f t="shared" si="18"/>
        <v>1</v>
      </c>
      <c r="AD84" t="b">
        <f t="shared" si="19"/>
        <v>1</v>
      </c>
    </row>
    <row r="85" spans="1:30" x14ac:dyDescent="0.35">
      <c r="A85" t="s">
        <v>31</v>
      </c>
      <c r="B85">
        <v>6</v>
      </c>
      <c r="C85">
        <v>2</v>
      </c>
      <c r="D85" t="s">
        <v>32</v>
      </c>
      <c r="E85">
        <v>2</v>
      </c>
      <c r="F85">
        <v>1</v>
      </c>
      <c r="G85" s="16">
        <v>51</v>
      </c>
      <c r="H85" s="16">
        <v>13.71</v>
      </c>
      <c r="I85" s="16">
        <v>1781</v>
      </c>
      <c r="J85" s="16">
        <v>16.8</v>
      </c>
      <c r="K85" s="16">
        <v>39.481000000000002</v>
      </c>
      <c r="L85" s="16">
        <v>0.124</v>
      </c>
      <c r="M85" s="23">
        <v>220.76</v>
      </c>
      <c r="N85" s="16">
        <v>1.0669999999999999</v>
      </c>
      <c r="O85" s="17">
        <v>4.3289999999999997</v>
      </c>
      <c r="P85" s="18">
        <v>51</v>
      </c>
      <c r="Q85" s="18">
        <v>16.8</v>
      </c>
      <c r="R85" s="18">
        <v>166.72200000000001</v>
      </c>
      <c r="S85" s="18">
        <v>54.037999999999997</v>
      </c>
      <c r="T85" s="14" t="b">
        <f t="shared" si="15"/>
        <v>1</v>
      </c>
      <c r="U85" s="14" t="b">
        <f t="shared" si="16"/>
        <v>1</v>
      </c>
      <c r="V85" s="15">
        <f>VLOOKUP(IF(J85&lt;10, 10, IF(J85&gt;50,50,J85)),'Over to underbark'!$A$3:$C$43,IF(A85="Scots pine",3,IF(A85="Sitka spruce",2, "error")),TRUE)/100</f>
        <v>0.84</v>
      </c>
      <c r="W85">
        <f t="shared" si="13"/>
        <v>126.041832</v>
      </c>
      <c r="X85">
        <f t="shared" si="14"/>
        <v>40.852727999999999</v>
      </c>
      <c r="Y85">
        <f t="shared" si="17"/>
        <v>31.789440000000006</v>
      </c>
      <c r="Z85">
        <f t="shared" si="10"/>
        <v>109.76119344</v>
      </c>
      <c r="AA85">
        <f t="shared" si="11"/>
        <v>64.411169759999993</v>
      </c>
      <c r="AB85">
        <f t="shared" si="12"/>
        <v>24.511636799999998</v>
      </c>
      <c r="AC85" t="b">
        <f t="shared" si="18"/>
        <v>1</v>
      </c>
      <c r="AD85" t="b">
        <f t="shared" si="19"/>
        <v>1</v>
      </c>
    </row>
    <row r="86" spans="1:30" x14ac:dyDescent="0.35">
      <c r="A86" t="s">
        <v>31</v>
      </c>
      <c r="B86">
        <v>6</v>
      </c>
      <c r="C86">
        <v>2</v>
      </c>
      <c r="D86" t="s">
        <v>32</v>
      </c>
      <c r="E86">
        <v>2</v>
      </c>
      <c r="F86">
        <v>1</v>
      </c>
      <c r="G86" s="16">
        <v>52</v>
      </c>
      <c r="H86" s="16">
        <v>13.93</v>
      </c>
      <c r="I86" s="16">
        <v>1761</v>
      </c>
      <c r="J86" s="16">
        <v>17.062000000000001</v>
      </c>
      <c r="K86" s="16">
        <v>40.265000000000001</v>
      </c>
      <c r="L86" s="16">
        <v>0.13</v>
      </c>
      <c r="M86" s="23">
        <v>229.42</v>
      </c>
      <c r="N86" s="16">
        <v>1.1890000000000001</v>
      </c>
      <c r="O86" s="17">
        <v>4.4119999999999999</v>
      </c>
      <c r="P86" s="18">
        <v>52</v>
      </c>
      <c r="Q86" s="18">
        <v>17.062000000000001</v>
      </c>
      <c r="R86" s="18">
        <v>169.59299999999999</v>
      </c>
      <c r="S86" s="18">
        <v>59.826999999999998</v>
      </c>
      <c r="T86" s="14" t="b">
        <f t="shared" si="15"/>
        <v>1</v>
      </c>
      <c r="U86" s="14" t="b">
        <f t="shared" si="16"/>
        <v>1</v>
      </c>
      <c r="V86" s="15">
        <f>VLOOKUP(IF(J86&lt;10, 10, IF(J86&gt;50,50,J86)),'Over to underbark'!$A$3:$C$43,IF(A86="Scots pine",3,IF(A86="Sitka spruce",2, "error")),TRUE)/100</f>
        <v>0.84</v>
      </c>
      <c r="W86">
        <f t="shared" si="13"/>
        <v>128.21230800000001</v>
      </c>
      <c r="X86">
        <f t="shared" si="14"/>
        <v>45.229211999999997</v>
      </c>
      <c r="Y86">
        <f t="shared" si="17"/>
        <v>33.036480000000005</v>
      </c>
      <c r="Z86">
        <f t="shared" si="10"/>
        <v>112.90187736000001</v>
      </c>
      <c r="AA86">
        <f t="shared" si="11"/>
        <v>66.43859544</v>
      </c>
      <c r="AB86">
        <f t="shared" si="12"/>
        <v>27.137527199999997</v>
      </c>
      <c r="AC86" t="b">
        <f t="shared" si="18"/>
        <v>1</v>
      </c>
      <c r="AD86" t="b">
        <f t="shared" si="19"/>
        <v>1</v>
      </c>
    </row>
    <row r="87" spans="1:30" x14ac:dyDescent="0.35">
      <c r="A87" t="s">
        <v>31</v>
      </c>
      <c r="B87">
        <v>6</v>
      </c>
      <c r="C87">
        <v>2</v>
      </c>
      <c r="D87" t="s">
        <v>32</v>
      </c>
      <c r="E87">
        <v>2</v>
      </c>
      <c r="F87">
        <v>1</v>
      </c>
      <c r="G87" s="16">
        <v>53</v>
      </c>
      <c r="H87" s="16">
        <v>14.15</v>
      </c>
      <c r="I87" s="16">
        <v>1742</v>
      </c>
      <c r="J87" s="16">
        <v>17.321000000000002</v>
      </c>
      <c r="K87" s="16">
        <v>41.048999999999999</v>
      </c>
      <c r="L87" s="16">
        <v>0.13700000000000001</v>
      </c>
      <c r="M87" s="23">
        <v>238.08</v>
      </c>
      <c r="N87" s="16">
        <v>1.302</v>
      </c>
      <c r="O87" s="17">
        <v>4.492</v>
      </c>
      <c r="P87" s="18">
        <v>53</v>
      </c>
      <c r="Q87" s="18">
        <v>17.321000000000002</v>
      </c>
      <c r="R87" s="18">
        <v>172.24700000000001</v>
      </c>
      <c r="S87" s="18">
        <v>65.832999999999998</v>
      </c>
      <c r="T87" s="14" t="b">
        <f t="shared" si="15"/>
        <v>1</v>
      </c>
      <c r="U87" s="14" t="b">
        <f t="shared" si="16"/>
        <v>1</v>
      </c>
      <c r="V87" s="15">
        <f>VLOOKUP(IF(J87&lt;10, 10, IF(J87&gt;50,50,J87)),'Over to underbark'!$A$3:$C$43,IF(A87="Scots pine",3,IF(A87="Sitka spruce",2, "error")),TRUE)/100</f>
        <v>0.84</v>
      </c>
      <c r="W87">
        <f t="shared" si="13"/>
        <v>130.21873200000002</v>
      </c>
      <c r="X87">
        <f t="shared" si="14"/>
        <v>49.769747999999993</v>
      </c>
      <c r="Y87">
        <f t="shared" si="17"/>
        <v>34.28352000000001</v>
      </c>
      <c r="Z87">
        <f t="shared" si="10"/>
        <v>115.97365944000002</v>
      </c>
      <c r="AA87">
        <f t="shared" si="11"/>
        <v>68.436491759999996</v>
      </c>
      <c r="AB87">
        <f t="shared" si="12"/>
        <v>29.861848799999994</v>
      </c>
      <c r="AC87" t="b">
        <f t="shared" si="18"/>
        <v>1</v>
      </c>
      <c r="AD87" t="b">
        <f t="shared" si="19"/>
        <v>1</v>
      </c>
    </row>
    <row r="88" spans="1:30" x14ac:dyDescent="0.35">
      <c r="A88" t="s">
        <v>31</v>
      </c>
      <c r="B88">
        <v>6</v>
      </c>
      <c r="C88">
        <v>2</v>
      </c>
      <c r="D88" t="s">
        <v>32</v>
      </c>
      <c r="E88">
        <v>2</v>
      </c>
      <c r="F88">
        <v>1</v>
      </c>
      <c r="G88" s="16">
        <v>54</v>
      </c>
      <c r="H88" s="16">
        <v>14.37</v>
      </c>
      <c r="I88" s="16">
        <v>1722</v>
      </c>
      <c r="J88" s="16">
        <v>17.587</v>
      </c>
      <c r="K88" s="16">
        <v>41.832999999999998</v>
      </c>
      <c r="L88" s="16">
        <v>0.14299999999999999</v>
      </c>
      <c r="M88" s="23">
        <v>246.74</v>
      </c>
      <c r="N88" s="16">
        <v>1.407</v>
      </c>
      <c r="O88" s="17">
        <v>4.569</v>
      </c>
      <c r="P88" s="18">
        <v>54</v>
      </c>
      <c r="Q88" s="18">
        <v>17.587</v>
      </c>
      <c r="R88" s="18">
        <v>174.54400000000001</v>
      </c>
      <c r="S88" s="18">
        <v>72.195999999999998</v>
      </c>
      <c r="T88" s="14" t="b">
        <f t="shared" si="15"/>
        <v>1</v>
      </c>
      <c r="U88" s="14" t="b">
        <f t="shared" si="16"/>
        <v>1</v>
      </c>
      <c r="V88" s="15">
        <f>VLOOKUP(IF(J88&lt;10, 10, IF(J88&gt;50,50,J88)),'Over to underbark'!$A$3:$C$43,IF(A88="Scots pine",3,IF(A88="Sitka spruce",2, "error")),TRUE)/100</f>
        <v>0.84</v>
      </c>
      <c r="W88">
        <f t="shared" si="13"/>
        <v>131.955264</v>
      </c>
      <c r="X88">
        <f t="shared" si="14"/>
        <v>54.580175999999994</v>
      </c>
      <c r="Y88">
        <f t="shared" si="17"/>
        <v>35.530560000000008</v>
      </c>
      <c r="Z88">
        <f t="shared" si="10"/>
        <v>118.93208688</v>
      </c>
      <c r="AA88">
        <f t="shared" si="11"/>
        <v>70.38580752</v>
      </c>
      <c r="AB88">
        <f t="shared" si="12"/>
        <v>32.748105599999995</v>
      </c>
      <c r="AC88" t="b">
        <f t="shared" si="18"/>
        <v>1</v>
      </c>
      <c r="AD88" t="b">
        <f t="shared" si="19"/>
        <v>1</v>
      </c>
    </row>
    <row r="89" spans="1:30" x14ac:dyDescent="0.35">
      <c r="A89" t="s">
        <v>31</v>
      </c>
      <c r="B89">
        <v>6</v>
      </c>
      <c r="C89">
        <v>2</v>
      </c>
      <c r="D89" t="s">
        <v>32</v>
      </c>
      <c r="E89">
        <v>2</v>
      </c>
      <c r="F89">
        <v>1</v>
      </c>
      <c r="G89" s="16">
        <v>55</v>
      </c>
      <c r="H89" s="16">
        <v>14.59</v>
      </c>
      <c r="I89" s="16">
        <v>1703</v>
      </c>
      <c r="J89" s="16">
        <v>17.850000000000001</v>
      </c>
      <c r="K89" s="16">
        <v>42.616999999999997</v>
      </c>
      <c r="L89" s="16">
        <v>0.15</v>
      </c>
      <c r="M89" s="23">
        <v>255.4</v>
      </c>
      <c r="N89" s="16">
        <v>1.504</v>
      </c>
      <c r="O89" s="17">
        <v>4.6440000000000001</v>
      </c>
      <c r="P89" s="18">
        <v>55</v>
      </c>
      <c r="Q89" s="18">
        <v>17.850000000000001</v>
      </c>
      <c r="R89" s="18">
        <v>176.63399999999999</v>
      </c>
      <c r="S89" s="18">
        <v>78.766000000000005</v>
      </c>
      <c r="T89" s="14" t="b">
        <f t="shared" si="15"/>
        <v>1</v>
      </c>
      <c r="U89" s="14" t="b">
        <f t="shared" si="16"/>
        <v>1</v>
      </c>
      <c r="V89" s="15">
        <f>VLOOKUP(IF(J89&lt;10, 10, IF(J89&gt;50,50,J89)),'Over to underbark'!$A$3:$C$43,IF(A89="Scots pine",3,IF(A89="Sitka spruce",2, "error")),TRUE)/100</f>
        <v>0.84</v>
      </c>
      <c r="W89">
        <f t="shared" si="13"/>
        <v>133.535304</v>
      </c>
      <c r="X89">
        <f t="shared" si="14"/>
        <v>59.547096000000003</v>
      </c>
      <c r="Y89">
        <f t="shared" si="17"/>
        <v>36.777600000000007</v>
      </c>
      <c r="Z89">
        <f t="shared" si="10"/>
        <v>121.82478768</v>
      </c>
      <c r="AA89">
        <f t="shared" si="11"/>
        <v>72.306954719999993</v>
      </c>
      <c r="AB89">
        <f t="shared" si="12"/>
        <v>35.728257599999999</v>
      </c>
      <c r="AC89" t="b">
        <f t="shared" si="18"/>
        <v>1</v>
      </c>
      <c r="AD89" t="b">
        <f t="shared" si="19"/>
        <v>1</v>
      </c>
    </row>
    <row r="90" spans="1:30" x14ac:dyDescent="0.35">
      <c r="A90" t="s">
        <v>31</v>
      </c>
      <c r="B90">
        <v>6</v>
      </c>
      <c r="C90">
        <v>2</v>
      </c>
      <c r="D90" t="s">
        <v>32</v>
      </c>
      <c r="E90">
        <v>2</v>
      </c>
      <c r="F90">
        <v>1</v>
      </c>
      <c r="G90" s="16">
        <v>56</v>
      </c>
      <c r="H90" s="16">
        <v>14.795999999999999</v>
      </c>
      <c r="I90" s="16">
        <v>1683</v>
      </c>
      <c r="J90" s="16">
        <v>18.097999999999999</v>
      </c>
      <c r="K90" s="16">
        <v>43.292999999999999</v>
      </c>
      <c r="L90" s="16">
        <v>0.157</v>
      </c>
      <c r="M90" s="23">
        <v>263.76</v>
      </c>
      <c r="N90" s="16">
        <v>1.655</v>
      </c>
      <c r="O90" s="17">
        <v>4.71</v>
      </c>
      <c r="P90" s="18">
        <v>56</v>
      </c>
      <c r="Q90" s="18">
        <v>18.097999999999999</v>
      </c>
      <c r="R90" s="18">
        <v>178.51300000000001</v>
      </c>
      <c r="S90" s="18">
        <v>85.247</v>
      </c>
      <c r="T90" s="14" t="b">
        <f t="shared" si="15"/>
        <v>1</v>
      </c>
      <c r="U90" s="14" t="b">
        <f t="shared" si="16"/>
        <v>1</v>
      </c>
      <c r="V90" s="15">
        <f>VLOOKUP(IF(J90&lt;10, 10, IF(J90&gt;50,50,J90)),'Over to underbark'!$A$3:$C$43,IF(A90="Scots pine",3,IF(A90="Sitka spruce",2, "error")),TRUE)/100</f>
        <v>0.84</v>
      </c>
      <c r="W90">
        <f t="shared" si="13"/>
        <v>134.955828</v>
      </c>
      <c r="X90">
        <f t="shared" si="14"/>
        <v>64.446731999999997</v>
      </c>
      <c r="Y90">
        <f t="shared" si="17"/>
        <v>37.981440000000006</v>
      </c>
      <c r="Z90">
        <f t="shared" si="10"/>
        <v>124.57327176</v>
      </c>
      <c r="AA90">
        <f t="shared" si="11"/>
        <v>74.142689039999993</v>
      </c>
      <c r="AB90">
        <f t="shared" si="12"/>
        <v>38.668039199999996</v>
      </c>
      <c r="AC90" t="b">
        <f t="shared" si="18"/>
        <v>1</v>
      </c>
      <c r="AD90" t="b">
        <f t="shared" si="19"/>
        <v>1</v>
      </c>
    </row>
    <row r="91" spans="1:30" x14ac:dyDescent="0.35">
      <c r="A91" t="s">
        <v>31</v>
      </c>
      <c r="B91">
        <v>6</v>
      </c>
      <c r="C91">
        <v>2</v>
      </c>
      <c r="D91" t="s">
        <v>32</v>
      </c>
      <c r="E91">
        <v>2</v>
      </c>
      <c r="F91">
        <v>1</v>
      </c>
      <c r="G91" s="16">
        <v>57</v>
      </c>
      <c r="H91" s="16">
        <v>15.002000000000001</v>
      </c>
      <c r="I91" s="16">
        <v>1664</v>
      </c>
      <c r="J91" s="16">
        <v>18.341999999999999</v>
      </c>
      <c r="K91" s="16">
        <v>43.968000000000004</v>
      </c>
      <c r="L91" s="16">
        <v>0.16400000000000001</v>
      </c>
      <c r="M91" s="23">
        <v>272.12</v>
      </c>
      <c r="N91" s="16">
        <v>1.7969999999999999</v>
      </c>
      <c r="O91" s="17">
        <v>4.774</v>
      </c>
      <c r="P91" s="18">
        <v>57</v>
      </c>
      <c r="Q91" s="18">
        <v>18.341999999999999</v>
      </c>
      <c r="R91" s="18">
        <v>180.239</v>
      </c>
      <c r="S91" s="18">
        <v>91.881</v>
      </c>
      <c r="T91" s="14" t="b">
        <f t="shared" si="15"/>
        <v>1</v>
      </c>
      <c r="U91" s="14" t="b">
        <f t="shared" si="16"/>
        <v>1</v>
      </c>
      <c r="V91" s="15">
        <f>VLOOKUP(IF(J91&lt;10, 10, IF(J91&gt;50,50,J91)),'Over to underbark'!$A$3:$C$43,IF(A91="Scots pine",3,IF(A91="Sitka spruce",2, "error")),TRUE)/100</f>
        <v>0.84</v>
      </c>
      <c r="W91">
        <f t="shared" si="13"/>
        <v>136.260684</v>
      </c>
      <c r="X91">
        <f t="shared" si="14"/>
        <v>69.462035999999998</v>
      </c>
      <c r="Y91">
        <f t="shared" si="17"/>
        <v>39.185280000000013</v>
      </c>
      <c r="Z91">
        <f t="shared" si="10"/>
        <v>127.27317528000002</v>
      </c>
      <c r="AA91">
        <f t="shared" si="11"/>
        <v>75.957603120000002</v>
      </c>
      <c r="AB91">
        <f t="shared" si="12"/>
        <v>41.677221599999996</v>
      </c>
      <c r="AC91" t="b">
        <f t="shared" si="18"/>
        <v>1</v>
      </c>
      <c r="AD91" t="b">
        <f t="shared" si="19"/>
        <v>1</v>
      </c>
    </row>
    <row r="92" spans="1:30" x14ac:dyDescent="0.35">
      <c r="A92" t="s">
        <v>31</v>
      </c>
      <c r="B92">
        <v>6</v>
      </c>
      <c r="C92">
        <v>2</v>
      </c>
      <c r="D92" t="s">
        <v>32</v>
      </c>
      <c r="E92">
        <v>2</v>
      </c>
      <c r="F92">
        <v>1</v>
      </c>
      <c r="G92" s="16">
        <v>58</v>
      </c>
      <c r="H92" s="16">
        <v>15.208</v>
      </c>
      <c r="I92" s="16">
        <v>1645</v>
      </c>
      <c r="J92" s="16">
        <v>18.588999999999999</v>
      </c>
      <c r="K92" s="16">
        <v>44.643999999999998</v>
      </c>
      <c r="L92" s="16">
        <v>0.17100000000000001</v>
      </c>
      <c r="M92" s="23">
        <v>280.48</v>
      </c>
      <c r="N92" s="16">
        <v>1.93</v>
      </c>
      <c r="O92" s="17">
        <v>4.8360000000000003</v>
      </c>
      <c r="P92" s="18">
        <v>58</v>
      </c>
      <c r="Q92" s="18">
        <v>18.588999999999999</v>
      </c>
      <c r="R92" s="18">
        <v>181.70699999999999</v>
      </c>
      <c r="S92" s="18">
        <v>98.772999999999996</v>
      </c>
      <c r="T92" s="14" t="b">
        <f t="shared" si="15"/>
        <v>1</v>
      </c>
      <c r="U92" s="14" t="b">
        <f t="shared" si="16"/>
        <v>1</v>
      </c>
      <c r="V92" s="15">
        <f>VLOOKUP(IF(J92&lt;10, 10, IF(J92&gt;50,50,J92)),'Over to underbark'!$A$3:$C$43,IF(A92="Scots pine",3,IF(A92="Sitka spruce",2, "error")),TRUE)/100</f>
        <v>0.84</v>
      </c>
      <c r="W92">
        <f t="shared" si="13"/>
        <v>137.37049200000001</v>
      </c>
      <c r="X92">
        <f t="shared" si="14"/>
        <v>74.672387999999998</v>
      </c>
      <c r="Y92">
        <f t="shared" si="17"/>
        <v>40.389120000000013</v>
      </c>
      <c r="Z92">
        <f t="shared" si="10"/>
        <v>129.89115864000001</v>
      </c>
      <c r="AA92">
        <f t="shared" si="11"/>
        <v>77.737408560000006</v>
      </c>
      <c r="AB92">
        <f t="shared" si="12"/>
        <v>44.803432799999996</v>
      </c>
      <c r="AC92" t="b">
        <f t="shared" si="18"/>
        <v>1</v>
      </c>
      <c r="AD92" t="b">
        <f t="shared" si="19"/>
        <v>1</v>
      </c>
    </row>
    <row r="93" spans="1:30" x14ac:dyDescent="0.35">
      <c r="A93" t="s">
        <v>31</v>
      </c>
      <c r="B93">
        <v>6</v>
      </c>
      <c r="C93">
        <v>2</v>
      </c>
      <c r="D93" t="s">
        <v>32</v>
      </c>
      <c r="E93">
        <v>2</v>
      </c>
      <c r="F93">
        <v>1</v>
      </c>
      <c r="G93" s="16">
        <v>59</v>
      </c>
      <c r="H93" s="16">
        <v>15.414</v>
      </c>
      <c r="I93" s="16">
        <v>1626</v>
      </c>
      <c r="J93" s="16">
        <v>18.838000000000001</v>
      </c>
      <c r="K93" s="16">
        <v>45.32</v>
      </c>
      <c r="L93" s="16">
        <v>0.17799999999999999</v>
      </c>
      <c r="M93" s="23">
        <v>288.83999999999997</v>
      </c>
      <c r="N93" s="16">
        <v>2.0550000000000002</v>
      </c>
      <c r="O93" s="17">
        <v>4.8959999999999999</v>
      </c>
      <c r="P93" s="18">
        <v>59</v>
      </c>
      <c r="Q93" s="18">
        <v>18.838000000000001</v>
      </c>
      <c r="R93" s="18">
        <v>182.93799999999999</v>
      </c>
      <c r="S93" s="18">
        <v>105.902</v>
      </c>
      <c r="T93" s="14" t="b">
        <f t="shared" si="15"/>
        <v>1</v>
      </c>
      <c r="U93" s="14" t="b">
        <f t="shared" si="16"/>
        <v>1</v>
      </c>
      <c r="V93" s="15">
        <f>VLOOKUP(IF(J93&lt;10, 10, IF(J93&gt;50,50,J93)),'Over to underbark'!$A$3:$C$43,IF(A93="Scots pine",3,IF(A93="Sitka spruce",2, "error")),TRUE)/100</f>
        <v>0.84</v>
      </c>
      <c r="W93">
        <f t="shared" si="13"/>
        <v>138.30112799999998</v>
      </c>
      <c r="X93">
        <f t="shared" si="14"/>
        <v>80.061912000000007</v>
      </c>
      <c r="Y93">
        <f t="shared" si="17"/>
        <v>41.592960000000005</v>
      </c>
      <c r="Z93">
        <f t="shared" si="10"/>
        <v>132.43388976</v>
      </c>
      <c r="AA93">
        <f t="shared" si="11"/>
        <v>79.484963039999997</v>
      </c>
      <c r="AB93">
        <f t="shared" si="12"/>
        <v>48.0371472</v>
      </c>
      <c r="AC93" t="b">
        <f t="shared" si="18"/>
        <v>1</v>
      </c>
      <c r="AD93" t="b">
        <f t="shared" si="19"/>
        <v>1</v>
      </c>
    </row>
    <row r="94" spans="1:30" x14ac:dyDescent="0.35">
      <c r="A94" t="s">
        <v>31</v>
      </c>
      <c r="B94">
        <v>6</v>
      </c>
      <c r="C94">
        <v>2</v>
      </c>
      <c r="D94" t="s">
        <v>32</v>
      </c>
      <c r="E94">
        <v>2</v>
      </c>
      <c r="F94">
        <v>1</v>
      </c>
      <c r="G94" s="16">
        <v>60</v>
      </c>
      <c r="H94" s="16">
        <v>15.62</v>
      </c>
      <c r="I94" s="16">
        <v>1607</v>
      </c>
      <c r="J94" s="16">
        <v>19.09</v>
      </c>
      <c r="K94" s="16">
        <v>45.996000000000002</v>
      </c>
      <c r="L94" s="16">
        <v>0.185</v>
      </c>
      <c r="M94" s="23">
        <v>297.2</v>
      </c>
      <c r="N94" s="16">
        <v>2.1720000000000002</v>
      </c>
      <c r="O94" s="17">
        <v>4.9530000000000003</v>
      </c>
      <c r="P94" s="18">
        <v>60</v>
      </c>
      <c r="Q94" s="18">
        <v>19.09</v>
      </c>
      <c r="R94" s="18">
        <v>183.91900000000001</v>
      </c>
      <c r="S94" s="18">
        <v>113.28100000000001</v>
      </c>
      <c r="T94" s="14" t="b">
        <f t="shared" si="15"/>
        <v>1</v>
      </c>
      <c r="U94" s="14" t="b">
        <f t="shared" si="16"/>
        <v>1</v>
      </c>
      <c r="V94" s="15">
        <f>VLOOKUP(IF(J94&lt;10, 10, IF(J94&gt;50,50,J94)),'Over to underbark'!$A$3:$C$43,IF(A94="Scots pine",3,IF(A94="Sitka spruce",2, "error")),TRUE)/100</f>
        <v>0.84</v>
      </c>
      <c r="W94">
        <f t="shared" si="13"/>
        <v>139.04276400000001</v>
      </c>
      <c r="X94">
        <f t="shared" si="14"/>
        <v>85.640436000000008</v>
      </c>
      <c r="Y94">
        <f t="shared" si="17"/>
        <v>42.796800000000019</v>
      </c>
      <c r="Z94">
        <f t="shared" si="10"/>
        <v>134.89724088000003</v>
      </c>
      <c r="AA94">
        <f t="shared" si="11"/>
        <v>81.198497520000004</v>
      </c>
      <c r="AB94">
        <f t="shared" si="12"/>
        <v>51.384261600000002</v>
      </c>
      <c r="AC94" t="b">
        <f t="shared" si="18"/>
        <v>1</v>
      </c>
      <c r="AD94" t="b">
        <f t="shared" si="19"/>
        <v>1</v>
      </c>
    </row>
    <row r="95" spans="1:30" x14ac:dyDescent="0.35">
      <c r="A95" t="s">
        <v>31</v>
      </c>
      <c r="B95">
        <v>6</v>
      </c>
      <c r="C95">
        <v>2</v>
      </c>
      <c r="D95" t="s">
        <v>32</v>
      </c>
      <c r="E95">
        <v>2</v>
      </c>
      <c r="F95">
        <v>1</v>
      </c>
      <c r="G95" s="16">
        <v>61</v>
      </c>
      <c r="H95" s="16">
        <v>15.805999999999999</v>
      </c>
      <c r="I95" s="16">
        <v>1589</v>
      </c>
      <c r="J95" s="16">
        <v>19.32</v>
      </c>
      <c r="K95" s="16">
        <v>46.584000000000003</v>
      </c>
      <c r="L95" s="16">
        <v>0.192</v>
      </c>
      <c r="M95" s="23">
        <v>305.06</v>
      </c>
      <c r="N95" s="16">
        <v>2.331</v>
      </c>
      <c r="O95" s="17">
        <v>5.0010000000000003</v>
      </c>
      <c r="P95" s="18">
        <v>61</v>
      </c>
      <c r="Q95" s="18">
        <v>19.32</v>
      </c>
      <c r="R95" s="18">
        <v>184.78299999999999</v>
      </c>
      <c r="S95" s="18">
        <v>120.277</v>
      </c>
      <c r="T95" s="14" t="b">
        <f t="shared" si="15"/>
        <v>1</v>
      </c>
      <c r="U95" s="14" t="b">
        <f t="shared" si="16"/>
        <v>1</v>
      </c>
      <c r="V95" s="15">
        <f>VLOOKUP(IF(J95&lt;10, 10, IF(J95&gt;50,50,J95)),'Over to underbark'!$A$3:$C$43,IF(A95="Scots pine",3,IF(A95="Sitka spruce",2, "error")),TRUE)/100</f>
        <v>0.84</v>
      </c>
      <c r="W95">
        <f t="shared" si="13"/>
        <v>139.69594799999999</v>
      </c>
      <c r="X95">
        <f t="shared" si="14"/>
        <v>90.929411999999999</v>
      </c>
      <c r="Y95">
        <f t="shared" si="17"/>
        <v>43.928640000000016</v>
      </c>
      <c r="Z95">
        <f t="shared" ref="Z95:Z158" si="20">Y95+(57%*W95)+(15%*X95)</f>
        <v>137.19474216</v>
      </c>
      <c r="AA95">
        <f t="shared" ref="AA95:AA158" si="21">(43%*W95)+(25%*X95)</f>
        <v>82.801610639999993</v>
      </c>
      <c r="AB95">
        <f t="shared" ref="AB95:AB158" si="22">60%*X95</f>
        <v>54.557647199999998</v>
      </c>
      <c r="AC95" t="b">
        <f t="shared" si="18"/>
        <v>1</v>
      </c>
      <c r="AD95" t="b">
        <f t="shared" si="19"/>
        <v>1</v>
      </c>
    </row>
    <row r="96" spans="1:30" x14ac:dyDescent="0.35">
      <c r="A96" t="s">
        <v>31</v>
      </c>
      <c r="B96">
        <v>6</v>
      </c>
      <c r="C96">
        <v>2</v>
      </c>
      <c r="D96" t="s">
        <v>32</v>
      </c>
      <c r="E96">
        <v>2</v>
      </c>
      <c r="F96">
        <v>1</v>
      </c>
      <c r="G96" s="16">
        <v>62</v>
      </c>
      <c r="H96" s="16">
        <v>15.992000000000001</v>
      </c>
      <c r="I96" s="16">
        <v>1571</v>
      </c>
      <c r="J96" s="16">
        <v>19.553000000000001</v>
      </c>
      <c r="K96" s="16">
        <v>47.171999999999997</v>
      </c>
      <c r="L96" s="16">
        <v>0.19900000000000001</v>
      </c>
      <c r="M96" s="23">
        <v>312.92</v>
      </c>
      <c r="N96" s="16">
        <v>2.4809999999999999</v>
      </c>
      <c r="O96" s="17">
        <v>5.0469999999999997</v>
      </c>
      <c r="P96" s="18">
        <v>62</v>
      </c>
      <c r="Q96" s="18">
        <v>19.553000000000001</v>
      </c>
      <c r="R96" s="18">
        <v>185.43100000000001</v>
      </c>
      <c r="S96" s="18">
        <v>127.489</v>
      </c>
      <c r="T96" s="14" t="b">
        <f t="shared" si="15"/>
        <v>1</v>
      </c>
      <c r="U96" s="14" t="b">
        <f t="shared" si="16"/>
        <v>1</v>
      </c>
      <c r="V96" s="15">
        <f>VLOOKUP(IF(J96&lt;10, 10, IF(J96&gt;50,50,J96)),'Over to underbark'!$A$3:$C$43,IF(A96="Scots pine",3,IF(A96="Sitka spruce",2, "error")),TRUE)/100</f>
        <v>0.84</v>
      </c>
      <c r="W96">
        <f t="shared" si="13"/>
        <v>140.18583599999999</v>
      </c>
      <c r="X96">
        <f t="shared" si="14"/>
        <v>96.381684000000007</v>
      </c>
      <c r="Y96">
        <f t="shared" si="17"/>
        <v>45.060480000000013</v>
      </c>
      <c r="Z96">
        <f t="shared" si="20"/>
        <v>139.42365912</v>
      </c>
      <c r="AA96">
        <f t="shared" si="21"/>
        <v>84.375330480000002</v>
      </c>
      <c r="AB96">
        <f t="shared" si="22"/>
        <v>57.829010400000001</v>
      </c>
      <c r="AC96" t="b">
        <f t="shared" si="18"/>
        <v>1</v>
      </c>
      <c r="AD96" t="b">
        <f t="shared" si="19"/>
        <v>1</v>
      </c>
    </row>
    <row r="97" spans="1:30" x14ac:dyDescent="0.35">
      <c r="A97" t="s">
        <v>31</v>
      </c>
      <c r="B97">
        <v>6</v>
      </c>
      <c r="C97">
        <v>2</v>
      </c>
      <c r="D97" t="s">
        <v>32</v>
      </c>
      <c r="E97">
        <v>2</v>
      </c>
      <c r="F97">
        <v>1</v>
      </c>
      <c r="G97" s="16">
        <v>63</v>
      </c>
      <c r="H97" s="16">
        <v>16.178000000000001</v>
      </c>
      <c r="I97" s="16">
        <v>1553</v>
      </c>
      <c r="J97" s="16">
        <v>19.788</v>
      </c>
      <c r="K97" s="16">
        <v>47.761000000000003</v>
      </c>
      <c r="L97" s="16">
        <v>0.20699999999999999</v>
      </c>
      <c r="M97" s="23">
        <v>320.77999999999997</v>
      </c>
      <c r="N97" s="16">
        <v>2.6230000000000002</v>
      </c>
      <c r="O97" s="17">
        <v>5.0919999999999996</v>
      </c>
      <c r="P97" s="18">
        <v>63</v>
      </c>
      <c r="Q97" s="18">
        <v>19.788</v>
      </c>
      <c r="R97" s="18">
        <v>185.88499999999999</v>
      </c>
      <c r="S97" s="18">
        <v>134.89500000000001</v>
      </c>
      <c r="T97" s="14" t="b">
        <f t="shared" si="15"/>
        <v>1</v>
      </c>
      <c r="U97" s="14" t="b">
        <f t="shared" si="16"/>
        <v>1</v>
      </c>
      <c r="V97" s="15">
        <f>VLOOKUP(IF(J97&lt;10, 10, IF(J97&gt;50,50,J97)),'Over to underbark'!$A$3:$C$43,IF(A97="Scots pine",3,IF(A97="Sitka spruce",2, "error")),TRUE)/100</f>
        <v>0.84</v>
      </c>
      <c r="W97">
        <f t="shared" si="13"/>
        <v>140.52906000000002</v>
      </c>
      <c r="X97">
        <f t="shared" si="14"/>
        <v>101.98062000000002</v>
      </c>
      <c r="Y97">
        <f t="shared" si="17"/>
        <v>46.192320000000009</v>
      </c>
      <c r="Z97">
        <f t="shared" si="20"/>
        <v>141.5909772</v>
      </c>
      <c r="AA97">
        <f t="shared" si="21"/>
        <v>85.922650800000014</v>
      </c>
      <c r="AB97">
        <f t="shared" si="22"/>
        <v>61.188372000000008</v>
      </c>
      <c r="AC97" t="b">
        <f t="shared" si="18"/>
        <v>1</v>
      </c>
      <c r="AD97" t="b">
        <f t="shared" si="19"/>
        <v>1</v>
      </c>
    </row>
    <row r="98" spans="1:30" x14ac:dyDescent="0.35">
      <c r="A98" t="s">
        <v>31</v>
      </c>
      <c r="B98">
        <v>6</v>
      </c>
      <c r="C98">
        <v>2</v>
      </c>
      <c r="D98" t="s">
        <v>32</v>
      </c>
      <c r="E98">
        <v>2</v>
      </c>
      <c r="F98">
        <v>1</v>
      </c>
      <c r="G98" s="16">
        <v>64</v>
      </c>
      <c r="H98" s="16">
        <v>16.364000000000001</v>
      </c>
      <c r="I98" s="16">
        <v>1535</v>
      </c>
      <c r="J98" s="16">
        <v>20.026</v>
      </c>
      <c r="K98" s="16">
        <v>48.348999999999997</v>
      </c>
      <c r="L98" s="16">
        <v>0.214</v>
      </c>
      <c r="M98" s="23">
        <v>328.64</v>
      </c>
      <c r="N98" s="16">
        <v>2.758</v>
      </c>
      <c r="O98" s="17">
        <v>5.1349999999999998</v>
      </c>
      <c r="P98" s="18">
        <v>64</v>
      </c>
      <c r="Q98" s="18">
        <v>20.026</v>
      </c>
      <c r="R98" s="18">
        <v>186.13</v>
      </c>
      <c r="S98" s="18">
        <v>142.51</v>
      </c>
      <c r="T98" s="14" t="b">
        <f t="shared" si="15"/>
        <v>1</v>
      </c>
      <c r="U98" s="14" t="b">
        <f t="shared" si="16"/>
        <v>1</v>
      </c>
      <c r="V98" s="15">
        <f>VLOOKUP(IF(J98&lt;10, 10, IF(J98&gt;50,50,J98)),'Over to underbark'!$A$3:$C$43,IF(A98="Scots pine",3,IF(A98="Sitka spruce",2, "error")),TRUE)/100</f>
        <v>0.84</v>
      </c>
      <c r="W98">
        <f t="shared" si="13"/>
        <v>140.71428</v>
      </c>
      <c r="X98">
        <f t="shared" si="14"/>
        <v>107.73755999999999</v>
      </c>
      <c r="Y98">
        <f t="shared" si="17"/>
        <v>47.324160000000013</v>
      </c>
      <c r="Z98">
        <f t="shared" si="20"/>
        <v>143.6919336</v>
      </c>
      <c r="AA98">
        <f t="shared" si="21"/>
        <v>87.441530399999991</v>
      </c>
      <c r="AB98">
        <f t="shared" si="22"/>
        <v>64.642535999999993</v>
      </c>
      <c r="AC98" t="b">
        <f t="shared" si="18"/>
        <v>1</v>
      </c>
      <c r="AD98" t="b">
        <f t="shared" si="19"/>
        <v>1</v>
      </c>
    </row>
    <row r="99" spans="1:30" x14ac:dyDescent="0.35">
      <c r="A99" t="s">
        <v>31</v>
      </c>
      <c r="B99">
        <v>6</v>
      </c>
      <c r="C99">
        <v>2</v>
      </c>
      <c r="D99" t="s">
        <v>32</v>
      </c>
      <c r="E99">
        <v>2</v>
      </c>
      <c r="F99">
        <v>1</v>
      </c>
      <c r="G99" s="16">
        <v>65</v>
      </c>
      <c r="H99" s="16">
        <v>16.55</v>
      </c>
      <c r="I99" s="16">
        <v>1518</v>
      </c>
      <c r="J99" s="16">
        <v>20.260000000000002</v>
      </c>
      <c r="K99" s="16">
        <v>48.936999999999998</v>
      </c>
      <c r="L99" s="16">
        <v>0.222</v>
      </c>
      <c r="M99" s="23">
        <v>336.5</v>
      </c>
      <c r="N99" s="16">
        <v>2.8860000000000001</v>
      </c>
      <c r="O99" s="17">
        <v>5.1769999999999996</v>
      </c>
      <c r="P99" s="18">
        <v>65</v>
      </c>
      <c r="Q99" s="18">
        <v>20.260000000000002</v>
      </c>
      <c r="R99" s="18">
        <v>186.297</v>
      </c>
      <c r="S99" s="18">
        <v>150.203</v>
      </c>
      <c r="T99" s="14" t="b">
        <f t="shared" si="15"/>
        <v>1</v>
      </c>
      <c r="U99" s="14" t="b">
        <f t="shared" si="16"/>
        <v>1</v>
      </c>
      <c r="V99" s="15">
        <f>VLOOKUP(IF(J99&lt;10, 10, IF(J99&gt;50,50,J99)),'Over to underbark'!$A$3:$C$43,IF(A99="Scots pine",3,IF(A99="Sitka spruce",2, "error")),TRUE)/100</f>
        <v>0.84</v>
      </c>
      <c r="W99">
        <f t="shared" si="13"/>
        <v>140.840532</v>
      </c>
      <c r="X99">
        <f t="shared" si="14"/>
        <v>113.55346800000001</v>
      </c>
      <c r="Y99">
        <f t="shared" si="17"/>
        <v>48.45600000000001</v>
      </c>
      <c r="Z99">
        <f t="shared" si="20"/>
        <v>145.76812344000001</v>
      </c>
      <c r="AA99">
        <f t="shared" si="21"/>
        <v>88.949795760000001</v>
      </c>
      <c r="AB99">
        <f t="shared" si="22"/>
        <v>68.132080799999997</v>
      </c>
      <c r="AC99" t="b">
        <f t="shared" si="18"/>
        <v>1</v>
      </c>
      <c r="AD99" t="b">
        <f t="shared" si="19"/>
        <v>1</v>
      </c>
    </row>
    <row r="100" spans="1:30" x14ac:dyDescent="0.35">
      <c r="A100" t="s">
        <v>31</v>
      </c>
      <c r="B100">
        <v>6</v>
      </c>
      <c r="C100">
        <v>2</v>
      </c>
      <c r="D100" t="s">
        <v>32</v>
      </c>
      <c r="E100">
        <v>2</v>
      </c>
      <c r="F100">
        <v>1</v>
      </c>
      <c r="G100" s="16">
        <v>66</v>
      </c>
      <c r="H100" s="16">
        <v>16.718</v>
      </c>
      <c r="I100" s="16">
        <v>1501</v>
      </c>
      <c r="J100" s="16">
        <v>20.477</v>
      </c>
      <c r="K100" s="16">
        <v>49.432000000000002</v>
      </c>
      <c r="L100" s="16">
        <v>0.22900000000000001</v>
      </c>
      <c r="M100" s="23">
        <v>343.68</v>
      </c>
      <c r="N100" s="16">
        <v>3.0630000000000002</v>
      </c>
      <c r="O100" s="17">
        <v>5.2069999999999999</v>
      </c>
      <c r="P100" s="18">
        <v>66</v>
      </c>
      <c r="Q100" s="18">
        <v>20.477</v>
      </c>
      <c r="R100" s="18">
        <v>186.26499999999999</v>
      </c>
      <c r="S100" s="18">
        <v>157.41499999999999</v>
      </c>
      <c r="T100" s="14" t="b">
        <f t="shared" si="15"/>
        <v>1</v>
      </c>
      <c r="U100" s="14" t="b">
        <f t="shared" si="16"/>
        <v>1</v>
      </c>
      <c r="V100" s="15">
        <f>VLOOKUP(IF(J100&lt;10, 10, IF(J100&gt;50,50,J100)),'Over to underbark'!$A$3:$C$43,IF(A100="Scots pine",3,IF(A100="Sitka spruce",2, "error")),TRUE)/100</f>
        <v>0.84</v>
      </c>
      <c r="W100">
        <f t="shared" si="13"/>
        <v>140.81634</v>
      </c>
      <c r="X100">
        <f t="shared" si="14"/>
        <v>119.00573999999999</v>
      </c>
      <c r="Y100">
        <f t="shared" si="17"/>
        <v>49.489920000000005</v>
      </c>
      <c r="Z100">
        <f t="shared" si="20"/>
        <v>147.60609479999999</v>
      </c>
      <c r="AA100">
        <f t="shared" si="21"/>
        <v>90.302461199999996</v>
      </c>
      <c r="AB100">
        <f t="shared" si="22"/>
        <v>71.403443999999993</v>
      </c>
      <c r="AC100" t="b">
        <f t="shared" si="18"/>
        <v>1</v>
      </c>
      <c r="AD100" t="b">
        <f t="shared" si="19"/>
        <v>1</v>
      </c>
    </row>
    <row r="101" spans="1:30" x14ac:dyDescent="0.35">
      <c r="A101" t="s">
        <v>31</v>
      </c>
      <c r="B101">
        <v>6</v>
      </c>
      <c r="C101">
        <v>2</v>
      </c>
      <c r="D101" t="s">
        <v>32</v>
      </c>
      <c r="E101">
        <v>2</v>
      </c>
      <c r="F101">
        <v>1</v>
      </c>
      <c r="G101" s="16">
        <v>67</v>
      </c>
      <c r="H101" s="16">
        <v>16.885999999999999</v>
      </c>
      <c r="I101" s="16">
        <v>1485</v>
      </c>
      <c r="J101" s="16">
        <v>20.69</v>
      </c>
      <c r="K101" s="16">
        <v>49.926000000000002</v>
      </c>
      <c r="L101" s="16">
        <v>0.23599999999999999</v>
      </c>
      <c r="M101" s="23">
        <v>350.86</v>
      </c>
      <c r="N101" s="16">
        <v>3.2320000000000002</v>
      </c>
      <c r="O101" s="17">
        <v>5.2370000000000001</v>
      </c>
      <c r="P101" s="18">
        <v>67</v>
      </c>
      <c r="Q101" s="18">
        <v>20.69</v>
      </c>
      <c r="R101" s="18">
        <v>186.191</v>
      </c>
      <c r="S101" s="18">
        <v>164.66900000000001</v>
      </c>
      <c r="T101" s="14" t="b">
        <f t="shared" si="15"/>
        <v>1</v>
      </c>
      <c r="U101" s="14" t="b">
        <f t="shared" si="16"/>
        <v>1</v>
      </c>
      <c r="V101" s="15">
        <f>VLOOKUP(IF(J101&lt;10, 10, IF(J101&gt;50,50,J101)),'Over to underbark'!$A$3:$C$43,IF(A101="Scots pine",3,IF(A101="Sitka spruce",2, "error")),TRUE)/100</f>
        <v>0.84</v>
      </c>
      <c r="W101">
        <f t="shared" si="13"/>
        <v>140.76039599999999</v>
      </c>
      <c r="X101">
        <f t="shared" si="14"/>
        <v>124.48976399999999</v>
      </c>
      <c r="Y101">
        <f t="shared" si="17"/>
        <v>50.523840000000007</v>
      </c>
      <c r="Z101">
        <f t="shared" si="20"/>
        <v>149.43073031999998</v>
      </c>
      <c r="AA101">
        <f t="shared" si="21"/>
        <v>91.649411279999995</v>
      </c>
      <c r="AB101">
        <f t="shared" si="22"/>
        <v>74.693858399999996</v>
      </c>
      <c r="AC101" t="b">
        <f t="shared" si="18"/>
        <v>1</v>
      </c>
      <c r="AD101" t="b">
        <f t="shared" si="19"/>
        <v>1</v>
      </c>
    </row>
    <row r="102" spans="1:30" x14ac:dyDescent="0.35">
      <c r="A102" t="s">
        <v>31</v>
      </c>
      <c r="B102">
        <v>6</v>
      </c>
      <c r="C102">
        <v>2</v>
      </c>
      <c r="D102" t="s">
        <v>32</v>
      </c>
      <c r="E102">
        <v>2</v>
      </c>
      <c r="F102">
        <v>1</v>
      </c>
      <c r="G102" s="16">
        <v>68</v>
      </c>
      <c r="H102" s="16">
        <v>17.053999999999998</v>
      </c>
      <c r="I102" s="16">
        <v>1468</v>
      </c>
      <c r="J102" s="16">
        <v>20.911999999999999</v>
      </c>
      <c r="K102" s="16">
        <v>50.42</v>
      </c>
      <c r="L102" s="16">
        <v>0.24399999999999999</v>
      </c>
      <c r="M102" s="23">
        <v>358.04</v>
      </c>
      <c r="N102" s="16">
        <v>3.3940000000000001</v>
      </c>
      <c r="O102" s="17">
        <v>5.2649999999999997</v>
      </c>
      <c r="P102" s="18">
        <v>68</v>
      </c>
      <c r="Q102" s="18">
        <v>20.911999999999999</v>
      </c>
      <c r="R102" s="18">
        <v>185.83799999999999</v>
      </c>
      <c r="S102" s="18">
        <v>172.202</v>
      </c>
      <c r="T102" s="14" t="b">
        <f t="shared" si="15"/>
        <v>1</v>
      </c>
      <c r="U102" s="14" t="b">
        <f t="shared" si="16"/>
        <v>1</v>
      </c>
      <c r="V102" s="15">
        <f>VLOOKUP(IF(J102&lt;10, 10, IF(J102&gt;50,50,J102)),'Over to underbark'!$A$3:$C$43,IF(A102="Scots pine",3,IF(A102="Sitka spruce",2, "error")),TRUE)/100</f>
        <v>0.84</v>
      </c>
      <c r="W102">
        <f t="shared" si="13"/>
        <v>140.493528</v>
      </c>
      <c r="X102">
        <f t="shared" si="14"/>
        <v>130.18471199999999</v>
      </c>
      <c r="Y102">
        <f t="shared" si="17"/>
        <v>51.557760000000009</v>
      </c>
      <c r="Z102">
        <f t="shared" si="20"/>
        <v>151.16677776</v>
      </c>
      <c r="AA102">
        <f t="shared" si="21"/>
        <v>92.958395039999999</v>
      </c>
      <c r="AB102">
        <f t="shared" si="22"/>
        <v>78.110827199999989</v>
      </c>
      <c r="AC102" t="b">
        <f t="shared" si="18"/>
        <v>1</v>
      </c>
      <c r="AD102" t="b">
        <f t="shared" si="19"/>
        <v>1</v>
      </c>
    </row>
    <row r="103" spans="1:30" x14ac:dyDescent="0.35">
      <c r="A103" t="s">
        <v>31</v>
      </c>
      <c r="B103">
        <v>6</v>
      </c>
      <c r="C103">
        <v>2</v>
      </c>
      <c r="D103" t="s">
        <v>32</v>
      </c>
      <c r="E103">
        <v>2</v>
      </c>
      <c r="F103">
        <v>1</v>
      </c>
      <c r="G103" s="16">
        <v>69</v>
      </c>
      <c r="H103" s="16">
        <v>17.222000000000001</v>
      </c>
      <c r="I103" s="16">
        <v>1452</v>
      </c>
      <c r="J103" s="16">
        <v>21.13</v>
      </c>
      <c r="K103" s="16">
        <v>50.914999999999999</v>
      </c>
      <c r="L103" s="16">
        <v>0.252</v>
      </c>
      <c r="M103" s="23">
        <v>365.22</v>
      </c>
      <c r="N103" s="16">
        <v>3.5489999999999999</v>
      </c>
      <c r="O103" s="17">
        <v>5.2930000000000001</v>
      </c>
      <c r="P103" s="18">
        <v>69</v>
      </c>
      <c r="Q103" s="18">
        <v>21.13</v>
      </c>
      <c r="R103" s="18">
        <v>185.452</v>
      </c>
      <c r="S103" s="18">
        <v>179.768</v>
      </c>
      <c r="T103" s="14" t="b">
        <f t="shared" si="15"/>
        <v>1</v>
      </c>
      <c r="U103" s="14" t="b">
        <f t="shared" si="16"/>
        <v>1</v>
      </c>
      <c r="V103" s="15">
        <f>VLOOKUP(IF(J103&lt;10, 10, IF(J103&gt;50,50,J103)),'Over to underbark'!$A$3:$C$43,IF(A103="Scots pine",3,IF(A103="Sitka spruce",2, "error")),TRUE)/100</f>
        <v>0.84</v>
      </c>
      <c r="W103">
        <f t="shared" si="13"/>
        <v>140.20171199999999</v>
      </c>
      <c r="X103">
        <f t="shared" si="14"/>
        <v>135.904608</v>
      </c>
      <c r="Y103">
        <f t="shared" si="17"/>
        <v>52.591680000000018</v>
      </c>
      <c r="Z103">
        <f t="shared" si="20"/>
        <v>152.89234704</v>
      </c>
      <c r="AA103">
        <f t="shared" si="21"/>
        <v>94.262888159999989</v>
      </c>
      <c r="AB103">
        <f t="shared" si="22"/>
        <v>81.5427648</v>
      </c>
      <c r="AC103" t="b">
        <f t="shared" si="18"/>
        <v>1</v>
      </c>
      <c r="AD103" t="b">
        <f t="shared" si="19"/>
        <v>1</v>
      </c>
    </row>
    <row r="104" spans="1:30" x14ac:dyDescent="0.35">
      <c r="A104" t="s">
        <v>31</v>
      </c>
      <c r="B104">
        <v>6</v>
      </c>
      <c r="C104">
        <v>2</v>
      </c>
      <c r="D104" t="s">
        <v>32</v>
      </c>
      <c r="E104">
        <v>2</v>
      </c>
      <c r="F104">
        <v>1</v>
      </c>
      <c r="G104" s="16">
        <v>70</v>
      </c>
      <c r="H104" s="16">
        <v>17.39</v>
      </c>
      <c r="I104" s="16">
        <v>1436</v>
      </c>
      <c r="J104" s="16">
        <v>21.35</v>
      </c>
      <c r="K104" s="16">
        <v>51.408999999999999</v>
      </c>
      <c r="L104" s="16">
        <v>0.25900000000000001</v>
      </c>
      <c r="M104" s="23">
        <v>372.4</v>
      </c>
      <c r="N104" s="16">
        <v>3.698</v>
      </c>
      <c r="O104" s="17">
        <v>5.32</v>
      </c>
      <c r="P104" s="18">
        <v>70</v>
      </c>
      <c r="Q104" s="18">
        <v>21.35</v>
      </c>
      <c r="R104" s="18">
        <v>184.92500000000001</v>
      </c>
      <c r="S104" s="18">
        <v>187.47499999999999</v>
      </c>
      <c r="T104" s="14" t="b">
        <f t="shared" si="15"/>
        <v>1</v>
      </c>
      <c r="U104" s="14" t="b">
        <f t="shared" si="16"/>
        <v>1</v>
      </c>
      <c r="V104" s="15">
        <f>VLOOKUP(IF(J104&lt;10, 10, IF(J104&gt;50,50,J104)),'Over to underbark'!$A$3:$C$43,IF(A104="Scots pine",3,IF(A104="Sitka spruce",2, "error")),TRUE)/100</f>
        <v>0.84</v>
      </c>
      <c r="W104">
        <f t="shared" si="13"/>
        <v>139.80330000000001</v>
      </c>
      <c r="X104">
        <f t="shared" si="14"/>
        <v>141.7311</v>
      </c>
      <c r="Y104">
        <f t="shared" si="17"/>
        <v>53.625600000000006</v>
      </c>
      <c r="Z104">
        <f t="shared" si="20"/>
        <v>154.57314600000001</v>
      </c>
      <c r="AA104">
        <f t="shared" si="21"/>
        <v>95.548193999999995</v>
      </c>
      <c r="AB104">
        <f t="shared" si="22"/>
        <v>85.038659999999993</v>
      </c>
      <c r="AC104" t="b">
        <f t="shared" si="18"/>
        <v>1</v>
      </c>
      <c r="AD104" t="b">
        <f t="shared" si="19"/>
        <v>1</v>
      </c>
    </row>
    <row r="105" spans="1:30" x14ac:dyDescent="0.35">
      <c r="A105" t="s">
        <v>31</v>
      </c>
      <c r="B105">
        <v>6</v>
      </c>
      <c r="C105">
        <v>2</v>
      </c>
      <c r="D105" t="s">
        <v>32</v>
      </c>
      <c r="E105">
        <v>2</v>
      </c>
      <c r="F105">
        <v>1</v>
      </c>
      <c r="G105" s="16">
        <v>71</v>
      </c>
      <c r="H105" s="16">
        <v>17.536000000000001</v>
      </c>
      <c r="I105" s="16">
        <v>1421</v>
      </c>
      <c r="J105" s="16">
        <v>21.553999999999998</v>
      </c>
      <c r="K105" s="16">
        <v>51.847000000000001</v>
      </c>
      <c r="L105" s="16">
        <v>0.26700000000000002</v>
      </c>
      <c r="M105" s="23">
        <v>378.74</v>
      </c>
      <c r="N105" s="16">
        <v>3.8969999999999998</v>
      </c>
      <c r="O105" s="17">
        <v>5.3339999999999996</v>
      </c>
      <c r="P105" s="18">
        <v>71</v>
      </c>
      <c r="Q105" s="18">
        <v>21.553999999999998</v>
      </c>
      <c r="R105" s="18">
        <v>184.19200000000001</v>
      </c>
      <c r="S105" s="18">
        <v>194.548</v>
      </c>
      <c r="T105" s="14" t="b">
        <f t="shared" si="15"/>
        <v>1</v>
      </c>
      <c r="U105" s="14" t="b">
        <f t="shared" si="16"/>
        <v>1</v>
      </c>
      <c r="V105" s="15">
        <f>VLOOKUP(IF(J105&lt;10, 10, IF(J105&gt;50,50,J105)),'Over to underbark'!$A$3:$C$43,IF(A105="Scots pine",3,IF(A105="Sitka spruce",2, "error")),TRUE)/100</f>
        <v>0.84</v>
      </c>
      <c r="W105">
        <f t="shared" si="13"/>
        <v>139.24915200000001</v>
      </c>
      <c r="X105">
        <f t="shared" si="14"/>
        <v>147.07828799999999</v>
      </c>
      <c r="Y105">
        <f t="shared" si="17"/>
        <v>54.538560000000018</v>
      </c>
      <c r="Z105">
        <f t="shared" si="20"/>
        <v>155.97231984000001</v>
      </c>
      <c r="AA105">
        <f t="shared" si="21"/>
        <v>96.646707359999994</v>
      </c>
      <c r="AB105">
        <f t="shared" si="22"/>
        <v>88.246972799999995</v>
      </c>
      <c r="AC105" t="b">
        <f t="shared" si="18"/>
        <v>1</v>
      </c>
      <c r="AD105" t="b">
        <f t="shared" si="19"/>
        <v>1</v>
      </c>
    </row>
    <row r="106" spans="1:30" x14ac:dyDescent="0.35">
      <c r="A106" t="s">
        <v>31</v>
      </c>
      <c r="B106">
        <v>6</v>
      </c>
      <c r="C106">
        <v>2</v>
      </c>
      <c r="D106" t="s">
        <v>32</v>
      </c>
      <c r="E106">
        <v>2</v>
      </c>
      <c r="F106">
        <v>1</v>
      </c>
      <c r="G106" s="16">
        <v>72</v>
      </c>
      <c r="H106" s="16">
        <v>17.681999999999999</v>
      </c>
      <c r="I106" s="16">
        <v>1407</v>
      </c>
      <c r="J106" s="16">
        <v>21.751999999999999</v>
      </c>
      <c r="K106" s="16">
        <v>52.286000000000001</v>
      </c>
      <c r="L106" s="16">
        <v>0.27400000000000002</v>
      </c>
      <c r="M106" s="23">
        <v>385.08</v>
      </c>
      <c r="N106" s="16">
        <v>4.09</v>
      </c>
      <c r="O106" s="17">
        <v>5.3479999999999999</v>
      </c>
      <c r="P106" s="18">
        <v>72</v>
      </c>
      <c r="Q106" s="18">
        <v>21.751999999999999</v>
      </c>
      <c r="R106" s="18">
        <v>183.49700000000001</v>
      </c>
      <c r="S106" s="18">
        <v>201.583</v>
      </c>
      <c r="T106" s="14" t="b">
        <f t="shared" si="15"/>
        <v>1</v>
      </c>
      <c r="U106" s="14" t="b">
        <f t="shared" si="16"/>
        <v>1</v>
      </c>
      <c r="V106" s="15">
        <f>VLOOKUP(IF(J106&lt;10, 10, IF(J106&gt;50,50,J106)),'Over to underbark'!$A$3:$C$43,IF(A106="Scots pine",3,IF(A106="Sitka spruce",2, "error")),TRUE)/100</f>
        <v>0.84</v>
      </c>
      <c r="W106">
        <f t="shared" si="13"/>
        <v>138.72373200000001</v>
      </c>
      <c r="X106">
        <f t="shared" si="14"/>
        <v>152.396748</v>
      </c>
      <c r="Y106">
        <f t="shared" si="17"/>
        <v>55.451520000000023</v>
      </c>
      <c r="Z106">
        <f t="shared" si="20"/>
        <v>157.38355944000003</v>
      </c>
      <c r="AA106">
        <f t="shared" si="21"/>
        <v>97.750391760000014</v>
      </c>
      <c r="AB106">
        <f t="shared" si="22"/>
        <v>91.438048800000004</v>
      </c>
      <c r="AC106" t="b">
        <f t="shared" si="18"/>
        <v>1</v>
      </c>
      <c r="AD106" t="b">
        <f t="shared" si="19"/>
        <v>1</v>
      </c>
    </row>
    <row r="107" spans="1:30" x14ac:dyDescent="0.35">
      <c r="A107" t="s">
        <v>31</v>
      </c>
      <c r="B107">
        <v>6</v>
      </c>
      <c r="C107">
        <v>2</v>
      </c>
      <c r="D107" t="s">
        <v>32</v>
      </c>
      <c r="E107">
        <v>2</v>
      </c>
      <c r="F107">
        <v>1</v>
      </c>
      <c r="G107" s="16">
        <v>73</v>
      </c>
      <c r="H107" s="16">
        <v>17.827999999999999</v>
      </c>
      <c r="I107" s="16">
        <v>1393</v>
      </c>
      <c r="J107" s="16">
        <v>21.952000000000002</v>
      </c>
      <c r="K107" s="16">
        <v>52.723999999999997</v>
      </c>
      <c r="L107" s="16">
        <v>0.28100000000000003</v>
      </c>
      <c r="M107" s="23">
        <v>391.42</v>
      </c>
      <c r="N107" s="16">
        <v>4.2750000000000004</v>
      </c>
      <c r="O107" s="17">
        <v>5.3620000000000001</v>
      </c>
      <c r="P107" s="18">
        <v>73</v>
      </c>
      <c r="Q107" s="18">
        <v>21.952000000000002</v>
      </c>
      <c r="R107" s="18">
        <v>182.69300000000001</v>
      </c>
      <c r="S107" s="18">
        <v>208.727</v>
      </c>
      <c r="T107" s="14" t="b">
        <f t="shared" si="15"/>
        <v>1</v>
      </c>
      <c r="U107" s="14" t="b">
        <f t="shared" si="16"/>
        <v>1</v>
      </c>
      <c r="V107" s="15">
        <f>VLOOKUP(IF(J107&lt;10, 10, IF(J107&gt;50,50,J107)),'Over to underbark'!$A$3:$C$43,IF(A107="Scots pine",3,IF(A107="Sitka spruce",2, "error")),TRUE)/100</f>
        <v>0.84</v>
      </c>
      <c r="W107">
        <f t="shared" si="13"/>
        <v>138.11590800000002</v>
      </c>
      <c r="X107">
        <f t="shared" si="14"/>
        <v>157.79761199999999</v>
      </c>
      <c r="Y107">
        <f t="shared" si="17"/>
        <v>56.364480000000015</v>
      </c>
      <c r="Z107">
        <f t="shared" si="20"/>
        <v>158.76018936</v>
      </c>
      <c r="AA107">
        <f t="shared" si="21"/>
        <v>98.839243440000004</v>
      </c>
      <c r="AB107">
        <f t="shared" si="22"/>
        <v>94.678567199999989</v>
      </c>
      <c r="AC107" t="b">
        <f t="shared" si="18"/>
        <v>1</v>
      </c>
      <c r="AD107" t="b">
        <f t="shared" si="19"/>
        <v>1</v>
      </c>
    </row>
    <row r="108" spans="1:30" x14ac:dyDescent="0.35">
      <c r="A108" t="s">
        <v>31</v>
      </c>
      <c r="B108">
        <v>6</v>
      </c>
      <c r="C108">
        <v>2</v>
      </c>
      <c r="D108" t="s">
        <v>32</v>
      </c>
      <c r="E108">
        <v>2</v>
      </c>
      <c r="F108">
        <v>1</v>
      </c>
      <c r="G108" s="16">
        <v>74</v>
      </c>
      <c r="H108" s="16">
        <v>17.974</v>
      </c>
      <c r="I108" s="16">
        <v>1379</v>
      </c>
      <c r="J108" s="16">
        <v>22.155000000000001</v>
      </c>
      <c r="K108" s="16">
        <v>53.161999999999999</v>
      </c>
      <c r="L108" s="16">
        <v>0.28799999999999998</v>
      </c>
      <c r="M108" s="23">
        <v>397.76</v>
      </c>
      <c r="N108" s="16">
        <v>4.4539999999999997</v>
      </c>
      <c r="O108" s="17">
        <v>5.375</v>
      </c>
      <c r="P108" s="18">
        <v>74</v>
      </c>
      <c r="Q108" s="18">
        <v>22.155000000000001</v>
      </c>
      <c r="R108" s="18">
        <v>181.762</v>
      </c>
      <c r="S108" s="18">
        <v>215.99799999999999</v>
      </c>
      <c r="T108" s="14" t="b">
        <f t="shared" si="15"/>
        <v>1</v>
      </c>
      <c r="U108" s="14" t="b">
        <f t="shared" si="16"/>
        <v>1</v>
      </c>
      <c r="V108" s="15">
        <f>VLOOKUP(IF(J108&lt;10, 10, IF(J108&gt;50,50,J108)),'Over to underbark'!$A$3:$C$43,IF(A108="Scots pine",3,IF(A108="Sitka spruce",2, "error")),TRUE)/100</f>
        <v>0.84</v>
      </c>
      <c r="W108">
        <f t="shared" si="13"/>
        <v>137.41207199999999</v>
      </c>
      <c r="X108">
        <f t="shared" si="14"/>
        <v>163.294488</v>
      </c>
      <c r="Y108">
        <f t="shared" si="17"/>
        <v>57.277440000000006</v>
      </c>
      <c r="Z108">
        <f t="shared" si="20"/>
        <v>160.09649424</v>
      </c>
      <c r="AA108">
        <f t="shared" si="21"/>
        <v>99.910812959999987</v>
      </c>
      <c r="AB108">
        <f t="shared" si="22"/>
        <v>97.976692799999995</v>
      </c>
      <c r="AC108" t="b">
        <f t="shared" si="18"/>
        <v>1</v>
      </c>
      <c r="AD108" t="b">
        <f t="shared" si="19"/>
        <v>1</v>
      </c>
    </row>
    <row r="109" spans="1:30" x14ac:dyDescent="0.35">
      <c r="A109" t="s">
        <v>31</v>
      </c>
      <c r="B109">
        <v>6</v>
      </c>
      <c r="C109">
        <v>2</v>
      </c>
      <c r="D109" t="s">
        <v>32</v>
      </c>
      <c r="E109">
        <v>2</v>
      </c>
      <c r="F109">
        <v>1</v>
      </c>
      <c r="G109" s="16">
        <v>75</v>
      </c>
      <c r="H109" s="16">
        <v>18.12</v>
      </c>
      <c r="I109" s="16">
        <v>1365</v>
      </c>
      <c r="J109" s="16">
        <v>22.36</v>
      </c>
      <c r="K109" s="16">
        <v>53.6</v>
      </c>
      <c r="L109" s="16">
        <v>0.29599999999999999</v>
      </c>
      <c r="M109" s="23">
        <v>404.1</v>
      </c>
      <c r="N109" s="16">
        <v>4.6260000000000003</v>
      </c>
      <c r="O109" s="17">
        <v>5.3879999999999999</v>
      </c>
      <c r="P109" s="18">
        <v>75</v>
      </c>
      <c r="Q109" s="18">
        <v>22.36</v>
      </c>
      <c r="R109" s="18">
        <v>180.72800000000001</v>
      </c>
      <c r="S109" s="18">
        <v>223.37200000000001</v>
      </c>
      <c r="T109" s="14" t="b">
        <f t="shared" si="15"/>
        <v>1</v>
      </c>
      <c r="U109" s="14" t="b">
        <f t="shared" si="16"/>
        <v>1</v>
      </c>
      <c r="V109" s="15">
        <f>VLOOKUP(IF(J109&lt;10, 10, IF(J109&gt;50,50,J109)),'Over to underbark'!$A$3:$C$43,IF(A109="Scots pine",3,IF(A109="Sitka spruce",2, "error")),TRUE)/100</f>
        <v>0.84</v>
      </c>
      <c r="W109">
        <f t="shared" si="13"/>
        <v>136.630368</v>
      </c>
      <c r="X109">
        <f t="shared" si="14"/>
        <v>168.86923200000001</v>
      </c>
      <c r="Y109">
        <f t="shared" si="17"/>
        <v>58.190400000000018</v>
      </c>
      <c r="Z109">
        <f t="shared" si="20"/>
        <v>161.40009456000001</v>
      </c>
      <c r="AA109">
        <f t="shared" si="21"/>
        <v>100.96836623999999</v>
      </c>
      <c r="AB109">
        <f t="shared" si="22"/>
        <v>101.3215392</v>
      </c>
      <c r="AC109" t="b">
        <f t="shared" si="18"/>
        <v>1</v>
      </c>
      <c r="AD109" t="b">
        <f t="shared" si="19"/>
        <v>1</v>
      </c>
    </row>
    <row r="110" spans="1:30" x14ac:dyDescent="0.35">
      <c r="A110" t="s">
        <v>31</v>
      </c>
      <c r="B110">
        <v>6</v>
      </c>
      <c r="C110">
        <v>2</v>
      </c>
      <c r="D110" t="s">
        <v>32</v>
      </c>
      <c r="E110">
        <v>2</v>
      </c>
      <c r="F110">
        <v>1</v>
      </c>
      <c r="G110" s="16">
        <v>76</v>
      </c>
      <c r="H110" s="16">
        <v>18.245999999999999</v>
      </c>
      <c r="I110" s="16">
        <v>1352</v>
      </c>
      <c r="J110" s="16">
        <v>22.542999999999999</v>
      </c>
      <c r="K110" s="16">
        <v>53.963999999999999</v>
      </c>
      <c r="L110" s="16">
        <v>0.30299999999999999</v>
      </c>
      <c r="M110" s="23">
        <v>409.52</v>
      </c>
      <c r="N110" s="16">
        <v>4.8339999999999996</v>
      </c>
      <c r="O110" s="17">
        <v>5.3879999999999999</v>
      </c>
      <c r="P110" s="18">
        <v>76</v>
      </c>
      <c r="Q110" s="18">
        <v>22.542999999999999</v>
      </c>
      <c r="R110" s="18">
        <v>179.64599999999999</v>
      </c>
      <c r="S110" s="18">
        <v>229.874</v>
      </c>
      <c r="T110" s="14" t="b">
        <f t="shared" si="15"/>
        <v>1</v>
      </c>
      <c r="U110" s="14" t="b">
        <f t="shared" si="16"/>
        <v>1</v>
      </c>
      <c r="V110" s="15">
        <f>VLOOKUP(IF(J110&lt;10, 10, IF(J110&gt;50,50,J110)),'Over to underbark'!$A$3:$C$43,IF(A110="Scots pine",3,IF(A110="Sitka spruce",2, "error")),TRUE)/100</f>
        <v>0.84</v>
      </c>
      <c r="W110">
        <f t="shared" si="13"/>
        <v>135.812376</v>
      </c>
      <c r="X110">
        <f t="shared" si="14"/>
        <v>173.78474399999999</v>
      </c>
      <c r="Y110">
        <f t="shared" si="17"/>
        <v>58.970880000000008</v>
      </c>
      <c r="Z110">
        <f t="shared" si="20"/>
        <v>162.45164592</v>
      </c>
      <c r="AA110">
        <f t="shared" si="21"/>
        <v>101.84550768</v>
      </c>
      <c r="AB110">
        <f t="shared" si="22"/>
        <v>104.2708464</v>
      </c>
      <c r="AC110" t="b">
        <f t="shared" si="18"/>
        <v>1</v>
      </c>
      <c r="AD110" t="b">
        <f t="shared" si="19"/>
        <v>1</v>
      </c>
    </row>
    <row r="111" spans="1:30" x14ac:dyDescent="0.35">
      <c r="A111" t="s">
        <v>31</v>
      </c>
      <c r="B111">
        <v>6</v>
      </c>
      <c r="C111">
        <v>2</v>
      </c>
      <c r="D111" t="s">
        <v>32</v>
      </c>
      <c r="E111">
        <v>2</v>
      </c>
      <c r="F111">
        <v>1</v>
      </c>
      <c r="G111" s="16">
        <v>77</v>
      </c>
      <c r="H111" s="16">
        <v>18.372</v>
      </c>
      <c r="I111" s="16">
        <v>1339</v>
      </c>
      <c r="J111" s="16">
        <v>22.728999999999999</v>
      </c>
      <c r="K111" s="16">
        <v>54.328000000000003</v>
      </c>
      <c r="L111" s="16">
        <v>0.31</v>
      </c>
      <c r="M111" s="23">
        <v>414.94</v>
      </c>
      <c r="N111" s="16">
        <v>5.0350000000000001</v>
      </c>
      <c r="O111" s="17">
        <v>5.3890000000000002</v>
      </c>
      <c r="P111" s="18">
        <v>77</v>
      </c>
      <c r="Q111" s="18">
        <v>22.728999999999999</v>
      </c>
      <c r="R111" s="18">
        <v>178.46299999999999</v>
      </c>
      <c r="S111" s="18">
        <v>236.477</v>
      </c>
      <c r="T111" s="14" t="b">
        <f t="shared" si="15"/>
        <v>1</v>
      </c>
      <c r="U111" s="14" t="b">
        <f t="shared" si="16"/>
        <v>1</v>
      </c>
      <c r="V111" s="15">
        <f>VLOOKUP(IF(J111&lt;10, 10, IF(J111&gt;50,50,J111)),'Over to underbark'!$A$3:$C$43,IF(A111="Scots pine",3,IF(A111="Sitka spruce",2, "error")),TRUE)/100</f>
        <v>0.84</v>
      </c>
      <c r="W111">
        <f t="shared" si="13"/>
        <v>134.91802799999999</v>
      </c>
      <c r="X111">
        <f t="shared" si="14"/>
        <v>178.776612</v>
      </c>
      <c r="Y111">
        <f t="shared" si="17"/>
        <v>59.751360000000012</v>
      </c>
      <c r="Z111">
        <f t="shared" si="20"/>
        <v>163.47112776</v>
      </c>
      <c r="AA111">
        <f t="shared" si="21"/>
        <v>102.70890503999999</v>
      </c>
      <c r="AB111">
        <f t="shared" si="22"/>
        <v>107.26596719999999</v>
      </c>
      <c r="AC111" t="b">
        <f t="shared" si="18"/>
        <v>1</v>
      </c>
      <c r="AD111" t="b">
        <f t="shared" si="19"/>
        <v>1</v>
      </c>
    </row>
    <row r="112" spans="1:30" x14ac:dyDescent="0.35">
      <c r="A112" t="s">
        <v>31</v>
      </c>
      <c r="B112">
        <v>6</v>
      </c>
      <c r="C112">
        <v>2</v>
      </c>
      <c r="D112" t="s">
        <v>32</v>
      </c>
      <c r="E112">
        <v>2</v>
      </c>
      <c r="F112">
        <v>1</v>
      </c>
      <c r="G112" s="16">
        <v>78</v>
      </c>
      <c r="H112" s="16">
        <v>18.498000000000001</v>
      </c>
      <c r="I112" s="16">
        <v>1327</v>
      </c>
      <c r="J112" s="16">
        <v>22.908000000000001</v>
      </c>
      <c r="K112" s="16">
        <v>54.692</v>
      </c>
      <c r="L112" s="16">
        <v>0.317</v>
      </c>
      <c r="M112" s="23">
        <v>420.36</v>
      </c>
      <c r="N112" s="16">
        <v>5.23</v>
      </c>
      <c r="O112" s="17">
        <v>5.3890000000000002</v>
      </c>
      <c r="P112" s="18">
        <v>78</v>
      </c>
      <c r="Q112" s="18">
        <v>22.908000000000001</v>
      </c>
      <c r="R112" s="18">
        <v>177.37100000000001</v>
      </c>
      <c r="S112" s="18">
        <v>242.989</v>
      </c>
      <c r="T112" s="14" t="b">
        <f t="shared" si="15"/>
        <v>1</v>
      </c>
      <c r="U112" s="14" t="b">
        <f t="shared" si="16"/>
        <v>1</v>
      </c>
      <c r="V112" s="15">
        <f>VLOOKUP(IF(J112&lt;10, 10, IF(J112&gt;50,50,J112)),'Over to underbark'!$A$3:$C$43,IF(A112="Scots pine",3,IF(A112="Sitka spruce",2, "error")),TRUE)/100</f>
        <v>0.84</v>
      </c>
      <c r="W112">
        <f t="shared" si="13"/>
        <v>134.092476</v>
      </c>
      <c r="X112">
        <f t="shared" si="14"/>
        <v>183.69968399999999</v>
      </c>
      <c r="Y112">
        <f t="shared" si="17"/>
        <v>60.531840000000017</v>
      </c>
      <c r="Z112">
        <f t="shared" si="20"/>
        <v>164.51950392000001</v>
      </c>
      <c r="AA112">
        <f t="shared" si="21"/>
        <v>103.58468568000001</v>
      </c>
      <c r="AB112">
        <f t="shared" si="22"/>
        <v>110.21981039999999</v>
      </c>
      <c r="AC112" t="b">
        <f t="shared" si="18"/>
        <v>1</v>
      </c>
      <c r="AD112" t="b">
        <f t="shared" si="19"/>
        <v>1</v>
      </c>
    </row>
    <row r="113" spans="1:30" x14ac:dyDescent="0.35">
      <c r="A113" t="s">
        <v>31</v>
      </c>
      <c r="B113">
        <v>6</v>
      </c>
      <c r="C113">
        <v>2</v>
      </c>
      <c r="D113" t="s">
        <v>32</v>
      </c>
      <c r="E113">
        <v>2</v>
      </c>
      <c r="F113">
        <v>1</v>
      </c>
      <c r="G113" s="16">
        <v>79</v>
      </c>
      <c r="H113" s="16">
        <v>18.623999999999999</v>
      </c>
      <c r="I113" s="16">
        <v>1314</v>
      </c>
      <c r="J113" s="16">
        <v>23.097000000000001</v>
      </c>
      <c r="K113" s="16">
        <v>55.055999999999997</v>
      </c>
      <c r="L113" s="16">
        <v>0.32400000000000001</v>
      </c>
      <c r="M113" s="23">
        <v>425.78</v>
      </c>
      <c r="N113" s="16">
        <v>5.42</v>
      </c>
      <c r="O113" s="17">
        <v>5.39</v>
      </c>
      <c r="P113" s="18">
        <v>79</v>
      </c>
      <c r="Q113" s="18">
        <v>23.097000000000001</v>
      </c>
      <c r="R113" s="18">
        <v>176.05</v>
      </c>
      <c r="S113" s="18">
        <v>249.73</v>
      </c>
      <c r="T113" s="14" t="b">
        <f t="shared" si="15"/>
        <v>1</v>
      </c>
      <c r="U113" s="14" t="b">
        <f t="shared" si="16"/>
        <v>1</v>
      </c>
      <c r="V113" s="15">
        <f>VLOOKUP(IF(J113&lt;10, 10, IF(J113&gt;50,50,J113)),'Over to underbark'!$A$3:$C$43,IF(A113="Scots pine",3,IF(A113="Sitka spruce",2, "error")),TRUE)/100</f>
        <v>0.84</v>
      </c>
      <c r="W113">
        <f t="shared" si="13"/>
        <v>133.09380000000002</v>
      </c>
      <c r="X113">
        <f t="shared" si="14"/>
        <v>188.79588000000001</v>
      </c>
      <c r="Y113">
        <f t="shared" si="17"/>
        <v>61.312320000000014</v>
      </c>
      <c r="Z113">
        <f t="shared" si="20"/>
        <v>165.49516800000001</v>
      </c>
      <c r="AA113">
        <f t="shared" si="21"/>
        <v>104.429304</v>
      </c>
      <c r="AB113">
        <f t="shared" si="22"/>
        <v>113.277528</v>
      </c>
      <c r="AC113" t="b">
        <f t="shared" si="18"/>
        <v>1</v>
      </c>
      <c r="AD113" t="b">
        <f t="shared" si="19"/>
        <v>1</v>
      </c>
    </row>
    <row r="114" spans="1:30" x14ac:dyDescent="0.35">
      <c r="A114" t="s">
        <v>31</v>
      </c>
      <c r="B114">
        <v>6</v>
      </c>
      <c r="C114">
        <v>2</v>
      </c>
      <c r="D114" t="s">
        <v>32</v>
      </c>
      <c r="E114">
        <v>2</v>
      </c>
      <c r="F114">
        <v>1</v>
      </c>
      <c r="G114" s="16">
        <v>80</v>
      </c>
      <c r="H114" s="16">
        <v>18.75</v>
      </c>
      <c r="I114" s="16">
        <v>1302</v>
      </c>
      <c r="J114" s="16">
        <v>23.28</v>
      </c>
      <c r="K114" s="16">
        <v>55.42</v>
      </c>
      <c r="L114" s="16">
        <v>0.33100000000000002</v>
      </c>
      <c r="M114" s="23">
        <v>431.2</v>
      </c>
      <c r="N114" s="16">
        <v>5.6040000000000001</v>
      </c>
      <c r="O114" s="17">
        <v>5.39</v>
      </c>
      <c r="P114" s="18">
        <v>80</v>
      </c>
      <c r="Q114" s="18">
        <v>23.28</v>
      </c>
      <c r="R114" s="18">
        <v>174.80500000000001</v>
      </c>
      <c r="S114" s="18">
        <v>256.39499999999998</v>
      </c>
      <c r="T114" s="14" t="b">
        <f t="shared" si="15"/>
        <v>1</v>
      </c>
      <c r="U114" s="14" t="b">
        <f t="shared" si="16"/>
        <v>1</v>
      </c>
      <c r="V114" s="15">
        <f>VLOOKUP(IF(J114&lt;10, 10, IF(J114&gt;50,50,J114)),'Over to underbark'!$A$3:$C$43,IF(A114="Scots pine",3,IF(A114="Sitka spruce",2, "error")),TRUE)/100</f>
        <v>0.84</v>
      </c>
      <c r="W114">
        <f t="shared" si="13"/>
        <v>132.15258</v>
      </c>
      <c r="X114">
        <f t="shared" si="14"/>
        <v>193.83461999999997</v>
      </c>
      <c r="Y114">
        <f t="shared" si="17"/>
        <v>62.092800000000011</v>
      </c>
      <c r="Z114">
        <f t="shared" si="20"/>
        <v>166.49496359999998</v>
      </c>
      <c r="AA114">
        <f t="shared" si="21"/>
        <v>105.28426439999998</v>
      </c>
      <c r="AB114">
        <f t="shared" si="22"/>
        <v>116.30077199999998</v>
      </c>
      <c r="AC114" t="b">
        <f t="shared" si="18"/>
        <v>1</v>
      </c>
      <c r="AD114" t="b">
        <f t="shared" si="19"/>
        <v>1</v>
      </c>
    </row>
    <row r="115" spans="1:30" x14ac:dyDescent="0.35">
      <c r="A115" t="s">
        <v>31</v>
      </c>
      <c r="B115">
        <v>6</v>
      </c>
      <c r="C115">
        <v>2</v>
      </c>
      <c r="D115" t="s">
        <v>32</v>
      </c>
      <c r="E115">
        <v>2</v>
      </c>
      <c r="F115">
        <v>1</v>
      </c>
      <c r="G115" s="16">
        <v>81</v>
      </c>
      <c r="H115" s="16">
        <v>18.856000000000002</v>
      </c>
      <c r="I115" s="16">
        <v>1290</v>
      </c>
      <c r="J115" s="16">
        <v>23.452000000000002</v>
      </c>
      <c r="K115" s="16">
        <v>55.722999999999999</v>
      </c>
      <c r="L115" s="16">
        <v>0.33800000000000002</v>
      </c>
      <c r="M115" s="23">
        <v>435.7</v>
      </c>
      <c r="N115" s="16">
        <v>5.827</v>
      </c>
      <c r="O115" s="17">
        <v>5.3789999999999996</v>
      </c>
      <c r="P115" s="18">
        <v>81</v>
      </c>
      <c r="Q115" s="18">
        <v>23.452000000000002</v>
      </c>
      <c r="R115" s="18">
        <v>173.36600000000001</v>
      </c>
      <c r="S115" s="18">
        <v>262.334</v>
      </c>
      <c r="T115" s="14" t="b">
        <f t="shared" si="15"/>
        <v>1</v>
      </c>
      <c r="U115" s="14" t="b">
        <f t="shared" si="16"/>
        <v>1</v>
      </c>
      <c r="V115" s="15">
        <f>VLOOKUP(IF(J115&lt;10, 10, IF(J115&gt;50,50,J115)),'Over to underbark'!$A$3:$C$43,IF(A115="Scots pine",3,IF(A115="Sitka spruce",2, "error")),TRUE)/100</f>
        <v>0.84</v>
      </c>
      <c r="W115">
        <f t="shared" si="13"/>
        <v>131.064696</v>
      </c>
      <c r="X115">
        <f t="shared" si="14"/>
        <v>198.32450400000002</v>
      </c>
      <c r="Y115">
        <f t="shared" si="17"/>
        <v>62.740800000000021</v>
      </c>
      <c r="Z115">
        <f t="shared" si="20"/>
        <v>167.19635232000002</v>
      </c>
      <c r="AA115">
        <f t="shared" si="21"/>
        <v>105.93894528000001</v>
      </c>
      <c r="AB115">
        <f t="shared" si="22"/>
        <v>118.99470240000001</v>
      </c>
      <c r="AC115" t="b">
        <f t="shared" si="18"/>
        <v>1</v>
      </c>
      <c r="AD115" t="b">
        <f t="shared" si="19"/>
        <v>1</v>
      </c>
    </row>
    <row r="116" spans="1:30" x14ac:dyDescent="0.35">
      <c r="A116" t="s">
        <v>31</v>
      </c>
      <c r="B116">
        <v>6</v>
      </c>
      <c r="C116">
        <v>2</v>
      </c>
      <c r="D116" t="s">
        <v>32</v>
      </c>
      <c r="E116">
        <v>2</v>
      </c>
      <c r="F116">
        <v>1</v>
      </c>
      <c r="G116" s="16">
        <v>82</v>
      </c>
      <c r="H116" s="16">
        <v>18.962</v>
      </c>
      <c r="I116" s="16">
        <v>1279</v>
      </c>
      <c r="J116" s="16">
        <v>23.616</v>
      </c>
      <c r="K116" s="16">
        <v>56.024999999999999</v>
      </c>
      <c r="L116" s="16">
        <v>0.34399999999999997</v>
      </c>
      <c r="M116" s="23">
        <v>440.2</v>
      </c>
      <c r="N116" s="16">
        <v>6.0449999999999999</v>
      </c>
      <c r="O116" s="17">
        <v>5.3680000000000003</v>
      </c>
      <c r="P116" s="18">
        <v>82</v>
      </c>
      <c r="Q116" s="18">
        <v>23.616</v>
      </c>
      <c r="R116" s="18">
        <v>172.05600000000001</v>
      </c>
      <c r="S116" s="18">
        <v>268.14400000000001</v>
      </c>
      <c r="T116" s="14" t="b">
        <f t="shared" si="15"/>
        <v>1</v>
      </c>
      <c r="U116" s="14" t="b">
        <f t="shared" si="16"/>
        <v>1</v>
      </c>
      <c r="V116" s="15">
        <f>VLOOKUP(IF(J116&lt;10, 10, IF(J116&gt;50,50,J116)),'Over to underbark'!$A$3:$C$43,IF(A116="Scots pine",3,IF(A116="Sitka spruce",2, "error")),TRUE)/100</f>
        <v>0.84</v>
      </c>
      <c r="W116">
        <f t="shared" si="13"/>
        <v>130.07433599999999</v>
      </c>
      <c r="X116">
        <f t="shared" si="14"/>
        <v>202.71686399999999</v>
      </c>
      <c r="Y116">
        <f t="shared" si="17"/>
        <v>63.388800000000025</v>
      </c>
      <c r="Z116">
        <f t="shared" si="20"/>
        <v>167.93870112000002</v>
      </c>
      <c r="AA116">
        <f t="shared" si="21"/>
        <v>106.61118047999999</v>
      </c>
      <c r="AB116">
        <f t="shared" si="22"/>
        <v>121.63011839999999</v>
      </c>
      <c r="AC116" t="b">
        <f t="shared" si="18"/>
        <v>1</v>
      </c>
      <c r="AD116" t="b">
        <f t="shared" si="19"/>
        <v>1</v>
      </c>
    </row>
    <row r="117" spans="1:30" x14ac:dyDescent="0.35">
      <c r="A117" t="s">
        <v>31</v>
      </c>
      <c r="B117">
        <v>6</v>
      </c>
      <c r="C117">
        <v>2</v>
      </c>
      <c r="D117" t="s">
        <v>32</v>
      </c>
      <c r="E117">
        <v>2</v>
      </c>
      <c r="F117">
        <v>1</v>
      </c>
      <c r="G117" s="16">
        <v>83</v>
      </c>
      <c r="H117" s="16">
        <v>19.068000000000001</v>
      </c>
      <c r="I117" s="16">
        <v>1268</v>
      </c>
      <c r="J117" s="16">
        <v>23.782</v>
      </c>
      <c r="K117" s="16">
        <v>56.328000000000003</v>
      </c>
      <c r="L117" s="16">
        <v>0.35099999999999998</v>
      </c>
      <c r="M117" s="23">
        <v>444.7</v>
      </c>
      <c r="N117" s="16">
        <v>6.2569999999999997</v>
      </c>
      <c r="O117" s="17">
        <v>5.3579999999999997</v>
      </c>
      <c r="P117" s="18">
        <v>83</v>
      </c>
      <c r="Q117" s="18">
        <v>23.782</v>
      </c>
      <c r="R117" s="18">
        <v>170.68799999999999</v>
      </c>
      <c r="S117" s="18">
        <v>274.012</v>
      </c>
      <c r="T117" s="14" t="b">
        <f t="shared" si="15"/>
        <v>1</v>
      </c>
      <c r="U117" s="14" t="b">
        <f t="shared" si="16"/>
        <v>1</v>
      </c>
      <c r="V117" s="15">
        <f>VLOOKUP(IF(J117&lt;10, 10, IF(J117&gt;50,50,J117)),'Over to underbark'!$A$3:$C$43,IF(A117="Scots pine",3,IF(A117="Sitka spruce",2, "error")),TRUE)/100</f>
        <v>0.84</v>
      </c>
      <c r="W117">
        <f t="shared" si="13"/>
        <v>129.04012800000001</v>
      </c>
      <c r="X117">
        <f t="shared" si="14"/>
        <v>207.15307200000001</v>
      </c>
      <c r="Y117">
        <f t="shared" si="17"/>
        <v>64.036800000000014</v>
      </c>
      <c r="Z117">
        <f t="shared" si="20"/>
        <v>168.66263376000003</v>
      </c>
      <c r="AA117">
        <f t="shared" si="21"/>
        <v>107.27552304</v>
      </c>
      <c r="AB117">
        <f t="shared" si="22"/>
        <v>124.2918432</v>
      </c>
      <c r="AC117" t="b">
        <f t="shared" si="18"/>
        <v>1</v>
      </c>
      <c r="AD117" t="b">
        <f t="shared" si="19"/>
        <v>1</v>
      </c>
    </row>
    <row r="118" spans="1:30" x14ac:dyDescent="0.35">
      <c r="A118" t="s">
        <v>31</v>
      </c>
      <c r="B118">
        <v>6</v>
      </c>
      <c r="C118">
        <v>2</v>
      </c>
      <c r="D118" t="s">
        <v>32</v>
      </c>
      <c r="E118">
        <v>2</v>
      </c>
      <c r="F118">
        <v>1</v>
      </c>
      <c r="G118" s="16">
        <v>84</v>
      </c>
      <c r="H118" s="16">
        <v>19.173999999999999</v>
      </c>
      <c r="I118" s="16">
        <v>1257</v>
      </c>
      <c r="J118" s="16">
        <v>23.95</v>
      </c>
      <c r="K118" s="16">
        <v>56.63</v>
      </c>
      <c r="L118" s="16">
        <v>0.35699999999999998</v>
      </c>
      <c r="M118" s="23">
        <v>449.2</v>
      </c>
      <c r="N118" s="16">
        <v>6.4630000000000001</v>
      </c>
      <c r="O118" s="17">
        <v>5.3479999999999999</v>
      </c>
      <c r="P118" s="18">
        <v>84</v>
      </c>
      <c r="Q118" s="18">
        <v>23.95</v>
      </c>
      <c r="R118" s="18">
        <v>169.26300000000001</v>
      </c>
      <c r="S118" s="18">
        <v>279.93700000000001</v>
      </c>
      <c r="T118" s="14" t="b">
        <f t="shared" si="15"/>
        <v>1</v>
      </c>
      <c r="U118" s="14" t="b">
        <f t="shared" si="16"/>
        <v>1</v>
      </c>
      <c r="V118" s="15">
        <f>VLOOKUP(IF(J118&lt;10, 10, IF(J118&gt;50,50,J118)),'Over to underbark'!$A$3:$C$43,IF(A118="Scots pine",3,IF(A118="Sitka spruce",2, "error")),TRUE)/100</f>
        <v>0.84</v>
      </c>
      <c r="W118">
        <f t="shared" si="13"/>
        <v>127.962828</v>
      </c>
      <c r="X118">
        <f t="shared" si="14"/>
        <v>211.632372</v>
      </c>
      <c r="Y118">
        <f t="shared" si="17"/>
        <v>64.684800000000024</v>
      </c>
      <c r="Z118">
        <f t="shared" si="20"/>
        <v>169.36846776000002</v>
      </c>
      <c r="AA118">
        <f t="shared" si="21"/>
        <v>107.93210904</v>
      </c>
      <c r="AB118">
        <f t="shared" si="22"/>
        <v>126.9794232</v>
      </c>
      <c r="AC118" t="b">
        <f t="shared" si="18"/>
        <v>1</v>
      </c>
      <c r="AD118" t="b">
        <f t="shared" si="19"/>
        <v>1</v>
      </c>
    </row>
    <row r="119" spans="1:30" x14ac:dyDescent="0.35">
      <c r="A119" t="s">
        <v>31</v>
      </c>
      <c r="B119">
        <v>6</v>
      </c>
      <c r="C119">
        <v>2</v>
      </c>
      <c r="D119" t="s">
        <v>32</v>
      </c>
      <c r="E119">
        <v>2</v>
      </c>
      <c r="F119">
        <v>1</v>
      </c>
      <c r="G119" s="16">
        <v>85</v>
      </c>
      <c r="H119" s="16">
        <v>19.28</v>
      </c>
      <c r="I119" s="16">
        <v>1246</v>
      </c>
      <c r="J119" s="16">
        <v>24.12</v>
      </c>
      <c r="K119" s="16">
        <v>56.933</v>
      </c>
      <c r="L119" s="16">
        <v>0.36399999999999999</v>
      </c>
      <c r="M119" s="23">
        <v>453.7</v>
      </c>
      <c r="N119" s="16">
        <v>6.665</v>
      </c>
      <c r="O119" s="17">
        <v>5.3380000000000001</v>
      </c>
      <c r="P119" s="18">
        <v>85</v>
      </c>
      <c r="Q119" s="18">
        <v>24.12</v>
      </c>
      <c r="R119" s="18">
        <v>167.78299999999999</v>
      </c>
      <c r="S119" s="18">
        <v>285.91699999999997</v>
      </c>
      <c r="T119" s="14" t="b">
        <f t="shared" si="15"/>
        <v>1</v>
      </c>
      <c r="U119" s="14" t="b">
        <f t="shared" si="16"/>
        <v>1</v>
      </c>
      <c r="V119" s="15">
        <f>VLOOKUP(IF(J119&lt;10, 10, IF(J119&gt;50,50,J119)),'Over to underbark'!$A$3:$C$43,IF(A119="Scots pine",3,IF(A119="Sitka spruce",2, "error")),TRUE)/100</f>
        <v>0.84</v>
      </c>
      <c r="W119">
        <f t="shared" si="13"/>
        <v>126.84394799999998</v>
      </c>
      <c r="X119">
        <f t="shared" si="14"/>
        <v>216.15325199999998</v>
      </c>
      <c r="Y119">
        <f t="shared" si="17"/>
        <v>65.332800000000006</v>
      </c>
      <c r="Z119">
        <f t="shared" si="20"/>
        <v>170.05683815999998</v>
      </c>
      <c r="AA119">
        <f t="shared" si="21"/>
        <v>108.58121063999999</v>
      </c>
      <c r="AB119">
        <f t="shared" si="22"/>
        <v>129.69195119999998</v>
      </c>
      <c r="AC119" t="b">
        <f t="shared" si="18"/>
        <v>1</v>
      </c>
      <c r="AD119" t="b">
        <f t="shared" si="19"/>
        <v>1</v>
      </c>
    </row>
    <row r="120" spans="1:30" x14ac:dyDescent="0.35">
      <c r="A120" t="s">
        <v>31</v>
      </c>
      <c r="B120">
        <v>6</v>
      </c>
      <c r="C120">
        <v>2</v>
      </c>
      <c r="D120" t="s">
        <v>32</v>
      </c>
      <c r="E120">
        <v>2</v>
      </c>
      <c r="F120">
        <v>1</v>
      </c>
      <c r="G120" s="16">
        <v>86</v>
      </c>
      <c r="H120" s="16">
        <v>19.376000000000001</v>
      </c>
      <c r="I120" s="16">
        <v>1235</v>
      </c>
      <c r="J120" s="16">
        <v>24.274999999999999</v>
      </c>
      <c r="K120" s="16">
        <v>57.155999999999999</v>
      </c>
      <c r="L120" s="16">
        <v>0.37</v>
      </c>
      <c r="M120" s="23">
        <v>457.38</v>
      </c>
      <c r="N120" s="16">
        <v>6.8970000000000002</v>
      </c>
      <c r="O120" s="17">
        <v>5.3179999999999996</v>
      </c>
      <c r="P120" s="18">
        <v>86</v>
      </c>
      <c r="Q120" s="18">
        <v>24.274999999999999</v>
      </c>
      <c r="R120" s="18">
        <v>166.26499999999999</v>
      </c>
      <c r="S120" s="18">
        <v>291.11500000000001</v>
      </c>
      <c r="T120" s="14" t="b">
        <f t="shared" si="15"/>
        <v>1</v>
      </c>
      <c r="U120" s="14" t="b">
        <f t="shared" si="16"/>
        <v>1</v>
      </c>
      <c r="V120" s="15">
        <f>VLOOKUP(IF(J120&lt;10, 10, IF(J120&gt;50,50,J120)),'Over to underbark'!$A$3:$C$43,IF(A120="Scots pine",3,IF(A120="Sitka spruce",2, "error")),TRUE)/100</f>
        <v>0.84</v>
      </c>
      <c r="W120">
        <f t="shared" si="13"/>
        <v>125.69633999999999</v>
      </c>
      <c r="X120">
        <f t="shared" si="14"/>
        <v>220.08294000000001</v>
      </c>
      <c r="Y120">
        <f t="shared" si="17"/>
        <v>65.86272000000001</v>
      </c>
      <c r="Z120">
        <f t="shared" si="20"/>
        <v>170.52207480000001</v>
      </c>
      <c r="AA120">
        <f t="shared" si="21"/>
        <v>109.0701612</v>
      </c>
      <c r="AB120">
        <f t="shared" si="22"/>
        <v>132.04976400000001</v>
      </c>
      <c r="AC120" t="b">
        <f t="shared" si="18"/>
        <v>1</v>
      </c>
      <c r="AD120" t="b">
        <f t="shared" si="19"/>
        <v>1</v>
      </c>
    </row>
    <row r="121" spans="1:30" x14ac:dyDescent="0.35">
      <c r="A121" t="s">
        <v>31</v>
      </c>
      <c r="B121">
        <v>6</v>
      </c>
      <c r="C121">
        <v>2</v>
      </c>
      <c r="D121" t="s">
        <v>32</v>
      </c>
      <c r="E121">
        <v>2</v>
      </c>
      <c r="F121">
        <v>1</v>
      </c>
      <c r="G121" s="16">
        <v>87</v>
      </c>
      <c r="H121" s="16">
        <v>19.472000000000001</v>
      </c>
      <c r="I121" s="16">
        <v>1225</v>
      </c>
      <c r="J121" s="16">
        <v>24.420999999999999</v>
      </c>
      <c r="K121" s="16">
        <v>57.378999999999998</v>
      </c>
      <c r="L121" s="16">
        <v>0.376</v>
      </c>
      <c r="M121" s="23">
        <v>461.06</v>
      </c>
      <c r="N121" s="16">
        <v>7.1230000000000002</v>
      </c>
      <c r="O121" s="17">
        <v>5.3</v>
      </c>
      <c r="P121" s="18">
        <v>87</v>
      </c>
      <c r="Q121" s="18">
        <v>24.420999999999999</v>
      </c>
      <c r="R121" s="18">
        <v>164.90600000000001</v>
      </c>
      <c r="S121" s="18">
        <v>296.154</v>
      </c>
      <c r="T121" s="14" t="b">
        <f t="shared" si="15"/>
        <v>1</v>
      </c>
      <c r="U121" s="14" t="b">
        <f t="shared" si="16"/>
        <v>1</v>
      </c>
      <c r="V121" s="15">
        <f>VLOOKUP(IF(J121&lt;10, 10, IF(J121&gt;50,50,J121)),'Over to underbark'!$A$3:$C$43,IF(A121="Scots pine",3,IF(A121="Sitka spruce",2, "error")),TRUE)/100</f>
        <v>0.84</v>
      </c>
      <c r="W121">
        <f t="shared" si="13"/>
        <v>124.668936</v>
      </c>
      <c r="X121">
        <f t="shared" si="14"/>
        <v>223.89242400000001</v>
      </c>
      <c r="Y121">
        <f t="shared" si="17"/>
        <v>66.392640000000014</v>
      </c>
      <c r="Z121">
        <f t="shared" si="20"/>
        <v>171.03779712000002</v>
      </c>
      <c r="AA121">
        <f t="shared" si="21"/>
        <v>109.58074848000001</v>
      </c>
      <c r="AB121">
        <f t="shared" si="22"/>
        <v>134.3354544</v>
      </c>
      <c r="AC121" t="b">
        <f t="shared" si="18"/>
        <v>1</v>
      </c>
      <c r="AD121" t="b">
        <f t="shared" si="19"/>
        <v>1</v>
      </c>
    </row>
    <row r="122" spans="1:30" x14ac:dyDescent="0.35">
      <c r="A122" t="s">
        <v>31</v>
      </c>
      <c r="B122">
        <v>6</v>
      </c>
      <c r="C122">
        <v>2</v>
      </c>
      <c r="D122" t="s">
        <v>32</v>
      </c>
      <c r="E122">
        <v>2</v>
      </c>
      <c r="F122">
        <v>1</v>
      </c>
      <c r="G122" s="16">
        <v>88</v>
      </c>
      <c r="H122" s="16">
        <v>19.568000000000001</v>
      </c>
      <c r="I122" s="16">
        <v>1214</v>
      </c>
      <c r="J122" s="16">
        <v>24.579000000000001</v>
      </c>
      <c r="K122" s="16">
        <v>57.603000000000002</v>
      </c>
      <c r="L122" s="16">
        <v>0.38300000000000001</v>
      </c>
      <c r="M122" s="23">
        <v>464.74</v>
      </c>
      <c r="N122" s="16">
        <v>7.3449999999999998</v>
      </c>
      <c r="O122" s="17">
        <v>5.2809999999999997</v>
      </c>
      <c r="P122" s="18">
        <v>88</v>
      </c>
      <c r="Q122" s="18">
        <v>24.579000000000001</v>
      </c>
      <c r="R122" s="18">
        <v>163.31899999999999</v>
      </c>
      <c r="S122" s="18">
        <v>301.42099999999999</v>
      </c>
      <c r="T122" s="14" t="b">
        <f t="shared" si="15"/>
        <v>1</v>
      </c>
      <c r="U122" s="14" t="b">
        <f t="shared" si="16"/>
        <v>1</v>
      </c>
      <c r="V122" s="15">
        <f>VLOOKUP(IF(J122&lt;10, 10, IF(J122&gt;50,50,J122)),'Over to underbark'!$A$3:$C$43,IF(A122="Scots pine",3,IF(A122="Sitka spruce",2, "error")),TRUE)/100</f>
        <v>0.84</v>
      </c>
      <c r="W122">
        <f t="shared" si="13"/>
        <v>123.46916399999999</v>
      </c>
      <c r="X122">
        <f t="shared" si="14"/>
        <v>227.87427600000001</v>
      </c>
      <c r="Y122">
        <f t="shared" si="17"/>
        <v>66.922560000000018</v>
      </c>
      <c r="Z122">
        <f t="shared" si="20"/>
        <v>171.48112488000001</v>
      </c>
      <c r="AA122">
        <f t="shared" si="21"/>
        <v>110.06030952</v>
      </c>
      <c r="AB122">
        <f t="shared" si="22"/>
        <v>136.72456560000001</v>
      </c>
      <c r="AC122" t="b">
        <f t="shared" si="18"/>
        <v>1</v>
      </c>
      <c r="AD122" t="b">
        <f t="shared" si="19"/>
        <v>1</v>
      </c>
    </row>
    <row r="123" spans="1:30" x14ac:dyDescent="0.35">
      <c r="A123" t="s">
        <v>31</v>
      </c>
      <c r="B123">
        <v>6</v>
      </c>
      <c r="C123">
        <v>2</v>
      </c>
      <c r="D123" t="s">
        <v>32</v>
      </c>
      <c r="E123">
        <v>2</v>
      </c>
      <c r="F123">
        <v>1</v>
      </c>
      <c r="G123" s="16">
        <v>89</v>
      </c>
      <c r="H123" s="16">
        <v>19.664000000000001</v>
      </c>
      <c r="I123" s="16">
        <v>1204</v>
      </c>
      <c r="J123" s="16">
        <v>24.728999999999999</v>
      </c>
      <c r="K123" s="16">
        <v>57.826000000000001</v>
      </c>
      <c r="L123" s="16">
        <v>0.38900000000000001</v>
      </c>
      <c r="M123" s="23">
        <v>468.42</v>
      </c>
      <c r="N123" s="16">
        <v>7.5620000000000003</v>
      </c>
      <c r="O123" s="17">
        <v>5.2629999999999999</v>
      </c>
      <c r="P123" s="18">
        <v>89</v>
      </c>
      <c r="Q123" s="18">
        <v>24.728999999999999</v>
      </c>
      <c r="R123" s="18">
        <v>161.87200000000001</v>
      </c>
      <c r="S123" s="18">
        <v>306.548</v>
      </c>
      <c r="T123" s="14" t="b">
        <f t="shared" si="15"/>
        <v>1</v>
      </c>
      <c r="U123" s="14" t="b">
        <f t="shared" si="16"/>
        <v>1</v>
      </c>
      <c r="V123" s="15">
        <f>VLOOKUP(IF(J123&lt;10, 10, IF(J123&gt;50,50,J123)),'Over to underbark'!$A$3:$C$43,IF(A123="Scots pine",3,IF(A123="Sitka spruce",2, "error")),TRUE)/100</f>
        <v>0.84</v>
      </c>
      <c r="W123">
        <f t="shared" si="13"/>
        <v>122.37523200000001</v>
      </c>
      <c r="X123">
        <f t="shared" si="14"/>
        <v>231.75028800000001</v>
      </c>
      <c r="Y123">
        <f t="shared" si="17"/>
        <v>67.452480000000023</v>
      </c>
      <c r="Z123">
        <f t="shared" si="20"/>
        <v>171.96890544000004</v>
      </c>
      <c r="AA123">
        <f t="shared" si="21"/>
        <v>110.55892176</v>
      </c>
      <c r="AB123">
        <f t="shared" si="22"/>
        <v>139.05017280000001</v>
      </c>
      <c r="AC123" t="b">
        <f t="shared" si="18"/>
        <v>1</v>
      </c>
      <c r="AD123" t="b">
        <f t="shared" si="19"/>
        <v>1</v>
      </c>
    </row>
    <row r="124" spans="1:30" x14ac:dyDescent="0.35">
      <c r="A124" t="s">
        <v>31</v>
      </c>
      <c r="B124">
        <v>6</v>
      </c>
      <c r="C124">
        <v>2</v>
      </c>
      <c r="D124" t="s">
        <v>32</v>
      </c>
      <c r="E124">
        <v>2</v>
      </c>
      <c r="F124">
        <v>1</v>
      </c>
      <c r="G124" s="16">
        <v>90</v>
      </c>
      <c r="H124" s="16">
        <v>19.760000000000002</v>
      </c>
      <c r="I124" s="16">
        <v>1194</v>
      </c>
      <c r="J124" s="16">
        <v>24.88</v>
      </c>
      <c r="K124" s="16">
        <v>58.048999999999999</v>
      </c>
      <c r="L124" s="16">
        <v>0.39500000000000002</v>
      </c>
      <c r="M124" s="23">
        <v>472.1</v>
      </c>
      <c r="N124" s="16">
        <v>7.7750000000000004</v>
      </c>
      <c r="O124" s="17">
        <v>5.2460000000000004</v>
      </c>
      <c r="P124" s="18">
        <v>90</v>
      </c>
      <c r="Q124" s="18">
        <v>24.88</v>
      </c>
      <c r="R124" s="18">
        <v>160.40100000000001</v>
      </c>
      <c r="S124" s="18">
        <v>311.69900000000001</v>
      </c>
      <c r="T124" s="14" t="b">
        <f t="shared" si="15"/>
        <v>1</v>
      </c>
      <c r="U124" s="14" t="b">
        <f t="shared" si="16"/>
        <v>1</v>
      </c>
      <c r="V124" s="15">
        <f>VLOOKUP(IF(J124&lt;10, 10, IF(J124&gt;50,50,J124)),'Over to underbark'!$A$3:$C$43,IF(A124="Scots pine",3,IF(A124="Sitka spruce",2, "error")),TRUE)/100</f>
        <v>0.84</v>
      </c>
      <c r="W124">
        <f t="shared" si="13"/>
        <v>121.26315600000001</v>
      </c>
      <c r="X124">
        <f t="shared" si="14"/>
        <v>235.64444400000002</v>
      </c>
      <c r="Y124">
        <f t="shared" si="17"/>
        <v>67.982400000000027</v>
      </c>
      <c r="Z124">
        <f t="shared" si="20"/>
        <v>172.44906552000003</v>
      </c>
      <c r="AA124">
        <f t="shared" si="21"/>
        <v>111.05426808000001</v>
      </c>
      <c r="AB124">
        <f t="shared" si="22"/>
        <v>141.3866664</v>
      </c>
      <c r="AC124" t="b">
        <f t="shared" si="18"/>
        <v>1</v>
      </c>
      <c r="AD124" t="b">
        <f t="shared" si="19"/>
        <v>1</v>
      </c>
    </row>
    <row r="125" spans="1:30" x14ac:dyDescent="0.35">
      <c r="A125" t="s">
        <v>31</v>
      </c>
      <c r="B125">
        <v>6</v>
      </c>
      <c r="C125">
        <v>2</v>
      </c>
      <c r="D125" t="s">
        <v>32</v>
      </c>
      <c r="E125">
        <v>2</v>
      </c>
      <c r="F125">
        <v>1</v>
      </c>
      <c r="G125" s="16">
        <v>91</v>
      </c>
      <c r="H125" s="16">
        <v>19.844000000000001</v>
      </c>
      <c r="I125" s="16">
        <v>1184</v>
      </c>
      <c r="J125" s="16">
        <v>25.016999999999999</v>
      </c>
      <c r="K125" s="16">
        <v>58.2</v>
      </c>
      <c r="L125" s="16">
        <v>0.40100000000000002</v>
      </c>
      <c r="M125" s="23">
        <v>474.92</v>
      </c>
      <c r="N125" s="16">
        <v>8.0180000000000007</v>
      </c>
      <c r="O125" s="17">
        <v>5.2190000000000003</v>
      </c>
      <c r="P125" s="18">
        <v>91</v>
      </c>
      <c r="Q125" s="18">
        <v>25.016999999999999</v>
      </c>
      <c r="R125" s="18">
        <v>158.88800000000001</v>
      </c>
      <c r="S125" s="18">
        <v>316.03199999999998</v>
      </c>
      <c r="T125" s="14" t="b">
        <f t="shared" si="15"/>
        <v>1</v>
      </c>
      <c r="U125" s="14" t="b">
        <f t="shared" si="16"/>
        <v>1</v>
      </c>
      <c r="V125" s="15">
        <f>VLOOKUP(IF(J125&lt;10, 10, IF(J125&gt;50,50,J125)),'Over to underbark'!$A$3:$C$43,IF(A125="Scots pine",3,IF(A125="Sitka spruce",2, "error")),TRUE)/100</f>
        <v>0.84</v>
      </c>
      <c r="W125">
        <f t="shared" si="13"/>
        <v>120.119328</v>
      </c>
      <c r="X125">
        <f t="shared" si="14"/>
        <v>238.92019199999996</v>
      </c>
      <c r="Y125">
        <f t="shared" si="17"/>
        <v>68.388480000000015</v>
      </c>
      <c r="Z125">
        <f t="shared" si="20"/>
        <v>172.69452576</v>
      </c>
      <c r="AA125">
        <f t="shared" si="21"/>
        <v>111.38135903999998</v>
      </c>
      <c r="AB125">
        <f t="shared" si="22"/>
        <v>143.35211519999996</v>
      </c>
      <c r="AC125" t="b">
        <f t="shared" si="18"/>
        <v>1</v>
      </c>
      <c r="AD125" t="b">
        <f t="shared" si="19"/>
        <v>1</v>
      </c>
    </row>
    <row r="126" spans="1:30" x14ac:dyDescent="0.35">
      <c r="A126" t="s">
        <v>31</v>
      </c>
      <c r="B126">
        <v>6</v>
      </c>
      <c r="C126">
        <v>2</v>
      </c>
      <c r="D126" t="s">
        <v>32</v>
      </c>
      <c r="E126">
        <v>2</v>
      </c>
      <c r="F126">
        <v>1</v>
      </c>
      <c r="G126" s="16">
        <v>92</v>
      </c>
      <c r="H126" s="16">
        <v>19.928000000000001</v>
      </c>
      <c r="I126" s="16">
        <v>1174</v>
      </c>
      <c r="J126" s="16">
        <v>25.155999999999999</v>
      </c>
      <c r="K126" s="16">
        <v>58.35</v>
      </c>
      <c r="L126" s="16">
        <v>0.40699999999999997</v>
      </c>
      <c r="M126" s="23">
        <v>477.74</v>
      </c>
      <c r="N126" s="16">
        <v>8.2569999999999997</v>
      </c>
      <c r="O126" s="17">
        <v>5.1929999999999996</v>
      </c>
      <c r="P126" s="18">
        <v>92</v>
      </c>
      <c r="Q126" s="18">
        <v>25.155999999999999</v>
      </c>
      <c r="R126" s="18">
        <v>157.34100000000001</v>
      </c>
      <c r="S126" s="18">
        <v>320.399</v>
      </c>
      <c r="T126" s="14" t="b">
        <f t="shared" si="15"/>
        <v>1</v>
      </c>
      <c r="U126" s="14" t="b">
        <f t="shared" si="16"/>
        <v>1</v>
      </c>
      <c r="V126" s="15">
        <f>VLOOKUP(IF(J126&lt;10, 10, IF(J126&gt;50,50,J126)),'Over to underbark'!$A$3:$C$43,IF(A126="Scots pine",3,IF(A126="Sitka spruce",2, "error")),TRUE)/100</f>
        <v>0.84</v>
      </c>
      <c r="W126">
        <f t="shared" si="13"/>
        <v>118.94979600000002</v>
      </c>
      <c r="X126">
        <f t="shared" si="14"/>
        <v>242.221644</v>
      </c>
      <c r="Y126">
        <f t="shared" si="17"/>
        <v>68.794560000000018</v>
      </c>
      <c r="Z126">
        <f t="shared" si="20"/>
        <v>172.92919032000003</v>
      </c>
      <c r="AA126">
        <f t="shared" si="21"/>
        <v>111.70382328000001</v>
      </c>
      <c r="AB126">
        <f t="shared" si="22"/>
        <v>145.33298639999998</v>
      </c>
      <c r="AC126" t="b">
        <f t="shared" si="18"/>
        <v>1</v>
      </c>
      <c r="AD126" t="b">
        <f t="shared" si="19"/>
        <v>1</v>
      </c>
    </row>
    <row r="127" spans="1:30" x14ac:dyDescent="0.35">
      <c r="A127" t="s">
        <v>31</v>
      </c>
      <c r="B127">
        <v>6</v>
      </c>
      <c r="C127">
        <v>2</v>
      </c>
      <c r="D127" t="s">
        <v>32</v>
      </c>
      <c r="E127">
        <v>2</v>
      </c>
      <c r="F127">
        <v>1</v>
      </c>
      <c r="G127" s="16">
        <v>93</v>
      </c>
      <c r="H127" s="16">
        <v>20.012</v>
      </c>
      <c r="I127" s="16">
        <v>1165</v>
      </c>
      <c r="J127" s="16">
        <v>25.286000000000001</v>
      </c>
      <c r="K127" s="16">
        <v>58.500999999999998</v>
      </c>
      <c r="L127" s="16">
        <v>0.41199999999999998</v>
      </c>
      <c r="M127" s="23">
        <v>480.56</v>
      </c>
      <c r="N127" s="16">
        <v>8.4930000000000003</v>
      </c>
      <c r="O127" s="17">
        <v>5.1669999999999998</v>
      </c>
      <c r="P127" s="18">
        <v>93</v>
      </c>
      <c r="Q127" s="18">
        <v>25.286000000000001</v>
      </c>
      <c r="R127" s="18">
        <v>155.95599999999999</v>
      </c>
      <c r="S127" s="18">
        <v>324.60399999999998</v>
      </c>
      <c r="T127" s="14" t="b">
        <f t="shared" si="15"/>
        <v>1</v>
      </c>
      <c r="U127" s="14" t="b">
        <f t="shared" si="16"/>
        <v>1</v>
      </c>
      <c r="V127" s="15">
        <f>VLOOKUP(IF(J127&lt;10, 10, IF(J127&gt;50,50,J127)),'Over to underbark'!$A$3:$C$43,IF(A127="Scots pine",3,IF(A127="Sitka spruce",2, "error")),TRUE)/100</f>
        <v>0.84</v>
      </c>
      <c r="W127">
        <f t="shared" si="13"/>
        <v>117.90273599999999</v>
      </c>
      <c r="X127">
        <f t="shared" si="14"/>
        <v>245.40062399999999</v>
      </c>
      <c r="Y127">
        <f t="shared" si="17"/>
        <v>69.200640000000007</v>
      </c>
      <c r="Z127">
        <f t="shared" si="20"/>
        <v>173.21529311999998</v>
      </c>
      <c r="AA127">
        <f t="shared" si="21"/>
        <v>112.04833248</v>
      </c>
      <c r="AB127">
        <f t="shared" si="22"/>
        <v>147.24037439999998</v>
      </c>
      <c r="AC127" t="b">
        <f t="shared" si="18"/>
        <v>1</v>
      </c>
      <c r="AD127" t="b">
        <f t="shared" si="19"/>
        <v>1</v>
      </c>
    </row>
    <row r="128" spans="1:30" x14ac:dyDescent="0.35">
      <c r="A128" t="s">
        <v>31</v>
      </c>
      <c r="B128">
        <v>6</v>
      </c>
      <c r="C128">
        <v>2</v>
      </c>
      <c r="D128" t="s">
        <v>32</v>
      </c>
      <c r="E128">
        <v>2</v>
      </c>
      <c r="F128">
        <v>1</v>
      </c>
      <c r="G128" s="16">
        <v>94</v>
      </c>
      <c r="H128" s="16">
        <v>20.096</v>
      </c>
      <c r="I128" s="16">
        <v>1155</v>
      </c>
      <c r="J128" s="16">
        <v>25.428000000000001</v>
      </c>
      <c r="K128" s="16">
        <v>58.652000000000001</v>
      </c>
      <c r="L128" s="16">
        <v>0.41899999999999998</v>
      </c>
      <c r="M128" s="23">
        <v>483.38</v>
      </c>
      <c r="N128" s="16">
        <v>8.7240000000000002</v>
      </c>
      <c r="O128" s="17">
        <v>5.1420000000000003</v>
      </c>
      <c r="P128" s="18">
        <v>94</v>
      </c>
      <c r="Q128" s="18">
        <v>25.428000000000001</v>
      </c>
      <c r="R128" s="18">
        <v>154.36099999999999</v>
      </c>
      <c r="S128" s="18">
        <v>329.01900000000001</v>
      </c>
      <c r="T128" s="14" t="b">
        <f t="shared" si="15"/>
        <v>1</v>
      </c>
      <c r="U128" s="14" t="b">
        <f t="shared" si="16"/>
        <v>1</v>
      </c>
      <c r="V128" s="15">
        <f>VLOOKUP(IF(J128&lt;10, 10, IF(J128&gt;50,50,J128)),'Over to underbark'!$A$3:$C$43,IF(A128="Scots pine",3,IF(A128="Sitka spruce",2, "error")),TRUE)/100</f>
        <v>0.84</v>
      </c>
      <c r="W128">
        <f t="shared" ref="W128:W191" si="23">R128*0.9*V128</f>
        <v>116.696916</v>
      </c>
      <c r="X128">
        <f t="shared" ref="X128:X191" si="24">S128*0.9*V128</f>
        <v>248.73836399999999</v>
      </c>
      <c r="Y128">
        <f t="shared" si="17"/>
        <v>69.606720000000024</v>
      </c>
      <c r="Z128">
        <f t="shared" si="20"/>
        <v>173.43471672000001</v>
      </c>
      <c r="AA128">
        <f t="shared" si="21"/>
        <v>112.36426488000001</v>
      </c>
      <c r="AB128">
        <f t="shared" si="22"/>
        <v>149.24301839999998</v>
      </c>
      <c r="AC128" t="b">
        <f t="shared" si="18"/>
        <v>1</v>
      </c>
      <c r="AD128" t="b">
        <f t="shared" si="19"/>
        <v>1</v>
      </c>
    </row>
    <row r="129" spans="1:30" x14ac:dyDescent="0.35">
      <c r="A129" t="s">
        <v>31</v>
      </c>
      <c r="B129">
        <v>6</v>
      </c>
      <c r="C129">
        <v>2</v>
      </c>
      <c r="D129" t="s">
        <v>32</v>
      </c>
      <c r="E129">
        <v>2</v>
      </c>
      <c r="F129">
        <v>1</v>
      </c>
      <c r="G129" s="16">
        <v>95</v>
      </c>
      <c r="H129" s="16">
        <v>20.18</v>
      </c>
      <c r="I129" s="16">
        <v>1146</v>
      </c>
      <c r="J129" s="16">
        <v>25.56</v>
      </c>
      <c r="K129" s="16">
        <v>58.802999999999997</v>
      </c>
      <c r="L129" s="16">
        <v>0.42399999999999999</v>
      </c>
      <c r="M129" s="23">
        <v>486.2</v>
      </c>
      <c r="N129" s="16">
        <v>8.9510000000000005</v>
      </c>
      <c r="O129" s="17">
        <v>5.1180000000000003</v>
      </c>
      <c r="P129" s="18">
        <v>95</v>
      </c>
      <c r="Q129" s="18">
        <v>25.56</v>
      </c>
      <c r="R129" s="18">
        <v>152.94399999999999</v>
      </c>
      <c r="S129" s="18">
        <v>333.25599999999997</v>
      </c>
      <c r="T129" s="14" t="b">
        <f t="shared" si="15"/>
        <v>1</v>
      </c>
      <c r="U129" s="14" t="b">
        <f t="shared" si="16"/>
        <v>1</v>
      </c>
      <c r="V129" s="15">
        <f>VLOOKUP(IF(J129&lt;10, 10, IF(J129&gt;50,50,J129)),'Over to underbark'!$A$3:$C$43,IF(A129="Scots pine",3,IF(A129="Sitka spruce",2, "error")),TRUE)/100</f>
        <v>0.84</v>
      </c>
      <c r="W129">
        <f t="shared" si="23"/>
        <v>115.62566399999999</v>
      </c>
      <c r="X129">
        <f t="shared" si="24"/>
        <v>251.94153599999996</v>
      </c>
      <c r="Y129">
        <f t="shared" si="17"/>
        <v>70.012799999999999</v>
      </c>
      <c r="Z129">
        <f t="shared" si="20"/>
        <v>173.71065887999995</v>
      </c>
      <c r="AA129">
        <f t="shared" si="21"/>
        <v>112.70441951999999</v>
      </c>
      <c r="AB129">
        <f t="shared" si="22"/>
        <v>151.16492159999996</v>
      </c>
      <c r="AC129" t="b">
        <f t="shared" si="18"/>
        <v>1</v>
      </c>
      <c r="AD129" t="b">
        <f t="shared" si="19"/>
        <v>1</v>
      </c>
    </row>
    <row r="130" spans="1:30" x14ac:dyDescent="0.35">
      <c r="A130" t="s">
        <v>31</v>
      </c>
      <c r="B130">
        <v>6</v>
      </c>
      <c r="C130">
        <v>2</v>
      </c>
      <c r="D130" t="s">
        <v>32</v>
      </c>
      <c r="E130">
        <v>2</v>
      </c>
      <c r="F130">
        <v>1</v>
      </c>
      <c r="G130" s="16">
        <v>96</v>
      </c>
      <c r="H130" s="16">
        <v>20.239999999999998</v>
      </c>
      <c r="I130" s="16">
        <v>1137</v>
      </c>
      <c r="J130" s="16">
        <v>25.687999999999999</v>
      </c>
      <c r="K130" s="16">
        <v>58.926000000000002</v>
      </c>
      <c r="L130" s="16">
        <v>0.42899999999999999</v>
      </c>
      <c r="M130" s="23">
        <v>488.32</v>
      </c>
      <c r="N130" s="16">
        <v>9.2270000000000003</v>
      </c>
      <c r="O130" s="17">
        <v>5.0869999999999997</v>
      </c>
      <c r="P130" s="18">
        <v>96</v>
      </c>
      <c r="Q130" s="18">
        <v>25.687999999999999</v>
      </c>
      <c r="R130" s="18">
        <v>151.38200000000001</v>
      </c>
      <c r="S130" s="18">
        <v>336.93799999999999</v>
      </c>
      <c r="T130" s="14" t="b">
        <f t="shared" si="15"/>
        <v>1</v>
      </c>
      <c r="U130" s="14" t="b">
        <f t="shared" si="16"/>
        <v>1</v>
      </c>
      <c r="V130" s="15">
        <f>VLOOKUP(IF(J130&lt;10, 10, IF(J130&gt;50,50,J130)),'Over to underbark'!$A$3:$C$43,IF(A130="Scots pine",3,IF(A130="Sitka spruce",2, "error")),TRUE)/100</f>
        <v>0.84</v>
      </c>
      <c r="W130">
        <f t="shared" si="23"/>
        <v>114.44479200000002</v>
      </c>
      <c r="X130">
        <f t="shared" si="24"/>
        <v>254.72512799999998</v>
      </c>
      <c r="Y130">
        <f t="shared" si="17"/>
        <v>70.318080000000009</v>
      </c>
      <c r="Z130">
        <f t="shared" si="20"/>
        <v>173.76038064000002</v>
      </c>
      <c r="AA130">
        <f t="shared" si="21"/>
        <v>112.89254256000001</v>
      </c>
      <c r="AB130">
        <f t="shared" si="22"/>
        <v>152.8350768</v>
      </c>
      <c r="AC130" t="b">
        <f t="shared" si="18"/>
        <v>1</v>
      </c>
      <c r="AD130" t="b">
        <f t="shared" si="19"/>
        <v>1</v>
      </c>
    </row>
    <row r="131" spans="1:30" x14ac:dyDescent="0.35">
      <c r="A131" t="s">
        <v>31</v>
      </c>
      <c r="B131">
        <v>6</v>
      </c>
      <c r="C131">
        <v>2</v>
      </c>
      <c r="D131" t="s">
        <v>32</v>
      </c>
      <c r="E131">
        <v>2</v>
      </c>
      <c r="F131">
        <v>1</v>
      </c>
      <c r="G131" s="16">
        <v>97</v>
      </c>
      <c r="H131" s="16">
        <v>20.3</v>
      </c>
      <c r="I131" s="16">
        <v>1128</v>
      </c>
      <c r="J131" s="16">
        <v>25.817</v>
      </c>
      <c r="K131" s="16">
        <v>59.05</v>
      </c>
      <c r="L131" s="16">
        <v>0.435</v>
      </c>
      <c r="M131" s="23">
        <v>490.44</v>
      </c>
      <c r="N131" s="16">
        <v>9.5</v>
      </c>
      <c r="O131" s="17">
        <v>5.056</v>
      </c>
      <c r="P131" s="18">
        <v>97</v>
      </c>
      <c r="Q131" s="18">
        <v>25.817</v>
      </c>
      <c r="R131" s="18">
        <v>149.81</v>
      </c>
      <c r="S131" s="18">
        <v>340.63</v>
      </c>
      <c r="T131" s="14" t="b">
        <f t="shared" si="15"/>
        <v>1</v>
      </c>
      <c r="U131" s="14" t="b">
        <f t="shared" si="16"/>
        <v>1</v>
      </c>
      <c r="V131" s="15">
        <f>VLOOKUP(IF(J131&lt;10, 10, IF(J131&gt;50,50,J131)),'Over to underbark'!$A$3:$C$43,IF(A131="Scots pine",3,IF(A131="Sitka spruce",2, "error")),TRUE)/100</f>
        <v>0.84</v>
      </c>
      <c r="W131">
        <f t="shared" si="23"/>
        <v>113.25636</v>
      </c>
      <c r="X131">
        <f t="shared" si="24"/>
        <v>257.51627999999999</v>
      </c>
      <c r="Y131">
        <f t="shared" si="17"/>
        <v>70.623360000000019</v>
      </c>
      <c r="Z131">
        <f t="shared" si="20"/>
        <v>173.80692720000002</v>
      </c>
      <c r="AA131">
        <f t="shared" si="21"/>
        <v>113.07930479999999</v>
      </c>
      <c r="AB131">
        <f t="shared" si="22"/>
        <v>154.50976799999998</v>
      </c>
      <c r="AC131" t="b">
        <f t="shared" si="18"/>
        <v>1</v>
      </c>
      <c r="AD131" t="b">
        <f t="shared" si="19"/>
        <v>1</v>
      </c>
    </row>
    <row r="132" spans="1:30" x14ac:dyDescent="0.35">
      <c r="A132" t="s">
        <v>31</v>
      </c>
      <c r="B132">
        <v>6</v>
      </c>
      <c r="C132">
        <v>2</v>
      </c>
      <c r="D132" t="s">
        <v>32</v>
      </c>
      <c r="E132">
        <v>2</v>
      </c>
      <c r="F132">
        <v>1</v>
      </c>
      <c r="G132" s="16">
        <v>98</v>
      </c>
      <c r="H132" s="16">
        <v>20.36</v>
      </c>
      <c r="I132" s="16">
        <v>1120</v>
      </c>
      <c r="J132" s="16">
        <v>25.936</v>
      </c>
      <c r="K132" s="16">
        <v>59.173000000000002</v>
      </c>
      <c r="L132" s="16">
        <v>0.44</v>
      </c>
      <c r="M132" s="23">
        <v>492.56</v>
      </c>
      <c r="N132" s="16">
        <v>9.7680000000000007</v>
      </c>
      <c r="O132" s="17">
        <v>5.0259999999999998</v>
      </c>
      <c r="P132" s="18">
        <v>98</v>
      </c>
      <c r="Q132" s="18">
        <v>25.936</v>
      </c>
      <c r="R132" s="18">
        <v>148.416</v>
      </c>
      <c r="S132" s="18">
        <v>344.14400000000001</v>
      </c>
      <c r="T132" s="14" t="b">
        <f t="shared" ref="T132:T134" si="25">G132=P132</f>
        <v>1</v>
      </c>
      <c r="U132" s="14" t="b">
        <f t="shared" ref="U132:U134" si="26">J132=Q132</f>
        <v>1</v>
      </c>
      <c r="V132" s="15">
        <f>VLOOKUP(IF(J132&lt;10, 10, IF(J132&gt;50,50,J132)),'Over to underbark'!$A$3:$C$43,IF(A132="Scots pine",3,IF(A132="Sitka spruce",2, "error")),TRUE)/100</f>
        <v>0.84</v>
      </c>
      <c r="W132">
        <f t="shared" si="23"/>
        <v>112.202496</v>
      </c>
      <c r="X132">
        <f t="shared" si="24"/>
        <v>260.172864</v>
      </c>
      <c r="Y132">
        <f t="shared" ref="Y132:Y195" si="27">(R132+S132)*0.9*(100%-V132)</f>
        <v>70.928640000000016</v>
      </c>
      <c r="Z132">
        <f t="shared" si="20"/>
        <v>173.90999232000001</v>
      </c>
      <c r="AA132">
        <f t="shared" si="21"/>
        <v>113.29028928</v>
      </c>
      <c r="AB132">
        <f t="shared" si="22"/>
        <v>156.10371839999999</v>
      </c>
      <c r="AC132" t="b">
        <f t="shared" ref="AC132:AC195" si="28">SUM(W132:Y132)=SUM(Z132:AB132)</f>
        <v>1</v>
      </c>
      <c r="AD132" t="b">
        <f t="shared" ref="AD132:AD195" si="29">SUM(R132:S132)*0.9 = SUM(W132:Y132)</f>
        <v>1</v>
      </c>
    </row>
    <row r="133" spans="1:30" x14ac:dyDescent="0.35">
      <c r="A133" t="s">
        <v>31</v>
      </c>
      <c r="B133">
        <v>6</v>
      </c>
      <c r="C133">
        <v>2</v>
      </c>
      <c r="D133" t="s">
        <v>32</v>
      </c>
      <c r="E133">
        <v>2</v>
      </c>
      <c r="F133">
        <v>1</v>
      </c>
      <c r="G133" s="16">
        <v>99</v>
      </c>
      <c r="H133" s="16">
        <v>20.420000000000002</v>
      </c>
      <c r="I133" s="16">
        <v>1111</v>
      </c>
      <c r="J133" s="16">
        <v>26.068000000000001</v>
      </c>
      <c r="K133" s="16">
        <v>59.296999999999997</v>
      </c>
      <c r="L133" s="16">
        <v>0.44500000000000001</v>
      </c>
      <c r="M133" s="23">
        <v>494.68</v>
      </c>
      <c r="N133" s="16">
        <v>10.032</v>
      </c>
      <c r="O133" s="17">
        <v>4.9969999999999999</v>
      </c>
      <c r="P133" s="18">
        <v>99</v>
      </c>
      <c r="Q133" s="18">
        <v>26.068000000000001</v>
      </c>
      <c r="R133" s="18">
        <v>146.809</v>
      </c>
      <c r="S133" s="18">
        <v>347.87099999999998</v>
      </c>
      <c r="T133" s="14" t="b">
        <f t="shared" si="25"/>
        <v>1</v>
      </c>
      <c r="U133" s="14" t="b">
        <f t="shared" si="26"/>
        <v>1</v>
      </c>
      <c r="V133" s="15">
        <f>VLOOKUP(IF(J133&lt;10, 10, IF(J133&gt;50,50,J133)),'Over to underbark'!$A$3:$C$43,IF(A133="Scots pine",3,IF(A133="Sitka spruce",2, "error")),TRUE)/100</f>
        <v>0.84</v>
      </c>
      <c r="W133">
        <f t="shared" si="23"/>
        <v>110.98760399999999</v>
      </c>
      <c r="X133">
        <f t="shared" si="24"/>
        <v>262.99047599999994</v>
      </c>
      <c r="Y133">
        <f t="shared" si="27"/>
        <v>71.233920000000012</v>
      </c>
      <c r="Z133">
        <f t="shared" si="20"/>
        <v>173.94542568</v>
      </c>
      <c r="AA133">
        <f t="shared" si="21"/>
        <v>113.47228871999998</v>
      </c>
      <c r="AB133">
        <f t="shared" si="22"/>
        <v>157.79428559999997</v>
      </c>
      <c r="AC133" t="b">
        <f t="shared" si="28"/>
        <v>1</v>
      </c>
      <c r="AD133" t="b">
        <f t="shared" si="29"/>
        <v>1</v>
      </c>
    </row>
    <row r="134" spans="1:30" x14ac:dyDescent="0.35">
      <c r="A134" t="s">
        <v>31</v>
      </c>
      <c r="B134">
        <v>6</v>
      </c>
      <c r="C134">
        <v>2</v>
      </c>
      <c r="D134" t="s">
        <v>32</v>
      </c>
      <c r="E134">
        <v>2</v>
      </c>
      <c r="F134">
        <v>1</v>
      </c>
      <c r="G134" s="16">
        <v>100</v>
      </c>
      <c r="H134" s="16">
        <v>20.48</v>
      </c>
      <c r="I134" s="16">
        <v>1103</v>
      </c>
      <c r="J134" s="16">
        <v>26.19</v>
      </c>
      <c r="K134" s="16">
        <v>59.420999999999999</v>
      </c>
      <c r="L134" s="16">
        <v>0.45</v>
      </c>
      <c r="M134" s="23">
        <v>496.8</v>
      </c>
      <c r="N134" s="16">
        <v>10.292999999999999</v>
      </c>
      <c r="O134" s="17">
        <v>4.968</v>
      </c>
      <c r="P134" s="18">
        <v>100</v>
      </c>
      <c r="Q134" s="18">
        <v>26.19</v>
      </c>
      <c r="R134" s="18">
        <v>145.37799999999999</v>
      </c>
      <c r="S134" s="18">
        <v>351.42200000000003</v>
      </c>
      <c r="T134" s="14" t="b">
        <f t="shared" si="25"/>
        <v>1</v>
      </c>
      <c r="U134" s="14" t="b">
        <f t="shared" si="26"/>
        <v>1</v>
      </c>
      <c r="V134" s="15">
        <f>VLOOKUP(IF(J134&lt;10, 10, IF(J134&gt;50,50,J134)),'Over to underbark'!$A$3:$C$43,IF(A134="Scots pine",3,IF(A134="Sitka spruce",2, "error")),TRUE)/100</f>
        <v>0.84</v>
      </c>
      <c r="W134">
        <f t="shared" si="23"/>
        <v>109.90576799999998</v>
      </c>
      <c r="X134">
        <f t="shared" si="24"/>
        <v>265.67503199999999</v>
      </c>
      <c r="Y134">
        <f t="shared" si="27"/>
        <v>71.539200000000008</v>
      </c>
      <c r="Z134">
        <f t="shared" si="20"/>
        <v>174.03674255999999</v>
      </c>
      <c r="AA134">
        <f t="shared" si="21"/>
        <v>113.67823823999998</v>
      </c>
      <c r="AB134">
        <f t="shared" si="22"/>
        <v>159.4050192</v>
      </c>
      <c r="AC134" t="b">
        <f t="shared" si="28"/>
        <v>1</v>
      </c>
      <c r="AD134" t="b">
        <f t="shared" si="29"/>
        <v>1</v>
      </c>
    </row>
    <row r="135" spans="1:30" x14ac:dyDescent="0.35">
      <c r="A135" t="s">
        <v>31</v>
      </c>
      <c r="B135">
        <v>8</v>
      </c>
      <c r="C135">
        <v>2</v>
      </c>
      <c r="D135" t="s">
        <v>32</v>
      </c>
      <c r="E135">
        <v>2</v>
      </c>
      <c r="F135">
        <v>1</v>
      </c>
      <c r="G135" s="16">
        <v>21</v>
      </c>
      <c r="H135" s="16">
        <v>6.71</v>
      </c>
      <c r="I135" s="16">
        <v>2250</v>
      </c>
      <c r="J135" s="16">
        <v>9.2200000000000006</v>
      </c>
      <c r="K135" s="16">
        <v>15.022</v>
      </c>
      <c r="L135" s="16">
        <v>1.6E-2</v>
      </c>
      <c r="M135" s="23">
        <v>35.4</v>
      </c>
      <c r="N135" s="16">
        <v>0</v>
      </c>
      <c r="O135" s="17">
        <v>1.6859999999999999</v>
      </c>
      <c r="P135" s="18">
        <v>21</v>
      </c>
      <c r="Q135" s="18">
        <v>9.2200000000000006</v>
      </c>
      <c r="R135" s="18">
        <v>35.4</v>
      </c>
      <c r="S135" s="18">
        <v>0</v>
      </c>
      <c r="T135" s="14" t="b">
        <f t="shared" ref="T135:T198" si="30">G135=P135</f>
        <v>1</v>
      </c>
      <c r="U135" s="14" t="b">
        <f t="shared" ref="U135:U198" si="31">J135=Q135</f>
        <v>1</v>
      </c>
      <c r="V135" s="15">
        <f>VLOOKUP(IF(J135&lt;10, 10, IF(J135&gt;50,50,J135)),'Over to underbark'!$A$3:$C$43,IF(A135="Scots pine",3,IF(A135="Sitka spruce",2, "error")),TRUE)/100</f>
        <v>0.53</v>
      </c>
      <c r="W135">
        <f t="shared" si="23"/>
        <v>16.8858</v>
      </c>
      <c r="X135">
        <f t="shared" si="24"/>
        <v>0</v>
      </c>
      <c r="Y135">
        <f t="shared" si="27"/>
        <v>14.9742</v>
      </c>
      <c r="Z135">
        <f t="shared" si="20"/>
        <v>24.599105999999999</v>
      </c>
      <c r="AA135">
        <f t="shared" si="21"/>
        <v>7.2608939999999995</v>
      </c>
      <c r="AB135">
        <f t="shared" si="22"/>
        <v>0</v>
      </c>
      <c r="AC135" t="b">
        <f t="shared" si="28"/>
        <v>1</v>
      </c>
      <c r="AD135" t="b">
        <f t="shared" si="29"/>
        <v>1</v>
      </c>
    </row>
    <row r="136" spans="1:30" x14ac:dyDescent="0.35">
      <c r="A136" t="s">
        <v>31</v>
      </c>
      <c r="B136">
        <v>8</v>
      </c>
      <c r="C136">
        <v>2</v>
      </c>
      <c r="D136" t="s">
        <v>32</v>
      </c>
      <c r="E136">
        <v>2</v>
      </c>
      <c r="F136">
        <v>1</v>
      </c>
      <c r="G136" s="16">
        <v>22</v>
      </c>
      <c r="H136" s="16">
        <v>7.0839999999999996</v>
      </c>
      <c r="I136" s="16">
        <v>2234</v>
      </c>
      <c r="J136" s="16">
        <v>9.6210000000000004</v>
      </c>
      <c r="K136" s="16">
        <v>16.239999999999998</v>
      </c>
      <c r="L136" s="16">
        <v>1.9E-2</v>
      </c>
      <c r="M136" s="23">
        <v>41.66</v>
      </c>
      <c r="N136" s="16">
        <v>0</v>
      </c>
      <c r="O136" s="17">
        <v>1.8939999999999999</v>
      </c>
      <c r="P136" s="18">
        <v>22</v>
      </c>
      <c r="Q136" s="18">
        <v>9.6210000000000004</v>
      </c>
      <c r="R136" s="18">
        <v>41.66</v>
      </c>
      <c r="S136" s="18">
        <v>0</v>
      </c>
      <c r="T136" s="14" t="b">
        <f t="shared" si="30"/>
        <v>1</v>
      </c>
      <c r="U136" s="14" t="b">
        <f t="shared" si="31"/>
        <v>1</v>
      </c>
      <c r="V136" s="15">
        <f>VLOOKUP(IF(J136&lt;10, 10, IF(J136&gt;50,50,J136)),'Over to underbark'!$A$3:$C$43,IF(A136="Scots pine",3,IF(A136="Sitka spruce",2, "error")),TRUE)/100</f>
        <v>0.53</v>
      </c>
      <c r="W136">
        <f t="shared" si="23"/>
        <v>19.87182</v>
      </c>
      <c r="X136">
        <f t="shared" si="24"/>
        <v>0</v>
      </c>
      <c r="Y136">
        <f t="shared" si="27"/>
        <v>17.62218</v>
      </c>
      <c r="Z136">
        <f t="shared" si="20"/>
        <v>28.949117399999999</v>
      </c>
      <c r="AA136">
        <f t="shared" si="21"/>
        <v>8.5448825999999993</v>
      </c>
      <c r="AB136">
        <f t="shared" si="22"/>
        <v>0</v>
      </c>
      <c r="AC136" t="b">
        <f t="shared" si="28"/>
        <v>1</v>
      </c>
      <c r="AD136" t="b">
        <f t="shared" si="29"/>
        <v>1</v>
      </c>
    </row>
    <row r="137" spans="1:30" x14ac:dyDescent="0.35">
      <c r="A137" t="s">
        <v>31</v>
      </c>
      <c r="B137">
        <v>8</v>
      </c>
      <c r="C137">
        <v>2</v>
      </c>
      <c r="D137" t="s">
        <v>32</v>
      </c>
      <c r="E137">
        <v>2</v>
      </c>
      <c r="F137">
        <v>1</v>
      </c>
      <c r="G137" s="16">
        <v>23</v>
      </c>
      <c r="H137" s="16">
        <v>7.4580000000000002</v>
      </c>
      <c r="I137" s="16">
        <v>2218</v>
      </c>
      <c r="J137" s="16">
        <v>10.010999999999999</v>
      </c>
      <c r="K137" s="16">
        <v>17.457999999999998</v>
      </c>
      <c r="L137" s="16">
        <v>2.1999999999999999E-2</v>
      </c>
      <c r="M137" s="23">
        <v>47.92</v>
      </c>
      <c r="N137" s="16">
        <v>0</v>
      </c>
      <c r="O137" s="17">
        <v>2.0830000000000002</v>
      </c>
      <c r="P137" s="18">
        <v>23</v>
      </c>
      <c r="Q137" s="18">
        <v>10.010999999999999</v>
      </c>
      <c r="R137" s="18">
        <v>47.92</v>
      </c>
      <c r="S137" s="18">
        <v>0</v>
      </c>
      <c r="T137" s="14" t="b">
        <f t="shared" si="30"/>
        <v>1</v>
      </c>
      <c r="U137" s="14" t="b">
        <f t="shared" si="31"/>
        <v>1</v>
      </c>
      <c r="V137" s="15">
        <f>VLOOKUP(IF(J137&lt;10, 10, IF(J137&gt;50,50,J137)),'Over to underbark'!$A$3:$C$43,IF(A137="Scots pine",3,IF(A137="Sitka spruce",2, "error")),TRUE)/100</f>
        <v>0.53</v>
      </c>
      <c r="W137">
        <f t="shared" si="23"/>
        <v>22.857839999999999</v>
      </c>
      <c r="X137">
        <f t="shared" si="24"/>
        <v>0</v>
      </c>
      <c r="Y137">
        <f t="shared" si="27"/>
        <v>20.270160000000001</v>
      </c>
      <c r="Z137">
        <f t="shared" si="20"/>
        <v>33.299128799999998</v>
      </c>
      <c r="AA137">
        <f t="shared" si="21"/>
        <v>9.8288712</v>
      </c>
      <c r="AB137">
        <f t="shared" si="22"/>
        <v>0</v>
      </c>
      <c r="AC137" t="b">
        <f t="shared" si="28"/>
        <v>1</v>
      </c>
      <c r="AD137" t="b">
        <f t="shared" si="29"/>
        <v>1</v>
      </c>
    </row>
    <row r="138" spans="1:30" x14ac:dyDescent="0.35">
      <c r="A138" t="s">
        <v>31</v>
      </c>
      <c r="B138">
        <v>8</v>
      </c>
      <c r="C138">
        <v>2</v>
      </c>
      <c r="D138" t="s">
        <v>32</v>
      </c>
      <c r="E138">
        <v>2</v>
      </c>
      <c r="F138">
        <v>1</v>
      </c>
      <c r="G138" s="16">
        <v>24</v>
      </c>
      <c r="H138" s="16">
        <v>7.8319999999999999</v>
      </c>
      <c r="I138" s="16">
        <v>2202</v>
      </c>
      <c r="J138" s="16">
        <v>10.391999999999999</v>
      </c>
      <c r="K138" s="16">
        <v>18.675999999999998</v>
      </c>
      <c r="L138" s="16">
        <v>2.5000000000000001E-2</v>
      </c>
      <c r="M138" s="23">
        <v>54.18</v>
      </c>
      <c r="N138" s="16">
        <v>0</v>
      </c>
      <c r="O138" s="17">
        <v>2.2570000000000001</v>
      </c>
      <c r="P138" s="18">
        <v>24</v>
      </c>
      <c r="Q138" s="18">
        <v>10.391999999999999</v>
      </c>
      <c r="R138" s="18">
        <v>54.18</v>
      </c>
      <c r="S138" s="18">
        <v>0</v>
      </c>
      <c r="T138" s="14" t="b">
        <f t="shared" si="30"/>
        <v>1</v>
      </c>
      <c r="U138" s="14" t="b">
        <f t="shared" si="31"/>
        <v>1</v>
      </c>
      <c r="V138" s="15">
        <f>VLOOKUP(IF(J138&lt;10, 10, IF(J138&gt;50,50,J138)),'Over to underbark'!$A$3:$C$43,IF(A138="Scots pine",3,IF(A138="Sitka spruce",2, "error")),TRUE)/100</f>
        <v>0.53</v>
      </c>
      <c r="W138">
        <f t="shared" si="23"/>
        <v>25.843860000000003</v>
      </c>
      <c r="X138">
        <f t="shared" si="24"/>
        <v>0</v>
      </c>
      <c r="Y138">
        <f t="shared" si="27"/>
        <v>22.918139999999998</v>
      </c>
      <c r="Z138">
        <f t="shared" si="20"/>
        <v>37.649140199999998</v>
      </c>
      <c r="AA138">
        <f t="shared" si="21"/>
        <v>11.112859800000001</v>
      </c>
      <c r="AB138">
        <f t="shared" si="22"/>
        <v>0</v>
      </c>
      <c r="AC138" t="b">
        <f t="shared" si="28"/>
        <v>1</v>
      </c>
      <c r="AD138" t="b">
        <f t="shared" si="29"/>
        <v>1</v>
      </c>
    </row>
    <row r="139" spans="1:30" x14ac:dyDescent="0.35">
      <c r="A139" t="s">
        <v>31</v>
      </c>
      <c r="B139">
        <v>8</v>
      </c>
      <c r="C139">
        <v>2</v>
      </c>
      <c r="D139" t="s">
        <v>32</v>
      </c>
      <c r="E139">
        <v>2</v>
      </c>
      <c r="F139">
        <v>1</v>
      </c>
      <c r="G139" s="16">
        <v>25</v>
      </c>
      <c r="H139" s="16">
        <v>8.2059999999999995</v>
      </c>
      <c r="I139" s="16">
        <v>2186</v>
      </c>
      <c r="J139" s="16">
        <v>10.765000000000001</v>
      </c>
      <c r="K139" s="16">
        <v>19.893999999999998</v>
      </c>
      <c r="L139" s="16">
        <v>2.8000000000000001E-2</v>
      </c>
      <c r="M139" s="23">
        <v>60.44</v>
      </c>
      <c r="N139" s="16">
        <v>0</v>
      </c>
      <c r="O139" s="17">
        <v>2.4180000000000001</v>
      </c>
      <c r="P139" s="18">
        <v>25</v>
      </c>
      <c r="Q139" s="18">
        <v>10.765000000000001</v>
      </c>
      <c r="R139" s="18">
        <v>60.44</v>
      </c>
      <c r="S139" s="18">
        <v>0</v>
      </c>
      <c r="T139" s="14" t="b">
        <f t="shared" si="30"/>
        <v>1</v>
      </c>
      <c r="U139" s="14" t="b">
        <f t="shared" si="31"/>
        <v>1</v>
      </c>
      <c r="V139" s="15">
        <f>VLOOKUP(IF(J139&lt;10, 10, IF(J139&gt;50,50,J139)),'Over to underbark'!$A$3:$C$43,IF(A139="Scots pine",3,IF(A139="Sitka spruce",2, "error")),TRUE)/100</f>
        <v>0.53</v>
      </c>
      <c r="W139">
        <f t="shared" si="23"/>
        <v>28.829880000000003</v>
      </c>
      <c r="X139">
        <f t="shared" si="24"/>
        <v>0</v>
      </c>
      <c r="Y139">
        <f t="shared" si="27"/>
        <v>25.566119999999998</v>
      </c>
      <c r="Z139">
        <f t="shared" si="20"/>
        <v>41.999151599999998</v>
      </c>
      <c r="AA139">
        <f t="shared" si="21"/>
        <v>12.396848400000001</v>
      </c>
      <c r="AB139">
        <f t="shared" si="22"/>
        <v>0</v>
      </c>
      <c r="AC139" t="b">
        <f t="shared" si="28"/>
        <v>1</v>
      </c>
      <c r="AD139" t="b">
        <f t="shared" si="29"/>
        <v>1</v>
      </c>
    </row>
    <row r="140" spans="1:30" x14ac:dyDescent="0.35">
      <c r="A140" t="s">
        <v>31</v>
      </c>
      <c r="B140">
        <v>8</v>
      </c>
      <c r="C140">
        <v>2</v>
      </c>
      <c r="D140" t="s">
        <v>32</v>
      </c>
      <c r="E140">
        <v>2</v>
      </c>
      <c r="F140">
        <v>1</v>
      </c>
      <c r="G140" s="16">
        <v>26</v>
      </c>
      <c r="H140" s="16">
        <v>8.58</v>
      </c>
      <c r="I140" s="16">
        <v>2170</v>
      </c>
      <c r="J140" s="16">
        <v>11.13</v>
      </c>
      <c r="K140" s="16">
        <v>21.113</v>
      </c>
      <c r="L140" s="16">
        <v>3.1E-2</v>
      </c>
      <c r="M140" s="23">
        <v>66.7</v>
      </c>
      <c r="N140" s="16">
        <v>0</v>
      </c>
      <c r="O140" s="17">
        <v>2.5649999999999999</v>
      </c>
      <c r="P140" s="18">
        <v>26</v>
      </c>
      <c r="Q140" s="18">
        <v>11.13</v>
      </c>
      <c r="R140" s="18">
        <v>66.7</v>
      </c>
      <c r="S140" s="18">
        <v>0</v>
      </c>
      <c r="T140" s="14" t="b">
        <f t="shared" si="30"/>
        <v>1</v>
      </c>
      <c r="U140" s="14" t="b">
        <f t="shared" si="31"/>
        <v>1</v>
      </c>
      <c r="V140" s="15">
        <f>VLOOKUP(IF(J140&lt;10, 10, IF(J140&gt;50,50,J140)),'Over to underbark'!$A$3:$C$43,IF(A140="Scots pine",3,IF(A140="Sitka spruce",2, "error")),TRUE)/100</f>
        <v>0.66</v>
      </c>
      <c r="W140">
        <f t="shared" si="23"/>
        <v>39.619800000000005</v>
      </c>
      <c r="X140">
        <f t="shared" si="24"/>
        <v>0</v>
      </c>
      <c r="Y140">
        <f t="shared" si="27"/>
        <v>20.4102</v>
      </c>
      <c r="Z140">
        <f t="shared" si="20"/>
        <v>42.993486000000004</v>
      </c>
      <c r="AA140">
        <f t="shared" si="21"/>
        <v>17.036514</v>
      </c>
      <c r="AB140">
        <f t="shared" si="22"/>
        <v>0</v>
      </c>
      <c r="AC140" t="b">
        <f t="shared" si="28"/>
        <v>1</v>
      </c>
      <c r="AD140" t="b">
        <f t="shared" si="29"/>
        <v>1</v>
      </c>
    </row>
    <row r="141" spans="1:30" x14ac:dyDescent="0.35">
      <c r="A141" t="s">
        <v>31</v>
      </c>
      <c r="B141">
        <v>8</v>
      </c>
      <c r="C141">
        <v>2</v>
      </c>
      <c r="D141" t="s">
        <v>32</v>
      </c>
      <c r="E141">
        <v>2</v>
      </c>
      <c r="F141">
        <v>1</v>
      </c>
      <c r="G141" s="16">
        <v>27</v>
      </c>
      <c r="H141" s="16">
        <v>8.9320000000000004</v>
      </c>
      <c r="I141" s="16">
        <v>2153</v>
      </c>
      <c r="J141" s="16">
        <v>11.500999999999999</v>
      </c>
      <c r="K141" s="16">
        <v>22.367999999999999</v>
      </c>
      <c r="L141" s="16">
        <v>3.5000000000000003E-2</v>
      </c>
      <c r="M141" s="23">
        <v>75.16</v>
      </c>
      <c r="N141" s="16">
        <v>0</v>
      </c>
      <c r="O141" s="17">
        <v>2.7839999999999998</v>
      </c>
      <c r="P141" s="18">
        <v>27</v>
      </c>
      <c r="Q141" s="18">
        <v>11.500999999999999</v>
      </c>
      <c r="R141" s="18">
        <v>75.16</v>
      </c>
      <c r="S141" s="18">
        <v>0</v>
      </c>
      <c r="T141" s="14" t="b">
        <f t="shared" si="30"/>
        <v>1</v>
      </c>
      <c r="U141" s="14" t="b">
        <f t="shared" si="31"/>
        <v>1</v>
      </c>
      <c r="V141" s="15">
        <f>VLOOKUP(IF(J141&lt;10, 10, IF(J141&gt;50,50,J141)),'Over to underbark'!$A$3:$C$43,IF(A141="Scots pine",3,IF(A141="Sitka spruce",2, "error")),TRUE)/100</f>
        <v>0.66</v>
      </c>
      <c r="W141">
        <f t="shared" si="23"/>
        <v>44.645040000000009</v>
      </c>
      <c r="X141">
        <f t="shared" si="24"/>
        <v>0</v>
      </c>
      <c r="Y141">
        <f t="shared" si="27"/>
        <v>22.99896</v>
      </c>
      <c r="Z141">
        <f t="shared" si="20"/>
        <v>48.446632800000003</v>
      </c>
      <c r="AA141">
        <f t="shared" si="21"/>
        <v>19.197367200000002</v>
      </c>
      <c r="AB141">
        <f t="shared" si="22"/>
        <v>0</v>
      </c>
      <c r="AC141" t="b">
        <f t="shared" si="28"/>
        <v>1</v>
      </c>
      <c r="AD141" t="b">
        <f t="shared" si="29"/>
        <v>1</v>
      </c>
    </row>
    <row r="142" spans="1:30" x14ac:dyDescent="0.35">
      <c r="A142" t="s">
        <v>31</v>
      </c>
      <c r="B142">
        <v>8</v>
      </c>
      <c r="C142">
        <v>2</v>
      </c>
      <c r="D142" t="s">
        <v>32</v>
      </c>
      <c r="E142">
        <v>2</v>
      </c>
      <c r="F142">
        <v>1</v>
      </c>
      <c r="G142" s="16">
        <v>28</v>
      </c>
      <c r="H142" s="16">
        <v>9.2840000000000007</v>
      </c>
      <c r="I142" s="16">
        <v>2136</v>
      </c>
      <c r="J142" s="16">
        <v>11.867000000000001</v>
      </c>
      <c r="K142" s="16">
        <v>23.623999999999999</v>
      </c>
      <c r="L142" s="16">
        <v>3.9E-2</v>
      </c>
      <c r="M142" s="23">
        <v>83.62</v>
      </c>
      <c r="N142" s="16">
        <v>0</v>
      </c>
      <c r="O142" s="17">
        <v>2.9860000000000002</v>
      </c>
      <c r="P142" s="18">
        <v>28</v>
      </c>
      <c r="Q142" s="18">
        <v>11.867000000000001</v>
      </c>
      <c r="R142" s="18">
        <v>83.62</v>
      </c>
      <c r="S142" s="18">
        <v>0</v>
      </c>
      <c r="T142" s="14" t="b">
        <f t="shared" si="30"/>
        <v>1</v>
      </c>
      <c r="U142" s="14" t="b">
        <f t="shared" si="31"/>
        <v>1</v>
      </c>
      <c r="V142" s="15">
        <f>VLOOKUP(IF(J142&lt;10, 10, IF(J142&gt;50,50,J142)),'Over to underbark'!$A$3:$C$43,IF(A142="Scots pine",3,IF(A142="Sitka spruce",2, "error")),TRUE)/100</f>
        <v>0.66</v>
      </c>
      <c r="W142">
        <f t="shared" si="23"/>
        <v>49.670280000000005</v>
      </c>
      <c r="X142">
        <f t="shared" si="24"/>
        <v>0</v>
      </c>
      <c r="Y142">
        <f t="shared" si="27"/>
        <v>25.587720000000001</v>
      </c>
      <c r="Z142">
        <f t="shared" si="20"/>
        <v>53.899779600000002</v>
      </c>
      <c r="AA142">
        <f t="shared" si="21"/>
        <v>21.3582204</v>
      </c>
      <c r="AB142">
        <f t="shared" si="22"/>
        <v>0</v>
      </c>
      <c r="AC142" t="b">
        <f t="shared" si="28"/>
        <v>1</v>
      </c>
      <c r="AD142" t="b">
        <f t="shared" si="29"/>
        <v>1</v>
      </c>
    </row>
    <row r="143" spans="1:30" x14ac:dyDescent="0.35">
      <c r="A143" t="s">
        <v>31</v>
      </c>
      <c r="B143">
        <v>8</v>
      </c>
      <c r="C143">
        <v>2</v>
      </c>
      <c r="D143" t="s">
        <v>32</v>
      </c>
      <c r="E143">
        <v>2</v>
      </c>
      <c r="F143">
        <v>1</v>
      </c>
      <c r="G143" s="16">
        <v>29</v>
      </c>
      <c r="H143" s="16">
        <v>9.6359999999999992</v>
      </c>
      <c r="I143" s="16">
        <v>2119</v>
      </c>
      <c r="J143" s="16">
        <v>12.227</v>
      </c>
      <c r="K143" s="16">
        <v>24.879000000000001</v>
      </c>
      <c r="L143" s="16">
        <v>4.2999999999999997E-2</v>
      </c>
      <c r="M143" s="23">
        <v>92.08</v>
      </c>
      <c r="N143" s="16">
        <v>0</v>
      </c>
      <c r="O143" s="17">
        <v>3.1749999999999998</v>
      </c>
      <c r="P143" s="18">
        <v>29</v>
      </c>
      <c r="Q143" s="18">
        <v>12.227</v>
      </c>
      <c r="R143" s="18">
        <v>92.08</v>
      </c>
      <c r="S143" s="18">
        <v>0</v>
      </c>
      <c r="T143" s="14" t="b">
        <f t="shared" si="30"/>
        <v>1</v>
      </c>
      <c r="U143" s="14" t="b">
        <f t="shared" si="31"/>
        <v>1</v>
      </c>
      <c r="V143" s="15">
        <f>VLOOKUP(IF(J143&lt;10, 10, IF(J143&gt;50,50,J143)),'Over to underbark'!$A$3:$C$43,IF(A143="Scots pine",3,IF(A143="Sitka spruce",2, "error")),TRUE)/100</f>
        <v>0.74</v>
      </c>
      <c r="W143">
        <f t="shared" si="23"/>
        <v>61.325279999999999</v>
      </c>
      <c r="X143">
        <f t="shared" si="24"/>
        <v>0</v>
      </c>
      <c r="Y143">
        <f t="shared" si="27"/>
        <v>21.546720000000001</v>
      </c>
      <c r="Z143">
        <f t="shared" si="20"/>
        <v>56.502129599999996</v>
      </c>
      <c r="AA143">
        <f t="shared" si="21"/>
        <v>26.3698704</v>
      </c>
      <c r="AB143">
        <f t="shared" si="22"/>
        <v>0</v>
      </c>
      <c r="AC143" t="b">
        <f t="shared" si="28"/>
        <v>1</v>
      </c>
      <c r="AD143" t="b">
        <f t="shared" si="29"/>
        <v>1</v>
      </c>
    </row>
    <row r="144" spans="1:30" x14ac:dyDescent="0.35">
      <c r="A144" t="s">
        <v>31</v>
      </c>
      <c r="B144">
        <v>8</v>
      </c>
      <c r="C144">
        <v>2</v>
      </c>
      <c r="D144" t="s">
        <v>32</v>
      </c>
      <c r="E144">
        <v>2</v>
      </c>
      <c r="F144">
        <v>1</v>
      </c>
      <c r="G144" s="16">
        <v>30</v>
      </c>
      <c r="H144" s="16">
        <v>9.9879999999999995</v>
      </c>
      <c r="I144" s="16">
        <v>2102</v>
      </c>
      <c r="J144" s="16">
        <v>12.582000000000001</v>
      </c>
      <c r="K144" s="16">
        <v>26.135000000000002</v>
      </c>
      <c r="L144" s="16">
        <v>4.8000000000000001E-2</v>
      </c>
      <c r="M144" s="23">
        <v>100.54</v>
      </c>
      <c r="N144" s="16">
        <v>0</v>
      </c>
      <c r="O144" s="17">
        <v>3.351</v>
      </c>
      <c r="P144" s="18">
        <v>30</v>
      </c>
      <c r="Q144" s="18">
        <v>12.582000000000001</v>
      </c>
      <c r="R144" s="18">
        <v>100.54</v>
      </c>
      <c r="S144" s="18">
        <v>0</v>
      </c>
      <c r="T144" s="14" t="b">
        <f t="shared" si="30"/>
        <v>1</v>
      </c>
      <c r="U144" s="14" t="b">
        <f t="shared" si="31"/>
        <v>1</v>
      </c>
      <c r="V144" s="15">
        <f>VLOOKUP(IF(J144&lt;10, 10, IF(J144&gt;50,50,J144)),'Over to underbark'!$A$3:$C$43,IF(A144="Scots pine",3,IF(A144="Sitka spruce",2, "error")),TRUE)/100</f>
        <v>0.74</v>
      </c>
      <c r="W144">
        <f t="shared" si="23"/>
        <v>66.959640000000007</v>
      </c>
      <c r="X144">
        <f t="shared" si="24"/>
        <v>0</v>
      </c>
      <c r="Y144">
        <f t="shared" si="27"/>
        <v>23.52636</v>
      </c>
      <c r="Z144">
        <f t="shared" si="20"/>
        <v>61.693354799999994</v>
      </c>
      <c r="AA144">
        <f t="shared" si="21"/>
        <v>28.792645200000003</v>
      </c>
      <c r="AB144">
        <f t="shared" si="22"/>
        <v>0</v>
      </c>
      <c r="AC144" t="b">
        <f t="shared" si="28"/>
        <v>1</v>
      </c>
      <c r="AD144" t="b">
        <f t="shared" si="29"/>
        <v>1</v>
      </c>
    </row>
    <row r="145" spans="1:30" x14ac:dyDescent="0.35">
      <c r="A145" t="s">
        <v>31</v>
      </c>
      <c r="B145">
        <v>8</v>
      </c>
      <c r="C145">
        <v>2</v>
      </c>
      <c r="D145" t="s">
        <v>32</v>
      </c>
      <c r="E145">
        <v>2</v>
      </c>
      <c r="F145">
        <v>1</v>
      </c>
      <c r="G145" s="16">
        <v>31</v>
      </c>
      <c r="H145" s="16">
        <v>10.34</v>
      </c>
      <c r="I145" s="16">
        <v>2086</v>
      </c>
      <c r="J145" s="16">
        <v>12.93</v>
      </c>
      <c r="K145" s="16">
        <v>27.390999999999998</v>
      </c>
      <c r="L145" s="16">
        <v>5.1999999999999998E-2</v>
      </c>
      <c r="M145" s="23">
        <v>109</v>
      </c>
      <c r="N145" s="16">
        <v>0</v>
      </c>
      <c r="O145" s="17">
        <v>3.516</v>
      </c>
      <c r="P145" s="18">
        <v>31</v>
      </c>
      <c r="Q145" s="18">
        <v>12.93</v>
      </c>
      <c r="R145" s="18">
        <v>107.551</v>
      </c>
      <c r="S145" s="18">
        <v>1.4490000000000001</v>
      </c>
      <c r="T145" s="14" t="b">
        <f t="shared" si="30"/>
        <v>1</v>
      </c>
      <c r="U145" s="14" t="b">
        <f t="shared" si="31"/>
        <v>1</v>
      </c>
      <c r="V145" s="15">
        <f>VLOOKUP(IF(J145&lt;10, 10, IF(J145&gt;50,50,J145)),'Over to underbark'!$A$3:$C$43,IF(A145="Scots pine",3,IF(A145="Sitka spruce",2, "error")),TRUE)/100</f>
        <v>0.74</v>
      </c>
      <c r="W145">
        <f t="shared" si="23"/>
        <v>71.628966000000005</v>
      </c>
      <c r="X145">
        <f t="shared" si="24"/>
        <v>0.96503400000000006</v>
      </c>
      <c r="Y145">
        <f t="shared" si="27"/>
        <v>25.506000000000004</v>
      </c>
      <c r="Z145">
        <f t="shared" si="20"/>
        <v>66.479265720000001</v>
      </c>
      <c r="AA145">
        <f t="shared" si="21"/>
        <v>31.041713880000003</v>
      </c>
      <c r="AB145">
        <f t="shared" si="22"/>
        <v>0.57902039999999999</v>
      </c>
      <c r="AC145" t="b">
        <f t="shared" si="28"/>
        <v>1</v>
      </c>
      <c r="AD145" t="b">
        <f t="shared" si="29"/>
        <v>1</v>
      </c>
    </row>
    <row r="146" spans="1:30" x14ac:dyDescent="0.35">
      <c r="A146" t="s">
        <v>31</v>
      </c>
      <c r="B146">
        <v>8</v>
      </c>
      <c r="C146">
        <v>2</v>
      </c>
      <c r="D146" t="s">
        <v>32</v>
      </c>
      <c r="E146">
        <v>2</v>
      </c>
      <c r="F146">
        <v>1</v>
      </c>
      <c r="G146" s="16">
        <v>32</v>
      </c>
      <c r="H146" s="16">
        <v>10.667999999999999</v>
      </c>
      <c r="I146" s="16">
        <v>2057</v>
      </c>
      <c r="J146" s="16">
        <v>13.29</v>
      </c>
      <c r="K146" s="16">
        <v>28.535</v>
      </c>
      <c r="L146" s="16">
        <v>5.8000000000000003E-2</v>
      </c>
      <c r="M146" s="23">
        <v>118.98</v>
      </c>
      <c r="N146" s="16">
        <v>0.151</v>
      </c>
      <c r="O146" s="17">
        <v>3.718</v>
      </c>
      <c r="P146" s="18">
        <v>32</v>
      </c>
      <c r="Q146" s="18">
        <v>13.29</v>
      </c>
      <c r="R146" s="18">
        <v>114.991</v>
      </c>
      <c r="S146" s="18">
        <v>3.9889999999999999</v>
      </c>
      <c r="T146" s="14" t="b">
        <f t="shared" si="30"/>
        <v>1</v>
      </c>
      <c r="U146" s="14" t="b">
        <f t="shared" si="31"/>
        <v>1</v>
      </c>
      <c r="V146" s="15">
        <f>VLOOKUP(IF(J146&lt;10, 10, IF(J146&gt;50,50,J146)),'Over to underbark'!$A$3:$C$43,IF(A146="Scots pine",3,IF(A146="Sitka spruce",2, "error")),TRUE)/100</f>
        <v>0.79</v>
      </c>
      <c r="W146">
        <f t="shared" si="23"/>
        <v>81.758600999999999</v>
      </c>
      <c r="X146">
        <f t="shared" si="24"/>
        <v>2.836179</v>
      </c>
      <c r="Y146">
        <f t="shared" si="27"/>
        <v>22.487219999999997</v>
      </c>
      <c r="Z146">
        <f t="shared" si="20"/>
        <v>69.515049419999983</v>
      </c>
      <c r="AA146">
        <f t="shared" si="21"/>
        <v>35.865243179999993</v>
      </c>
      <c r="AB146">
        <f t="shared" si="22"/>
        <v>1.7017073999999999</v>
      </c>
      <c r="AC146" t="b">
        <f t="shared" si="28"/>
        <v>1</v>
      </c>
      <c r="AD146" t="b">
        <f t="shared" si="29"/>
        <v>1</v>
      </c>
    </row>
    <row r="147" spans="1:30" x14ac:dyDescent="0.35">
      <c r="A147" t="s">
        <v>31</v>
      </c>
      <c r="B147">
        <v>8</v>
      </c>
      <c r="C147">
        <v>2</v>
      </c>
      <c r="D147" t="s">
        <v>32</v>
      </c>
      <c r="E147">
        <v>2</v>
      </c>
      <c r="F147">
        <v>1</v>
      </c>
      <c r="G147" s="16">
        <v>33</v>
      </c>
      <c r="H147" s="16">
        <v>10.996</v>
      </c>
      <c r="I147" s="16">
        <v>2028</v>
      </c>
      <c r="J147" s="16">
        <v>13.65</v>
      </c>
      <c r="K147" s="16">
        <v>29.678999999999998</v>
      </c>
      <c r="L147" s="16">
        <v>6.4000000000000001E-2</v>
      </c>
      <c r="M147" s="23">
        <v>128.96</v>
      </c>
      <c r="N147" s="16">
        <v>0.27800000000000002</v>
      </c>
      <c r="O147" s="17">
        <v>3.9079999999999999</v>
      </c>
      <c r="P147" s="18">
        <v>33</v>
      </c>
      <c r="Q147" s="18">
        <v>13.65</v>
      </c>
      <c r="R147" s="18">
        <v>121.97199999999999</v>
      </c>
      <c r="S147" s="18">
        <v>6.9880000000000004</v>
      </c>
      <c r="T147" s="14" t="b">
        <f t="shared" si="30"/>
        <v>1</v>
      </c>
      <c r="U147" s="14" t="b">
        <f t="shared" si="31"/>
        <v>1</v>
      </c>
      <c r="V147" s="15">
        <f>VLOOKUP(IF(J147&lt;10, 10, IF(J147&gt;50,50,J147)),'Over to underbark'!$A$3:$C$43,IF(A147="Scots pine",3,IF(A147="Sitka spruce",2, "error")),TRUE)/100</f>
        <v>0.79</v>
      </c>
      <c r="W147">
        <f t="shared" si="23"/>
        <v>86.722092000000004</v>
      </c>
      <c r="X147">
        <f t="shared" si="24"/>
        <v>4.9684680000000006</v>
      </c>
      <c r="Y147">
        <f t="shared" si="27"/>
        <v>24.373439999999999</v>
      </c>
      <c r="Z147">
        <f t="shared" si="20"/>
        <v>74.550302639999984</v>
      </c>
      <c r="AA147">
        <f t="shared" si="21"/>
        <v>38.532616560000001</v>
      </c>
      <c r="AB147">
        <f t="shared" si="22"/>
        <v>2.9810808000000004</v>
      </c>
      <c r="AC147" t="b">
        <f t="shared" si="28"/>
        <v>1</v>
      </c>
      <c r="AD147" t="b">
        <f t="shared" si="29"/>
        <v>1</v>
      </c>
    </row>
    <row r="148" spans="1:30" x14ac:dyDescent="0.35">
      <c r="A148" t="s">
        <v>31</v>
      </c>
      <c r="B148">
        <v>8</v>
      </c>
      <c r="C148">
        <v>2</v>
      </c>
      <c r="D148" t="s">
        <v>32</v>
      </c>
      <c r="E148">
        <v>2</v>
      </c>
      <c r="F148">
        <v>1</v>
      </c>
      <c r="G148" s="16">
        <v>34</v>
      </c>
      <c r="H148" s="16">
        <v>11.324</v>
      </c>
      <c r="I148" s="16">
        <v>2000</v>
      </c>
      <c r="J148" s="16">
        <v>14.007999999999999</v>
      </c>
      <c r="K148" s="16">
        <v>30.823</v>
      </c>
      <c r="L148" s="16">
        <v>6.9000000000000006E-2</v>
      </c>
      <c r="M148" s="23">
        <v>138.94</v>
      </c>
      <c r="N148" s="16">
        <v>0.38700000000000001</v>
      </c>
      <c r="O148" s="17">
        <v>4.0860000000000003</v>
      </c>
      <c r="P148" s="18">
        <v>34</v>
      </c>
      <c r="Q148" s="18">
        <v>14.007999999999999</v>
      </c>
      <c r="R148" s="18">
        <v>128.50399999999999</v>
      </c>
      <c r="S148" s="18">
        <v>10.436</v>
      </c>
      <c r="T148" s="14" t="b">
        <f t="shared" si="30"/>
        <v>1</v>
      </c>
      <c r="U148" s="14" t="b">
        <f t="shared" si="31"/>
        <v>1</v>
      </c>
      <c r="V148" s="15">
        <f>VLOOKUP(IF(J148&lt;10, 10, IF(J148&gt;50,50,J148)),'Over to underbark'!$A$3:$C$43,IF(A148="Scots pine",3,IF(A148="Sitka spruce",2, "error")),TRUE)/100</f>
        <v>0.82</v>
      </c>
      <c r="W148">
        <f t="shared" si="23"/>
        <v>94.835951999999992</v>
      </c>
      <c r="X148">
        <f t="shared" si="24"/>
        <v>7.7017679999999995</v>
      </c>
      <c r="Y148">
        <f t="shared" si="27"/>
        <v>22.508280000000006</v>
      </c>
      <c r="Z148">
        <f t="shared" si="20"/>
        <v>77.720037840000003</v>
      </c>
      <c r="AA148">
        <f t="shared" si="21"/>
        <v>42.704901359999994</v>
      </c>
      <c r="AB148">
        <f t="shared" si="22"/>
        <v>4.6210607999999995</v>
      </c>
      <c r="AC148" t="b">
        <f t="shared" si="28"/>
        <v>1</v>
      </c>
      <c r="AD148" t="b">
        <f t="shared" si="29"/>
        <v>1</v>
      </c>
    </row>
    <row r="149" spans="1:30" x14ac:dyDescent="0.35">
      <c r="A149" t="s">
        <v>31</v>
      </c>
      <c r="B149">
        <v>8</v>
      </c>
      <c r="C149">
        <v>2</v>
      </c>
      <c r="D149" t="s">
        <v>32</v>
      </c>
      <c r="E149">
        <v>2</v>
      </c>
      <c r="F149">
        <v>1</v>
      </c>
      <c r="G149" s="16">
        <v>35</v>
      </c>
      <c r="H149" s="16">
        <v>11.651999999999999</v>
      </c>
      <c r="I149" s="16">
        <v>1971</v>
      </c>
      <c r="J149" s="16">
        <v>14.37</v>
      </c>
      <c r="K149" s="16">
        <v>31.966999999999999</v>
      </c>
      <c r="L149" s="16">
        <v>7.5999999999999998E-2</v>
      </c>
      <c r="M149" s="23">
        <v>148.91999999999999</v>
      </c>
      <c r="N149" s="16">
        <v>0.48099999999999998</v>
      </c>
      <c r="O149" s="17">
        <v>4.2549999999999999</v>
      </c>
      <c r="P149" s="18">
        <v>35</v>
      </c>
      <c r="Q149" s="18">
        <v>14.37</v>
      </c>
      <c r="R149" s="18">
        <v>134.536</v>
      </c>
      <c r="S149" s="18">
        <v>14.384</v>
      </c>
      <c r="T149" s="14" t="b">
        <f t="shared" si="30"/>
        <v>1</v>
      </c>
      <c r="U149" s="14" t="b">
        <f t="shared" si="31"/>
        <v>1</v>
      </c>
      <c r="V149" s="15">
        <f>VLOOKUP(IF(J149&lt;10, 10, IF(J149&gt;50,50,J149)),'Over to underbark'!$A$3:$C$43,IF(A149="Scots pine",3,IF(A149="Sitka spruce",2, "error")),TRUE)/100</f>
        <v>0.82</v>
      </c>
      <c r="W149">
        <f t="shared" si="23"/>
        <v>99.287567999999993</v>
      </c>
      <c r="X149">
        <f t="shared" si="24"/>
        <v>10.615392</v>
      </c>
      <c r="Y149">
        <f t="shared" si="27"/>
        <v>24.125040000000009</v>
      </c>
      <c r="Z149">
        <f t="shared" si="20"/>
        <v>82.311262560000003</v>
      </c>
      <c r="AA149">
        <f t="shared" si="21"/>
        <v>45.347502239999997</v>
      </c>
      <c r="AB149">
        <f t="shared" si="22"/>
        <v>6.3692351999999994</v>
      </c>
      <c r="AC149" t="b">
        <f t="shared" si="28"/>
        <v>1</v>
      </c>
      <c r="AD149" t="b">
        <f t="shared" si="29"/>
        <v>1</v>
      </c>
    </row>
    <row r="150" spans="1:30" x14ac:dyDescent="0.35">
      <c r="A150" t="s">
        <v>31</v>
      </c>
      <c r="B150">
        <v>8</v>
      </c>
      <c r="C150">
        <v>2</v>
      </c>
      <c r="D150" t="s">
        <v>32</v>
      </c>
      <c r="E150">
        <v>2</v>
      </c>
      <c r="F150">
        <v>1</v>
      </c>
      <c r="G150" s="16">
        <v>36</v>
      </c>
      <c r="H150" s="16">
        <v>11.98</v>
      </c>
      <c r="I150" s="16">
        <v>1943</v>
      </c>
      <c r="J150" s="16">
        <v>14.73</v>
      </c>
      <c r="K150" s="16">
        <v>33.110999999999997</v>
      </c>
      <c r="L150" s="16">
        <v>8.2000000000000003E-2</v>
      </c>
      <c r="M150" s="23">
        <v>158.9</v>
      </c>
      <c r="N150" s="16">
        <v>0.56299999999999994</v>
      </c>
      <c r="O150" s="17">
        <v>4.4139999999999997</v>
      </c>
      <c r="P150" s="18">
        <v>36</v>
      </c>
      <c r="Q150" s="18">
        <v>14.73</v>
      </c>
      <c r="R150" s="18">
        <v>140.11699999999999</v>
      </c>
      <c r="S150" s="18">
        <v>18.783000000000001</v>
      </c>
      <c r="T150" s="14" t="b">
        <f t="shared" si="30"/>
        <v>1</v>
      </c>
      <c r="U150" s="14" t="b">
        <f t="shared" si="31"/>
        <v>1</v>
      </c>
      <c r="V150" s="15">
        <f>VLOOKUP(IF(J150&lt;10, 10, IF(J150&gt;50,50,J150)),'Over to underbark'!$A$3:$C$43,IF(A150="Scots pine",3,IF(A150="Sitka spruce",2, "error")),TRUE)/100</f>
        <v>0.82</v>
      </c>
      <c r="W150">
        <f t="shared" si="23"/>
        <v>103.406346</v>
      </c>
      <c r="X150">
        <f t="shared" si="24"/>
        <v>13.861854000000001</v>
      </c>
      <c r="Y150">
        <f t="shared" si="27"/>
        <v>25.741800000000005</v>
      </c>
      <c r="Z150">
        <f t="shared" si="20"/>
        <v>86.762695319999992</v>
      </c>
      <c r="AA150">
        <f t="shared" si="21"/>
        <v>47.93019228</v>
      </c>
      <c r="AB150">
        <f t="shared" si="22"/>
        <v>8.317112400000001</v>
      </c>
      <c r="AC150" t="b">
        <f t="shared" si="28"/>
        <v>1</v>
      </c>
      <c r="AD150" t="b">
        <f t="shared" si="29"/>
        <v>1</v>
      </c>
    </row>
    <row r="151" spans="1:30" x14ac:dyDescent="0.35">
      <c r="A151" t="s">
        <v>31</v>
      </c>
      <c r="B151">
        <v>8</v>
      </c>
      <c r="C151">
        <v>2</v>
      </c>
      <c r="D151" t="s">
        <v>32</v>
      </c>
      <c r="E151">
        <v>2</v>
      </c>
      <c r="F151">
        <v>1</v>
      </c>
      <c r="G151" s="16">
        <v>37</v>
      </c>
      <c r="H151" s="16">
        <v>12.284000000000001</v>
      </c>
      <c r="I151" s="16">
        <v>1916</v>
      </c>
      <c r="J151" s="16">
        <v>15.071999999999999</v>
      </c>
      <c r="K151" s="16">
        <v>34.183</v>
      </c>
      <c r="L151" s="16">
        <v>8.8999999999999996E-2</v>
      </c>
      <c r="M151" s="23">
        <v>169.62</v>
      </c>
      <c r="N151" s="16">
        <v>0.72599999999999998</v>
      </c>
      <c r="O151" s="17">
        <v>4.5839999999999996</v>
      </c>
      <c r="P151" s="18">
        <v>37</v>
      </c>
      <c r="Q151" s="18">
        <v>15.071999999999999</v>
      </c>
      <c r="R151" s="18">
        <v>146.054</v>
      </c>
      <c r="S151" s="18">
        <v>23.565999999999999</v>
      </c>
      <c r="T151" s="14" t="b">
        <f t="shared" si="30"/>
        <v>1</v>
      </c>
      <c r="U151" s="14" t="b">
        <f t="shared" si="31"/>
        <v>1</v>
      </c>
      <c r="V151" s="15">
        <f>VLOOKUP(IF(J151&lt;10, 10, IF(J151&gt;50,50,J151)),'Over to underbark'!$A$3:$C$43,IF(A151="Scots pine",3,IF(A151="Sitka spruce",2, "error")),TRUE)/100</f>
        <v>0.84</v>
      </c>
      <c r="W151">
        <f t="shared" si="23"/>
        <v>110.41682399999999</v>
      </c>
      <c r="X151">
        <f t="shared" si="24"/>
        <v>17.815895999999999</v>
      </c>
      <c r="Y151">
        <f t="shared" si="27"/>
        <v>24.425280000000008</v>
      </c>
      <c r="Z151">
        <f t="shared" si="20"/>
        <v>90.035254079999987</v>
      </c>
      <c r="AA151">
        <f t="shared" si="21"/>
        <v>51.933208319999999</v>
      </c>
      <c r="AB151">
        <f t="shared" si="22"/>
        <v>10.6895376</v>
      </c>
      <c r="AC151" t="b">
        <f t="shared" si="28"/>
        <v>1</v>
      </c>
      <c r="AD151" t="b">
        <f t="shared" si="29"/>
        <v>1</v>
      </c>
    </row>
    <row r="152" spans="1:30" x14ac:dyDescent="0.35">
      <c r="A152" t="s">
        <v>31</v>
      </c>
      <c r="B152">
        <v>8</v>
      </c>
      <c r="C152">
        <v>2</v>
      </c>
      <c r="D152" t="s">
        <v>32</v>
      </c>
      <c r="E152">
        <v>2</v>
      </c>
      <c r="F152">
        <v>1</v>
      </c>
      <c r="G152" s="16">
        <v>38</v>
      </c>
      <c r="H152" s="16">
        <v>12.587999999999999</v>
      </c>
      <c r="I152" s="16">
        <v>1889</v>
      </c>
      <c r="J152" s="16">
        <v>15.414999999999999</v>
      </c>
      <c r="K152" s="16">
        <v>35.255000000000003</v>
      </c>
      <c r="L152" s="16">
        <v>9.5000000000000001E-2</v>
      </c>
      <c r="M152" s="23">
        <v>180.34</v>
      </c>
      <c r="N152" s="16">
        <v>0.86899999999999999</v>
      </c>
      <c r="O152" s="17">
        <v>4.7460000000000004</v>
      </c>
      <c r="P152" s="18">
        <v>38</v>
      </c>
      <c r="Q152" s="18">
        <v>15.414999999999999</v>
      </c>
      <c r="R152" s="18">
        <v>151.511</v>
      </c>
      <c r="S152" s="18">
        <v>28.829000000000001</v>
      </c>
      <c r="T152" s="14" t="b">
        <f t="shared" si="30"/>
        <v>1</v>
      </c>
      <c r="U152" s="14" t="b">
        <f t="shared" si="31"/>
        <v>1</v>
      </c>
      <c r="V152" s="15">
        <f>VLOOKUP(IF(J152&lt;10, 10, IF(J152&gt;50,50,J152)),'Over to underbark'!$A$3:$C$43,IF(A152="Scots pine",3,IF(A152="Sitka spruce",2, "error")),TRUE)/100</f>
        <v>0.84</v>
      </c>
      <c r="W152">
        <f t="shared" si="23"/>
        <v>114.542316</v>
      </c>
      <c r="X152">
        <f t="shared" si="24"/>
        <v>21.794723999999999</v>
      </c>
      <c r="Y152">
        <f t="shared" si="27"/>
        <v>25.968960000000006</v>
      </c>
      <c r="Z152">
        <f t="shared" si="20"/>
        <v>94.527288720000001</v>
      </c>
      <c r="AA152">
        <f t="shared" si="21"/>
        <v>54.70187688</v>
      </c>
      <c r="AB152">
        <f t="shared" si="22"/>
        <v>13.076834399999999</v>
      </c>
      <c r="AC152" t="b">
        <f t="shared" si="28"/>
        <v>1</v>
      </c>
      <c r="AD152" t="b">
        <f t="shared" si="29"/>
        <v>1</v>
      </c>
    </row>
    <row r="153" spans="1:30" x14ac:dyDescent="0.35">
      <c r="A153" t="s">
        <v>31</v>
      </c>
      <c r="B153">
        <v>8</v>
      </c>
      <c r="C153">
        <v>2</v>
      </c>
      <c r="D153" t="s">
        <v>32</v>
      </c>
      <c r="E153">
        <v>2</v>
      </c>
      <c r="F153">
        <v>1</v>
      </c>
      <c r="G153" s="16">
        <v>39</v>
      </c>
      <c r="H153" s="16">
        <v>12.891999999999999</v>
      </c>
      <c r="I153" s="16">
        <v>1862</v>
      </c>
      <c r="J153" s="16">
        <v>15.760999999999999</v>
      </c>
      <c r="K153" s="16">
        <v>36.328000000000003</v>
      </c>
      <c r="L153" s="16">
        <v>0.10299999999999999</v>
      </c>
      <c r="M153" s="23">
        <v>191.06</v>
      </c>
      <c r="N153" s="16">
        <v>0.995</v>
      </c>
      <c r="O153" s="17">
        <v>4.899</v>
      </c>
      <c r="P153" s="18">
        <v>39</v>
      </c>
      <c r="Q153" s="18">
        <v>15.760999999999999</v>
      </c>
      <c r="R153" s="18">
        <v>156.46799999999999</v>
      </c>
      <c r="S153" s="18">
        <v>34.591999999999999</v>
      </c>
      <c r="T153" s="14" t="b">
        <f t="shared" si="30"/>
        <v>1</v>
      </c>
      <c r="U153" s="14" t="b">
        <f t="shared" si="31"/>
        <v>1</v>
      </c>
      <c r="V153" s="15">
        <f>VLOOKUP(IF(J153&lt;10, 10, IF(J153&gt;50,50,J153)),'Over to underbark'!$A$3:$C$43,IF(A153="Scots pine",3,IF(A153="Sitka spruce",2, "error")),TRUE)/100</f>
        <v>0.84</v>
      </c>
      <c r="W153">
        <f t="shared" si="23"/>
        <v>118.28980799999999</v>
      </c>
      <c r="X153">
        <f t="shared" si="24"/>
        <v>26.151551999999999</v>
      </c>
      <c r="Y153">
        <f t="shared" si="27"/>
        <v>27.512640000000008</v>
      </c>
      <c r="Z153">
        <f t="shared" si="20"/>
        <v>98.86056336</v>
      </c>
      <c r="AA153">
        <f t="shared" si="21"/>
        <v>57.402505439999999</v>
      </c>
      <c r="AB153">
        <f t="shared" si="22"/>
        <v>15.690931199999998</v>
      </c>
      <c r="AC153" t="b">
        <f t="shared" si="28"/>
        <v>1</v>
      </c>
      <c r="AD153" t="b">
        <f t="shared" si="29"/>
        <v>1</v>
      </c>
    </row>
    <row r="154" spans="1:30" x14ac:dyDescent="0.35">
      <c r="A154" t="s">
        <v>31</v>
      </c>
      <c r="B154">
        <v>8</v>
      </c>
      <c r="C154">
        <v>2</v>
      </c>
      <c r="D154" t="s">
        <v>32</v>
      </c>
      <c r="E154">
        <v>2</v>
      </c>
      <c r="F154">
        <v>1</v>
      </c>
      <c r="G154" s="16">
        <v>40</v>
      </c>
      <c r="H154" s="16">
        <v>13.196</v>
      </c>
      <c r="I154" s="16">
        <v>1835</v>
      </c>
      <c r="J154" s="16">
        <v>16.109000000000002</v>
      </c>
      <c r="K154" s="16">
        <v>37.4</v>
      </c>
      <c r="L154" s="16">
        <v>0.11</v>
      </c>
      <c r="M154" s="23">
        <v>201.78</v>
      </c>
      <c r="N154" s="16">
        <v>1.1080000000000001</v>
      </c>
      <c r="O154" s="17">
        <v>5.0449999999999999</v>
      </c>
      <c r="P154" s="18">
        <v>40</v>
      </c>
      <c r="Q154" s="18">
        <v>16.109000000000002</v>
      </c>
      <c r="R154" s="18">
        <v>160.93700000000001</v>
      </c>
      <c r="S154" s="18">
        <v>40.843000000000004</v>
      </c>
      <c r="T154" s="14" t="b">
        <f t="shared" si="30"/>
        <v>1</v>
      </c>
      <c r="U154" s="14" t="b">
        <f t="shared" si="31"/>
        <v>1</v>
      </c>
      <c r="V154" s="15">
        <f>VLOOKUP(IF(J154&lt;10, 10, IF(J154&gt;50,50,J154)),'Over to underbark'!$A$3:$C$43,IF(A154="Scots pine",3,IF(A154="Sitka spruce",2, "error")),TRUE)/100</f>
        <v>0.84</v>
      </c>
      <c r="W154">
        <f t="shared" si="23"/>
        <v>121.66837200000002</v>
      </c>
      <c r="X154">
        <f t="shared" si="24"/>
        <v>30.877308000000003</v>
      </c>
      <c r="Y154">
        <f t="shared" si="27"/>
        <v>29.05632000000001</v>
      </c>
      <c r="Z154">
        <f t="shared" si="20"/>
        <v>103.03888824000002</v>
      </c>
      <c r="AA154">
        <f t="shared" si="21"/>
        <v>60.03672696000001</v>
      </c>
      <c r="AB154">
        <f t="shared" si="22"/>
        <v>18.526384800000002</v>
      </c>
      <c r="AC154" t="b">
        <f t="shared" si="28"/>
        <v>1</v>
      </c>
      <c r="AD154" t="b">
        <f t="shared" si="29"/>
        <v>1</v>
      </c>
    </row>
    <row r="155" spans="1:30" x14ac:dyDescent="0.35">
      <c r="A155" t="s">
        <v>31</v>
      </c>
      <c r="B155">
        <v>8</v>
      </c>
      <c r="C155">
        <v>2</v>
      </c>
      <c r="D155" t="s">
        <v>32</v>
      </c>
      <c r="E155">
        <v>2</v>
      </c>
      <c r="F155">
        <v>1</v>
      </c>
      <c r="G155" s="16">
        <v>41</v>
      </c>
      <c r="H155" s="16">
        <v>13.5</v>
      </c>
      <c r="I155" s="16">
        <v>1808</v>
      </c>
      <c r="J155" s="16">
        <v>16.46</v>
      </c>
      <c r="K155" s="16">
        <v>38.472000000000001</v>
      </c>
      <c r="L155" s="16">
        <v>0.11799999999999999</v>
      </c>
      <c r="M155" s="23">
        <v>212.5</v>
      </c>
      <c r="N155" s="16">
        <v>1.2090000000000001</v>
      </c>
      <c r="O155" s="17">
        <v>5.1829999999999998</v>
      </c>
      <c r="P155" s="18">
        <v>41</v>
      </c>
      <c r="Q155" s="18">
        <v>16.46</v>
      </c>
      <c r="R155" s="18">
        <v>164.90899999999999</v>
      </c>
      <c r="S155" s="18">
        <v>47.591000000000001</v>
      </c>
      <c r="T155" s="14" t="b">
        <f t="shared" si="30"/>
        <v>1</v>
      </c>
      <c r="U155" s="14" t="b">
        <f t="shared" si="31"/>
        <v>1</v>
      </c>
      <c r="V155" s="15">
        <f>VLOOKUP(IF(J155&lt;10, 10, IF(J155&gt;50,50,J155)),'Over to underbark'!$A$3:$C$43,IF(A155="Scots pine",3,IF(A155="Sitka spruce",2, "error")),TRUE)/100</f>
        <v>0.84</v>
      </c>
      <c r="W155">
        <f t="shared" si="23"/>
        <v>124.671204</v>
      </c>
      <c r="X155">
        <f t="shared" si="24"/>
        <v>35.978796000000003</v>
      </c>
      <c r="Y155">
        <f t="shared" si="27"/>
        <v>30.600000000000005</v>
      </c>
      <c r="Z155">
        <f t="shared" si="20"/>
        <v>107.05940568</v>
      </c>
      <c r="AA155">
        <f t="shared" si="21"/>
        <v>62.603316719999995</v>
      </c>
      <c r="AB155">
        <f t="shared" si="22"/>
        <v>21.5872776</v>
      </c>
      <c r="AC155" t="b">
        <f t="shared" si="28"/>
        <v>1</v>
      </c>
      <c r="AD155" t="b">
        <f t="shared" si="29"/>
        <v>1</v>
      </c>
    </row>
    <row r="156" spans="1:30" x14ac:dyDescent="0.35">
      <c r="A156" t="s">
        <v>31</v>
      </c>
      <c r="B156">
        <v>8</v>
      </c>
      <c r="C156">
        <v>2</v>
      </c>
      <c r="D156" t="s">
        <v>32</v>
      </c>
      <c r="E156">
        <v>2</v>
      </c>
      <c r="F156">
        <v>1</v>
      </c>
      <c r="G156" s="16">
        <v>42</v>
      </c>
      <c r="H156" s="16">
        <v>13.782</v>
      </c>
      <c r="I156" s="16">
        <v>1781</v>
      </c>
      <c r="J156" s="16">
        <v>16.786999999999999</v>
      </c>
      <c r="K156" s="16">
        <v>39.417000000000002</v>
      </c>
      <c r="L156" s="16">
        <v>0.125</v>
      </c>
      <c r="M156" s="23">
        <v>223.4</v>
      </c>
      <c r="N156" s="16">
        <v>1.395</v>
      </c>
      <c r="O156" s="17">
        <v>5.319</v>
      </c>
      <c r="P156" s="18">
        <v>42</v>
      </c>
      <c r="Q156" s="18">
        <v>16.786999999999999</v>
      </c>
      <c r="R156" s="18">
        <v>168.893</v>
      </c>
      <c r="S156" s="18">
        <v>54.506999999999998</v>
      </c>
      <c r="T156" s="14" t="b">
        <f t="shared" si="30"/>
        <v>1</v>
      </c>
      <c r="U156" s="14" t="b">
        <f t="shared" si="31"/>
        <v>1</v>
      </c>
      <c r="V156" s="15">
        <f>VLOOKUP(IF(J156&lt;10, 10, IF(J156&gt;50,50,J156)),'Over to underbark'!$A$3:$C$43,IF(A156="Scots pine",3,IF(A156="Sitka spruce",2, "error")),TRUE)/100</f>
        <v>0.84</v>
      </c>
      <c r="W156">
        <f t="shared" si="23"/>
        <v>127.683108</v>
      </c>
      <c r="X156">
        <f t="shared" si="24"/>
        <v>41.207291999999995</v>
      </c>
      <c r="Y156">
        <f t="shared" si="27"/>
        <v>32.16960000000001</v>
      </c>
      <c r="Z156">
        <f t="shared" si="20"/>
        <v>111.13006536000002</v>
      </c>
      <c r="AA156">
        <f t="shared" si="21"/>
        <v>65.205559440000002</v>
      </c>
      <c r="AB156">
        <f t="shared" si="22"/>
        <v>24.724375199999997</v>
      </c>
      <c r="AC156" t="b">
        <f t="shared" si="28"/>
        <v>1</v>
      </c>
      <c r="AD156" t="b">
        <f t="shared" si="29"/>
        <v>1</v>
      </c>
    </row>
    <row r="157" spans="1:30" x14ac:dyDescent="0.35">
      <c r="A157" t="s">
        <v>31</v>
      </c>
      <c r="B157">
        <v>8</v>
      </c>
      <c r="C157">
        <v>2</v>
      </c>
      <c r="D157" t="s">
        <v>32</v>
      </c>
      <c r="E157">
        <v>2</v>
      </c>
      <c r="F157">
        <v>1</v>
      </c>
      <c r="G157" s="16">
        <v>43</v>
      </c>
      <c r="H157" s="16">
        <v>14.064</v>
      </c>
      <c r="I157" s="16">
        <v>1755</v>
      </c>
      <c r="J157" s="16">
        <v>17.111999999999998</v>
      </c>
      <c r="K157" s="16">
        <v>40.362000000000002</v>
      </c>
      <c r="L157" s="16">
        <v>0.13400000000000001</v>
      </c>
      <c r="M157" s="23">
        <v>234.3</v>
      </c>
      <c r="N157" s="16">
        <v>1.5629999999999999</v>
      </c>
      <c r="O157" s="17">
        <v>5.4489999999999998</v>
      </c>
      <c r="P157" s="18">
        <v>43</v>
      </c>
      <c r="Q157" s="18">
        <v>17.111999999999998</v>
      </c>
      <c r="R157" s="18">
        <v>172.488</v>
      </c>
      <c r="S157" s="18">
        <v>61.811999999999998</v>
      </c>
      <c r="T157" s="14" t="b">
        <f t="shared" si="30"/>
        <v>1</v>
      </c>
      <c r="U157" s="14" t="b">
        <f t="shared" si="31"/>
        <v>1</v>
      </c>
      <c r="V157" s="15">
        <f>VLOOKUP(IF(J157&lt;10, 10, IF(J157&gt;50,50,J157)),'Over to underbark'!$A$3:$C$43,IF(A157="Scots pine",3,IF(A157="Sitka spruce",2, "error")),TRUE)/100</f>
        <v>0.84</v>
      </c>
      <c r="W157">
        <f t="shared" si="23"/>
        <v>130.40092799999999</v>
      </c>
      <c r="X157">
        <f t="shared" si="24"/>
        <v>46.729872</v>
      </c>
      <c r="Y157">
        <f t="shared" si="27"/>
        <v>33.739200000000004</v>
      </c>
      <c r="Z157">
        <f t="shared" si="20"/>
        <v>115.07720975999999</v>
      </c>
      <c r="AA157">
        <f t="shared" si="21"/>
        <v>67.754867039999993</v>
      </c>
      <c r="AB157">
        <f t="shared" si="22"/>
        <v>28.037923199999998</v>
      </c>
      <c r="AC157" t="b">
        <f t="shared" si="28"/>
        <v>1</v>
      </c>
      <c r="AD157" t="b">
        <f t="shared" si="29"/>
        <v>1</v>
      </c>
    </row>
    <row r="158" spans="1:30" x14ac:dyDescent="0.35">
      <c r="A158" t="s">
        <v>31</v>
      </c>
      <c r="B158">
        <v>8</v>
      </c>
      <c r="C158">
        <v>2</v>
      </c>
      <c r="D158" t="s">
        <v>32</v>
      </c>
      <c r="E158">
        <v>2</v>
      </c>
      <c r="F158">
        <v>1</v>
      </c>
      <c r="G158" s="16">
        <v>44</v>
      </c>
      <c r="H158" s="16">
        <v>14.346</v>
      </c>
      <c r="I158" s="16">
        <v>1729</v>
      </c>
      <c r="J158" s="16">
        <v>17.440999999999999</v>
      </c>
      <c r="K158" s="16">
        <v>41.307000000000002</v>
      </c>
      <c r="L158" s="16">
        <v>0.14199999999999999</v>
      </c>
      <c r="M158" s="23">
        <v>245.2</v>
      </c>
      <c r="N158" s="16">
        <v>1.716</v>
      </c>
      <c r="O158" s="17">
        <v>5.5730000000000004</v>
      </c>
      <c r="P158" s="18">
        <v>44</v>
      </c>
      <c r="Q158" s="18">
        <v>17.440999999999999</v>
      </c>
      <c r="R158" s="18">
        <v>175.61600000000001</v>
      </c>
      <c r="S158" s="18">
        <v>69.584000000000003</v>
      </c>
      <c r="T158" s="14" t="b">
        <f t="shared" si="30"/>
        <v>1</v>
      </c>
      <c r="U158" s="14" t="b">
        <f t="shared" si="31"/>
        <v>1</v>
      </c>
      <c r="V158" s="15">
        <f>VLOOKUP(IF(J158&lt;10, 10, IF(J158&gt;50,50,J158)),'Over to underbark'!$A$3:$C$43,IF(A158="Scots pine",3,IF(A158="Sitka spruce",2, "error")),TRUE)/100</f>
        <v>0.84</v>
      </c>
      <c r="W158">
        <f t="shared" si="23"/>
        <v>132.76569600000002</v>
      </c>
      <c r="X158">
        <f t="shared" si="24"/>
        <v>52.605504000000003</v>
      </c>
      <c r="Y158">
        <f t="shared" si="27"/>
        <v>35.308800000000005</v>
      </c>
      <c r="Z158">
        <f t="shared" si="20"/>
        <v>118.87607232000001</v>
      </c>
      <c r="AA158">
        <f t="shared" si="21"/>
        <v>70.240625280000003</v>
      </c>
      <c r="AB158">
        <f t="shared" si="22"/>
        <v>31.563302400000001</v>
      </c>
      <c r="AC158" t="b">
        <f t="shared" si="28"/>
        <v>1</v>
      </c>
      <c r="AD158" t="b">
        <f t="shared" si="29"/>
        <v>1</v>
      </c>
    </row>
    <row r="159" spans="1:30" x14ac:dyDescent="0.35">
      <c r="A159" t="s">
        <v>31</v>
      </c>
      <c r="B159">
        <v>8</v>
      </c>
      <c r="C159">
        <v>2</v>
      </c>
      <c r="D159" t="s">
        <v>32</v>
      </c>
      <c r="E159">
        <v>2</v>
      </c>
      <c r="F159">
        <v>1</v>
      </c>
      <c r="G159" s="16">
        <v>45</v>
      </c>
      <c r="H159" s="16">
        <v>14.628</v>
      </c>
      <c r="I159" s="16">
        <v>1703</v>
      </c>
      <c r="J159" s="16">
        <v>17.774000000000001</v>
      </c>
      <c r="K159" s="16">
        <v>42.253</v>
      </c>
      <c r="L159" s="16">
        <v>0.15</v>
      </c>
      <c r="M159" s="23">
        <v>256.10000000000002</v>
      </c>
      <c r="N159" s="16">
        <v>1.855</v>
      </c>
      <c r="O159" s="17">
        <v>5.6909999999999998</v>
      </c>
      <c r="P159" s="18">
        <v>45</v>
      </c>
      <c r="Q159" s="18">
        <v>17.774000000000001</v>
      </c>
      <c r="R159" s="18">
        <v>178.285</v>
      </c>
      <c r="S159" s="18">
        <v>77.814999999999998</v>
      </c>
      <c r="T159" s="14" t="b">
        <f t="shared" si="30"/>
        <v>1</v>
      </c>
      <c r="U159" s="14" t="b">
        <f t="shared" si="31"/>
        <v>1</v>
      </c>
      <c r="V159" s="15">
        <f>VLOOKUP(IF(J159&lt;10, 10, IF(J159&gt;50,50,J159)),'Over to underbark'!$A$3:$C$43,IF(A159="Scots pine",3,IF(A159="Sitka spruce",2, "error")),TRUE)/100</f>
        <v>0.84</v>
      </c>
      <c r="W159">
        <f t="shared" si="23"/>
        <v>134.78345999999999</v>
      </c>
      <c r="X159">
        <f t="shared" si="24"/>
        <v>58.828139999999998</v>
      </c>
      <c r="Y159">
        <f t="shared" si="27"/>
        <v>36.878400000000013</v>
      </c>
      <c r="Z159">
        <f t="shared" ref="Z159:Z222" si="32">Y159+(57%*W159)+(15%*X159)</f>
        <v>122.52919319999999</v>
      </c>
      <c r="AA159">
        <f t="shared" ref="AA159:AA222" si="33">(43%*W159)+(25%*X159)</f>
        <v>72.663922799999995</v>
      </c>
      <c r="AB159">
        <f t="shared" ref="AB159:AB222" si="34">60%*X159</f>
        <v>35.296883999999999</v>
      </c>
      <c r="AC159" t="b">
        <f t="shared" si="28"/>
        <v>1</v>
      </c>
      <c r="AD159" t="b">
        <f t="shared" si="29"/>
        <v>1</v>
      </c>
    </row>
    <row r="160" spans="1:30" x14ac:dyDescent="0.35">
      <c r="A160" t="s">
        <v>31</v>
      </c>
      <c r="B160">
        <v>8</v>
      </c>
      <c r="C160">
        <v>2</v>
      </c>
      <c r="D160" t="s">
        <v>32</v>
      </c>
      <c r="E160">
        <v>2</v>
      </c>
      <c r="F160">
        <v>1</v>
      </c>
      <c r="G160" s="16">
        <v>46</v>
      </c>
      <c r="H160" s="16">
        <v>14.91</v>
      </c>
      <c r="I160" s="16">
        <v>1677</v>
      </c>
      <c r="J160" s="16">
        <v>18.11</v>
      </c>
      <c r="K160" s="16">
        <v>43.198</v>
      </c>
      <c r="L160" s="16">
        <v>0.159</v>
      </c>
      <c r="M160" s="23">
        <v>267</v>
      </c>
      <c r="N160" s="16">
        <v>1.982</v>
      </c>
      <c r="O160" s="17">
        <v>5.8040000000000003</v>
      </c>
      <c r="P160" s="18">
        <v>46</v>
      </c>
      <c r="Q160" s="18">
        <v>18.11</v>
      </c>
      <c r="R160" s="18">
        <v>180.51499999999999</v>
      </c>
      <c r="S160" s="18">
        <v>86.484999999999999</v>
      </c>
      <c r="T160" s="14" t="b">
        <f t="shared" si="30"/>
        <v>1</v>
      </c>
      <c r="U160" s="14" t="b">
        <f t="shared" si="31"/>
        <v>1</v>
      </c>
      <c r="V160" s="15">
        <f>VLOOKUP(IF(J160&lt;10, 10, IF(J160&gt;50,50,J160)),'Over to underbark'!$A$3:$C$43,IF(A160="Scots pine",3,IF(A160="Sitka spruce",2, "error")),TRUE)/100</f>
        <v>0.84</v>
      </c>
      <c r="W160">
        <f t="shared" si="23"/>
        <v>136.46933999999999</v>
      </c>
      <c r="X160">
        <f t="shared" si="24"/>
        <v>65.382660000000001</v>
      </c>
      <c r="Y160">
        <f t="shared" si="27"/>
        <v>38.448000000000008</v>
      </c>
      <c r="Z160">
        <f t="shared" si="32"/>
        <v>126.0429228</v>
      </c>
      <c r="AA160">
        <f t="shared" si="33"/>
        <v>75.027481199999997</v>
      </c>
      <c r="AB160">
        <f t="shared" si="34"/>
        <v>39.229596000000001</v>
      </c>
      <c r="AC160" t="b">
        <f t="shared" si="28"/>
        <v>1</v>
      </c>
      <c r="AD160" t="b">
        <f t="shared" si="29"/>
        <v>1</v>
      </c>
    </row>
    <row r="161" spans="1:30" x14ac:dyDescent="0.35">
      <c r="A161" t="s">
        <v>31</v>
      </c>
      <c r="B161">
        <v>8</v>
      </c>
      <c r="C161">
        <v>2</v>
      </c>
      <c r="D161" t="s">
        <v>32</v>
      </c>
      <c r="E161">
        <v>2</v>
      </c>
      <c r="F161">
        <v>1</v>
      </c>
      <c r="G161" s="16">
        <v>47</v>
      </c>
      <c r="H161" s="16">
        <v>15.167999999999999</v>
      </c>
      <c r="I161" s="16">
        <v>1652</v>
      </c>
      <c r="J161" s="16">
        <v>18.420999999999999</v>
      </c>
      <c r="K161" s="16">
        <v>44.024999999999999</v>
      </c>
      <c r="L161" s="16">
        <v>0.16800000000000001</v>
      </c>
      <c r="M161" s="23">
        <v>277.62</v>
      </c>
      <c r="N161" s="16">
        <v>2.2050000000000001</v>
      </c>
      <c r="O161" s="17">
        <v>5.907</v>
      </c>
      <c r="P161" s="18">
        <v>47</v>
      </c>
      <c r="Q161" s="18">
        <v>18.420999999999999</v>
      </c>
      <c r="R161" s="18">
        <v>182.59</v>
      </c>
      <c r="S161" s="18">
        <v>95.03</v>
      </c>
      <c r="T161" s="14" t="b">
        <f t="shared" si="30"/>
        <v>1</v>
      </c>
      <c r="U161" s="14" t="b">
        <f t="shared" si="31"/>
        <v>1</v>
      </c>
      <c r="V161" s="15">
        <f>VLOOKUP(IF(J161&lt;10, 10, IF(J161&gt;50,50,J161)),'Over to underbark'!$A$3:$C$43,IF(A161="Scots pine",3,IF(A161="Sitka spruce",2, "error")),TRUE)/100</f>
        <v>0.84</v>
      </c>
      <c r="W161">
        <f t="shared" si="23"/>
        <v>138.03804000000002</v>
      </c>
      <c r="X161">
        <f t="shared" si="24"/>
        <v>71.842680000000001</v>
      </c>
      <c r="Y161">
        <f t="shared" si="27"/>
        <v>39.977280000000007</v>
      </c>
      <c r="Z161">
        <f t="shared" si="32"/>
        <v>129.4353648</v>
      </c>
      <c r="AA161">
        <f t="shared" si="33"/>
        <v>77.317027200000012</v>
      </c>
      <c r="AB161">
        <f t="shared" si="34"/>
        <v>43.105607999999997</v>
      </c>
      <c r="AC161" t="b">
        <f t="shared" si="28"/>
        <v>1</v>
      </c>
      <c r="AD161" t="b">
        <f t="shared" si="29"/>
        <v>1</v>
      </c>
    </row>
    <row r="162" spans="1:30" x14ac:dyDescent="0.35">
      <c r="A162" t="s">
        <v>31</v>
      </c>
      <c r="B162">
        <v>8</v>
      </c>
      <c r="C162">
        <v>2</v>
      </c>
      <c r="D162" t="s">
        <v>32</v>
      </c>
      <c r="E162">
        <v>2</v>
      </c>
      <c r="F162">
        <v>1</v>
      </c>
      <c r="G162" s="16">
        <v>48</v>
      </c>
      <c r="H162" s="16">
        <v>15.426</v>
      </c>
      <c r="I162" s="16">
        <v>1627</v>
      </c>
      <c r="J162" s="16">
        <v>18.734999999999999</v>
      </c>
      <c r="K162" s="16">
        <v>44.853000000000002</v>
      </c>
      <c r="L162" s="16">
        <v>0.17699999999999999</v>
      </c>
      <c r="M162" s="23">
        <v>288.24</v>
      </c>
      <c r="N162" s="16">
        <v>2.411</v>
      </c>
      <c r="O162" s="17">
        <v>6.0049999999999999</v>
      </c>
      <c r="P162" s="18">
        <v>48</v>
      </c>
      <c r="Q162" s="18">
        <v>18.734999999999999</v>
      </c>
      <c r="R162" s="18">
        <v>184.28100000000001</v>
      </c>
      <c r="S162" s="18">
        <v>103.959</v>
      </c>
      <c r="T162" s="14" t="b">
        <f t="shared" si="30"/>
        <v>1</v>
      </c>
      <c r="U162" s="14" t="b">
        <f t="shared" si="31"/>
        <v>1</v>
      </c>
      <c r="V162" s="15">
        <f>VLOOKUP(IF(J162&lt;10, 10, IF(J162&gt;50,50,J162)),'Over to underbark'!$A$3:$C$43,IF(A162="Scots pine",3,IF(A162="Sitka spruce",2, "error")),TRUE)/100</f>
        <v>0.84</v>
      </c>
      <c r="W162">
        <f t="shared" si="23"/>
        <v>139.31643600000001</v>
      </c>
      <c r="X162">
        <f t="shared" si="24"/>
        <v>78.593004000000008</v>
      </c>
      <c r="Y162">
        <f t="shared" si="27"/>
        <v>41.506560000000007</v>
      </c>
      <c r="Z162">
        <f t="shared" si="32"/>
        <v>132.70587912000002</v>
      </c>
      <c r="AA162">
        <f t="shared" si="33"/>
        <v>79.554318480000006</v>
      </c>
      <c r="AB162">
        <f t="shared" si="34"/>
        <v>47.155802400000006</v>
      </c>
      <c r="AC162" t="b">
        <f t="shared" si="28"/>
        <v>1</v>
      </c>
      <c r="AD162" t="b">
        <f t="shared" si="29"/>
        <v>1</v>
      </c>
    </row>
    <row r="163" spans="1:30" x14ac:dyDescent="0.35">
      <c r="A163" t="s">
        <v>31</v>
      </c>
      <c r="B163">
        <v>8</v>
      </c>
      <c r="C163">
        <v>2</v>
      </c>
      <c r="D163" t="s">
        <v>32</v>
      </c>
      <c r="E163">
        <v>2</v>
      </c>
      <c r="F163">
        <v>1</v>
      </c>
      <c r="G163" s="16">
        <v>49</v>
      </c>
      <c r="H163" s="16">
        <v>15.683999999999999</v>
      </c>
      <c r="I163" s="16">
        <v>1602</v>
      </c>
      <c r="J163" s="16">
        <v>19.053999999999998</v>
      </c>
      <c r="K163" s="16">
        <v>45.680999999999997</v>
      </c>
      <c r="L163" s="16">
        <v>0.187</v>
      </c>
      <c r="M163" s="23">
        <v>298.86</v>
      </c>
      <c r="N163" s="16">
        <v>2.601</v>
      </c>
      <c r="O163" s="17">
        <v>6.0990000000000002</v>
      </c>
      <c r="P163" s="18">
        <v>49</v>
      </c>
      <c r="Q163" s="18">
        <v>19.053999999999998</v>
      </c>
      <c r="R163" s="18">
        <v>185.56299999999999</v>
      </c>
      <c r="S163" s="18">
        <v>113.297</v>
      </c>
      <c r="T163" s="14" t="b">
        <f t="shared" si="30"/>
        <v>1</v>
      </c>
      <c r="U163" s="14" t="b">
        <f t="shared" si="31"/>
        <v>1</v>
      </c>
      <c r="V163" s="15">
        <f>VLOOKUP(IF(J163&lt;10, 10, IF(J163&gt;50,50,J163)),'Over to underbark'!$A$3:$C$43,IF(A163="Scots pine",3,IF(A163="Sitka spruce",2, "error")),TRUE)/100</f>
        <v>0.84</v>
      </c>
      <c r="W163">
        <f t="shared" si="23"/>
        <v>140.285628</v>
      </c>
      <c r="X163">
        <f t="shared" si="24"/>
        <v>85.652531999999994</v>
      </c>
      <c r="Y163">
        <f t="shared" si="27"/>
        <v>43.035840000000015</v>
      </c>
      <c r="Z163">
        <f t="shared" si="32"/>
        <v>135.84652775999999</v>
      </c>
      <c r="AA163">
        <f t="shared" si="33"/>
        <v>81.735953039999998</v>
      </c>
      <c r="AB163">
        <f t="shared" si="34"/>
        <v>51.391519199999998</v>
      </c>
      <c r="AC163" t="b">
        <f t="shared" si="28"/>
        <v>1</v>
      </c>
      <c r="AD163" t="b">
        <f t="shared" si="29"/>
        <v>1</v>
      </c>
    </row>
    <row r="164" spans="1:30" x14ac:dyDescent="0.35">
      <c r="A164" t="s">
        <v>31</v>
      </c>
      <c r="B164">
        <v>8</v>
      </c>
      <c r="C164">
        <v>2</v>
      </c>
      <c r="D164" t="s">
        <v>32</v>
      </c>
      <c r="E164">
        <v>2</v>
      </c>
      <c r="F164">
        <v>1</v>
      </c>
      <c r="G164" s="16">
        <v>50</v>
      </c>
      <c r="H164" s="16">
        <v>15.942</v>
      </c>
      <c r="I164" s="16">
        <v>1577</v>
      </c>
      <c r="J164" s="16">
        <v>19.378</v>
      </c>
      <c r="K164" s="16">
        <v>46.509</v>
      </c>
      <c r="L164" s="16">
        <v>0.19600000000000001</v>
      </c>
      <c r="M164" s="23">
        <v>309.48</v>
      </c>
      <c r="N164" s="16">
        <v>2.7770000000000001</v>
      </c>
      <c r="O164" s="17">
        <v>6.19</v>
      </c>
      <c r="P164" s="18">
        <v>50</v>
      </c>
      <c r="Q164" s="18">
        <v>19.378</v>
      </c>
      <c r="R164" s="18">
        <v>186.44300000000001</v>
      </c>
      <c r="S164" s="18">
        <v>123.03700000000001</v>
      </c>
      <c r="T164" s="14" t="b">
        <f t="shared" si="30"/>
        <v>1</v>
      </c>
      <c r="U164" s="14" t="b">
        <f t="shared" si="31"/>
        <v>1</v>
      </c>
      <c r="V164" s="15">
        <f>VLOOKUP(IF(J164&lt;10, 10, IF(J164&gt;50,50,J164)),'Over to underbark'!$A$3:$C$43,IF(A164="Scots pine",3,IF(A164="Sitka spruce",2, "error")),TRUE)/100</f>
        <v>0.84</v>
      </c>
      <c r="W164">
        <f t="shared" si="23"/>
        <v>140.95090800000003</v>
      </c>
      <c r="X164">
        <f t="shared" si="24"/>
        <v>93.015972000000005</v>
      </c>
      <c r="Y164">
        <f t="shared" si="27"/>
        <v>44.565120000000014</v>
      </c>
      <c r="Z164">
        <f t="shared" si="32"/>
        <v>138.85953336000003</v>
      </c>
      <c r="AA164">
        <f t="shared" si="33"/>
        <v>83.862883440000019</v>
      </c>
      <c r="AB164">
        <f t="shared" si="34"/>
        <v>55.809583199999999</v>
      </c>
      <c r="AC164" t="b">
        <f t="shared" si="28"/>
        <v>1</v>
      </c>
      <c r="AD164" t="b">
        <f t="shared" si="29"/>
        <v>1</v>
      </c>
    </row>
    <row r="165" spans="1:30" x14ac:dyDescent="0.35">
      <c r="A165" t="s">
        <v>31</v>
      </c>
      <c r="B165">
        <v>8</v>
      </c>
      <c r="C165">
        <v>2</v>
      </c>
      <c r="D165" t="s">
        <v>32</v>
      </c>
      <c r="E165">
        <v>2</v>
      </c>
      <c r="F165">
        <v>1</v>
      </c>
      <c r="G165" s="16">
        <v>51</v>
      </c>
      <c r="H165" s="16">
        <v>16.2</v>
      </c>
      <c r="I165" s="16">
        <v>1553</v>
      </c>
      <c r="J165" s="16">
        <v>19.7</v>
      </c>
      <c r="K165" s="16">
        <v>47.335999999999999</v>
      </c>
      <c r="L165" s="16">
        <v>0.20599999999999999</v>
      </c>
      <c r="M165" s="23">
        <v>320.10000000000002</v>
      </c>
      <c r="N165" s="16">
        <v>2.9409999999999998</v>
      </c>
      <c r="O165" s="17">
        <v>6.2759999999999998</v>
      </c>
      <c r="P165" s="18">
        <v>51</v>
      </c>
      <c r="Q165" s="18">
        <v>19.7</v>
      </c>
      <c r="R165" s="18">
        <v>187.05600000000001</v>
      </c>
      <c r="S165" s="18">
        <v>133.04400000000001</v>
      </c>
      <c r="T165" s="14" t="b">
        <f t="shared" si="30"/>
        <v>1</v>
      </c>
      <c r="U165" s="14" t="b">
        <f t="shared" si="31"/>
        <v>1</v>
      </c>
      <c r="V165" s="15">
        <f>VLOOKUP(IF(J165&lt;10, 10, IF(J165&gt;50,50,J165)),'Over to underbark'!$A$3:$C$43,IF(A165="Scots pine",3,IF(A165="Sitka spruce",2, "error")),TRUE)/100</f>
        <v>0.84</v>
      </c>
      <c r="W165">
        <f t="shared" si="23"/>
        <v>141.41433599999999</v>
      </c>
      <c r="X165">
        <f t="shared" si="24"/>
        <v>100.581264</v>
      </c>
      <c r="Y165">
        <f t="shared" si="27"/>
        <v>46.094400000000014</v>
      </c>
      <c r="Z165">
        <f t="shared" si="32"/>
        <v>141.78776112</v>
      </c>
      <c r="AA165">
        <f t="shared" si="33"/>
        <v>85.953480479999996</v>
      </c>
      <c r="AB165">
        <f t="shared" si="34"/>
        <v>60.348758400000001</v>
      </c>
      <c r="AC165" t="b">
        <f t="shared" si="28"/>
        <v>1</v>
      </c>
      <c r="AD165" t="b">
        <f t="shared" si="29"/>
        <v>1</v>
      </c>
    </row>
    <row r="166" spans="1:30" x14ac:dyDescent="0.35">
      <c r="A166" t="s">
        <v>31</v>
      </c>
      <c r="B166">
        <v>8</v>
      </c>
      <c r="C166">
        <v>2</v>
      </c>
      <c r="D166" t="s">
        <v>32</v>
      </c>
      <c r="E166">
        <v>2</v>
      </c>
      <c r="F166">
        <v>1</v>
      </c>
      <c r="G166" s="16">
        <v>52</v>
      </c>
      <c r="H166" s="16">
        <v>16.436</v>
      </c>
      <c r="I166" s="16">
        <v>1530</v>
      </c>
      <c r="J166" s="16">
        <v>19.998999999999999</v>
      </c>
      <c r="K166" s="16">
        <v>48.058999999999997</v>
      </c>
      <c r="L166" s="16">
        <v>0.216</v>
      </c>
      <c r="M166" s="23">
        <v>330.18</v>
      </c>
      <c r="N166" s="16">
        <v>3.19</v>
      </c>
      <c r="O166" s="17">
        <v>6.35</v>
      </c>
      <c r="P166" s="18">
        <v>52</v>
      </c>
      <c r="Q166" s="18">
        <v>19.998999999999999</v>
      </c>
      <c r="R166" s="18">
        <v>187.49</v>
      </c>
      <c r="S166" s="18">
        <v>142.69</v>
      </c>
      <c r="T166" s="14" t="b">
        <f t="shared" si="30"/>
        <v>1</v>
      </c>
      <c r="U166" s="14" t="b">
        <f t="shared" si="31"/>
        <v>1</v>
      </c>
      <c r="V166" s="15">
        <f>VLOOKUP(IF(J166&lt;10, 10, IF(J166&gt;50,50,J166)),'Over to underbark'!$A$3:$C$43,IF(A166="Scots pine",3,IF(A166="Sitka spruce",2, "error")),TRUE)/100</f>
        <v>0.84</v>
      </c>
      <c r="W166">
        <f t="shared" si="23"/>
        <v>141.74244000000002</v>
      </c>
      <c r="X166">
        <f t="shared" si="24"/>
        <v>107.87363999999999</v>
      </c>
      <c r="Y166">
        <f t="shared" si="27"/>
        <v>47.545920000000017</v>
      </c>
      <c r="Z166">
        <f t="shared" si="32"/>
        <v>144.52015680000002</v>
      </c>
      <c r="AA166">
        <f t="shared" si="33"/>
        <v>87.917659200000003</v>
      </c>
      <c r="AB166">
        <f t="shared" si="34"/>
        <v>64.724183999999994</v>
      </c>
      <c r="AC166" t="b">
        <f t="shared" si="28"/>
        <v>1</v>
      </c>
      <c r="AD166" t="b">
        <f t="shared" si="29"/>
        <v>1</v>
      </c>
    </row>
    <row r="167" spans="1:30" x14ac:dyDescent="0.35">
      <c r="A167" t="s">
        <v>31</v>
      </c>
      <c r="B167">
        <v>8</v>
      </c>
      <c r="C167">
        <v>2</v>
      </c>
      <c r="D167" t="s">
        <v>32</v>
      </c>
      <c r="E167">
        <v>2</v>
      </c>
      <c r="F167">
        <v>1</v>
      </c>
      <c r="G167" s="16">
        <v>53</v>
      </c>
      <c r="H167" s="16">
        <v>16.672000000000001</v>
      </c>
      <c r="I167" s="16">
        <v>1507</v>
      </c>
      <c r="J167" s="16">
        <v>20.302</v>
      </c>
      <c r="K167" s="16">
        <v>48.781999999999996</v>
      </c>
      <c r="L167" s="16">
        <v>0.22600000000000001</v>
      </c>
      <c r="M167" s="23">
        <v>340.26</v>
      </c>
      <c r="N167" s="16">
        <v>3.423</v>
      </c>
      <c r="O167" s="17">
        <v>6.42</v>
      </c>
      <c r="P167" s="18">
        <v>53</v>
      </c>
      <c r="Q167" s="18">
        <v>20.302</v>
      </c>
      <c r="R167" s="18">
        <v>187.607</v>
      </c>
      <c r="S167" s="18">
        <v>152.65299999999999</v>
      </c>
      <c r="T167" s="14" t="b">
        <f t="shared" si="30"/>
        <v>1</v>
      </c>
      <c r="U167" s="14" t="b">
        <f t="shared" si="31"/>
        <v>1</v>
      </c>
      <c r="V167" s="15">
        <f>VLOOKUP(IF(J167&lt;10, 10, IF(J167&gt;50,50,J167)),'Over to underbark'!$A$3:$C$43,IF(A167="Scots pine",3,IF(A167="Sitka spruce",2, "error")),TRUE)/100</f>
        <v>0.84</v>
      </c>
      <c r="W167">
        <f t="shared" si="23"/>
        <v>141.83089200000001</v>
      </c>
      <c r="X167">
        <f t="shared" si="24"/>
        <v>115.40566799999999</v>
      </c>
      <c r="Y167">
        <f t="shared" si="27"/>
        <v>48.997440000000005</v>
      </c>
      <c r="Z167">
        <f t="shared" si="32"/>
        <v>147.15189864000001</v>
      </c>
      <c r="AA167">
        <f t="shared" si="33"/>
        <v>89.838700560000007</v>
      </c>
      <c r="AB167">
        <f t="shared" si="34"/>
        <v>69.243400799999989</v>
      </c>
      <c r="AC167" t="b">
        <f t="shared" si="28"/>
        <v>1</v>
      </c>
      <c r="AD167" t="b">
        <f t="shared" si="29"/>
        <v>1</v>
      </c>
    </row>
    <row r="168" spans="1:30" x14ac:dyDescent="0.35">
      <c r="A168" t="s">
        <v>31</v>
      </c>
      <c r="B168">
        <v>8</v>
      </c>
      <c r="C168">
        <v>2</v>
      </c>
      <c r="D168" t="s">
        <v>32</v>
      </c>
      <c r="E168">
        <v>2</v>
      </c>
      <c r="F168">
        <v>1</v>
      </c>
      <c r="G168" s="16">
        <v>54</v>
      </c>
      <c r="H168" s="16">
        <v>16.908000000000001</v>
      </c>
      <c r="I168" s="16">
        <v>1484</v>
      </c>
      <c r="J168" s="16">
        <v>20.609000000000002</v>
      </c>
      <c r="K168" s="16">
        <v>49.505000000000003</v>
      </c>
      <c r="L168" s="16">
        <v>0.23599999999999999</v>
      </c>
      <c r="M168" s="23">
        <v>350.34</v>
      </c>
      <c r="N168" s="16">
        <v>3.6419999999999999</v>
      </c>
      <c r="O168" s="17">
        <v>6.4880000000000004</v>
      </c>
      <c r="P168" s="18">
        <v>54</v>
      </c>
      <c r="Q168" s="18">
        <v>20.609000000000002</v>
      </c>
      <c r="R168" s="18">
        <v>187.41499999999999</v>
      </c>
      <c r="S168" s="18">
        <v>162.92500000000001</v>
      </c>
      <c r="T168" s="14" t="b">
        <f t="shared" si="30"/>
        <v>1</v>
      </c>
      <c r="U168" s="14" t="b">
        <f t="shared" si="31"/>
        <v>1</v>
      </c>
      <c r="V168" s="15">
        <f>VLOOKUP(IF(J168&lt;10, 10, IF(J168&gt;50,50,J168)),'Over to underbark'!$A$3:$C$43,IF(A168="Scots pine",3,IF(A168="Sitka spruce",2, "error")),TRUE)/100</f>
        <v>0.84</v>
      </c>
      <c r="W168">
        <f t="shared" si="23"/>
        <v>141.68573999999998</v>
      </c>
      <c r="X168">
        <f t="shared" si="24"/>
        <v>123.17130000000002</v>
      </c>
      <c r="Y168">
        <f t="shared" si="27"/>
        <v>50.448960000000014</v>
      </c>
      <c r="Z168">
        <f t="shared" si="32"/>
        <v>149.68552679999999</v>
      </c>
      <c r="AA168">
        <f t="shared" si="33"/>
        <v>91.717693199999999</v>
      </c>
      <c r="AB168">
        <f t="shared" si="34"/>
        <v>73.902780000000007</v>
      </c>
      <c r="AC168" t="b">
        <f t="shared" si="28"/>
        <v>1</v>
      </c>
      <c r="AD168" t="b">
        <f t="shared" si="29"/>
        <v>1</v>
      </c>
    </row>
    <row r="169" spans="1:30" x14ac:dyDescent="0.35">
      <c r="A169" t="s">
        <v>31</v>
      </c>
      <c r="B169">
        <v>8</v>
      </c>
      <c r="C169">
        <v>2</v>
      </c>
      <c r="D169" t="s">
        <v>32</v>
      </c>
      <c r="E169">
        <v>2</v>
      </c>
      <c r="F169">
        <v>1</v>
      </c>
      <c r="G169" s="16">
        <v>55</v>
      </c>
      <c r="H169" s="16">
        <v>17.143999999999998</v>
      </c>
      <c r="I169" s="16">
        <v>1461</v>
      </c>
      <c r="J169" s="16">
        <v>20.922000000000001</v>
      </c>
      <c r="K169" s="16">
        <v>50.228999999999999</v>
      </c>
      <c r="L169" s="16">
        <v>0.247</v>
      </c>
      <c r="M169" s="23">
        <v>360.42</v>
      </c>
      <c r="N169" s="16">
        <v>3.847</v>
      </c>
      <c r="O169" s="17">
        <v>6.5529999999999999</v>
      </c>
      <c r="P169" s="18">
        <v>55</v>
      </c>
      <c r="Q169" s="18">
        <v>20.922000000000001</v>
      </c>
      <c r="R169" s="18">
        <v>186.886</v>
      </c>
      <c r="S169" s="18">
        <v>173.53399999999999</v>
      </c>
      <c r="T169" s="14" t="b">
        <f t="shared" si="30"/>
        <v>1</v>
      </c>
      <c r="U169" s="14" t="b">
        <f t="shared" si="31"/>
        <v>1</v>
      </c>
      <c r="V169" s="15">
        <f>VLOOKUP(IF(J169&lt;10, 10, IF(J169&gt;50,50,J169)),'Over to underbark'!$A$3:$C$43,IF(A169="Scots pine",3,IF(A169="Sitka spruce",2, "error")),TRUE)/100</f>
        <v>0.84</v>
      </c>
      <c r="W169">
        <f t="shared" si="23"/>
        <v>141.28581599999998</v>
      </c>
      <c r="X169">
        <f t="shared" si="24"/>
        <v>131.19170399999999</v>
      </c>
      <c r="Y169">
        <f t="shared" si="27"/>
        <v>51.900480000000009</v>
      </c>
      <c r="Z169">
        <f t="shared" si="32"/>
        <v>152.11215071999999</v>
      </c>
      <c r="AA169">
        <f t="shared" si="33"/>
        <v>93.550826879999988</v>
      </c>
      <c r="AB169">
        <f t="shared" si="34"/>
        <v>78.715022399999995</v>
      </c>
      <c r="AC169" t="b">
        <f t="shared" si="28"/>
        <v>1</v>
      </c>
      <c r="AD169" t="b">
        <f t="shared" si="29"/>
        <v>1</v>
      </c>
    </row>
    <row r="170" spans="1:30" x14ac:dyDescent="0.35">
      <c r="A170" t="s">
        <v>31</v>
      </c>
      <c r="B170">
        <v>8</v>
      </c>
      <c r="C170">
        <v>2</v>
      </c>
      <c r="D170" t="s">
        <v>32</v>
      </c>
      <c r="E170">
        <v>2</v>
      </c>
      <c r="F170">
        <v>1</v>
      </c>
      <c r="G170" s="16">
        <v>56</v>
      </c>
      <c r="H170" s="16">
        <v>17.38</v>
      </c>
      <c r="I170" s="16">
        <v>1438</v>
      </c>
      <c r="J170" s="16">
        <v>21.24</v>
      </c>
      <c r="K170" s="16">
        <v>50.951999999999998</v>
      </c>
      <c r="L170" s="16">
        <v>0.25800000000000001</v>
      </c>
      <c r="M170" s="23">
        <v>370.5</v>
      </c>
      <c r="N170" s="16">
        <v>4.04</v>
      </c>
      <c r="O170" s="17">
        <v>6.6159999999999997</v>
      </c>
      <c r="P170" s="18">
        <v>56</v>
      </c>
      <c r="Q170" s="18">
        <v>21.24</v>
      </c>
      <c r="R170" s="18">
        <v>186.05</v>
      </c>
      <c r="S170" s="18">
        <v>184.45</v>
      </c>
      <c r="T170" s="14" t="b">
        <f t="shared" si="30"/>
        <v>1</v>
      </c>
      <c r="U170" s="14" t="b">
        <f t="shared" si="31"/>
        <v>1</v>
      </c>
      <c r="V170" s="15">
        <f>VLOOKUP(IF(J170&lt;10, 10, IF(J170&gt;50,50,J170)),'Over to underbark'!$A$3:$C$43,IF(A170="Scots pine",3,IF(A170="Sitka spruce",2, "error")),TRUE)/100</f>
        <v>0.84</v>
      </c>
      <c r="W170">
        <f t="shared" si="23"/>
        <v>140.65380000000002</v>
      </c>
      <c r="X170">
        <f t="shared" si="24"/>
        <v>139.4442</v>
      </c>
      <c r="Y170">
        <f t="shared" si="27"/>
        <v>53.352000000000011</v>
      </c>
      <c r="Z170">
        <f t="shared" si="32"/>
        <v>154.44129600000002</v>
      </c>
      <c r="AA170">
        <f t="shared" si="33"/>
        <v>95.342184000000003</v>
      </c>
      <c r="AB170">
        <f t="shared" si="34"/>
        <v>83.666519999999991</v>
      </c>
      <c r="AC170" t="b">
        <f t="shared" si="28"/>
        <v>1</v>
      </c>
      <c r="AD170" t="b">
        <f t="shared" si="29"/>
        <v>1</v>
      </c>
    </row>
    <row r="171" spans="1:30" x14ac:dyDescent="0.35">
      <c r="A171" t="s">
        <v>31</v>
      </c>
      <c r="B171">
        <v>8</v>
      </c>
      <c r="C171">
        <v>2</v>
      </c>
      <c r="D171" t="s">
        <v>32</v>
      </c>
      <c r="E171">
        <v>2</v>
      </c>
      <c r="F171">
        <v>1</v>
      </c>
      <c r="G171" s="16">
        <v>57</v>
      </c>
      <c r="H171" s="16">
        <v>17.596</v>
      </c>
      <c r="I171" s="16">
        <v>1417</v>
      </c>
      <c r="J171" s="16">
        <v>21.527999999999999</v>
      </c>
      <c r="K171" s="16">
        <v>51.578000000000003</v>
      </c>
      <c r="L171" s="16">
        <v>0.26800000000000002</v>
      </c>
      <c r="M171" s="23">
        <v>379.84</v>
      </c>
      <c r="N171" s="16">
        <v>4.3220000000000001</v>
      </c>
      <c r="O171" s="17">
        <v>6.6639999999999997</v>
      </c>
      <c r="P171" s="18">
        <v>57</v>
      </c>
      <c r="Q171" s="18">
        <v>21.527999999999999</v>
      </c>
      <c r="R171" s="18">
        <v>185.22</v>
      </c>
      <c r="S171" s="18">
        <v>194.62</v>
      </c>
      <c r="T171" s="14" t="b">
        <f t="shared" si="30"/>
        <v>1</v>
      </c>
      <c r="U171" s="14" t="b">
        <f t="shared" si="31"/>
        <v>1</v>
      </c>
      <c r="V171" s="15">
        <f>VLOOKUP(IF(J171&lt;10, 10, IF(J171&gt;50,50,J171)),'Over to underbark'!$A$3:$C$43,IF(A171="Scots pine",3,IF(A171="Sitka spruce",2, "error")),TRUE)/100</f>
        <v>0.84</v>
      </c>
      <c r="W171">
        <f t="shared" si="23"/>
        <v>140.02632</v>
      </c>
      <c r="X171">
        <f t="shared" si="24"/>
        <v>147.13272000000001</v>
      </c>
      <c r="Y171">
        <f t="shared" si="27"/>
        <v>54.696960000000018</v>
      </c>
      <c r="Z171">
        <f t="shared" si="32"/>
        <v>156.58187040000001</v>
      </c>
      <c r="AA171">
        <f t="shared" si="33"/>
        <v>96.994497600000003</v>
      </c>
      <c r="AB171">
        <f t="shared" si="34"/>
        <v>88.279632000000007</v>
      </c>
      <c r="AC171" t="b">
        <f t="shared" si="28"/>
        <v>1</v>
      </c>
      <c r="AD171" t="b">
        <f t="shared" si="29"/>
        <v>1</v>
      </c>
    </row>
    <row r="172" spans="1:30" x14ac:dyDescent="0.35">
      <c r="A172" t="s">
        <v>31</v>
      </c>
      <c r="B172">
        <v>8</v>
      </c>
      <c r="C172">
        <v>2</v>
      </c>
      <c r="D172" t="s">
        <v>32</v>
      </c>
      <c r="E172">
        <v>2</v>
      </c>
      <c r="F172">
        <v>1</v>
      </c>
      <c r="G172" s="16">
        <v>58</v>
      </c>
      <c r="H172" s="16">
        <v>17.812000000000001</v>
      </c>
      <c r="I172" s="16">
        <v>1396</v>
      </c>
      <c r="J172" s="16">
        <v>21.821000000000002</v>
      </c>
      <c r="K172" s="16">
        <v>52.204000000000001</v>
      </c>
      <c r="L172" s="16">
        <v>0.27900000000000003</v>
      </c>
      <c r="M172" s="23">
        <v>389.18</v>
      </c>
      <c r="N172" s="16">
        <v>4.5890000000000004</v>
      </c>
      <c r="O172" s="17">
        <v>6.71</v>
      </c>
      <c r="P172" s="18">
        <v>58</v>
      </c>
      <c r="Q172" s="18">
        <v>21.821000000000002</v>
      </c>
      <c r="R172" s="18">
        <v>184.13300000000001</v>
      </c>
      <c r="S172" s="18">
        <v>205.047</v>
      </c>
      <c r="T172" s="14" t="b">
        <f t="shared" si="30"/>
        <v>1</v>
      </c>
      <c r="U172" s="14" t="b">
        <f t="shared" si="31"/>
        <v>1</v>
      </c>
      <c r="V172" s="15">
        <f>VLOOKUP(IF(J172&lt;10, 10, IF(J172&gt;50,50,J172)),'Over to underbark'!$A$3:$C$43,IF(A172="Scots pine",3,IF(A172="Sitka spruce",2, "error")),TRUE)/100</f>
        <v>0.84</v>
      </c>
      <c r="W172">
        <f t="shared" si="23"/>
        <v>139.20454800000002</v>
      </c>
      <c r="X172">
        <f t="shared" si="24"/>
        <v>155.01553200000001</v>
      </c>
      <c r="Y172">
        <f t="shared" si="27"/>
        <v>56.041920000000012</v>
      </c>
      <c r="Z172">
        <f t="shared" si="32"/>
        <v>158.64084216000003</v>
      </c>
      <c r="AA172">
        <f t="shared" si="33"/>
        <v>98.611838640000002</v>
      </c>
      <c r="AB172">
        <f t="shared" si="34"/>
        <v>93.009319200000007</v>
      </c>
      <c r="AC172" t="b">
        <f t="shared" si="28"/>
        <v>1</v>
      </c>
      <c r="AD172" t="b">
        <f t="shared" si="29"/>
        <v>1</v>
      </c>
    </row>
    <row r="173" spans="1:30" x14ac:dyDescent="0.35">
      <c r="A173" t="s">
        <v>31</v>
      </c>
      <c r="B173">
        <v>8</v>
      </c>
      <c r="C173">
        <v>2</v>
      </c>
      <c r="D173" t="s">
        <v>32</v>
      </c>
      <c r="E173">
        <v>2</v>
      </c>
      <c r="F173">
        <v>1</v>
      </c>
      <c r="G173" s="16">
        <v>59</v>
      </c>
      <c r="H173" s="16">
        <v>18.027999999999999</v>
      </c>
      <c r="I173" s="16">
        <v>1375</v>
      </c>
      <c r="J173" s="16">
        <v>22.117999999999999</v>
      </c>
      <c r="K173" s="16">
        <v>52.831000000000003</v>
      </c>
      <c r="L173" s="16">
        <v>0.28999999999999998</v>
      </c>
      <c r="M173" s="23">
        <v>398.52</v>
      </c>
      <c r="N173" s="16">
        <v>4.8419999999999996</v>
      </c>
      <c r="O173" s="17">
        <v>6.7549999999999999</v>
      </c>
      <c r="P173" s="18">
        <v>59</v>
      </c>
      <c r="Q173" s="18">
        <v>22.117999999999999</v>
      </c>
      <c r="R173" s="18">
        <v>182.816</v>
      </c>
      <c r="S173" s="18">
        <v>215.70400000000001</v>
      </c>
      <c r="T173" s="14" t="b">
        <f t="shared" si="30"/>
        <v>1</v>
      </c>
      <c r="U173" s="14" t="b">
        <f t="shared" si="31"/>
        <v>1</v>
      </c>
      <c r="V173" s="15">
        <f>VLOOKUP(IF(J173&lt;10, 10, IF(J173&gt;50,50,J173)),'Over to underbark'!$A$3:$C$43,IF(A173="Scots pine",3,IF(A173="Sitka spruce",2, "error")),TRUE)/100</f>
        <v>0.84</v>
      </c>
      <c r="W173">
        <f t="shared" si="23"/>
        <v>138.20889600000001</v>
      </c>
      <c r="X173">
        <f t="shared" si="24"/>
        <v>163.07222400000001</v>
      </c>
      <c r="Y173">
        <f t="shared" si="27"/>
        <v>57.386880000000012</v>
      </c>
      <c r="Z173">
        <f t="shared" si="32"/>
        <v>160.62678432000001</v>
      </c>
      <c r="AA173">
        <f t="shared" si="33"/>
        <v>100.19788128</v>
      </c>
      <c r="AB173">
        <f t="shared" si="34"/>
        <v>97.843334400000003</v>
      </c>
      <c r="AC173" t="b">
        <f t="shared" si="28"/>
        <v>1</v>
      </c>
      <c r="AD173" t="b">
        <f t="shared" si="29"/>
        <v>1</v>
      </c>
    </row>
    <row r="174" spans="1:30" x14ac:dyDescent="0.35">
      <c r="A174" t="s">
        <v>31</v>
      </c>
      <c r="B174">
        <v>8</v>
      </c>
      <c r="C174">
        <v>2</v>
      </c>
      <c r="D174" t="s">
        <v>32</v>
      </c>
      <c r="E174">
        <v>2</v>
      </c>
      <c r="F174">
        <v>1</v>
      </c>
      <c r="G174" s="16">
        <v>60</v>
      </c>
      <c r="H174" s="16">
        <v>18.244</v>
      </c>
      <c r="I174" s="16">
        <v>1354</v>
      </c>
      <c r="J174" s="16">
        <v>22.420999999999999</v>
      </c>
      <c r="K174" s="16">
        <v>53.457000000000001</v>
      </c>
      <c r="L174" s="16">
        <v>0.30099999999999999</v>
      </c>
      <c r="M174" s="23">
        <v>407.86</v>
      </c>
      <c r="N174" s="16">
        <v>5.0830000000000002</v>
      </c>
      <c r="O174" s="17">
        <v>6.798</v>
      </c>
      <c r="P174" s="18">
        <v>60</v>
      </c>
      <c r="Q174" s="18">
        <v>22.420999999999999</v>
      </c>
      <c r="R174" s="18">
        <v>181.24</v>
      </c>
      <c r="S174" s="18">
        <v>226.62</v>
      </c>
      <c r="T174" s="14" t="b">
        <f t="shared" si="30"/>
        <v>1</v>
      </c>
      <c r="U174" s="14" t="b">
        <f t="shared" si="31"/>
        <v>1</v>
      </c>
      <c r="V174" s="15">
        <f>VLOOKUP(IF(J174&lt;10, 10, IF(J174&gt;50,50,J174)),'Over to underbark'!$A$3:$C$43,IF(A174="Scots pine",3,IF(A174="Sitka spruce",2, "error")),TRUE)/100</f>
        <v>0.84</v>
      </c>
      <c r="W174">
        <f t="shared" si="23"/>
        <v>137.01743999999999</v>
      </c>
      <c r="X174">
        <f t="shared" si="24"/>
        <v>171.32471999999999</v>
      </c>
      <c r="Y174">
        <f t="shared" si="27"/>
        <v>58.731840000000012</v>
      </c>
      <c r="Z174">
        <f t="shared" si="32"/>
        <v>162.5304888</v>
      </c>
      <c r="AA174">
        <f t="shared" si="33"/>
        <v>101.7486792</v>
      </c>
      <c r="AB174">
        <f t="shared" si="34"/>
        <v>102.79483199999999</v>
      </c>
      <c r="AC174" t="b">
        <f t="shared" si="28"/>
        <v>1</v>
      </c>
      <c r="AD174" t="b">
        <f t="shared" si="29"/>
        <v>1</v>
      </c>
    </row>
    <row r="175" spans="1:30" x14ac:dyDescent="0.35">
      <c r="A175" t="s">
        <v>31</v>
      </c>
      <c r="B175">
        <v>8</v>
      </c>
      <c r="C175">
        <v>2</v>
      </c>
      <c r="D175" t="s">
        <v>32</v>
      </c>
      <c r="E175">
        <v>2</v>
      </c>
      <c r="F175">
        <v>1</v>
      </c>
      <c r="G175" s="16">
        <v>61</v>
      </c>
      <c r="H175" s="16">
        <v>18.46</v>
      </c>
      <c r="I175" s="16">
        <v>1334</v>
      </c>
      <c r="J175" s="16">
        <v>22.72</v>
      </c>
      <c r="K175" s="16">
        <v>54.082999999999998</v>
      </c>
      <c r="L175" s="16">
        <v>0.313</v>
      </c>
      <c r="M175" s="23">
        <v>417.2</v>
      </c>
      <c r="N175" s="16">
        <v>5.3109999999999999</v>
      </c>
      <c r="O175" s="17">
        <v>6.8390000000000004</v>
      </c>
      <c r="P175" s="18">
        <v>61</v>
      </c>
      <c r="Q175" s="18">
        <v>22.72</v>
      </c>
      <c r="R175" s="18">
        <v>179.607</v>
      </c>
      <c r="S175" s="18">
        <v>237.59299999999999</v>
      </c>
      <c r="T175" s="14" t="b">
        <f t="shared" si="30"/>
        <v>1</v>
      </c>
      <c r="U175" s="14" t="b">
        <f t="shared" si="31"/>
        <v>1</v>
      </c>
      <c r="V175" s="15">
        <f>VLOOKUP(IF(J175&lt;10, 10, IF(J175&gt;50,50,J175)),'Over to underbark'!$A$3:$C$43,IF(A175="Scots pine",3,IF(A175="Sitka spruce",2, "error")),TRUE)/100</f>
        <v>0.84</v>
      </c>
      <c r="W175">
        <f t="shared" si="23"/>
        <v>135.782892</v>
      </c>
      <c r="X175">
        <f t="shared" si="24"/>
        <v>179.62030799999999</v>
      </c>
      <c r="Y175">
        <f t="shared" si="27"/>
        <v>60.076800000000013</v>
      </c>
      <c r="Z175">
        <f t="shared" si="32"/>
        <v>164.41609464000001</v>
      </c>
      <c r="AA175">
        <f t="shared" si="33"/>
        <v>103.29172056</v>
      </c>
      <c r="AB175">
        <f t="shared" si="34"/>
        <v>107.77218479999999</v>
      </c>
      <c r="AC175" t="b">
        <f t="shared" si="28"/>
        <v>1</v>
      </c>
      <c r="AD175" t="b">
        <f t="shared" si="29"/>
        <v>1</v>
      </c>
    </row>
    <row r="176" spans="1:30" x14ac:dyDescent="0.35">
      <c r="A176" t="s">
        <v>31</v>
      </c>
      <c r="B176">
        <v>8</v>
      </c>
      <c r="C176">
        <v>2</v>
      </c>
      <c r="D176" t="s">
        <v>32</v>
      </c>
      <c r="E176">
        <v>2</v>
      </c>
      <c r="F176">
        <v>1</v>
      </c>
      <c r="G176" s="16">
        <v>62</v>
      </c>
      <c r="H176" s="16">
        <v>18.652000000000001</v>
      </c>
      <c r="I176" s="16">
        <v>1315</v>
      </c>
      <c r="J176" s="16">
        <v>22.998000000000001</v>
      </c>
      <c r="K176" s="16">
        <v>54.625999999999998</v>
      </c>
      <c r="L176" s="16">
        <v>0.32400000000000001</v>
      </c>
      <c r="M176" s="23">
        <v>425.66</v>
      </c>
      <c r="N176" s="16">
        <v>5.6059999999999999</v>
      </c>
      <c r="O176" s="17">
        <v>6.8650000000000002</v>
      </c>
      <c r="P176" s="18">
        <v>62</v>
      </c>
      <c r="Q176" s="18">
        <v>22.998000000000001</v>
      </c>
      <c r="R176" s="18">
        <v>177.88300000000001</v>
      </c>
      <c r="S176" s="18">
        <v>247.77699999999999</v>
      </c>
      <c r="T176" s="14" t="b">
        <f t="shared" si="30"/>
        <v>1</v>
      </c>
      <c r="U176" s="14" t="b">
        <f t="shared" si="31"/>
        <v>1</v>
      </c>
      <c r="V176" s="15">
        <f>VLOOKUP(IF(J176&lt;10, 10, IF(J176&gt;50,50,J176)),'Over to underbark'!$A$3:$C$43,IF(A176="Scots pine",3,IF(A176="Sitka spruce",2, "error")),TRUE)/100</f>
        <v>0.84</v>
      </c>
      <c r="W176">
        <f t="shared" si="23"/>
        <v>134.47954800000002</v>
      </c>
      <c r="X176">
        <f t="shared" si="24"/>
        <v>187.319412</v>
      </c>
      <c r="Y176">
        <f t="shared" si="27"/>
        <v>61.295040000000014</v>
      </c>
      <c r="Z176">
        <f t="shared" si="32"/>
        <v>166.04629416000003</v>
      </c>
      <c r="AA176">
        <f t="shared" si="33"/>
        <v>104.65605864000001</v>
      </c>
      <c r="AB176">
        <f t="shared" si="34"/>
        <v>112.39164719999999</v>
      </c>
      <c r="AC176" t="b">
        <f t="shared" si="28"/>
        <v>1</v>
      </c>
      <c r="AD176" t="b">
        <f t="shared" si="29"/>
        <v>1</v>
      </c>
    </row>
    <row r="177" spans="1:30" x14ac:dyDescent="0.35">
      <c r="A177" t="s">
        <v>31</v>
      </c>
      <c r="B177">
        <v>8</v>
      </c>
      <c r="C177">
        <v>2</v>
      </c>
      <c r="D177" t="s">
        <v>32</v>
      </c>
      <c r="E177">
        <v>2</v>
      </c>
      <c r="F177">
        <v>1</v>
      </c>
      <c r="G177" s="16">
        <v>63</v>
      </c>
      <c r="H177" s="16">
        <v>18.844000000000001</v>
      </c>
      <c r="I177" s="16">
        <v>1297</v>
      </c>
      <c r="J177" s="16">
        <v>23.271999999999998</v>
      </c>
      <c r="K177" s="16">
        <v>55.168999999999997</v>
      </c>
      <c r="L177" s="16">
        <v>0.33500000000000002</v>
      </c>
      <c r="M177" s="23">
        <v>434.12</v>
      </c>
      <c r="N177" s="16">
        <v>5.8879999999999999</v>
      </c>
      <c r="O177" s="17">
        <v>6.891</v>
      </c>
      <c r="P177" s="18">
        <v>63</v>
      </c>
      <c r="Q177" s="18">
        <v>23.271999999999998</v>
      </c>
      <c r="R177" s="18">
        <v>176.142</v>
      </c>
      <c r="S177" s="18">
        <v>257.97800000000001</v>
      </c>
      <c r="T177" s="14" t="b">
        <f t="shared" si="30"/>
        <v>1</v>
      </c>
      <c r="U177" s="14" t="b">
        <f t="shared" si="31"/>
        <v>1</v>
      </c>
      <c r="V177" s="15">
        <f>VLOOKUP(IF(J177&lt;10, 10, IF(J177&gt;50,50,J177)),'Over to underbark'!$A$3:$C$43,IF(A177="Scots pine",3,IF(A177="Sitka spruce",2, "error")),TRUE)/100</f>
        <v>0.84</v>
      </c>
      <c r="W177">
        <f t="shared" si="23"/>
        <v>133.163352</v>
      </c>
      <c r="X177">
        <f t="shared" si="24"/>
        <v>195.03136800000001</v>
      </c>
      <c r="Y177">
        <f t="shared" si="27"/>
        <v>62.513280000000016</v>
      </c>
      <c r="Z177">
        <f t="shared" si="32"/>
        <v>167.67109583999999</v>
      </c>
      <c r="AA177">
        <f t="shared" si="33"/>
        <v>106.01808336000001</v>
      </c>
      <c r="AB177">
        <f t="shared" si="34"/>
        <v>117.0188208</v>
      </c>
      <c r="AC177" t="b">
        <f t="shared" si="28"/>
        <v>1</v>
      </c>
      <c r="AD177" t="b">
        <f t="shared" si="29"/>
        <v>1</v>
      </c>
    </row>
    <row r="178" spans="1:30" x14ac:dyDescent="0.35">
      <c r="A178" t="s">
        <v>31</v>
      </c>
      <c r="B178">
        <v>8</v>
      </c>
      <c r="C178">
        <v>2</v>
      </c>
      <c r="D178" t="s">
        <v>32</v>
      </c>
      <c r="E178">
        <v>2</v>
      </c>
      <c r="F178">
        <v>1</v>
      </c>
      <c r="G178" s="16">
        <v>64</v>
      </c>
      <c r="H178" s="16">
        <v>19.036000000000001</v>
      </c>
      <c r="I178" s="16">
        <v>1278</v>
      </c>
      <c r="J178" s="16">
        <v>23.559000000000001</v>
      </c>
      <c r="K178" s="16">
        <v>55.712000000000003</v>
      </c>
      <c r="L178" s="16">
        <v>0.34599999999999997</v>
      </c>
      <c r="M178" s="23">
        <v>442.58</v>
      </c>
      <c r="N178" s="16">
        <v>6.157</v>
      </c>
      <c r="O178" s="17">
        <v>6.915</v>
      </c>
      <c r="P178" s="18">
        <v>64</v>
      </c>
      <c r="Q178" s="18">
        <v>23.559000000000001</v>
      </c>
      <c r="R178" s="18">
        <v>174.065</v>
      </c>
      <c r="S178" s="18">
        <v>268.51499999999999</v>
      </c>
      <c r="T178" s="14" t="b">
        <f t="shared" si="30"/>
        <v>1</v>
      </c>
      <c r="U178" s="14" t="b">
        <f t="shared" si="31"/>
        <v>1</v>
      </c>
      <c r="V178" s="15">
        <f>VLOOKUP(IF(J178&lt;10, 10, IF(J178&gt;50,50,J178)),'Over to underbark'!$A$3:$C$43,IF(A178="Scots pine",3,IF(A178="Sitka spruce",2, "error")),TRUE)/100</f>
        <v>0.84</v>
      </c>
      <c r="W178">
        <f t="shared" si="23"/>
        <v>131.59314000000001</v>
      </c>
      <c r="X178">
        <f t="shared" si="24"/>
        <v>202.99733999999998</v>
      </c>
      <c r="Y178">
        <f t="shared" si="27"/>
        <v>63.73152000000001</v>
      </c>
      <c r="Z178">
        <f t="shared" si="32"/>
        <v>169.18921080000001</v>
      </c>
      <c r="AA178">
        <f t="shared" si="33"/>
        <v>107.3343852</v>
      </c>
      <c r="AB178">
        <f t="shared" si="34"/>
        <v>121.79840399999998</v>
      </c>
      <c r="AC178" t="b">
        <f t="shared" si="28"/>
        <v>1</v>
      </c>
      <c r="AD178" t="b">
        <f t="shared" si="29"/>
        <v>1</v>
      </c>
    </row>
    <row r="179" spans="1:30" x14ac:dyDescent="0.35">
      <c r="A179" t="s">
        <v>31</v>
      </c>
      <c r="B179">
        <v>8</v>
      </c>
      <c r="C179">
        <v>2</v>
      </c>
      <c r="D179" t="s">
        <v>32</v>
      </c>
      <c r="E179">
        <v>2</v>
      </c>
      <c r="F179">
        <v>1</v>
      </c>
      <c r="G179" s="16">
        <v>65</v>
      </c>
      <c r="H179" s="16">
        <v>19.228000000000002</v>
      </c>
      <c r="I179" s="16">
        <v>1260</v>
      </c>
      <c r="J179" s="16">
        <v>23.841999999999999</v>
      </c>
      <c r="K179" s="16">
        <v>56.253999999999998</v>
      </c>
      <c r="L179" s="16">
        <v>0.35799999999999998</v>
      </c>
      <c r="M179" s="23">
        <v>451.04</v>
      </c>
      <c r="N179" s="16">
        <v>6.415</v>
      </c>
      <c r="O179" s="17">
        <v>6.9390000000000001</v>
      </c>
      <c r="P179" s="18">
        <v>65</v>
      </c>
      <c r="Q179" s="18">
        <v>23.841999999999999</v>
      </c>
      <c r="R179" s="18">
        <v>171.98599999999999</v>
      </c>
      <c r="S179" s="18">
        <v>279.05399999999997</v>
      </c>
      <c r="T179" s="14" t="b">
        <f t="shared" si="30"/>
        <v>1</v>
      </c>
      <c r="U179" s="14" t="b">
        <f t="shared" si="31"/>
        <v>1</v>
      </c>
      <c r="V179" s="15">
        <f>VLOOKUP(IF(J179&lt;10, 10, IF(J179&gt;50,50,J179)),'Over to underbark'!$A$3:$C$43,IF(A179="Scots pine",3,IF(A179="Sitka spruce",2, "error")),TRUE)/100</f>
        <v>0.84</v>
      </c>
      <c r="W179">
        <f t="shared" si="23"/>
        <v>130.02141599999999</v>
      </c>
      <c r="X179">
        <f t="shared" si="24"/>
        <v>210.96482399999999</v>
      </c>
      <c r="Y179">
        <f t="shared" si="27"/>
        <v>64.949760000000012</v>
      </c>
      <c r="Z179">
        <f t="shared" si="32"/>
        <v>170.70669072000001</v>
      </c>
      <c r="AA179">
        <f t="shared" si="33"/>
        <v>108.65041488</v>
      </c>
      <c r="AB179">
        <f t="shared" si="34"/>
        <v>126.5788944</v>
      </c>
      <c r="AC179" t="b">
        <f t="shared" si="28"/>
        <v>1</v>
      </c>
      <c r="AD179" t="b">
        <f t="shared" si="29"/>
        <v>1</v>
      </c>
    </row>
    <row r="180" spans="1:30" x14ac:dyDescent="0.35">
      <c r="A180" t="s">
        <v>31</v>
      </c>
      <c r="B180">
        <v>8</v>
      </c>
      <c r="C180">
        <v>2</v>
      </c>
      <c r="D180" t="s">
        <v>32</v>
      </c>
      <c r="E180">
        <v>2</v>
      </c>
      <c r="F180">
        <v>1</v>
      </c>
      <c r="G180" s="16">
        <v>66</v>
      </c>
      <c r="H180" s="16">
        <v>19.420000000000002</v>
      </c>
      <c r="I180" s="16">
        <v>1242</v>
      </c>
      <c r="J180" s="16">
        <v>24.13</v>
      </c>
      <c r="K180" s="16">
        <v>56.796999999999997</v>
      </c>
      <c r="L180" s="16">
        <v>0.37</v>
      </c>
      <c r="M180" s="23">
        <v>459.5</v>
      </c>
      <c r="N180" s="16">
        <v>6.6630000000000003</v>
      </c>
      <c r="O180" s="17">
        <v>6.9619999999999997</v>
      </c>
      <c r="P180" s="18">
        <v>66</v>
      </c>
      <c r="Q180" s="18">
        <v>24.13</v>
      </c>
      <c r="R180" s="18">
        <v>169.74</v>
      </c>
      <c r="S180" s="18">
        <v>289.76</v>
      </c>
      <c r="T180" s="14" t="b">
        <f t="shared" si="30"/>
        <v>1</v>
      </c>
      <c r="U180" s="14" t="b">
        <f t="shared" si="31"/>
        <v>1</v>
      </c>
      <c r="V180" s="15">
        <f>VLOOKUP(IF(J180&lt;10, 10, IF(J180&gt;50,50,J180)),'Over to underbark'!$A$3:$C$43,IF(A180="Scots pine",3,IF(A180="Sitka spruce",2, "error")),TRUE)/100</f>
        <v>0.84</v>
      </c>
      <c r="W180">
        <f t="shared" si="23"/>
        <v>128.32344000000001</v>
      </c>
      <c r="X180">
        <f t="shared" si="24"/>
        <v>219.05855999999997</v>
      </c>
      <c r="Y180">
        <f t="shared" si="27"/>
        <v>66.168000000000021</v>
      </c>
      <c r="Z180">
        <f t="shared" si="32"/>
        <v>172.17114480000001</v>
      </c>
      <c r="AA180">
        <f t="shared" si="33"/>
        <v>109.9437192</v>
      </c>
      <c r="AB180">
        <f t="shared" si="34"/>
        <v>131.43513599999997</v>
      </c>
      <c r="AC180" t="b">
        <f t="shared" si="28"/>
        <v>1</v>
      </c>
      <c r="AD180" t="b">
        <f t="shared" si="29"/>
        <v>1</v>
      </c>
    </row>
    <row r="181" spans="1:30" x14ac:dyDescent="0.35">
      <c r="A181" t="s">
        <v>31</v>
      </c>
      <c r="B181">
        <v>8</v>
      </c>
      <c r="C181">
        <v>2</v>
      </c>
      <c r="D181" t="s">
        <v>32</v>
      </c>
      <c r="E181">
        <v>2</v>
      </c>
      <c r="F181">
        <v>1</v>
      </c>
      <c r="G181" s="16">
        <v>67</v>
      </c>
      <c r="H181" s="16">
        <v>19.594000000000001</v>
      </c>
      <c r="I181" s="16">
        <v>1226</v>
      </c>
      <c r="J181" s="16">
        <v>24.388000000000002</v>
      </c>
      <c r="K181" s="16">
        <v>57.268999999999998</v>
      </c>
      <c r="L181" s="16">
        <v>0.38100000000000001</v>
      </c>
      <c r="M181" s="23">
        <v>466.96</v>
      </c>
      <c r="N181" s="16">
        <v>6.9649999999999999</v>
      </c>
      <c r="O181" s="17">
        <v>6.97</v>
      </c>
      <c r="P181" s="18">
        <v>67</v>
      </c>
      <c r="Q181" s="18">
        <v>24.388000000000002</v>
      </c>
      <c r="R181" s="18">
        <v>167.63</v>
      </c>
      <c r="S181" s="18">
        <v>299.33</v>
      </c>
      <c r="T181" s="14" t="b">
        <f t="shared" si="30"/>
        <v>1</v>
      </c>
      <c r="U181" s="14" t="b">
        <f t="shared" si="31"/>
        <v>1</v>
      </c>
      <c r="V181" s="15">
        <f>VLOOKUP(IF(J181&lt;10, 10, IF(J181&gt;50,50,J181)),'Over to underbark'!$A$3:$C$43,IF(A181="Scots pine",3,IF(A181="Sitka spruce",2, "error")),TRUE)/100</f>
        <v>0.84</v>
      </c>
      <c r="W181">
        <f t="shared" si="23"/>
        <v>126.72827999999998</v>
      </c>
      <c r="X181">
        <f t="shared" si="24"/>
        <v>226.29347999999999</v>
      </c>
      <c r="Y181">
        <f t="shared" si="27"/>
        <v>67.24224000000001</v>
      </c>
      <c r="Z181">
        <f t="shared" si="32"/>
        <v>173.42138159999999</v>
      </c>
      <c r="AA181">
        <f t="shared" si="33"/>
        <v>111.06653039999999</v>
      </c>
      <c r="AB181">
        <f t="shared" si="34"/>
        <v>135.77608799999999</v>
      </c>
      <c r="AC181" t="b">
        <f t="shared" si="28"/>
        <v>1</v>
      </c>
      <c r="AD181" t="b">
        <f t="shared" si="29"/>
        <v>1</v>
      </c>
    </row>
    <row r="182" spans="1:30" x14ac:dyDescent="0.35">
      <c r="A182" t="s">
        <v>31</v>
      </c>
      <c r="B182">
        <v>8</v>
      </c>
      <c r="C182">
        <v>2</v>
      </c>
      <c r="D182" t="s">
        <v>32</v>
      </c>
      <c r="E182">
        <v>2</v>
      </c>
      <c r="F182">
        <v>1</v>
      </c>
      <c r="G182" s="16">
        <v>68</v>
      </c>
      <c r="H182" s="16">
        <v>19.768000000000001</v>
      </c>
      <c r="I182" s="16">
        <v>1210</v>
      </c>
      <c r="J182" s="16">
        <v>24.649000000000001</v>
      </c>
      <c r="K182" s="16">
        <v>57.741</v>
      </c>
      <c r="L182" s="16">
        <v>0.39200000000000002</v>
      </c>
      <c r="M182" s="23">
        <v>474.42</v>
      </c>
      <c r="N182" s="16">
        <v>7.2569999999999997</v>
      </c>
      <c r="O182" s="17">
        <v>6.9770000000000003</v>
      </c>
      <c r="P182" s="18">
        <v>68</v>
      </c>
      <c r="Q182" s="18">
        <v>24.649000000000001</v>
      </c>
      <c r="R182" s="18">
        <v>165.42099999999999</v>
      </c>
      <c r="S182" s="18">
        <v>308.99900000000002</v>
      </c>
      <c r="T182" s="14" t="b">
        <f t="shared" si="30"/>
        <v>1</v>
      </c>
      <c r="U182" s="14" t="b">
        <f t="shared" si="31"/>
        <v>1</v>
      </c>
      <c r="V182" s="15">
        <f>VLOOKUP(IF(J182&lt;10, 10, IF(J182&gt;50,50,J182)),'Over to underbark'!$A$3:$C$43,IF(A182="Scots pine",3,IF(A182="Sitka spruce",2, "error")),TRUE)/100</f>
        <v>0.84</v>
      </c>
      <c r="W182">
        <f t="shared" si="23"/>
        <v>125.05827599999998</v>
      </c>
      <c r="X182">
        <f t="shared" si="24"/>
        <v>233.60324400000002</v>
      </c>
      <c r="Y182">
        <f t="shared" si="27"/>
        <v>68.316480000000013</v>
      </c>
      <c r="Z182">
        <f t="shared" si="32"/>
        <v>174.64018392</v>
      </c>
      <c r="AA182">
        <f t="shared" si="33"/>
        <v>112.17586967999999</v>
      </c>
      <c r="AB182">
        <f t="shared" si="34"/>
        <v>140.16194640000001</v>
      </c>
      <c r="AC182" t="b">
        <f t="shared" si="28"/>
        <v>1</v>
      </c>
      <c r="AD182" t="b">
        <f t="shared" si="29"/>
        <v>1</v>
      </c>
    </row>
    <row r="183" spans="1:30" x14ac:dyDescent="0.35">
      <c r="A183" t="s">
        <v>31</v>
      </c>
      <c r="B183">
        <v>8</v>
      </c>
      <c r="C183">
        <v>2</v>
      </c>
      <c r="D183" t="s">
        <v>32</v>
      </c>
      <c r="E183">
        <v>2</v>
      </c>
      <c r="F183">
        <v>1</v>
      </c>
      <c r="G183" s="16">
        <v>69</v>
      </c>
      <c r="H183" s="16">
        <v>19.942</v>
      </c>
      <c r="I183" s="16">
        <v>1194</v>
      </c>
      <c r="J183" s="16">
        <v>24.914999999999999</v>
      </c>
      <c r="K183" s="16">
        <v>58.213999999999999</v>
      </c>
      <c r="L183" s="16">
        <v>0.40400000000000003</v>
      </c>
      <c r="M183" s="23">
        <v>481.88</v>
      </c>
      <c r="N183" s="16">
        <v>7.5369999999999999</v>
      </c>
      <c r="O183" s="17">
        <v>6.984</v>
      </c>
      <c r="P183" s="18">
        <v>69</v>
      </c>
      <c r="Q183" s="18">
        <v>24.914999999999999</v>
      </c>
      <c r="R183" s="18">
        <v>163.08000000000001</v>
      </c>
      <c r="S183" s="18">
        <v>318.8</v>
      </c>
      <c r="T183" s="14" t="b">
        <f t="shared" si="30"/>
        <v>1</v>
      </c>
      <c r="U183" s="14" t="b">
        <f t="shared" si="31"/>
        <v>1</v>
      </c>
      <c r="V183" s="15">
        <f>VLOOKUP(IF(J183&lt;10, 10, IF(J183&gt;50,50,J183)),'Over to underbark'!$A$3:$C$43,IF(A183="Scots pine",3,IF(A183="Sitka spruce",2, "error")),TRUE)/100</f>
        <v>0.84</v>
      </c>
      <c r="W183">
        <f t="shared" si="23"/>
        <v>123.28848000000001</v>
      </c>
      <c r="X183">
        <f t="shared" si="24"/>
        <v>241.0128</v>
      </c>
      <c r="Y183">
        <f t="shared" si="27"/>
        <v>69.390720000000016</v>
      </c>
      <c r="Z183">
        <f t="shared" si="32"/>
        <v>175.81707359999999</v>
      </c>
      <c r="AA183">
        <f t="shared" si="33"/>
        <v>113.2672464</v>
      </c>
      <c r="AB183">
        <f t="shared" si="34"/>
        <v>144.60767999999999</v>
      </c>
      <c r="AC183" t="b">
        <f t="shared" si="28"/>
        <v>1</v>
      </c>
      <c r="AD183" t="b">
        <f t="shared" si="29"/>
        <v>1</v>
      </c>
    </row>
    <row r="184" spans="1:30" x14ac:dyDescent="0.35">
      <c r="A184" t="s">
        <v>31</v>
      </c>
      <c r="B184">
        <v>8</v>
      </c>
      <c r="C184">
        <v>2</v>
      </c>
      <c r="D184" t="s">
        <v>32</v>
      </c>
      <c r="E184">
        <v>2</v>
      </c>
      <c r="F184">
        <v>1</v>
      </c>
      <c r="G184" s="16">
        <v>70</v>
      </c>
      <c r="H184" s="16">
        <v>20.116</v>
      </c>
      <c r="I184" s="16">
        <v>1178</v>
      </c>
      <c r="J184" s="16">
        <v>25.184999999999999</v>
      </c>
      <c r="K184" s="16">
        <v>58.686</v>
      </c>
      <c r="L184" s="16">
        <v>0.41499999999999998</v>
      </c>
      <c r="M184" s="23">
        <v>489.34</v>
      </c>
      <c r="N184" s="16">
        <v>7.8070000000000004</v>
      </c>
      <c r="O184" s="17">
        <v>6.9909999999999997</v>
      </c>
      <c r="P184" s="18">
        <v>70</v>
      </c>
      <c r="Q184" s="18">
        <v>25.184999999999999</v>
      </c>
      <c r="R184" s="18">
        <v>160.63399999999999</v>
      </c>
      <c r="S184" s="18">
        <v>328.70600000000002</v>
      </c>
      <c r="T184" s="14" t="b">
        <f t="shared" si="30"/>
        <v>1</v>
      </c>
      <c r="U184" s="14" t="b">
        <f t="shared" si="31"/>
        <v>1</v>
      </c>
      <c r="V184" s="15">
        <f>VLOOKUP(IF(J184&lt;10, 10, IF(J184&gt;50,50,J184)),'Over to underbark'!$A$3:$C$43,IF(A184="Scots pine",3,IF(A184="Sitka spruce",2, "error")),TRUE)/100</f>
        <v>0.84</v>
      </c>
      <c r="W184">
        <f t="shared" si="23"/>
        <v>121.43930399999998</v>
      </c>
      <c r="X184">
        <f t="shared" si="24"/>
        <v>248.50173600000002</v>
      </c>
      <c r="Y184">
        <f t="shared" si="27"/>
        <v>70.464960000000019</v>
      </c>
      <c r="Z184">
        <f t="shared" si="32"/>
        <v>176.96062368</v>
      </c>
      <c r="AA184">
        <f t="shared" si="33"/>
        <v>114.34433472000001</v>
      </c>
      <c r="AB184">
        <f t="shared" si="34"/>
        <v>149.1010416</v>
      </c>
      <c r="AC184" t="b">
        <f t="shared" si="28"/>
        <v>1</v>
      </c>
      <c r="AD184" t="b">
        <f t="shared" si="29"/>
        <v>1</v>
      </c>
    </row>
    <row r="185" spans="1:30" x14ac:dyDescent="0.35">
      <c r="A185" t="s">
        <v>31</v>
      </c>
      <c r="B185">
        <v>8</v>
      </c>
      <c r="C185">
        <v>2</v>
      </c>
      <c r="D185" t="s">
        <v>32</v>
      </c>
      <c r="E185">
        <v>2</v>
      </c>
      <c r="F185">
        <v>1</v>
      </c>
      <c r="G185" s="16">
        <v>71</v>
      </c>
      <c r="H185" s="16">
        <v>20.29</v>
      </c>
      <c r="I185" s="16">
        <v>1162</v>
      </c>
      <c r="J185" s="16">
        <v>25.46</v>
      </c>
      <c r="K185" s="16">
        <v>59.158000000000001</v>
      </c>
      <c r="L185" s="16">
        <v>0.42799999999999999</v>
      </c>
      <c r="M185" s="23">
        <v>496.8</v>
      </c>
      <c r="N185" s="16">
        <v>8.0679999999999996</v>
      </c>
      <c r="O185" s="17">
        <v>6.9969999999999999</v>
      </c>
      <c r="P185" s="18">
        <v>71</v>
      </c>
      <c r="Q185" s="18">
        <v>25.46</v>
      </c>
      <c r="R185" s="18">
        <v>158.07</v>
      </c>
      <c r="S185" s="18">
        <v>338.73</v>
      </c>
      <c r="T185" s="14" t="b">
        <f t="shared" si="30"/>
        <v>1</v>
      </c>
      <c r="U185" s="14" t="b">
        <f t="shared" si="31"/>
        <v>1</v>
      </c>
      <c r="V185" s="15">
        <f>VLOOKUP(IF(J185&lt;10, 10, IF(J185&gt;50,50,J185)),'Over to underbark'!$A$3:$C$43,IF(A185="Scots pine",3,IF(A185="Sitka spruce",2, "error")),TRUE)/100</f>
        <v>0.84</v>
      </c>
      <c r="W185">
        <f t="shared" si="23"/>
        <v>119.50091999999999</v>
      </c>
      <c r="X185">
        <f t="shared" si="24"/>
        <v>256.07988</v>
      </c>
      <c r="Y185">
        <f t="shared" si="27"/>
        <v>71.539200000000008</v>
      </c>
      <c r="Z185">
        <f t="shared" si="32"/>
        <v>178.06670639999999</v>
      </c>
      <c r="AA185">
        <f t="shared" si="33"/>
        <v>115.4053656</v>
      </c>
      <c r="AB185">
        <f t="shared" si="34"/>
        <v>153.64792800000001</v>
      </c>
      <c r="AC185" t="b">
        <f t="shared" si="28"/>
        <v>1</v>
      </c>
      <c r="AD185" t="b">
        <f t="shared" si="29"/>
        <v>1</v>
      </c>
    </row>
    <row r="186" spans="1:30" x14ac:dyDescent="0.35">
      <c r="A186" t="s">
        <v>31</v>
      </c>
      <c r="B186">
        <v>8</v>
      </c>
      <c r="C186">
        <v>2</v>
      </c>
      <c r="D186" t="s">
        <v>32</v>
      </c>
      <c r="E186">
        <v>2</v>
      </c>
      <c r="F186">
        <v>1</v>
      </c>
      <c r="G186" s="16">
        <v>72</v>
      </c>
      <c r="H186" s="16">
        <v>20.442</v>
      </c>
      <c r="I186" s="16">
        <v>1148</v>
      </c>
      <c r="J186" s="16">
        <v>25.704000000000001</v>
      </c>
      <c r="K186" s="16">
        <v>59.57</v>
      </c>
      <c r="L186" s="16">
        <v>0.438</v>
      </c>
      <c r="M186" s="23">
        <v>503.26</v>
      </c>
      <c r="N186" s="16">
        <v>8.3480000000000008</v>
      </c>
      <c r="O186" s="17">
        <v>6.99</v>
      </c>
      <c r="P186" s="18">
        <v>72</v>
      </c>
      <c r="Q186" s="18">
        <v>25.704000000000001</v>
      </c>
      <c r="R186" s="18">
        <v>155.72800000000001</v>
      </c>
      <c r="S186" s="18">
        <v>347.53199999999998</v>
      </c>
      <c r="T186" s="14" t="b">
        <f t="shared" si="30"/>
        <v>1</v>
      </c>
      <c r="U186" s="14" t="b">
        <f t="shared" si="31"/>
        <v>1</v>
      </c>
      <c r="V186" s="15">
        <f>VLOOKUP(IF(J186&lt;10, 10, IF(J186&gt;50,50,J186)),'Over to underbark'!$A$3:$C$43,IF(A186="Scots pine",3,IF(A186="Sitka spruce",2, "error")),TRUE)/100</f>
        <v>0.84</v>
      </c>
      <c r="W186">
        <f t="shared" si="23"/>
        <v>117.730368</v>
      </c>
      <c r="X186">
        <f t="shared" si="24"/>
        <v>262.73419200000001</v>
      </c>
      <c r="Y186">
        <f t="shared" si="27"/>
        <v>72.46944000000002</v>
      </c>
      <c r="Z186">
        <f t="shared" si="32"/>
        <v>178.98587856</v>
      </c>
      <c r="AA186">
        <f t="shared" si="33"/>
        <v>116.30760624</v>
      </c>
      <c r="AB186">
        <f t="shared" si="34"/>
        <v>157.64051520000001</v>
      </c>
      <c r="AC186" t="b">
        <f t="shared" si="28"/>
        <v>1</v>
      </c>
      <c r="AD186" t="b">
        <f t="shared" si="29"/>
        <v>1</v>
      </c>
    </row>
    <row r="187" spans="1:30" x14ac:dyDescent="0.35">
      <c r="A187" t="s">
        <v>31</v>
      </c>
      <c r="B187">
        <v>8</v>
      </c>
      <c r="C187">
        <v>2</v>
      </c>
      <c r="D187" t="s">
        <v>32</v>
      </c>
      <c r="E187">
        <v>2</v>
      </c>
      <c r="F187">
        <v>1</v>
      </c>
      <c r="G187" s="16">
        <v>73</v>
      </c>
      <c r="H187" s="16">
        <v>20.594000000000001</v>
      </c>
      <c r="I187" s="16">
        <v>1135</v>
      </c>
      <c r="J187" s="16">
        <v>25.94</v>
      </c>
      <c r="K187" s="16">
        <v>59.981999999999999</v>
      </c>
      <c r="L187" s="16">
        <v>0.44900000000000001</v>
      </c>
      <c r="M187" s="23">
        <v>509.72</v>
      </c>
      <c r="N187" s="16">
        <v>8.6199999999999992</v>
      </c>
      <c r="O187" s="17">
        <v>6.9820000000000002</v>
      </c>
      <c r="P187" s="18">
        <v>73</v>
      </c>
      <c r="Q187" s="18">
        <v>25.94</v>
      </c>
      <c r="R187" s="18">
        <v>153.51599999999999</v>
      </c>
      <c r="S187" s="18">
        <v>356.20400000000001</v>
      </c>
      <c r="T187" s="14" t="b">
        <f t="shared" si="30"/>
        <v>1</v>
      </c>
      <c r="U187" s="14" t="b">
        <f t="shared" si="31"/>
        <v>1</v>
      </c>
      <c r="V187" s="15">
        <f>VLOOKUP(IF(J187&lt;10, 10, IF(J187&gt;50,50,J187)),'Over to underbark'!$A$3:$C$43,IF(A187="Scots pine",3,IF(A187="Sitka spruce",2, "error")),TRUE)/100</f>
        <v>0.84</v>
      </c>
      <c r="W187">
        <f t="shared" si="23"/>
        <v>116.05809599999999</v>
      </c>
      <c r="X187">
        <f t="shared" si="24"/>
        <v>269.29022399999997</v>
      </c>
      <c r="Y187">
        <f t="shared" si="27"/>
        <v>73.399680000000018</v>
      </c>
      <c r="Z187">
        <f t="shared" si="32"/>
        <v>179.94632831999999</v>
      </c>
      <c r="AA187">
        <f t="shared" si="33"/>
        <v>117.22753727999998</v>
      </c>
      <c r="AB187">
        <f t="shared" si="34"/>
        <v>161.57413439999996</v>
      </c>
      <c r="AC187" t="b">
        <f t="shared" si="28"/>
        <v>1</v>
      </c>
      <c r="AD187" t="b">
        <f t="shared" si="29"/>
        <v>1</v>
      </c>
    </row>
    <row r="188" spans="1:30" x14ac:dyDescent="0.35">
      <c r="A188" t="s">
        <v>31</v>
      </c>
      <c r="B188">
        <v>8</v>
      </c>
      <c r="C188">
        <v>2</v>
      </c>
      <c r="D188" t="s">
        <v>32</v>
      </c>
      <c r="E188">
        <v>2</v>
      </c>
      <c r="F188">
        <v>1</v>
      </c>
      <c r="G188" s="16">
        <v>74</v>
      </c>
      <c r="H188" s="16">
        <v>20.745999999999999</v>
      </c>
      <c r="I188" s="16">
        <v>1121</v>
      </c>
      <c r="J188" s="16">
        <v>26.190999999999999</v>
      </c>
      <c r="K188" s="16">
        <v>60.393999999999998</v>
      </c>
      <c r="L188" s="16">
        <v>0.46</v>
      </c>
      <c r="M188" s="23">
        <v>516.17999999999995</v>
      </c>
      <c r="N188" s="16">
        <v>8.8829999999999991</v>
      </c>
      <c r="O188" s="17">
        <v>6.9749999999999996</v>
      </c>
      <c r="P188" s="18">
        <v>74</v>
      </c>
      <c r="Q188" s="18">
        <v>26.190999999999999</v>
      </c>
      <c r="R188" s="18">
        <v>151.03200000000001</v>
      </c>
      <c r="S188" s="18">
        <v>365.14800000000002</v>
      </c>
      <c r="T188" s="14" t="b">
        <f t="shared" si="30"/>
        <v>1</v>
      </c>
      <c r="U188" s="14" t="b">
        <f t="shared" si="31"/>
        <v>1</v>
      </c>
      <c r="V188" s="15">
        <f>VLOOKUP(IF(J188&lt;10, 10, IF(J188&gt;50,50,J188)),'Over to underbark'!$A$3:$C$43,IF(A188="Scots pine",3,IF(A188="Sitka spruce",2, "error")),TRUE)/100</f>
        <v>0.84</v>
      </c>
      <c r="W188">
        <f t="shared" si="23"/>
        <v>114.18019200000002</v>
      </c>
      <c r="X188">
        <f t="shared" si="24"/>
        <v>276.05188800000002</v>
      </c>
      <c r="Y188">
        <f t="shared" si="27"/>
        <v>74.32992000000003</v>
      </c>
      <c r="Z188">
        <f t="shared" si="32"/>
        <v>180.82041264000006</v>
      </c>
      <c r="AA188">
        <f t="shared" si="33"/>
        <v>118.11045456000002</v>
      </c>
      <c r="AB188">
        <f t="shared" si="34"/>
        <v>165.63113280000002</v>
      </c>
      <c r="AC188" t="b">
        <f t="shared" si="28"/>
        <v>1</v>
      </c>
      <c r="AD188" t="b">
        <f t="shared" si="29"/>
        <v>1</v>
      </c>
    </row>
    <row r="189" spans="1:30" x14ac:dyDescent="0.35">
      <c r="A189" t="s">
        <v>31</v>
      </c>
      <c r="B189">
        <v>8</v>
      </c>
      <c r="C189">
        <v>2</v>
      </c>
      <c r="D189" t="s">
        <v>32</v>
      </c>
      <c r="E189">
        <v>2</v>
      </c>
      <c r="F189">
        <v>1</v>
      </c>
      <c r="G189" s="16">
        <v>75</v>
      </c>
      <c r="H189" s="16">
        <v>20.898</v>
      </c>
      <c r="I189" s="16">
        <v>1108</v>
      </c>
      <c r="J189" s="16">
        <v>26.434000000000001</v>
      </c>
      <c r="K189" s="16">
        <v>60.805999999999997</v>
      </c>
      <c r="L189" s="16">
        <v>0.47199999999999998</v>
      </c>
      <c r="M189" s="23">
        <v>522.64</v>
      </c>
      <c r="N189" s="16">
        <v>9.1379999999999999</v>
      </c>
      <c r="O189" s="17">
        <v>6.9690000000000003</v>
      </c>
      <c r="P189" s="18">
        <v>75</v>
      </c>
      <c r="Q189" s="18">
        <v>26.434000000000001</v>
      </c>
      <c r="R189" s="18">
        <v>148.68299999999999</v>
      </c>
      <c r="S189" s="18">
        <v>373.95699999999999</v>
      </c>
      <c r="T189" s="14" t="b">
        <f t="shared" si="30"/>
        <v>1</v>
      </c>
      <c r="U189" s="14" t="b">
        <f t="shared" si="31"/>
        <v>1</v>
      </c>
      <c r="V189" s="15">
        <f>VLOOKUP(IF(J189&lt;10, 10, IF(J189&gt;50,50,J189)),'Over to underbark'!$A$3:$C$43,IF(A189="Scots pine",3,IF(A189="Sitka spruce",2, "error")),TRUE)/100</f>
        <v>0.84</v>
      </c>
      <c r="W189">
        <f t="shared" si="23"/>
        <v>112.40434799999998</v>
      </c>
      <c r="X189">
        <f t="shared" si="24"/>
        <v>282.71149200000002</v>
      </c>
      <c r="Y189">
        <f t="shared" si="27"/>
        <v>75.260160000000013</v>
      </c>
      <c r="Z189">
        <f t="shared" si="32"/>
        <v>181.73736216</v>
      </c>
      <c r="AA189">
        <f t="shared" si="33"/>
        <v>119.01174263999999</v>
      </c>
      <c r="AB189">
        <f t="shared" si="34"/>
        <v>169.62689520000001</v>
      </c>
      <c r="AC189" t="b">
        <f t="shared" si="28"/>
        <v>1</v>
      </c>
      <c r="AD189" t="b">
        <f t="shared" si="29"/>
        <v>1</v>
      </c>
    </row>
    <row r="190" spans="1:30" x14ac:dyDescent="0.35">
      <c r="A190" t="s">
        <v>31</v>
      </c>
      <c r="B190">
        <v>8</v>
      </c>
      <c r="C190">
        <v>2</v>
      </c>
      <c r="D190" t="s">
        <v>32</v>
      </c>
      <c r="E190">
        <v>2</v>
      </c>
      <c r="F190">
        <v>1</v>
      </c>
      <c r="G190" s="16">
        <v>76</v>
      </c>
      <c r="H190" s="16">
        <v>21.05</v>
      </c>
      <c r="I190" s="16">
        <v>1095</v>
      </c>
      <c r="J190" s="16">
        <v>26.68</v>
      </c>
      <c r="K190" s="16">
        <v>61.218000000000004</v>
      </c>
      <c r="L190" s="16">
        <v>0.48299999999999998</v>
      </c>
      <c r="M190" s="23">
        <v>529.1</v>
      </c>
      <c r="N190" s="16">
        <v>9.3849999999999998</v>
      </c>
      <c r="O190" s="17">
        <v>6.9619999999999997</v>
      </c>
      <c r="P190" s="18">
        <v>76</v>
      </c>
      <c r="Q190" s="18">
        <v>26.68</v>
      </c>
      <c r="R190" s="18">
        <v>146.279</v>
      </c>
      <c r="S190" s="18">
        <v>382.82100000000003</v>
      </c>
      <c r="T190" s="14" t="b">
        <f t="shared" si="30"/>
        <v>1</v>
      </c>
      <c r="U190" s="14" t="b">
        <f t="shared" si="31"/>
        <v>1</v>
      </c>
      <c r="V190" s="15">
        <f>VLOOKUP(IF(J190&lt;10, 10, IF(J190&gt;50,50,J190)),'Over to underbark'!$A$3:$C$43,IF(A190="Scots pine",3,IF(A190="Sitka spruce",2, "error")),TRUE)/100</f>
        <v>0.84</v>
      </c>
      <c r="W190">
        <f t="shared" si="23"/>
        <v>110.58692400000001</v>
      </c>
      <c r="X190">
        <f t="shared" si="24"/>
        <v>289.41267599999998</v>
      </c>
      <c r="Y190">
        <f t="shared" si="27"/>
        <v>76.190400000000025</v>
      </c>
      <c r="Z190">
        <f t="shared" si="32"/>
        <v>182.63684808000002</v>
      </c>
      <c r="AA190">
        <f t="shared" si="33"/>
        <v>119.90554632</v>
      </c>
      <c r="AB190">
        <f t="shared" si="34"/>
        <v>173.64760559999999</v>
      </c>
      <c r="AC190" t="b">
        <f t="shared" si="28"/>
        <v>1</v>
      </c>
      <c r="AD190" t="b">
        <f t="shared" si="29"/>
        <v>1</v>
      </c>
    </row>
    <row r="191" spans="1:30" x14ac:dyDescent="0.35">
      <c r="A191" t="s">
        <v>31</v>
      </c>
      <c r="B191">
        <v>8</v>
      </c>
      <c r="C191">
        <v>2</v>
      </c>
      <c r="D191" t="s">
        <v>32</v>
      </c>
      <c r="E191">
        <v>2</v>
      </c>
      <c r="F191">
        <v>1</v>
      </c>
      <c r="G191" s="16">
        <v>77</v>
      </c>
      <c r="H191" s="16">
        <v>21.181999999999999</v>
      </c>
      <c r="I191" s="16">
        <v>1083</v>
      </c>
      <c r="J191" s="16">
        <v>26.895</v>
      </c>
      <c r="K191" s="16">
        <v>61.527000000000001</v>
      </c>
      <c r="L191" s="16">
        <v>0.49399999999999999</v>
      </c>
      <c r="M191" s="23">
        <v>534.54</v>
      </c>
      <c r="N191" s="16">
        <v>9.6329999999999991</v>
      </c>
      <c r="O191" s="17">
        <v>6.9420000000000002</v>
      </c>
      <c r="P191" s="18">
        <v>77</v>
      </c>
      <c r="Q191" s="18">
        <v>26.895</v>
      </c>
      <c r="R191" s="18">
        <v>144.12299999999999</v>
      </c>
      <c r="S191" s="18">
        <v>390.41699999999997</v>
      </c>
      <c r="T191" s="14" t="b">
        <f t="shared" si="30"/>
        <v>1</v>
      </c>
      <c r="U191" s="14" t="b">
        <f t="shared" si="31"/>
        <v>1</v>
      </c>
      <c r="V191" s="15">
        <f>VLOOKUP(IF(J191&lt;10, 10, IF(J191&gt;50,50,J191)),'Over to underbark'!$A$3:$C$43,IF(A191="Scots pine",3,IF(A191="Sitka spruce",2, "error")),TRUE)/100</f>
        <v>0.84</v>
      </c>
      <c r="W191">
        <f t="shared" si="23"/>
        <v>108.956988</v>
      </c>
      <c r="X191">
        <f t="shared" si="24"/>
        <v>295.15525199999996</v>
      </c>
      <c r="Y191">
        <f t="shared" si="27"/>
        <v>76.973760000000013</v>
      </c>
      <c r="Z191">
        <f t="shared" si="32"/>
        <v>183.35253096</v>
      </c>
      <c r="AA191">
        <f t="shared" si="33"/>
        <v>120.64031783999999</v>
      </c>
      <c r="AB191">
        <f t="shared" si="34"/>
        <v>177.09315119999997</v>
      </c>
      <c r="AC191" t="b">
        <f t="shared" si="28"/>
        <v>1</v>
      </c>
      <c r="AD191" t="b">
        <f t="shared" si="29"/>
        <v>1</v>
      </c>
    </row>
    <row r="192" spans="1:30" x14ac:dyDescent="0.35">
      <c r="A192" t="s">
        <v>31</v>
      </c>
      <c r="B192">
        <v>8</v>
      </c>
      <c r="C192">
        <v>2</v>
      </c>
      <c r="D192" t="s">
        <v>32</v>
      </c>
      <c r="E192">
        <v>2</v>
      </c>
      <c r="F192">
        <v>1</v>
      </c>
      <c r="G192" s="16">
        <v>78</v>
      </c>
      <c r="H192" s="16">
        <v>21.314</v>
      </c>
      <c r="I192" s="16">
        <v>1071</v>
      </c>
      <c r="J192" s="16">
        <v>27.113</v>
      </c>
      <c r="K192" s="16">
        <v>61.835999999999999</v>
      </c>
      <c r="L192" s="16">
        <v>0.504</v>
      </c>
      <c r="M192" s="23">
        <v>539.98</v>
      </c>
      <c r="N192" s="16">
        <v>9.8740000000000006</v>
      </c>
      <c r="O192" s="17">
        <v>6.923</v>
      </c>
      <c r="P192" s="18">
        <v>78</v>
      </c>
      <c r="Q192" s="18">
        <v>27.113</v>
      </c>
      <c r="R192" s="18">
        <v>141.92099999999999</v>
      </c>
      <c r="S192" s="18">
        <v>398.05900000000003</v>
      </c>
      <c r="T192" s="14" t="b">
        <f t="shared" si="30"/>
        <v>1</v>
      </c>
      <c r="U192" s="14" t="b">
        <f t="shared" si="31"/>
        <v>1</v>
      </c>
      <c r="V192" s="15">
        <f>VLOOKUP(IF(J192&lt;10, 10, IF(J192&gt;50,50,J192)),'Over to underbark'!$A$3:$C$43,IF(A192="Scots pine",3,IF(A192="Sitka spruce",2, "error")),TRUE)/100</f>
        <v>0.85</v>
      </c>
      <c r="W192">
        <f t="shared" ref="W192:W255" si="35">R192*0.9*V192</f>
        <v>108.569565</v>
      </c>
      <c r="X192">
        <f t="shared" ref="X192:X255" si="36">S192*0.9*V192</f>
        <v>304.51513499999999</v>
      </c>
      <c r="Y192">
        <f t="shared" si="27"/>
        <v>72.897300000000016</v>
      </c>
      <c r="Z192">
        <f t="shared" si="32"/>
        <v>180.45922229999999</v>
      </c>
      <c r="AA192">
        <f t="shared" si="33"/>
        <v>122.81369669999999</v>
      </c>
      <c r="AB192">
        <f t="shared" si="34"/>
        <v>182.709081</v>
      </c>
      <c r="AC192" t="b">
        <f t="shared" si="28"/>
        <v>1</v>
      </c>
      <c r="AD192" t="b">
        <f t="shared" si="29"/>
        <v>1</v>
      </c>
    </row>
    <row r="193" spans="1:30" x14ac:dyDescent="0.35">
      <c r="A193" t="s">
        <v>31</v>
      </c>
      <c r="B193">
        <v>8</v>
      </c>
      <c r="C193">
        <v>2</v>
      </c>
      <c r="D193" t="s">
        <v>32</v>
      </c>
      <c r="E193">
        <v>2</v>
      </c>
      <c r="F193">
        <v>1</v>
      </c>
      <c r="G193" s="16">
        <v>79</v>
      </c>
      <c r="H193" s="16">
        <v>21.446000000000002</v>
      </c>
      <c r="I193" s="16">
        <v>1060</v>
      </c>
      <c r="J193" s="16">
        <v>27.321999999999999</v>
      </c>
      <c r="K193" s="16">
        <v>62.145000000000003</v>
      </c>
      <c r="L193" s="16">
        <v>0.51500000000000001</v>
      </c>
      <c r="M193" s="23">
        <v>545.41999999999996</v>
      </c>
      <c r="N193" s="16">
        <v>10.109</v>
      </c>
      <c r="O193" s="17">
        <v>6.9039999999999999</v>
      </c>
      <c r="P193" s="18">
        <v>79</v>
      </c>
      <c r="Q193" s="18">
        <v>27.321999999999999</v>
      </c>
      <c r="R193" s="18">
        <v>139.875</v>
      </c>
      <c r="S193" s="18">
        <v>405.54500000000002</v>
      </c>
      <c r="T193" s="14" t="b">
        <f t="shared" si="30"/>
        <v>1</v>
      </c>
      <c r="U193" s="14" t="b">
        <f t="shared" si="31"/>
        <v>1</v>
      </c>
      <c r="V193" s="15">
        <f>VLOOKUP(IF(J193&lt;10, 10, IF(J193&gt;50,50,J193)),'Over to underbark'!$A$3:$C$43,IF(A193="Scots pine",3,IF(A193="Sitka spruce",2, "error")),TRUE)/100</f>
        <v>0.85</v>
      </c>
      <c r="W193">
        <f t="shared" si="35"/>
        <v>107.004375</v>
      </c>
      <c r="X193">
        <f t="shared" si="36"/>
        <v>310.24192499999998</v>
      </c>
      <c r="Y193">
        <f t="shared" si="27"/>
        <v>73.631700000000023</v>
      </c>
      <c r="Z193">
        <f t="shared" si="32"/>
        <v>181.1604825</v>
      </c>
      <c r="AA193">
        <f t="shared" si="33"/>
        <v>123.5723625</v>
      </c>
      <c r="AB193">
        <f t="shared" si="34"/>
        <v>186.14515499999999</v>
      </c>
      <c r="AC193" t="b">
        <f t="shared" si="28"/>
        <v>1</v>
      </c>
      <c r="AD193" t="b">
        <f t="shared" si="29"/>
        <v>1</v>
      </c>
    </row>
    <row r="194" spans="1:30" x14ac:dyDescent="0.35">
      <c r="A194" t="s">
        <v>31</v>
      </c>
      <c r="B194">
        <v>8</v>
      </c>
      <c r="C194">
        <v>2</v>
      </c>
      <c r="D194" t="s">
        <v>32</v>
      </c>
      <c r="E194">
        <v>2</v>
      </c>
      <c r="F194">
        <v>1</v>
      </c>
      <c r="G194" s="16">
        <v>80</v>
      </c>
      <c r="H194" s="16">
        <v>21.577999999999999</v>
      </c>
      <c r="I194" s="16">
        <v>1048</v>
      </c>
      <c r="J194" s="16">
        <v>27.545999999999999</v>
      </c>
      <c r="K194" s="16">
        <v>62.454000000000001</v>
      </c>
      <c r="L194" s="16">
        <v>0.52600000000000002</v>
      </c>
      <c r="M194" s="23">
        <v>550.86</v>
      </c>
      <c r="N194" s="16">
        <v>10.339</v>
      </c>
      <c r="O194" s="17">
        <v>6.8860000000000001</v>
      </c>
      <c r="P194" s="18">
        <v>80</v>
      </c>
      <c r="Q194" s="18">
        <v>27.545999999999999</v>
      </c>
      <c r="R194" s="18">
        <v>137.589</v>
      </c>
      <c r="S194" s="18">
        <v>413.27100000000002</v>
      </c>
      <c r="T194" s="14" t="b">
        <f t="shared" si="30"/>
        <v>1</v>
      </c>
      <c r="U194" s="14" t="b">
        <f t="shared" si="31"/>
        <v>1</v>
      </c>
      <c r="V194" s="15">
        <f>VLOOKUP(IF(J194&lt;10, 10, IF(J194&gt;50,50,J194)),'Over to underbark'!$A$3:$C$43,IF(A194="Scots pine",3,IF(A194="Sitka spruce",2, "error")),TRUE)/100</f>
        <v>0.85</v>
      </c>
      <c r="W194">
        <f t="shared" si="35"/>
        <v>105.255585</v>
      </c>
      <c r="X194">
        <f t="shared" si="36"/>
        <v>316.15231500000004</v>
      </c>
      <c r="Y194">
        <f t="shared" si="27"/>
        <v>74.366100000000017</v>
      </c>
      <c r="Z194">
        <f t="shared" si="32"/>
        <v>181.78463070000004</v>
      </c>
      <c r="AA194">
        <f t="shared" si="33"/>
        <v>124.29798030000001</v>
      </c>
      <c r="AB194">
        <f t="shared" si="34"/>
        <v>189.69138900000002</v>
      </c>
      <c r="AC194" t="b">
        <f t="shared" si="28"/>
        <v>1</v>
      </c>
      <c r="AD194" t="b">
        <f t="shared" si="29"/>
        <v>1</v>
      </c>
    </row>
    <row r="195" spans="1:30" x14ac:dyDescent="0.35">
      <c r="A195" t="s">
        <v>31</v>
      </c>
      <c r="B195">
        <v>8</v>
      </c>
      <c r="C195">
        <v>2</v>
      </c>
      <c r="D195" t="s">
        <v>32</v>
      </c>
      <c r="E195">
        <v>2</v>
      </c>
      <c r="F195">
        <v>1</v>
      </c>
      <c r="G195" s="16">
        <v>81</v>
      </c>
      <c r="H195" s="16">
        <v>21.71</v>
      </c>
      <c r="I195" s="16">
        <v>1037</v>
      </c>
      <c r="J195" s="16">
        <v>27.76</v>
      </c>
      <c r="K195" s="16">
        <v>62.764000000000003</v>
      </c>
      <c r="L195" s="16">
        <v>0.53600000000000003</v>
      </c>
      <c r="M195" s="23">
        <v>556.29999999999995</v>
      </c>
      <c r="N195" s="16">
        <v>10.563000000000001</v>
      </c>
      <c r="O195" s="17">
        <v>6.8680000000000003</v>
      </c>
      <c r="P195" s="18">
        <v>81</v>
      </c>
      <c r="Q195" s="18">
        <v>27.76</v>
      </c>
      <c r="R195" s="18">
        <v>135.47499999999999</v>
      </c>
      <c r="S195" s="18">
        <v>420.82499999999999</v>
      </c>
      <c r="T195" s="14" t="b">
        <f t="shared" si="30"/>
        <v>1</v>
      </c>
      <c r="U195" s="14" t="b">
        <f t="shared" si="31"/>
        <v>1</v>
      </c>
      <c r="V195" s="15">
        <f>VLOOKUP(IF(J195&lt;10, 10, IF(J195&gt;50,50,J195)),'Over to underbark'!$A$3:$C$43,IF(A195="Scots pine",3,IF(A195="Sitka spruce",2, "error")),TRUE)/100</f>
        <v>0.85</v>
      </c>
      <c r="W195">
        <f t="shared" si="35"/>
        <v>103.638375</v>
      </c>
      <c r="X195">
        <f t="shared" si="36"/>
        <v>321.93112500000001</v>
      </c>
      <c r="Y195">
        <f t="shared" si="27"/>
        <v>75.100500000000011</v>
      </c>
      <c r="Z195">
        <f t="shared" si="32"/>
        <v>182.46404250000001</v>
      </c>
      <c r="AA195">
        <f t="shared" si="33"/>
        <v>125.04728249999999</v>
      </c>
      <c r="AB195">
        <f t="shared" si="34"/>
        <v>193.15867499999999</v>
      </c>
      <c r="AC195" t="b">
        <f t="shared" si="28"/>
        <v>1</v>
      </c>
      <c r="AD195" t="b">
        <f t="shared" si="29"/>
        <v>1</v>
      </c>
    </row>
    <row r="196" spans="1:30" x14ac:dyDescent="0.35">
      <c r="A196" t="s">
        <v>31</v>
      </c>
      <c r="B196">
        <v>8</v>
      </c>
      <c r="C196">
        <v>2</v>
      </c>
      <c r="D196" t="s">
        <v>32</v>
      </c>
      <c r="E196">
        <v>2</v>
      </c>
      <c r="F196">
        <v>1</v>
      </c>
      <c r="G196" s="16">
        <v>82</v>
      </c>
      <c r="H196" s="16">
        <v>21.824000000000002</v>
      </c>
      <c r="I196" s="16">
        <v>1026</v>
      </c>
      <c r="J196" s="16">
        <v>27.954999999999998</v>
      </c>
      <c r="K196" s="16">
        <v>62.973999999999997</v>
      </c>
      <c r="L196" s="16">
        <v>0.54700000000000004</v>
      </c>
      <c r="M196" s="23">
        <v>560.91999999999996</v>
      </c>
      <c r="N196" s="16">
        <v>10.755000000000001</v>
      </c>
      <c r="O196" s="17">
        <v>6.84</v>
      </c>
      <c r="P196" s="18">
        <v>82</v>
      </c>
      <c r="Q196" s="18">
        <v>27.954999999999998</v>
      </c>
      <c r="R196" s="18">
        <v>133.477</v>
      </c>
      <c r="S196" s="18">
        <v>427.44299999999998</v>
      </c>
      <c r="T196" s="14" t="b">
        <f t="shared" si="30"/>
        <v>1</v>
      </c>
      <c r="U196" s="14" t="b">
        <f t="shared" si="31"/>
        <v>1</v>
      </c>
      <c r="V196" s="15">
        <f>VLOOKUP(IF(J196&lt;10, 10, IF(J196&gt;50,50,J196)),'Over to underbark'!$A$3:$C$43,IF(A196="Scots pine",3,IF(A196="Sitka spruce",2, "error")),TRUE)/100</f>
        <v>0.85</v>
      </c>
      <c r="W196">
        <f t="shared" si="35"/>
        <v>102.109905</v>
      </c>
      <c r="X196">
        <f t="shared" si="36"/>
        <v>326.99389499999995</v>
      </c>
      <c r="Y196">
        <f t="shared" ref="Y196:Y259" si="37">(R196+S196)*0.9*(100%-V196)</f>
        <v>75.72420000000001</v>
      </c>
      <c r="Z196">
        <f t="shared" si="32"/>
        <v>182.9759301</v>
      </c>
      <c r="AA196">
        <f t="shared" si="33"/>
        <v>125.65573289999999</v>
      </c>
      <c r="AB196">
        <f t="shared" si="34"/>
        <v>196.19633699999997</v>
      </c>
      <c r="AC196" t="b">
        <f t="shared" ref="AC196:AC259" si="38">SUM(W196:Y196)=SUM(Z196:AB196)</f>
        <v>1</v>
      </c>
      <c r="AD196" t="b">
        <f t="shared" ref="AD196:AD259" si="39">SUM(R196:S196)*0.9 = SUM(W196:Y196)</f>
        <v>1</v>
      </c>
    </row>
    <row r="197" spans="1:30" x14ac:dyDescent="0.35">
      <c r="A197" t="s">
        <v>31</v>
      </c>
      <c r="B197">
        <v>8</v>
      </c>
      <c r="C197">
        <v>2</v>
      </c>
      <c r="D197" t="s">
        <v>32</v>
      </c>
      <c r="E197">
        <v>2</v>
      </c>
      <c r="F197">
        <v>1</v>
      </c>
      <c r="G197" s="16">
        <v>83</v>
      </c>
      <c r="H197" s="16">
        <v>21.937999999999999</v>
      </c>
      <c r="I197" s="16">
        <v>1015</v>
      </c>
      <c r="J197" s="16">
        <v>28.152999999999999</v>
      </c>
      <c r="K197" s="16">
        <v>63.183999999999997</v>
      </c>
      <c r="L197" s="16">
        <v>0.55700000000000005</v>
      </c>
      <c r="M197" s="23">
        <v>565.54</v>
      </c>
      <c r="N197" s="16">
        <v>10.944000000000001</v>
      </c>
      <c r="O197" s="17">
        <v>6.8140000000000001</v>
      </c>
      <c r="P197" s="18">
        <v>83</v>
      </c>
      <c r="Q197" s="18">
        <v>28.152999999999999</v>
      </c>
      <c r="R197" s="18">
        <v>131.44499999999999</v>
      </c>
      <c r="S197" s="18">
        <v>434.09500000000003</v>
      </c>
      <c r="T197" s="14" t="b">
        <f t="shared" si="30"/>
        <v>1</v>
      </c>
      <c r="U197" s="14" t="b">
        <f t="shared" si="31"/>
        <v>1</v>
      </c>
      <c r="V197" s="15">
        <f>VLOOKUP(IF(J197&lt;10, 10, IF(J197&gt;50,50,J197)),'Over to underbark'!$A$3:$C$43,IF(A197="Scots pine",3,IF(A197="Sitka spruce",2, "error")),TRUE)/100</f>
        <v>0.85</v>
      </c>
      <c r="W197">
        <f t="shared" si="35"/>
        <v>100.555425</v>
      </c>
      <c r="X197">
        <f t="shared" si="36"/>
        <v>332.08267500000005</v>
      </c>
      <c r="Y197">
        <f t="shared" si="37"/>
        <v>76.34790000000001</v>
      </c>
      <c r="Z197">
        <f t="shared" si="32"/>
        <v>183.47689350000002</v>
      </c>
      <c r="AA197">
        <f t="shared" si="33"/>
        <v>126.25950150000001</v>
      </c>
      <c r="AB197">
        <f t="shared" si="34"/>
        <v>199.24960500000003</v>
      </c>
      <c r="AC197" t="b">
        <f t="shared" si="38"/>
        <v>1</v>
      </c>
      <c r="AD197" t="b">
        <f t="shared" si="39"/>
        <v>1</v>
      </c>
    </row>
    <row r="198" spans="1:30" x14ac:dyDescent="0.35">
      <c r="A198" t="s">
        <v>31</v>
      </c>
      <c r="B198">
        <v>8</v>
      </c>
      <c r="C198">
        <v>2</v>
      </c>
      <c r="D198" t="s">
        <v>32</v>
      </c>
      <c r="E198">
        <v>2</v>
      </c>
      <c r="F198">
        <v>1</v>
      </c>
      <c r="G198" s="16">
        <v>84</v>
      </c>
      <c r="H198" s="16">
        <v>22.052</v>
      </c>
      <c r="I198" s="16">
        <v>1005</v>
      </c>
      <c r="J198" s="16">
        <v>28.34</v>
      </c>
      <c r="K198" s="16">
        <v>63.395000000000003</v>
      </c>
      <c r="L198" s="16">
        <v>0.56699999999999995</v>
      </c>
      <c r="M198" s="23">
        <v>570.16</v>
      </c>
      <c r="N198" s="16">
        <v>11.129</v>
      </c>
      <c r="O198" s="17">
        <v>6.7880000000000003</v>
      </c>
      <c r="P198" s="18">
        <v>84</v>
      </c>
      <c r="Q198" s="18">
        <v>28.34</v>
      </c>
      <c r="R198" s="18">
        <v>129.596</v>
      </c>
      <c r="S198" s="18">
        <v>440.56400000000002</v>
      </c>
      <c r="T198" s="14" t="b">
        <f t="shared" si="30"/>
        <v>1</v>
      </c>
      <c r="U198" s="14" t="b">
        <f t="shared" si="31"/>
        <v>1</v>
      </c>
      <c r="V198" s="15">
        <f>VLOOKUP(IF(J198&lt;10, 10, IF(J198&gt;50,50,J198)),'Over to underbark'!$A$3:$C$43,IF(A198="Scots pine",3,IF(A198="Sitka spruce",2, "error")),TRUE)/100</f>
        <v>0.85</v>
      </c>
      <c r="W198">
        <f t="shared" si="35"/>
        <v>99.140940000000001</v>
      </c>
      <c r="X198">
        <f t="shared" si="36"/>
        <v>337.03146000000004</v>
      </c>
      <c r="Y198">
        <f t="shared" si="37"/>
        <v>76.971600000000024</v>
      </c>
      <c r="Z198">
        <f t="shared" si="32"/>
        <v>184.03665480000004</v>
      </c>
      <c r="AA198">
        <f t="shared" si="33"/>
        <v>126.8884692</v>
      </c>
      <c r="AB198">
        <f t="shared" si="34"/>
        <v>202.21887600000002</v>
      </c>
      <c r="AC198" t="b">
        <f t="shared" si="38"/>
        <v>1</v>
      </c>
      <c r="AD198" t="b">
        <f t="shared" si="39"/>
        <v>1</v>
      </c>
    </row>
    <row r="199" spans="1:30" x14ac:dyDescent="0.35">
      <c r="A199" t="s">
        <v>31</v>
      </c>
      <c r="B199">
        <v>8</v>
      </c>
      <c r="C199">
        <v>2</v>
      </c>
      <c r="D199" t="s">
        <v>32</v>
      </c>
      <c r="E199">
        <v>2</v>
      </c>
      <c r="F199">
        <v>1</v>
      </c>
      <c r="G199" s="16">
        <v>85</v>
      </c>
      <c r="H199" s="16">
        <v>22.166</v>
      </c>
      <c r="I199" s="16">
        <v>994</v>
      </c>
      <c r="J199" s="16">
        <v>28.538</v>
      </c>
      <c r="K199" s="16">
        <v>63.604999999999997</v>
      </c>
      <c r="L199" s="16">
        <v>0.57799999999999996</v>
      </c>
      <c r="M199" s="23">
        <v>574.78</v>
      </c>
      <c r="N199" s="16">
        <v>11.31</v>
      </c>
      <c r="O199" s="17">
        <v>6.7619999999999996</v>
      </c>
      <c r="P199" s="18">
        <v>85</v>
      </c>
      <c r="Q199" s="18">
        <v>28.538</v>
      </c>
      <c r="R199" s="18">
        <v>127.589</v>
      </c>
      <c r="S199" s="18">
        <v>447.19099999999997</v>
      </c>
      <c r="T199" s="14" t="b">
        <f t="shared" ref="T199:T215" si="40">G199=P199</f>
        <v>1</v>
      </c>
      <c r="U199" s="14" t="b">
        <f t="shared" ref="U199:U215" si="41">J199=Q199</f>
        <v>1</v>
      </c>
      <c r="V199" s="15">
        <f>VLOOKUP(IF(J199&lt;10, 10, IF(J199&gt;50,50,J199)),'Over to underbark'!$A$3:$C$43,IF(A199="Scots pine",3,IF(A199="Sitka spruce",2, "error")),TRUE)/100</f>
        <v>0.85</v>
      </c>
      <c r="W199">
        <f t="shared" si="35"/>
        <v>97.605585000000005</v>
      </c>
      <c r="X199">
        <f t="shared" si="36"/>
        <v>342.10111499999999</v>
      </c>
      <c r="Y199">
        <f t="shared" si="37"/>
        <v>77.595300000000009</v>
      </c>
      <c r="Z199">
        <f t="shared" si="32"/>
        <v>184.54565070000001</v>
      </c>
      <c r="AA199">
        <f t="shared" si="33"/>
        <v>127.4956803</v>
      </c>
      <c r="AB199">
        <f t="shared" si="34"/>
        <v>205.26066899999998</v>
      </c>
      <c r="AC199" t="b">
        <f t="shared" si="38"/>
        <v>1</v>
      </c>
      <c r="AD199" t="b">
        <f t="shared" si="39"/>
        <v>1</v>
      </c>
    </row>
    <row r="200" spans="1:30" x14ac:dyDescent="0.35">
      <c r="A200" t="s">
        <v>31</v>
      </c>
      <c r="B200">
        <v>8</v>
      </c>
      <c r="C200">
        <v>2</v>
      </c>
      <c r="D200" t="s">
        <v>32</v>
      </c>
      <c r="E200">
        <v>2</v>
      </c>
      <c r="F200">
        <v>1</v>
      </c>
      <c r="G200" s="16">
        <v>86</v>
      </c>
      <c r="H200" s="16">
        <v>22.28</v>
      </c>
      <c r="I200" s="16">
        <v>984</v>
      </c>
      <c r="J200" s="16">
        <v>28.74</v>
      </c>
      <c r="K200" s="16">
        <v>63.814999999999998</v>
      </c>
      <c r="L200" s="16">
        <v>0.58899999999999997</v>
      </c>
      <c r="M200" s="23">
        <v>579.4</v>
      </c>
      <c r="N200" s="16">
        <v>11.488</v>
      </c>
      <c r="O200" s="17">
        <v>6.7370000000000001</v>
      </c>
      <c r="P200" s="18">
        <v>86</v>
      </c>
      <c r="Q200" s="18">
        <v>28.74</v>
      </c>
      <c r="R200" s="18">
        <v>125.538</v>
      </c>
      <c r="S200" s="18">
        <v>453.86200000000002</v>
      </c>
      <c r="T200" s="14" t="b">
        <f t="shared" si="40"/>
        <v>1</v>
      </c>
      <c r="U200" s="14" t="b">
        <f t="shared" si="41"/>
        <v>1</v>
      </c>
      <c r="V200" s="15">
        <f>VLOOKUP(IF(J200&lt;10, 10, IF(J200&gt;50,50,J200)),'Over to underbark'!$A$3:$C$43,IF(A200="Scots pine",3,IF(A200="Sitka spruce",2, "error")),TRUE)/100</f>
        <v>0.85</v>
      </c>
      <c r="W200">
        <f t="shared" si="35"/>
        <v>96.036569999999998</v>
      </c>
      <c r="X200">
        <f t="shared" si="36"/>
        <v>347.20443000000006</v>
      </c>
      <c r="Y200">
        <f t="shared" si="37"/>
        <v>78.219000000000023</v>
      </c>
      <c r="Z200">
        <f t="shared" si="32"/>
        <v>185.04050940000002</v>
      </c>
      <c r="AA200">
        <f t="shared" si="33"/>
        <v>128.09683260000003</v>
      </c>
      <c r="AB200">
        <f t="shared" si="34"/>
        <v>208.32265800000002</v>
      </c>
      <c r="AC200" t="b">
        <f t="shared" si="38"/>
        <v>1</v>
      </c>
      <c r="AD200" t="b">
        <f t="shared" si="39"/>
        <v>1</v>
      </c>
    </row>
    <row r="201" spans="1:30" x14ac:dyDescent="0.35">
      <c r="A201" t="s">
        <v>31</v>
      </c>
      <c r="B201">
        <v>8</v>
      </c>
      <c r="C201">
        <v>2</v>
      </c>
      <c r="D201" t="s">
        <v>32</v>
      </c>
      <c r="E201">
        <v>2</v>
      </c>
      <c r="F201">
        <v>1</v>
      </c>
      <c r="G201" s="16">
        <v>87</v>
      </c>
      <c r="H201" s="16">
        <v>22.378</v>
      </c>
      <c r="I201" s="16">
        <v>976</v>
      </c>
      <c r="J201" s="16">
        <v>28.9</v>
      </c>
      <c r="K201" s="16">
        <v>63.997999999999998</v>
      </c>
      <c r="L201" s="16">
        <v>0.59799999999999998</v>
      </c>
      <c r="M201" s="23">
        <v>583.02</v>
      </c>
      <c r="N201" s="16">
        <v>11.685</v>
      </c>
      <c r="O201" s="17">
        <v>6.7009999999999996</v>
      </c>
      <c r="P201" s="18">
        <v>87</v>
      </c>
      <c r="Q201" s="18">
        <v>28.9</v>
      </c>
      <c r="R201" s="18">
        <v>123.917</v>
      </c>
      <c r="S201" s="18">
        <v>459.10300000000001</v>
      </c>
      <c r="T201" s="14" t="b">
        <f t="shared" si="40"/>
        <v>1</v>
      </c>
      <c r="U201" s="14" t="b">
        <f t="shared" si="41"/>
        <v>1</v>
      </c>
      <c r="V201" s="15">
        <f>VLOOKUP(IF(J201&lt;10, 10, IF(J201&gt;50,50,J201)),'Over to underbark'!$A$3:$C$43,IF(A201="Scots pine",3,IF(A201="Sitka spruce",2, "error")),TRUE)/100</f>
        <v>0.85</v>
      </c>
      <c r="W201">
        <f t="shared" si="35"/>
        <v>94.796504999999996</v>
      </c>
      <c r="X201">
        <f t="shared" si="36"/>
        <v>351.213795</v>
      </c>
      <c r="Y201">
        <f t="shared" si="37"/>
        <v>78.707700000000003</v>
      </c>
      <c r="Z201">
        <f t="shared" si="32"/>
        <v>185.4237771</v>
      </c>
      <c r="AA201">
        <f t="shared" si="33"/>
        <v>128.5659459</v>
      </c>
      <c r="AB201">
        <f t="shared" si="34"/>
        <v>210.72827699999999</v>
      </c>
      <c r="AC201" t="b">
        <f t="shared" si="38"/>
        <v>1</v>
      </c>
      <c r="AD201" t="b">
        <f t="shared" si="39"/>
        <v>1</v>
      </c>
    </row>
    <row r="202" spans="1:30" x14ac:dyDescent="0.35">
      <c r="A202" t="s">
        <v>31</v>
      </c>
      <c r="B202">
        <v>8</v>
      </c>
      <c r="C202">
        <v>2</v>
      </c>
      <c r="D202" t="s">
        <v>32</v>
      </c>
      <c r="E202">
        <v>2</v>
      </c>
      <c r="F202">
        <v>1</v>
      </c>
      <c r="G202" s="16">
        <v>88</v>
      </c>
      <c r="H202" s="16">
        <v>22.475999999999999</v>
      </c>
      <c r="I202" s="16">
        <v>968</v>
      </c>
      <c r="J202" s="16">
        <v>29.062999999999999</v>
      </c>
      <c r="K202" s="16">
        <v>64.180999999999997</v>
      </c>
      <c r="L202" s="16">
        <v>0.60599999999999998</v>
      </c>
      <c r="M202" s="23">
        <v>586.64</v>
      </c>
      <c r="N202" s="16">
        <v>11.879</v>
      </c>
      <c r="O202" s="17">
        <v>6.6660000000000004</v>
      </c>
      <c r="P202" s="18">
        <v>88</v>
      </c>
      <c r="Q202" s="18">
        <v>29.062999999999999</v>
      </c>
      <c r="R202" s="18">
        <v>122.26300000000001</v>
      </c>
      <c r="S202" s="18">
        <v>464.37700000000001</v>
      </c>
      <c r="T202" s="14" t="b">
        <f t="shared" si="40"/>
        <v>1</v>
      </c>
      <c r="U202" s="14" t="b">
        <f t="shared" si="41"/>
        <v>1</v>
      </c>
      <c r="V202" s="15">
        <f>VLOOKUP(IF(J202&lt;10, 10, IF(J202&gt;50,50,J202)),'Over to underbark'!$A$3:$C$43,IF(A202="Scots pine",3,IF(A202="Sitka spruce",2, "error")),TRUE)/100</f>
        <v>0.85</v>
      </c>
      <c r="W202">
        <f t="shared" si="35"/>
        <v>93.531195000000011</v>
      </c>
      <c r="X202">
        <f t="shared" si="36"/>
        <v>355.24840499999999</v>
      </c>
      <c r="Y202">
        <f t="shared" si="37"/>
        <v>79.196400000000011</v>
      </c>
      <c r="Z202">
        <f t="shared" si="32"/>
        <v>185.79644190000002</v>
      </c>
      <c r="AA202">
        <f t="shared" si="33"/>
        <v>129.0305151</v>
      </c>
      <c r="AB202">
        <f t="shared" si="34"/>
        <v>213.14904299999998</v>
      </c>
      <c r="AC202" t="b">
        <f t="shared" si="38"/>
        <v>1</v>
      </c>
      <c r="AD202" t="b">
        <f t="shared" si="39"/>
        <v>1</v>
      </c>
    </row>
    <row r="203" spans="1:30" x14ac:dyDescent="0.35">
      <c r="A203" t="s">
        <v>31</v>
      </c>
      <c r="B203">
        <v>8</v>
      </c>
      <c r="C203">
        <v>2</v>
      </c>
      <c r="D203" t="s">
        <v>32</v>
      </c>
      <c r="E203">
        <v>2</v>
      </c>
      <c r="F203">
        <v>1</v>
      </c>
      <c r="G203" s="16">
        <v>89</v>
      </c>
      <c r="H203" s="16">
        <v>22.574000000000002</v>
      </c>
      <c r="I203" s="16">
        <v>959</v>
      </c>
      <c r="J203" s="16">
        <v>29.225999999999999</v>
      </c>
      <c r="K203" s="16">
        <v>64.364000000000004</v>
      </c>
      <c r="L203" s="16">
        <v>0.61499999999999999</v>
      </c>
      <c r="M203" s="23">
        <v>590.26</v>
      </c>
      <c r="N203" s="16">
        <v>12.069000000000001</v>
      </c>
      <c r="O203" s="17">
        <v>6.6319999999999997</v>
      </c>
      <c r="P203" s="18">
        <v>89</v>
      </c>
      <c r="Q203" s="18">
        <v>29.225999999999999</v>
      </c>
      <c r="R203" s="18">
        <v>120.622</v>
      </c>
      <c r="S203" s="18">
        <v>469.63799999999998</v>
      </c>
      <c r="T203" s="14" t="b">
        <f t="shared" si="40"/>
        <v>1</v>
      </c>
      <c r="U203" s="14" t="b">
        <f t="shared" si="41"/>
        <v>1</v>
      </c>
      <c r="V203" s="15">
        <f>VLOOKUP(IF(J203&lt;10, 10, IF(J203&gt;50,50,J203)),'Over to underbark'!$A$3:$C$43,IF(A203="Scots pine",3,IF(A203="Sitka spruce",2, "error")),TRUE)/100</f>
        <v>0.85</v>
      </c>
      <c r="W203">
        <f t="shared" si="35"/>
        <v>92.275829999999999</v>
      </c>
      <c r="X203">
        <f t="shared" si="36"/>
        <v>359.27306999999996</v>
      </c>
      <c r="Y203">
        <f t="shared" si="37"/>
        <v>79.68510000000002</v>
      </c>
      <c r="Z203">
        <f t="shared" si="32"/>
        <v>186.17328359999999</v>
      </c>
      <c r="AA203">
        <f t="shared" si="33"/>
        <v>129.4968744</v>
      </c>
      <c r="AB203">
        <f t="shared" si="34"/>
        <v>215.56384199999997</v>
      </c>
      <c r="AC203" t="b">
        <f t="shared" si="38"/>
        <v>1</v>
      </c>
      <c r="AD203" t="b">
        <f t="shared" si="39"/>
        <v>1</v>
      </c>
    </row>
    <row r="204" spans="1:30" x14ac:dyDescent="0.35">
      <c r="A204" t="s">
        <v>31</v>
      </c>
      <c r="B204">
        <v>8</v>
      </c>
      <c r="C204">
        <v>2</v>
      </c>
      <c r="D204" t="s">
        <v>32</v>
      </c>
      <c r="E204">
        <v>2</v>
      </c>
      <c r="F204">
        <v>1</v>
      </c>
      <c r="G204" s="16">
        <v>90</v>
      </c>
      <c r="H204" s="16">
        <v>22.672000000000001</v>
      </c>
      <c r="I204" s="16">
        <v>951</v>
      </c>
      <c r="J204" s="16">
        <v>29.391999999999999</v>
      </c>
      <c r="K204" s="16">
        <v>64.546999999999997</v>
      </c>
      <c r="L204" s="16">
        <v>0.624</v>
      </c>
      <c r="M204" s="23">
        <v>593.88</v>
      </c>
      <c r="N204" s="16">
        <v>12.257</v>
      </c>
      <c r="O204" s="17">
        <v>6.5990000000000002</v>
      </c>
      <c r="P204" s="18">
        <v>90</v>
      </c>
      <c r="Q204" s="18">
        <v>29.391999999999999</v>
      </c>
      <c r="R204" s="18">
        <v>118.95</v>
      </c>
      <c r="S204" s="18">
        <v>474.93</v>
      </c>
      <c r="T204" s="14" t="b">
        <f t="shared" si="40"/>
        <v>1</v>
      </c>
      <c r="U204" s="14" t="b">
        <f t="shared" si="41"/>
        <v>1</v>
      </c>
      <c r="V204" s="15">
        <f>VLOOKUP(IF(J204&lt;10, 10, IF(J204&gt;50,50,J204)),'Over to underbark'!$A$3:$C$43,IF(A204="Scots pine",3,IF(A204="Sitka spruce",2, "error")),TRUE)/100</f>
        <v>0.85</v>
      </c>
      <c r="W204">
        <f t="shared" si="35"/>
        <v>90.996750000000006</v>
      </c>
      <c r="X204">
        <f t="shared" si="36"/>
        <v>363.32145000000003</v>
      </c>
      <c r="Y204">
        <f t="shared" si="37"/>
        <v>80.1738</v>
      </c>
      <c r="Z204">
        <f t="shared" si="32"/>
        <v>186.540165</v>
      </c>
      <c r="AA204">
        <f t="shared" si="33"/>
        <v>129.95896500000001</v>
      </c>
      <c r="AB204">
        <f t="shared" si="34"/>
        <v>217.99287000000001</v>
      </c>
      <c r="AC204" t="b">
        <f t="shared" si="38"/>
        <v>1</v>
      </c>
      <c r="AD204" t="b">
        <f t="shared" si="39"/>
        <v>1</v>
      </c>
    </row>
    <row r="205" spans="1:30" x14ac:dyDescent="0.35">
      <c r="A205" t="s">
        <v>31</v>
      </c>
      <c r="B205">
        <v>8</v>
      </c>
      <c r="C205">
        <v>2</v>
      </c>
      <c r="D205" t="s">
        <v>32</v>
      </c>
      <c r="E205">
        <v>2</v>
      </c>
      <c r="F205">
        <v>1</v>
      </c>
      <c r="G205" s="16">
        <v>91</v>
      </c>
      <c r="H205" s="16">
        <v>22.77</v>
      </c>
      <c r="I205" s="16">
        <v>943</v>
      </c>
      <c r="J205" s="16">
        <v>29.56</v>
      </c>
      <c r="K205" s="16">
        <v>64.73</v>
      </c>
      <c r="L205" s="16">
        <v>0.63300000000000001</v>
      </c>
      <c r="M205" s="23">
        <v>597.5</v>
      </c>
      <c r="N205" s="16">
        <v>12.441000000000001</v>
      </c>
      <c r="O205" s="17">
        <v>6.5659999999999998</v>
      </c>
      <c r="P205" s="18">
        <v>91</v>
      </c>
      <c r="Q205" s="18">
        <v>29.56</v>
      </c>
      <c r="R205" s="18">
        <v>117.265</v>
      </c>
      <c r="S205" s="18">
        <v>480.23500000000001</v>
      </c>
      <c r="T205" s="14" t="b">
        <f t="shared" si="40"/>
        <v>1</v>
      </c>
      <c r="U205" s="14" t="b">
        <f t="shared" si="41"/>
        <v>1</v>
      </c>
      <c r="V205" s="15">
        <f>VLOOKUP(IF(J205&lt;10, 10, IF(J205&gt;50,50,J205)),'Over to underbark'!$A$3:$C$43,IF(A205="Scots pine",3,IF(A205="Sitka spruce",2, "error")),TRUE)/100</f>
        <v>0.85</v>
      </c>
      <c r="W205">
        <f t="shared" si="35"/>
        <v>89.707724999999996</v>
      </c>
      <c r="X205">
        <f t="shared" si="36"/>
        <v>367.379775</v>
      </c>
      <c r="Y205">
        <f t="shared" si="37"/>
        <v>80.662500000000009</v>
      </c>
      <c r="Z205">
        <f t="shared" si="32"/>
        <v>186.90286950000001</v>
      </c>
      <c r="AA205">
        <f t="shared" si="33"/>
        <v>130.41926549999999</v>
      </c>
      <c r="AB205">
        <f t="shared" si="34"/>
        <v>220.427865</v>
      </c>
      <c r="AC205" t="b">
        <f t="shared" si="38"/>
        <v>1</v>
      </c>
      <c r="AD205" t="b">
        <f t="shared" si="39"/>
        <v>1</v>
      </c>
    </row>
    <row r="206" spans="1:30" x14ac:dyDescent="0.35">
      <c r="A206" t="s">
        <v>31</v>
      </c>
      <c r="B206">
        <v>8</v>
      </c>
      <c r="C206">
        <v>2</v>
      </c>
      <c r="D206" t="s">
        <v>32</v>
      </c>
      <c r="E206">
        <v>2</v>
      </c>
      <c r="F206">
        <v>1</v>
      </c>
      <c r="G206" s="16">
        <v>92</v>
      </c>
      <c r="H206" s="16">
        <v>22.852</v>
      </c>
      <c r="I206" s="16">
        <v>936</v>
      </c>
      <c r="J206" s="16">
        <v>29.702999999999999</v>
      </c>
      <c r="K206" s="16">
        <v>64.894000000000005</v>
      </c>
      <c r="L206" s="16">
        <v>0.64100000000000001</v>
      </c>
      <c r="M206" s="23">
        <v>600.52</v>
      </c>
      <c r="N206" s="16">
        <v>12.616</v>
      </c>
      <c r="O206" s="17">
        <v>6.5270000000000001</v>
      </c>
      <c r="P206" s="18">
        <v>92</v>
      </c>
      <c r="Q206" s="18">
        <v>29.702999999999999</v>
      </c>
      <c r="R206" s="18">
        <v>115.83</v>
      </c>
      <c r="S206" s="18">
        <v>484.69</v>
      </c>
      <c r="T206" s="14" t="b">
        <f t="shared" si="40"/>
        <v>1</v>
      </c>
      <c r="U206" s="14" t="b">
        <f t="shared" si="41"/>
        <v>1</v>
      </c>
      <c r="V206" s="15">
        <f>VLOOKUP(IF(J206&lt;10, 10, IF(J206&gt;50,50,J206)),'Over to underbark'!$A$3:$C$43,IF(A206="Scots pine",3,IF(A206="Sitka spruce",2, "error")),TRUE)/100</f>
        <v>0.85</v>
      </c>
      <c r="W206">
        <f t="shared" si="35"/>
        <v>88.609949999999998</v>
      </c>
      <c r="X206">
        <f t="shared" si="36"/>
        <v>370.78784999999999</v>
      </c>
      <c r="Y206">
        <f t="shared" si="37"/>
        <v>81.0702</v>
      </c>
      <c r="Z206">
        <f t="shared" si="32"/>
        <v>187.19604899999999</v>
      </c>
      <c r="AA206">
        <f t="shared" si="33"/>
        <v>130.79924099999999</v>
      </c>
      <c r="AB206">
        <f t="shared" si="34"/>
        <v>222.47270999999998</v>
      </c>
      <c r="AC206" t="b">
        <f t="shared" si="38"/>
        <v>1</v>
      </c>
      <c r="AD206" t="b">
        <f t="shared" si="39"/>
        <v>1</v>
      </c>
    </row>
    <row r="207" spans="1:30" x14ac:dyDescent="0.35">
      <c r="A207" t="s">
        <v>31</v>
      </c>
      <c r="B207">
        <v>8</v>
      </c>
      <c r="C207">
        <v>2</v>
      </c>
      <c r="D207" t="s">
        <v>32</v>
      </c>
      <c r="E207">
        <v>2</v>
      </c>
      <c r="F207">
        <v>1</v>
      </c>
      <c r="G207" s="16">
        <v>93</v>
      </c>
      <c r="H207" s="16">
        <v>22.934000000000001</v>
      </c>
      <c r="I207" s="16">
        <v>930</v>
      </c>
      <c r="J207" s="16">
        <v>29.847999999999999</v>
      </c>
      <c r="K207" s="16">
        <v>65.058999999999997</v>
      </c>
      <c r="L207" s="16">
        <v>0.64900000000000002</v>
      </c>
      <c r="M207" s="23">
        <v>603.54</v>
      </c>
      <c r="N207" s="16">
        <v>12.788</v>
      </c>
      <c r="O207" s="17">
        <v>6.49</v>
      </c>
      <c r="P207" s="18">
        <v>93</v>
      </c>
      <c r="Q207" s="18">
        <v>29.847999999999999</v>
      </c>
      <c r="R207" s="18">
        <v>114.379</v>
      </c>
      <c r="S207" s="18">
        <v>489.161</v>
      </c>
      <c r="T207" s="14" t="b">
        <f t="shared" si="40"/>
        <v>1</v>
      </c>
      <c r="U207" s="14" t="b">
        <f t="shared" si="41"/>
        <v>1</v>
      </c>
      <c r="V207" s="15">
        <f>VLOOKUP(IF(J207&lt;10, 10, IF(J207&gt;50,50,J207)),'Over to underbark'!$A$3:$C$43,IF(A207="Scots pine",3,IF(A207="Sitka spruce",2, "error")),TRUE)/100</f>
        <v>0.85</v>
      </c>
      <c r="W207">
        <f t="shared" si="35"/>
        <v>87.499935000000008</v>
      </c>
      <c r="X207">
        <f t="shared" si="36"/>
        <v>374.20816500000001</v>
      </c>
      <c r="Y207">
        <f t="shared" si="37"/>
        <v>81.47790000000002</v>
      </c>
      <c r="Z207">
        <f t="shared" si="32"/>
        <v>187.48408770000003</v>
      </c>
      <c r="AA207">
        <f t="shared" si="33"/>
        <v>131.1770133</v>
      </c>
      <c r="AB207">
        <f t="shared" si="34"/>
        <v>224.524899</v>
      </c>
      <c r="AC207" t="b">
        <f t="shared" si="38"/>
        <v>1</v>
      </c>
      <c r="AD207" t="b">
        <f t="shared" si="39"/>
        <v>1</v>
      </c>
    </row>
    <row r="208" spans="1:30" x14ac:dyDescent="0.35">
      <c r="A208" t="s">
        <v>31</v>
      </c>
      <c r="B208">
        <v>8</v>
      </c>
      <c r="C208">
        <v>2</v>
      </c>
      <c r="D208" t="s">
        <v>32</v>
      </c>
      <c r="E208">
        <v>2</v>
      </c>
      <c r="F208">
        <v>1</v>
      </c>
      <c r="G208" s="16">
        <v>94</v>
      </c>
      <c r="H208" s="16">
        <v>23.015999999999998</v>
      </c>
      <c r="I208" s="16">
        <v>923</v>
      </c>
      <c r="J208" s="16">
        <v>29.994</v>
      </c>
      <c r="K208" s="16">
        <v>65.222999999999999</v>
      </c>
      <c r="L208" s="16">
        <v>0.65700000000000003</v>
      </c>
      <c r="M208" s="23">
        <v>606.55999999999995</v>
      </c>
      <c r="N208" s="16">
        <v>12.958</v>
      </c>
      <c r="O208" s="17">
        <v>6.4530000000000003</v>
      </c>
      <c r="P208" s="18">
        <v>94</v>
      </c>
      <c r="Q208" s="18">
        <v>29.994</v>
      </c>
      <c r="R208" s="18">
        <v>112.92700000000001</v>
      </c>
      <c r="S208" s="18">
        <v>493.63299999999998</v>
      </c>
      <c r="T208" s="14" t="b">
        <f t="shared" si="40"/>
        <v>1</v>
      </c>
      <c r="U208" s="14" t="b">
        <f t="shared" si="41"/>
        <v>1</v>
      </c>
      <c r="V208" s="15">
        <f>VLOOKUP(IF(J208&lt;10, 10, IF(J208&gt;50,50,J208)),'Over to underbark'!$A$3:$C$43,IF(A208="Scots pine",3,IF(A208="Sitka spruce",2, "error")),TRUE)/100</f>
        <v>0.85</v>
      </c>
      <c r="W208">
        <f t="shared" si="35"/>
        <v>86.389155000000002</v>
      </c>
      <c r="X208">
        <f t="shared" si="36"/>
        <v>377.62924499999997</v>
      </c>
      <c r="Y208">
        <f t="shared" si="37"/>
        <v>81.885600000000011</v>
      </c>
      <c r="Z208">
        <f t="shared" si="32"/>
        <v>187.77180509999999</v>
      </c>
      <c r="AA208">
        <f t="shared" si="33"/>
        <v>131.55464789999999</v>
      </c>
      <c r="AB208">
        <f t="shared" si="34"/>
        <v>226.57754699999998</v>
      </c>
      <c r="AC208" t="b">
        <f t="shared" si="38"/>
        <v>1</v>
      </c>
      <c r="AD208" t="b">
        <f t="shared" si="39"/>
        <v>1</v>
      </c>
    </row>
    <row r="209" spans="1:30" x14ac:dyDescent="0.35">
      <c r="A209" t="s">
        <v>31</v>
      </c>
      <c r="B209">
        <v>8</v>
      </c>
      <c r="C209">
        <v>2</v>
      </c>
      <c r="D209" t="s">
        <v>32</v>
      </c>
      <c r="E209">
        <v>2</v>
      </c>
      <c r="F209">
        <v>1</v>
      </c>
      <c r="G209" s="16">
        <v>95</v>
      </c>
      <c r="H209" s="16">
        <v>23.097999999999999</v>
      </c>
      <c r="I209" s="16">
        <v>916</v>
      </c>
      <c r="J209" s="16">
        <v>30.140999999999998</v>
      </c>
      <c r="K209" s="16">
        <v>65.388000000000005</v>
      </c>
      <c r="L209" s="16">
        <v>0.66500000000000004</v>
      </c>
      <c r="M209" s="23">
        <v>609.58000000000004</v>
      </c>
      <c r="N209" s="16">
        <v>13.125999999999999</v>
      </c>
      <c r="O209" s="17">
        <v>6.4169999999999998</v>
      </c>
      <c r="P209" s="18">
        <v>95</v>
      </c>
      <c r="Q209" s="18">
        <v>30.140999999999998</v>
      </c>
      <c r="R209" s="18">
        <v>111.473</v>
      </c>
      <c r="S209" s="18">
        <v>498.10700000000003</v>
      </c>
      <c r="T209" s="14" t="b">
        <f t="shared" si="40"/>
        <v>1</v>
      </c>
      <c r="U209" s="14" t="b">
        <f t="shared" si="41"/>
        <v>1</v>
      </c>
      <c r="V209" s="15">
        <f>VLOOKUP(IF(J209&lt;10, 10, IF(J209&gt;50,50,J209)),'Over to underbark'!$A$3:$C$43,IF(A209="Scots pine",3,IF(A209="Sitka spruce",2, "error")),TRUE)/100</f>
        <v>0.85</v>
      </c>
      <c r="W209">
        <f t="shared" si="35"/>
        <v>85.276844999999994</v>
      </c>
      <c r="X209">
        <f t="shared" si="36"/>
        <v>381.05185499999999</v>
      </c>
      <c r="Y209">
        <f t="shared" si="37"/>
        <v>82.293300000000016</v>
      </c>
      <c r="Z209">
        <f t="shared" si="32"/>
        <v>188.05887990000002</v>
      </c>
      <c r="AA209">
        <f t="shared" si="33"/>
        <v>131.93200709999999</v>
      </c>
      <c r="AB209">
        <f t="shared" si="34"/>
        <v>228.631113</v>
      </c>
      <c r="AC209" t="b">
        <f t="shared" si="38"/>
        <v>1</v>
      </c>
      <c r="AD209" t="b">
        <f t="shared" si="39"/>
        <v>1</v>
      </c>
    </row>
    <row r="210" spans="1:30" x14ac:dyDescent="0.35">
      <c r="A210" t="s">
        <v>31</v>
      </c>
      <c r="B210">
        <v>8</v>
      </c>
      <c r="C210">
        <v>2</v>
      </c>
      <c r="D210" t="s">
        <v>32</v>
      </c>
      <c r="E210">
        <v>2</v>
      </c>
      <c r="F210">
        <v>1</v>
      </c>
      <c r="G210" s="16">
        <v>96</v>
      </c>
      <c r="H210" s="16">
        <v>23.18</v>
      </c>
      <c r="I210" s="16">
        <v>910</v>
      </c>
      <c r="J210" s="16">
        <v>30.29</v>
      </c>
      <c r="K210" s="16">
        <v>65.552000000000007</v>
      </c>
      <c r="L210" s="16">
        <v>0.67300000000000004</v>
      </c>
      <c r="M210" s="23">
        <v>612.6</v>
      </c>
      <c r="N210" s="16">
        <v>13.291</v>
      </c>
      <c r="O210" s="17">
        <v>6.3810000000000002</v>
      </c>
      <c r="P210" s="18">
        <v>96</v>
      </c>
      <c r="Q210" s="18">
        <v>30.29</v>
      </c>
      <c r="R210" s="18">
        <v>110.005</v>
      </c>
      <c r="S210" s="18">
        <v>502.59500000000003</v>
      </c>
      <c r="T210" s="14" t="b">
        <f t="shared" si="40"/>
        <v>1</v>
      </c>
      <c r="U210" s="14" t="b">
        <f t="shared" si="41"/>
        <v>1</v>
      </c>
      <c r="V210" s="15">
        <f>VLOOKUP(IF(J210&lt;10, 10, IF(J210&gt;50,50,J210)),'Over to underbark'!$A$3:$C$43,IF(A210="Scots pine",3,IF(A210="Sitka spruce",2, "error")),TRUE)/100</f>
        <v>0.85</v>
      </c>
      <c r="W210">
        <f t="shared" si="35"/>
        <v>84.153824999999998</v>
      </c>
      <c r="X210">
        <f t="shared" si="36"/>
        <v>384.48517500000003</v>
      </c>
      <c r="Y210">
        <f t="shared" si="37"/>
        <v>82.701000000000022</v>
      </c>
      <c r="Z210">
        <f t="shared" si="32"/>
        <v>188.34145650000002</v>
      </c>
      <c r="AA210">
        <f t="shared" si="33"/>
        <v>132.30743849999999</v>
      </c>
      <c r="AB210">
        <f t="shared" si="34"/>
        <v>230.69110499999999</v>
      </c>
      <c r="AC210" t="b">
        <f t="shared" si="38"/>
        <v>1</v>
      </c>
      <c r="AD210" t="b">
        <f t="shared" si="39"/>
        <v>1</v>
      </c>
    </row>
    <row r="211" spans="1:30" x14ac:dyDescent="0.35">
      <c r="A211" t="s">
        <v>31</v>
      </c>
      <c r="B211">
        <v>8</v>
      </c>
      <c r="C211">
        <v>2</v>
      </c>
      <c r="D211" t="s">
        <v>32</v>
      </c>
      <c r="E211">
        <v>2</v>
      </c>
      <c r="F211">
        <v>1</v>
      </c>
      <c r="G211" s="16">
        <v>97</v>
      </c>
      <c r="H211" s="16">
        <v>23.244</v>
      </c>
      <c r="I211" s="16">
        <v>904</v>
      </c>
      <c r="J211" s="16">
        <v>30.411999999999999</v>
      </c>
      <c r="K211" s="16">
        <v>65.688999999999993</v>
      </c>
      <c r="L211" s="16">
        <v>0.68</v>
      </c>
      <c r="M211" s="23">
        <v>614.91999999999996</v>
      </c>
      <c r="N211" s="16">
        <v>13.455</v>
      </c>
      <c r="O211" s="17">
        <v>6.3390000000000004</v>
      </c>
      <c r="P211" s="18">
        <v>97</v>
      </c>
      <c r="Q211" s="18">
        <v>30.411999999999999</v>
      </c>
      <c r="R211" s="18">
        <v>108.78700000000001</v>
      </c>
      <c r="S211" s="18">
        <v>506.13299999999998</v>
      </c>
      <c r="T211" s="14" t="b">
        <f t="shared" si="40"/>
        <v>1</v>
      </c>
      <c r="U211" s="14" t="b">
        <f t="shared" si="41"/>
        <v>1</v>
      </c>
      <c r="V211" s="15">
        <f>VLOOKUP(IF(J211&lt;10, 10, IF(J211&gt;50,50,J211)),'Over to underbark'!$A$3:$C$43,IF(A211="Scots pine",3,IF(A211="Sitka spruce",2, "error")),TRUE)/100</f>
        <v>0.85</v>
      </c>
      <c r="W211">
        <f t="shared" si="35"/>
        <v>83.222055000000012</v>
      </c>
      <c r="X211">
        <f t="shared" si="36"/>
        <v>387.19174499999997</v>
      </c>
      <c r="Y211">
        <f t="shared" si="37"/>
        <v>83.014200000000017</v>
      </c>
      <c r="Z211">
        <f t="shared" si="32"/>
        <v>188.52953310000001</v>
      </c>
      <c r="AA211">
        <f t="shared" si="33"/>
        <v>132.5834199</v>
      </c>
      <c r="AB211">
        <f t="shared" si="34"/>
        <v>232.31504699999996</v>
      </c>
      <c r="AC211" t="b">
        <f t="shared" si="38"/>
        <v>1</v>
      </c>
      <c r="AD211" t="b">
        <f t="shared" si="39"/>
        <v>1</v>
      </c>
    </row>
    <row r="212" spans="1:30" x14ac:dyDescent="0.35">
      <c r="A212" t="s">
        <v>31</v>
      </c>
      <c r="B212">
        <v>8</v>
      </c>
      <c r="C212">
        <v>2</v>
      </c>
      <c r="D212" t="s">
        <v>32</v>
      </c>
      <c r="E212">
        <v>2</v>
      </c>
      <c r="F212">
        <v>1</v>
      </c>
      <c r="G212" s="16">
        <v>98</v>
      </c>
      <c r="H212" s="16">
        <v>23.308</v>
      </c>
      <c r="I212" s="16">
        <v>899</v>
      </c>
      <c r="J212" s="16">
        <v>30.535</v>
      </c>
      <c r="K212" s="16">
        <v>65.825999999999993</v>
      </c>
      <c r="L212" s="16">
        <v>0.68700000000000006</v>
      </c>
      <c r="M212" s="23">
        <v>617.24</v>
      </c>
      <c r="N212" s="16">
        <v>13.617000000000001</v>
      </c>
      <c r="O212" s="17">
        <v>6.298</v>
      </c>
      <c r="P212" s="18">
        <v>98</v>
      </c>
      <c r="Q212" s="18">
        <v>30.535</v>
      </c>
      <c r="R212" s="18">
        <v>107.565</v>
      </c>
      <c r="S212" s="18">
        <v>509.67500000000001</v>
      </c>
      <c r="T212" s="14" t="b">
        <f t="shared" si="40"/>
        <v>1</v>
      </c>
      <c r="U212" s="14" t="b">
        <f t="shared" si="41"/>
        <v>1</v>
      </c>
      <c r="V212" s="15">
        <f>VLOOKUP(IF(J212&lt;10, 10, IF(J212&gt;50,50,J212)),'Over to underbark'!$A$3:$C$43,IF(A212="Scots pine",3,IF(A212="Sitka spruce",2, "error")),TRUE)/100</f>
        <v>0.85</v>
      </c>
      <c r="W212">
        <f t="shared" si="35"/>
        <v>82.287224999999992</v>
      </c>
      <c r="X212">
        <f t="shared" si="36"/>
        <v>389.90137500000003</v>
      </c>
      <c r="Y212">
        <f t="shared" si="37"/>
        <v>83.327400000000026</v>
      </c>
      <c r="Z212">
        <f t="shared" si="32"/>
        <v>188.71632450000001</v>
      </c>
      <c r="AA212">
        <f t="shared" si="33"/>
        <v>132.85885050000002</v>
      </c>
      <c r="AB212">
        <f t="shared" si="34"/>
        <v>233.94082500000002</v>
      </c>
      <c r="AC212" t="b">
        <f t="shared" si="38"/>
        <v>1</v>
      </c>
      <c r="AD212" t="b">
        <f t="shared" si="39"/>
        <v>1</v>
      </c>
    </row>
    <row r="213" spans="1:30" x14ac:dyDescent="0.35">
      <c r="A213" t="s">
        <v>31</v>
      </c>
      <c r="B213">
        <v>8</v>
      </c>
      <c r="C213">
        <v>2</v>
      </c>
      <c r="D213" t="s">
        <v>32</v>
      </c>
      <c r="E213">
        <v>2</v>
      </c>
      <c r="F213">
        <v>1</v>
      </c>
      <c r="G213" s="16">
        <v>99</v>
      </c>
      <c r="H213" s="16">
        <v>23.372</v>
      </c>
      <c r="I213" s="16">
        <v>894</v>
      </c>
      <c r="J213" s="16">
        <v>30.658999999999999</v>
      </c>
      <c r="K213" s="16">
        <v>65.962999999999994</v>
      </c>
      <c r="L213" s="16">
        <v>0.69299999999999995</v>
      </c>
      <c r="M213" s="23">
        <v>619.55999999999995</v>
      </c>
      <c r="N213" s="16">
        <v>13.778</v>
      </c>
      <c r="O213" s="17">
        <v>6.258</v>
      </c>
      <c r="P213" s="18">
        <v>99</v>
      </c>
      <c r="Q213" s="18">
        <v>30.658999999999999</v>
      </c>
      <c r="R213" s="18">
        <v>106.34</v>
      </c>
      <c r="S213" s="18">
        <v>513.22</v>
      </c>
      <c r="T213" s="14" t="b">
        <f t="shared" si="40"/>
        <v>1</v>
      </c>
      <c r="U213" s="14" t="b">
        <f t="shared" si="41"/>
        <v>1</v>
      </c>
      <c r="V213" s="15">
        <f>VLOOKUP(IF(J213&lt;10, 10, IF(J213&gt;50,50,J213)),'Over to underbark'!$A$3:$C$43,IF(A213="Scots pine",3,IF(A213="Sitka spruce",2, "error")),TRUE)/100</f>
        <v>0.85</v>
      </c>
      <c r="W213">
        <f t="shared" si="35"/>
        <v>81.350099999999998</v>
      </c>
      <c r="X213">
        <f t="shared" si="36"/>
        <v>392.61330000000004</v>
      </c>
      <c r="Y213">
        <f t="shared" si="37"/>
        <v>83.64060000000002</v>
      </c>
      <c r="Z213">
        <f t="shared" si="32"/>
        <v>188.90215200000003</v>
      </c>
      <c r="AA213">
        <f t="shared" si="33"/>
        <v>133.13386800000001</v>
      </c>
      <c r="AB213">
        <f t="shared" si="34"/>
        <v>235.56798000000001</v>
      </c>
      <c r="AC213" t="b">
        <f t="shared" si="38"/>
        <v>1</v>
      </c>
      <c r="AD213" t="b">
        <f t="shared" si="39"/>
        <v>1</v>
      </c>
    </row>
    <row r="214" spans="1:30" x14ac:dyDescent="0.35">
      <c r="A214" t="s">
        <v>31</v>
      </c>
      <c r="B214">
        <v>8</v>
      </c>
      <c r="C214">
        <v>2</v>
      </c>
      <c r="D214" t="s">
        <v>32</v>
      </c>
      <c r="E214">
        <v>2</v>
      </c>
      <c r="F214">
        <v>1</v>
      </c>
      <c r="G214" s="16">
        <v>100</v>
      </c>
      <c r="H214" s="16">
        <v>23.436</v>
      </c>
      <c r="I214" s="16">
        <v>888</v>
      </c>
      <c r="J214" s="16">
        <v>30.783999999999999</v>
      </c>
      <c r="K214" s="16">
        <v>66.099999999999994</v>
      </c>
      <c r="L214" s="16">
        <v>0.7</v>
      </c>
      <c r="M214" s="23">
        <v>621.88</v>
      </c>
      <c r="N214" s="16">
        <v>13.936</v>
      </c>
      <c r="O214" s="17">
        <v>6.2190000000000003</v>
      </c>
      <c r="P214" s="18">
        <v>100</v>
      </c>
      <c r="Q214" s="18">
        <v>30.783999999999999</v>
      </c>
      <c r="R214" s="18">
        <v>105.114</v>
      </c>
      <c r="S214" s="18">
        <v>516.76599999999996</v>
      </c>
      <c r="T214" s="14" t="b">
        <f t="shared" si="40"/>
        <v>1</v>
      </c>
      <c r="U214" s="14" t="b">
        <f t="shared" si="41"/>
        <v>1</v>
      </c>
      <c r="V214" s="15">
        <f>VLOOKUP(IF(J214&lt;10, 10, IF(J214&gt;50,50,J214)),'Over to underbark'!$A$3:$C$43,IF(A214="Scots pine",3,IF(A214="Sitka spruce",2, "error")),TRUE)/100</f>
        <v>0.85</v>
      </c>
      <c r="W214">
        <f t="shared" si="35"/>
        <v>80.412210000000002</v>
      </c>
      <c r="X214">
        <f t="shared" si="36"/>
        <v>395.32598999999993</v>
      </c>
      <c r="Y214">
        <f t="shared" si="37"/>
        <v>83.953800000000015</v>
      </c>
      <c r="Z214">
        <f t="shared" si="32"/>
        <v>189.08765819999999</v>
      </c>
      <c r="AA214">
        <f t="shared" si="33"/>
        <v>133.40874779999999</v>
      </c>
      <c r="AB214">
        <f t="shared" si="34"/>
        <v>237.19559399999994</v>
      </c>
      <c r="AC214" t="b">
        <f t="shared" si="38"/>
        <v>1</v>
      </c>
      <c r="AD214" t="b">
        <f t="shared" si="39"/>
        <v>1</v>
      </c>
    </row>
    <row r="215" spans="1:30" x14ac:dyDescent="0.35">
      <c r="A215" t="s">
        <v>31</v>
      </c>
      <c r="B215">
        <v>8</v>
      </c>
      <c r="C215">
        <v>2</v>
      </c>
      <c r="D215" t="s">
        <v>32</v>
      </c>
      <c r="E215">
        <v>2</v>
      </c>
      <c r="F215">
        <v>1</v>
      </c>
      <c r="G215" s="16">
        <v>101</v>
      </c>
      <c r="H215" s="16">
        <v>23.5</v>
      </c>
      <c r="I215" s="16">
        <v>883</v>
      </c>
      <c r="J215" s="16">
        <v>30.91</v>
      </c>
      <c r="K215" s="16">
        <v>66.236999999999995</v>
      </c>
      <c r="L215" s="16">
        <v>0.70699999999999996</v>
      </c>
      <c r="M215" s="23">
        <v>624.20000000000005</v>
      </c>
      <c r="N215" s="16">
        <v>14.093</v>
      </c>
      <c r="O215" s="17">
        <v>6.18</v>
      </c>
      <c r="P215" s="18">
        <v>101</v>
      </c>
      <c r="Q215" s="18">
        <v>30.91</v>
      </c>
      <c r="R215" s="18">
        <v>103.88500000000001</v>
      </c>
      <c r="S215" s="18">
        <v>520.31500000000005</v>
      </c>
      <c r="T215" s="14" t="b">
        <f t="shared" si="40"/>
        <v>1</v>
      </c>
      <c r="U215" s="14" t="b">
        <f t="shared" si="41"/>
        <v>1</v>
      </c>
      <c r="V215" s="15">
        <f>VLOOKUP(IF(J215&lt;10, 10, IF(J215&gt;50,50,J215)),'Over to underbark'!$A$3:$C$43,IF(A215="Scots pine",3,IF(A215="Sitka spruce",2, "error")),TRUE)/100</f>
        <v>0.85</v>
      </c>
      <c r="W215">
        <f t="shared" si="35"/>
        <v>79.472025000000002</v>
      </c>
      <c r="X215">
        <f t="shared" si="36"/>
        <v>398.04097500000006</v>
      </c>
      <c r="Y215">
        <f t="shared" si="37"/>
        <v>84.267000000000024</v>
      </c>
      <c r="Z215">
        <f t="shared" si="32"/>
        <v>189.27220050000005</v>
      </c>
      <c r="AA215">
        <f t="shared" si="33"/>
        <v>133.68321450000002</v>
      </c>
      <c r="AB215">
        <f t="shared" si="34"/>
        <v>238.82458500000001</v>
      </c>
      <c r="AC215" t="b">
        <f t="shared" si="38"/>
        <v>1</v>
      </c>
      <c r="AD215" t="b">
        <f t="shared" si="39"/>
        <v>1</v>
      </c>
    </row>
    <row r="216" spans="1:30" x14ac:dyDescent="0.35">
      <c r="A216" t="s">
        <v>31</v>
      </c>
      <c r="B216">
        <v>10</v>
      </c>
      <c r="C216">
        <v>2</v>
      </c>
      <c r="D216" t="s">
        <v>32</v>
      </c>
      <c r="E216">
        <v>2</v>
      </c>
      <c r="F216">
        <v>1</v>
      </c>
      <c r="G216" s="16">
        <v>22</v>
      </c>
      <c r="H216" s="16">
        <v>8.67</v>
      </c>
      <c r="I216" s="16">
        <v>2166</v>
      </c>
      <c r="J216" s="16">
        <v>11.27</v>
      </c>
      <c r="K216" s="16">
        <v>21.606999999999999</v>
      </c>
      <c r="L216" s="16">
        <v>3.2000000000000001E-2</v>
      </c>
      <c r="M216" s="23">
        <v>69.099999999999994</v>
      </c>
      <c r="N216" s="16">
        <v>0</v>
      </c>
      <c r="O216" s="17">
        <v>3.141</v>
      </c>
      <c r="P216" s="18">
        <v>22</v>
      </c>
      <c r="Q216" s="18">
        <v>11.27</v>
      </c>
      <c r="R216" s="18">
        <v>69.099999999999994</v>
      </c>
      <c r="S216" s="18">
        <v>0</v>
      </c>
      <c r="T216" s="14" t="b">
        <f t="shared" ref="T216:T279" si="42">G216=P216</f>
        <v>1</v>
      </c>
      <c r="U216" s="14" t="b">
        <f t="shared" ref="U216:U279" si="43">J216=Q216</f>
        <v>1</v>
      </c>
      <c r="V216" s="15">
        <f>VLOOKUP(IF(J216&lt;10, 10, IF(J216&gt;50,50,J216)),'Over to underbark'!$A$3:$C$43,IF(A216="Scots pine",3,IF(A216="Sitka spruce",2, "error")),TRUE)/100</f>
        <v>0.66</v>
      </c>
      <c r="W216">
        <f t="shared" si="35"/>
        <v>41.045400000000001</v>
      </c>
      <c r="X216">
        <f t="shared" si="36"/>
        <v>0</v>
      </c>
      <c r="Y216">
        <f t="shared" si="37"/>
        <v>21.144599999999997</v>
      </c>
      <c r="Z216">
        <f t="shared" si="32"/>
        <v>44.540477999999993</v>
      </c>
      <c r="AA216">
        <f t="shared" si="33"/>
        <v>17.649522000000001</v>
      </c>
      <c r="AB216">
        <f t="shared" si="34"/>
        <v>0</v>
      </c>
      <c r="AC216" t="b">
        <f t="shared" si="38"/>
        <v>1</v>
      </c>
      <c r="AD216" t="b">
        <f t="shared" si="39"/>
        <v>1</v>
      </c>
    </row>
    <row r="217" spans="1:30" x14ac:dyDescent="0.35">
      <c r="A217" t="s">
        <v>31</v>
      </c>
      <c r="B217">
        <v>10</v>
      </c>
      <c r="C217">
        <v>2</v>
      </c>
      <c r="D217" t="s">
        <v>32</v>
      </c>
      <c r="E217">
        <v>2</v>
      </c>
      <c r="F217">
        <v>1</v>
      </c>
      <c r="G217" s="16">
        <v>23</v>
      </c>
      <c r="H217" s="16">
        <v>9.0739999999999998</v>
      </c>
      <c r="I217" s="16">
        <v>2143</v>
      </c>
      <c r="J217" s="16">
        <v>11.689</v>
      </c>
      <c r="K217" s="16">
        <v>22.998999999999999</v>
      </c>
      <c r="L217" s="16">
        <v>3.6999999999999998E-2</v>
      </c>
      <c r="M217" s="23">
        <v>79.040000000000006</v>
      </c>
      <c r="N217" s="16">
        <v>0</v>
      </c>
      <c r="O217" s="17">
        <v>3.4369999999999998</v>
      </c>
      <c r="P217" s="18">
        <v>23</v>
      </c>
      <c r="Q217" s="18">
        <v>11.689</v>
      </c>
      <c r="R217" s="18">
        <v>79.040000000000006</v>
      </c>
      <c r="S217" s="18">
        <v>0</v>
      </c>
      <c r="T217" s="14" t="b">
        <f t="shared" si="42"/>
        <v>1</v>
      </c>
      <c r="U217" s="14" t="b">
        <f t="shared" si="43"/>
        <v>1</v>
      </c>
      <c r="V217" s="15">
        <f>VLOOKUP(IF(J217&lt;10, 10, IF(J217&gt;50,50,J217)),'Over to underbark'!$A$3:$C$43,IF(A217="Scots pine",3,IF(A217="Sitka spruce",2, "error")),TRUE)/100</f>
        <v>0.66</v>
      </c>
      <c r="W217">
        <f t="shared" si="35"/>
        <v>46.949760000000012</v>
      </c>
      <c r="X217">
        <f t="shared" si="36"/>
        <v>0</v>
      </c>
      <c r="Y217">
        <f t="shared" si="37"/>
        <v>24.186240000000002</v>
      </c>
      <c r="Z217">
        <f t="shared" si="32"/>
        <v>50.947603200000003</v>
      </c>
      <c r="AA217">
        <f t="shared" si="33"/>
        <v>20.188396800000003</v>
      </c>
      <c r="AB217">
        <f t="shared" si="34"/>
        <v>0</v>
      </c>
      <c r="AC217" t="b">
        <f t="shared" si="38"/>
        <v>1</v>
      </c>
      <c r="AD217" t="b">
        <f t="shared" si="39"/>
        <v>1</v>
      </c>
    </row>
    <row r="218" spans="1:30" x14ac:dyDescent="0.35">
      <c r="A218" t="s">
        <v>31</v>
      </c>
      <c r="B218">
        <v>10</v>
      </c>
      <c r="C218">
        <v>2</v>
      </c>
      <c r="D218" t="s">
        <v>32</v>
      </c>
      <c r="E218">
        <v>2</v>
      </c>
      <c r="F218">
        <v>1</v>
      </c>
      <c r="G218" s="16">
        <v>24</v>
      </c>
      <c r="H218" s="16">
        <v>9.4779999999999998</v>
      </c>
      <c r="I218" s="16">
        <v>2120</v>
      </c>
      <c r="J218" s="16">
        <v>12.103</v>
      </c>
      <c r="K218" s="16">
        <v>24.39</v>
      </c>
      <c r="L218" s="16">
        <v>4.2000000000000003E-2</v>
      </c>
      <c r="M218" s="23">
        <v>88.98</v>
      </c>
      <c r="N218" s="16">
        <v>0</v>
      </c>
      <c r="O218" s="17">
        <v>3.7069999999999999</v>
      </c>
      <c r="P218" s="18">
        <v>24</v>
      </c>
      <c r="Q218" s="18">
        <v>12.103</v>
      </c>
      <c r="R218" s="18">
        <v>88.98</v>
      </c>
      <c r="S218" s="18">
        <v>0</v>
      </c>
      <c r="T218" s="14" t="b">
        <f t="shared" si="42"/>
        <v>1</v>
      </c>
      <c r="U218" s="14" t="b">
        <f t="shared" si="43"/>
        <v>1</v>
      </c>
      <c r="V218" s="15">
        <f>VLOOKUP(IF(J218&lt;10, 10, IF(J218&gt;50,50,J218)),'Over to underbark'!$A$3:$C$43,IF(A218="Scots pine",3,IF(A218="Sitka spruce",2, "error")),TRUE)/100</f>
        <v>0.74</v>
      </c>
      <c r="W218">
        <f t="shared" si="35"/>
        <v>59.260680000000008</v>
      </c>
      <c r="X218">
        <f t="shared" si="36"/>
        <v>0</v>
      </c>
      <c r="Y218">
        <f t="shared" si="37"/>
        <v>20.821320000000004</v>
      </c>
      <c r="Z218">
        <f t="shared" si="32"/>
        <v>54.599907600000009</v>
      </c>
      <c r="AA218">
        <f t="shared" si="33"/>
        <v>25.482092400000003</v>
      </c>
      <c r="AB218">
        <f t="shared" si="34"/>
        <v>0</v>
      </c>
      <c r="AC218" t="b">
        <f t="shared" si="38"/>
        <v>1</v>
      </c>
      <c r="AD218" t="b">
        <f t="shared" si="39"/>
        <v>1</v>
      </c>
    </row>
    <row r="219" spans="1:30" x14ac:dyDescent="0.35">
      <c r="A219" t="s">
        <v>31</v>
      </c>
      <c r="B219">
        <v>10</v>
      </c>
      <c r="C219">
        <v>2</v>
      </c>
      <c r="D219" t="s">
        <v>32</v>
      </c>
      <c r="E219">
        <v>2</v>
      </c>
      <c r="F219">
        <v>1</v>
      </c>
      <c r="G219" s="16">
        <v>25</v>
      </c>
      <c r="H219" s="16">
        <v>9.8819999999999997</v>
      </c>
      <c r="I219" s="16">
        <v>2098</v>
      </c>
      <c r="J219" s="16">
        <v>12.509</v>
      </c>
      <c r="K219" s="16">
        <v>25.782</v>
      </c>
      <c r="L219" s="16">
        <v>4.7E-2</v>
      </c>
      <c r="M219" s="23">
        <v>98.92</v>
      </c>
      <c r="N219" s="16">
        <v>0</v>
      </c>
      <c r="O219" s="17">
        <v>3.9569999999999999</v>
      </c>
      <c r="P219" s="18">
        <v>25</v>
      </c>
      <c r="Q219" s="18">
        <v>12.509</v>
      </c>
      <c r="R219" s="18">
        <v>98.92</v>
      </c>
      <c r="S219" s="18">
        <v>0</v>
      </c>
      <c r="T219" s="14" t="b">
        <f t="shared" si="42"/>
        <v>1</v>
      </c>
      <c r="U219" s="14" t="b">
        <f t="shared" si="43"/>
        <v>1</v>
      </c>
      <c r="V219" s="15">
        <f>VLOOKUP(IF(J219&lt;10, 10, IF(J219&gt;50,50,J219)),'Over to underbark'!$A$3:$C$43,IF(A219="Scots pine",3,IF(A219="Sitka spruce",2, "error")),TRUE)/100</f>
        <v>0.74</v>
      </c>
      <c r="W219">
        <f t="shared" si="35"/>
        <v>65.880719999999997</v>
      </c>
      <c r="X219">
        <f t="shared" si="36"/>
        <v>0</v>
      </c>
      <c r="Y219">
        <f t="shared" si="37"/>
        <v>23.147280000000002</v>
      </c>
      <c r="Z219">
        <f t="shared" si="32"/>
        <v>60.699290399999995</v>
      </c>
      <c r="AA219">
        <f t="shared" si="33"/>
        <v>28.3287096</v>
      </c>
      <c r="AB219">
        <f t="shared" si="34"/>
        <v>0</v>
      </c>
      <c r="AC219" t="b">
        <f t="shared" si="38"/>
        <v>1</v>
      </c>
      <c r="AD219" t="b">
        <f t="shared" si="39"/>
        <v>1</v>
      </c>
    </row>
    <row r="220" spans="1:30" x14ac:dyDescent="0.35">
      <c r="A220" t="s">
        <v>31</v>
      </c>
      <c r="B220">
        <v>10</v>
      </c>
      <c r="C220">
        <v>2</v>
      </c>
      <c r="D220" t="s">
        <v>32</v>
      </c>
      <c r="E220">
        <v>2</v>
      </c>
      <c r="F220">
        <v>1</v>
      </c>
      <c r="G220" s="16">
        <v>26</v>
      </c>
      <c r="H220" s="16">
        <v>10.286</v>
      </c>
      <c r="I220" s="16">
        <v>2075</v>
      </c>
      <c r="J220" s="16">
        <v>12.913</v>
      </c>
      <c r="K220" s="16">
        <v>27.172999999999998</v>
      </c>
      <c r="L220" s="16">
        <v>5.1999999999999998E-2</v>
      </c>
      <c r="M220" s="23">
        <v>108.86</v>
      </c>
      <c r="N220" s="16">
        <v>0</v>
      </c>
      <c r="O220" s="17">
        <v>4.1870000000000003</v>
      </c>
      <c r="P220" s="18">
        <v>26</v>
      </c>
      <c r="Q220" s="18">
        <v>12.913</v>
      </c>
      <c r="R220" s="18">
        <v>107.515</v>
      </c>
      <c r="S220" s="18">
        <v>1.345</v>
      </c>
      <c r="T220" s="14" t="b">
        <f t="shared" si="42"/>
        <v>1</v>
      </c>
      <c r="U220" s="14" t="b">
        <f t="shared" si="43"/>
        <v>1</v>
      </c>
      <c r="V220" s="15">
        <f>VLOOKUP(IF(J220&lt;10, 10, IF(J220&gt;50,50,J220)),'Over to underbark'!$A$3:$C$43,IF(A220="Scots pine",3,IF(A220="Sitka spruce",2, "error")),TRUE)/100</f>
        <v>0.74</v>
      </c>
      <c r="W220">
        <f t="shared" si="35"/>
        <v>71.604990000000001</v>
      </c>
      <c r="X220">
        <f t="shared" si="36"/>
        <v>0.89576999999999996</v>
      </c>
      <c r="Y220">
        <f t="shared" si="37"/>
        <v>25.473240000000001</v>
      </c>
      <c r="Z220">
        <f t="shared" si="32"/>
        <v>66.422449799999995</v>
      </c>
      <c r="AA220">
        <f t="shared" si="33"/>
        <v>31.0140882</v>
      </c>
      <c r="AB220">
        <f t="shared" si="34"/>
        <v>0.537462</v>
      </c>
      <c r="AC220" t="b">
        <f t="shared" si="38"/>
        <v>1</v>
      </c>
      <c r="AD220" t="b">
        <f t="shared" si="39"/>
        <v>1</v>
      </c>
    </row>
    <row r="221" spans="1:30" x14ac:dyDescent="0.35">
      <c r="A221" t="s">
        <v>31</v>
      </c>
      <c r="B221">
        <v>10</v>
      </c>
      <c r="C221">
        <v>2</v>
      </c>
      <c r="D221" t="s">
        <v>32</v>
      </c>
      <c r="E221">
        <v>2</v>
      </c>
      <c r="F221">
        <v>1</v>
      </c>
      <c r="G221" s="16">
        <v>27</v>
      </c>
      <c r="H221" s="16">
        <v>10.69</v>
      </c>
      <c r="I221" s="16">
        <v>2053</v>
      </c>
      <c r="J221" s="16">
        <v>13.31</v>
      </c>
      <c r="K221" s="16">
        <v>28.565000000000001</v>
      </c>
      <c r="L221" s="16">
        <v>5.8000000000000003E-2</v>
      </c>
      <c r="M221" s="23">
        <v>118.8</v>
      </c>
      <c r="N221" s="16">
        <v>0</v>
      </c>
      <c r="O221" s="17">
        <v>4.4000000000000004</v>
      </c>
      <c r="P221" s="18">
        <v>27</v>
      </c>
      <c r="Q221" s="18">
        <v>13.31</v>
      </c>
      <c r="R221" s="18">
        <v>114.682</v>
      </c>
      <c r="S221" s="18">
        <v>4.1180000000000003</v>
      </c>
      <c r="T221" s="14" t="b">
        <f t="shared" si="42"/>
        <v>1</v>
      </c>
      <c r="U221" s="14" t="b">
        <f t="shared" si="43"/>
        <v>1</v>
      </c>
      <c r="V221" s="15">
        <f>VLOOKUP(IF(J221&lt;10, 10, IF(J221&gt;50,50,J221)),'Over to underbark'!$A$3:$C$43,IF(A221="Scots pine",3,IF(A221="Sitka spruce",2, "error")),TRUE)/100</f>
        <v>0.79</v>
      </c>
      <c r="W221">
        <f t="shared" si="35"/>
        <v>81.538902000000007</v>
      </c>
      <c r="X221">
        <f t="shared" si="36"/>
        <v>2.9278980000000003</v>
      </c>
      <c r="Y221">
        <f t="shared" si="37"/>
        <v>22.453199999999995</v>
      </c>
      <c r="Z221">
        <f t="shared" si="32"/>
        <v>69.369558839999996</v>
      </c>
      <c r="AA221">
        <f t="shared" si="33"/>
        <v>35.793702360000005</v>
      </c>
      <c r="AB221">
        <f t="shared" si="34"/>
        <v>1.7567388000000002</v>
      </c>
      <c r="AC221" t="b">
        <f t="shared" si="38"/>
        <v>1</v>
      </c>
      <c r="AD221" t="b">
        <f t="shared" si="39"/>
        <v>1</v>
      </c>
    </row>
    <row r="222" spans="1:30" x14ac:dyDescent="0.35">
      <c r="A222" t="s">
        <v>31</v>
      </c>
      <c r="B222">
        <v>10</v>
      </c>
      <c r="C222">
        <v>2</v>
      </c>
      <c r="D222" t="s">
        <v>32</v>
      </c>
      <c r="E222">
        <v>2</v>
      </c>
      <c r="F222">
        <v>1</v>
      </c>
      <c r="G222" s="16">
        <v>28</v>
      </c>
      <c r="H222" s="16">
        <v>11.064</v>
      </c>
      <c r="I222" s="16">
        <v>2020</v>
      </c>
      <c r="J222" s="16">
        <v>13.722</v>
      </c>
      <c r="K222" s="16">
        <v>29.870999999999999</v>
      </c>
      <c r="L222" s="16">
        <v>6.5000000000000002E-2</v>
      </c>
      <c r="M222" s="23">
        <v>130.62</v>
      </c>
      <c r="N222" s="16">
        <v>0.26</v>
      </c>
      <c r="O222" s="17">
        <v>4.665</v>
      </c>
      <c r="P222" s="18">
        <v>28</v>
      </c>
      <c r="Q222" s="18">
        <v>13.722</v>
      </c>
      <c r="R222" s="18">
        <v>122.996</v>
      </c>
      <c r="S222" s="18">
        <v>7.6239999999999997</v>
      </c>
      <c r="T222" s="14" t="b">
        <f t="shared" si="42"/>
        <v>1</v>
      </c>
      <c r="U222" s="14" t="b">
        <f t="shared" si="43"/>
        <v>1</v>
      </c>
      <c r="V222" s="15">
        <f>VLOOKUP(IF(J222&lt;10, 10, IF(J222&gt;50,50,J222)),'Over to underbark'!$A$3:$C$43,IF(A222="Scots pine",3,IF(A222="Sitka spruce",2, "error")),TRUE)/100</f>
        <v>0.79</v>
      </c>
      <c r="W222">
        <f t="shared" si="35"/>
        <v>87.450156000000007</v>
      </c>
      <c r="X222">
        <f t="shared" si="36"/>
        <v>5.4206640000000004</v>
      </c>
      <c r="Y222">
        <f t="shared" si="37"/>
        <v>24.687179999999998</v>
      </c>
      <c r="Z222">
        <f t="shared" si="32"/>
        <v>75.346868520000001</v>
      </c>
      <c r="AA222">
        <f t="shared" si="33"/>
        <v>38.958733080000002</v>
      </c>
      <c r="AB222">
        <f t="shared" si="34"/>
        <v>3.2523984000000001</v>
      </c>
      <c r="AC222" t="b">
        <f t="shared" si="38"/>
        <v>1</v>
      </c>
      <c r="AD222" t="b">
        <f t="shared" si="39"/>
        <v>1</v>
      </c>
    </row>
    <row r="223" spans="1:30" x14ac:dyDescent="0.35">
      <c r="A223" t="s">
        <v>31</v>
      </c>
      <c r="B223">
        <v>10</v>
      </c>
      <c r="C223">
        <v>2</v>
      </c>
      <c r="D223" t="s">
        <v>32</v>
      </c>
      <c r="E223">
        <v>2</v>
      </c>
      <c r="F223">
        <v>1</v>
      </c>
      <c r="G223" s="16">
        <v>29</v>
      </c>
      <c r="H223" s="16">
        <v>11.438000000000001</v>
      </c>
      <c r="I223" s="16">
        <v>1987</v>
      </c>
      <c r="J223" s="16">
        <v>14.134</v>
      </c>
      <c r="K223" s="16">
        <v>31.177</v>
      </c>
      <c r="L223" s="16">
        <v>7.1999999999999995E-2</v>
      </c>
      <c r="M223" s="23">
        <v>142.44</v>
      </c>
      <c r="N223" s="16">
        <v>0.47499999999999998</v>
      </c>
      <c r="O223" s="17">
        <v>4.9119999999999999</v>
      </c>
      <c r="P223" s="18">
        <v>29</v>
      </c>
      <c r="Q223" s="18">
        <v>14.134</v>
      </c>
      <c r="R223" s="18">
        <v>130.68100000000001</v>
      </c>
      <c r="S223" s="18">
        <v>11.759</v>
      </c>
      <c r="T223" s="14" t="b">
        <f t="shared" si="42"/>
        <v>1</v>
      </c>
      <c r="U223" s="14" t="b">
        <f t="shared" si="43"/>
        <v>1</v>
      </c>
      <c r="V223" s="15">
        <f>VLOOKUP(IF(J223&lt;10, 10, IF(J223&gt;50,50,J223)),'Over to underbark'!$A$3:$C$43,IF(A223="Scots pine",3,IF(A223="Sitka spruce",2, "error")),TRUE)/100</f>
        <v>0.82</v>
      </c>
      <c r="W223">
        <f t="shared" si="35"/>
        <v>96.442577999999997</v>
      </c>
      <c r="X223">
        <f t="shared" si="36"/>
        <v>8.6781419999999994</v>
      </c>
      <c r="Y223">
        <f t="shared" si="37"/>
        <v>23.075280000000006</v>
      </c>
      <c r="Z223">
        <f t="shared" ref="Z223:Z286" si="44">Y223+(57%*W223)+(15%*X223)</f>
        <v>79.349270759999996</v>
      </c>
      <c r="AA223">
        <f t="shared" ref="AA223:AA286" si="45">(43%*W223)+(25%*X223)</f>
        <v>43.63984404</v>
      </c>
      <c r="AB223">
        <f t="shared" ref="AB223:AB286" si="46">60%*X223</f>
        <v>5.2068851999999994</v>
      </c>
      <c r="AC223" t="b">
        <f t="shared" si="38"/>
        <v>1</v>
      </c>
      <c r="AD223" t="b">
        <f t="shared" si="39"/>
        <v>1</v>
      </c>
    </row>
    <row r="224" spans="1:30" x14ac:dyDescent="0.35">
      <c r="A224" t="s">
        <v>31</v>
      </c>
      <c r="B224">
        <v>10</v>
      </c>
      <c r="C224">
        <v>2</v>
      </c>
      <c r="D224" t="s">
        <v>32</v>
      </c>
      <c r="E224">
        <v>2</v>
      </c>
      <c r="F224">
        <v>1</v>
      </c>
      <c r="G224" s="16">
        <v>30</v>
      </c>
      <c r="H224" s="16">
        <v>11.811999999999999</v>
      </c>
      <c r="I224" s="16">
        <v>1954</v>
      </c>
      <c r="J224" s="16">
        <v>14.548</v>
      </c>
      <c r="K224" s="16">
        <v>32.481999999999999</v>
      </c>
      <c r="L224" s="16">
        <v>7.9000000000000001E-2</v>
      </c>
      <c r="M224" s="23">
        <v>154.26</v>
      </c>
      <c r="N224" s="16">
        <v>0.65700000000000003</v>
      </c>
      <c r="O224" s="17">
        <v>5.1420000000000003</v>
      </c>
      <c r="P224" s="18">
        <v>30</v>
      </c>
      <c r="Q224" s="18">
        <v>14.548</v>
      </c>
      <c r="R224" s="18">
        <v>137.71600000000001</v>
      </c>
      <c r="S224" s="18">
        <v>16.544</v>
      </c>
      <c r="T224" s="14" t="b">
        <f t="shared" si="42"/>
        <v>1</v>
      </c>
      <c r="U224" s="14" t="b">
        <f t="shared" si="43"/>
        <v>1</v>
      </c>
      <c r="V224" s="15">
        <f>VLOOKUP(IF(J224&lt;10, 10, IF(J224&gt;50,50,J224)),'Over to underbark'!$A$3:$C$43,IF(A224="Scots pine",3,IF(A224="Sitka spruce",2, "error")),TRUE)/100</f>
        <v>0.82</v>
      </c>
      <c r="W224">
        <f t="shared" si="35"/>
        <v>101.63440800000001</v>
      </c>
      <c r="X224">
        <f t="shared" si="36"/>
        <v>12.209472</v>
      </c>
      <c r="Y224">
        <f t="shared" si="37"/>
        <v>24.990120000000012</v>
      </c>
      <c r="Z224">
        <f t="shared" si="44"/>
        <v>84.753153360000013</v>
      </c>
      <c r="AA224">
        <f t="shared" si="45"/>
        <v>46.755163440000004</v>
      </c>
      <c r="AB224">
        <f t="shared" si="46"/>
        <v>7.3256831999999994</v>
      </c>
      <c r="AC224" t="b">
        <f t="shared" si="38"/>
        <v>1</v>
      </c>
      <c r="AD224" t="b">
        <f t="shared" si="39"/>
        <v>1</v>
      </c>
    </row>
    <row r="225" spans="1:30" x14ac:dyDescent="0.35">
      <c r="A225" t="s">
        <v>31</v>
      </c>
      <c r="B225">
        <v>10</v>
      </c>
      <c r="C225">
        <v>2</v>
      </c>
      <c r="D225" t="s">
        <v>32</v>
      </c>
      <c r="E225">
        <v>2</v>
      </c>
      <c r="F225">
        <v>1</v>
      </c>
      <c r="G225" s="16">
        <v>31</v>
      </c>
      <c r="H225" s="16">
        <v>12.186</v>
      </c>
      <c r="I225" s="16">
        <v>1921</v>
      </c>
      <c r="J225" s="16">
        <v>14.965</v>
      </c>
      <c r="K225" s="16">
        <v>33.787999999999997</v>
      </c>
      <c r="L225" s="16">
        <v>8.5999999999999993E-2</v>
      </c>
      <c r="M225" s="23">
        <v>166.08</v>
      </c>
      <c r="N225" s="16">
        <v>0.81200000000000006</v>
      </c>
      <c r="O225" s="17">
        <v>5.3570000000000002</v>
      </c>
      <c r="P225" s="18">
        <v>31</v>
      </c>
      <c r="Q225" s="18">
        <v>14.965</v>
      </c>
      <c r="R225" s="18">
        <v>144.08600000000001</v>
      </c>
      <c r="S225" s="18">
        <v>21.994</v>
      </c>
      <c r="T225" s="14" t="b">
        <f t="shared" si="42"/>
        <v>1</v>
      </c>
      <c r="U225" s="14" t="b">
        <f t="shared" si="43"/>
        <v>1</v>
      </c>
      <c r="V225" s="15">
        <f>VLOOKUP(IF(J225&lt;10, 10, IF(J225&gt;50,50,J225)),'Over to underbark'!$A$3:$C$43,IF(A225="Scots pine",3,IF(A225="Sitka spruce",2, "error")),TRUE)/100</f>
        <v>0.82</v>
      </c>
      <c r="W225">
        <f t="shared" si="35"/>
        <v>106.33546799999999</v>
      </c>
      <c r="X225">
        <f t="shared" si="36"/>
        <v>16.231572</v>
      </c>
      <c r="Y225">
        <f t="shared" si="37"/>
        <v>26.90496000000001</v>
      </c>
      <c r="Z225">
        <f t="shared" si="44"/>
        <v>89.950912560000006</v>
      </c>
      <c r="AA225">
        <f t="shared" si="45"/>
        <v>49.782144239999994</v>
      </c>
      <c r="AB225">
        <f t="shared" si="46"/>
        <v>9.7389431999999996</v>
      </c>
      <c r="AC225" t="b">
        <f t="shared" si="38"/>
        <v>1</v>
      </c>
      <c r="AD225" t="b">
        <f t="shared" si="39"/>
        <v>1</v>
      </c>
    </row>
    <row r="226" spans="1:30" x14ac:dyDescent="0.35">
      <c r="A226" t="s">
        <v>31</v>
      </c>
      <c r="B226">
        <v>10</v>
      </c>
      <c r="C226">
        <v>2</v>
      </c>
      <c r="D226" t="s">
        <v>32</v>
      </c>
      <c r="E226">
        <v>2</v>
      </c>
      <c r="F226">
        <v>1</v>
      </c>
      <c r="G226" s="16">
        <v>32</v>
      </c>
      <c r="H226" s="16">
        <v>12.56</v>
      </c>
      <c r="I226" s="16">
        <v>1889</v>
      </c>
      <c r="J226" s="16">
        <v>15.38</v>
      </c>
      <c r="K226" s="16">
        <v>35.094000000000001</v>
      </c>
      <c r="L226" s="16">
        <v>9.4E-2</v>
      </c>
      <c r="M226" s="23">
        <v>177.9</v>
      </c>
      <c r="N226" s="16">
        <v>0.94699999999999995</v>
      </c>
      <c r="O226" s="17">
        <v>5.5590000000000002</v>
      </c>
      <c r="P226" s="18">
        <v>32</v>
      </c>
      <c r="Q226" s="18">
        <v>15.38</v>
      </c>
      <c r="R226" s="18">
        <v>149.84200000000001</v>
      </c>
      <c r="S226" s="18">
        <v>28.058</v>
      </c>
      <c r="T226" s="14" t="b">
        <f t="shared" si="42"/>
        <v>1</v>
      </c>
      <c r="U226" s="14" t="b">
        <f t="shared" si="43"/>
        <v>1</v>
      </c>
      <c r="V226" s="15">
        <f>VLOOKUP(IF(J226&lt;10, 10, IF(J226&gt;50,50,J226)),'Over to underbark'!$A$3:$C$43,IF(A226="Scots pine",3,IF(A226="Sitka spruce",2, "error")),TRUE)/100</f>
        <v>0.84</v>
      </c>
      <c r="W226">
        <f t="shared" si="35"/>
        <v>113.28055200000001</v>
      </c>
      <c r="X226">
        <f t="shared" si="36"/>
        <v>21.211848</v>
      </c>
      <c r="Y226">
        <f t="shared" si="37"/>
        <v>25.617600000000007</v>
      </c>
      <c r="Z226">
        <f t="shared" si="44"/>
        <v>93.369291840000017</v>
      </c>
      <c r="AA226">
        <f t="shared" si="45"/>
        <v>54.013599360000008</v>
      </c>
      <c r="AB226">
        <f t="shared" si="46"/>
        <v>12.7271088</v>
      </c>
      <c r="AC226" t="b">
        <f t="shared" si="38"/>
        <v>1</v>
      </c>
      <c r="AD226" t="b">
        <f t="shared" si="39"/>
        <v>1</v>
      </c>
    </row>
    <row r="227" spans="1:30" x14ac:dyDescent="0.35">
      <c r="A227" t="s">
        <v>31</v>
      </c>
      <c r="B227">
        <v>10</v>
      </c>
      <c r="C227">
        <v>2</v>
      </c>
      <c r="D227" t="s">
        <v>32</v>
      </c>
      <c r="E227">
        <v>2</v>
      </c>
      <c r="F227">
        <v>1</v>
      </c>
      <c r="G227" s="16">
        <v>33</v>
      </c>
      <c r="H227" s="16">
        <v>12.904</v>
      </c>
      <c r="I227" s="16">
        <v>1857</v>
      </c>
      <c r="J227" s="16">
        <v>15.773999999999999</v>
      </c>
      <c r="K227" s="16">
        <v>36.289000000000001</v>
      </c>
      <c r="L227" s="16">
        <v>0.10299999999999999</v>
      </c>
      <c r="M227" s="23">
        <v>190.64</v>
      </c>
      <c r="N227" s="16">
        <v>1.1719999999999999</v>
      </c>
      <c r="O227" s="17">
        <v>5.7770000000000001</v>
      </c>
      <c r="P227" s="18">
        <v>33</v>
      </c>
      <c r="Q227" s="18">
        <v>15.773999999999999</v>
      </c>
      <c r="R227" s="18">
        <v>155.97200000000001</v>
      </c>
      <c r="S227" s="18">
        <v>34.667999999999999</v>
      </c>
      <c r="T227" s="14" t="b">
        <f t="shared" si="42"/>
        <v>1</v>
      </c>
      <c r="U227" s="14" t="b">
        <f t="shared" si="43"/>
        <v>1</v>
      </c>
      <c r="V227" s="15">
        <f>VLOOKUP(IF(J227&lt;10, 10, IF(J227&gt;50,50,J227)),'Over to underbark'!$A$3:$C$43,IF(A227="Scots pine",3,IF(A227="Sitka spruce",2, "error")),TRUE)/100</f>
        <v>0.84</v>
      </c>
      <c r="W227">
        <f t="shared" si="35"/>
        <v>117.91483200000002</v>
      </c>
      <c r="X227">
        <f t="shared" si="36"/>
        <v>26.209008000000001</v>
      </c>
      <c r="Y227">
        <f t="shared" si="37"/>
        <v>27.45216000000001</v>
      </c>
      <c r="Z227">
        <f t="shared" si="44"/>
        <v>98.59496544000001</v>
      </c>
      <c r="AA227">
        <f t="shared" si="45"/>
        <v>57.255629760000012</v>
      </c>
      <c r="AB227">
        <f t="shared" si="46"/>
        <v>15.7254048</v>
      </c>
      <c r="AC227" t="b">
        <f t="shared" si="38"/>
        <v>1</v>
      </c>
      <c r="AD227" t="b">
        <f t="shared" si="39"/>
        <v>1</v>
      </c>
    </row>
    <row r="228" spans="1:30" x14ac:dyDescent="0.35">
      <c r="A228" t="s">
        <v>31</v>
      </c>
      <c r="B228">
        <v>10</v>
      </c>
      <c r="C228">
        <v>2</v>
      </c>
      <c r="D228" t="s">
        <v>32</v>
      </c>
      <c r="E228">
        <v>2</v>
      </c>
      <c r="F228">
        <v>1</v>
      </c>
      <c r="G228" s="16">
        <v>34</v>
      </c>
      <c r="H228" s="16">
        <v>13.247999999999999</v>
      </c>
      <c r="I228" s="16">
        <v>1826</v>
      </c>
      <c r="J228" s="16">
        <v>16.167000000000002</v>
      </c>
      <c r="K228" s="16">
        <v>37.482999999999997</v>
      </c>
      <c r="L228" s="16">
        <v>0.111</v>
      </c>
      <c r="M228" s="23">
        <v>203.38</v>
      </c>
      <c r="N228" s="16">
        <v>1.3680000000000001</v>
      </c>
      <c r="O228" s="17">
        <v>5.9820000000000002</v>
      </c>
      <c r="P228" s="18">
        <v>34</v>
      </c>
      <c r="Q228" s="18">
        <v>16.167000000000002</v>
      </c>
      <c r="R228" s="18">
        <v>161.488</v>
      </c>
      <c r="S228" s="18">
        <v>41.892000000000003</v>
      </c>
      <c r="T228" s="14" t="b">
        <f t="shared" si="42"/>
        <v>1</v>
      </c>
      <c r="U228" s="14" t="b">
        <f t="shared" si="43"/>
        <v>1</v>
      </c>
      <c r="V228" s="15">
        <f>VLOOKUP(IF(J228&lt;10, 10, IF(J228&gt;50,50,J228)),'Over to underbark'!$A$3:$C$43,IF(A228="Scots pine",3,IF(A228="Sitka spruce",2, "error")),TRUE)/100</f>
        <v>0.84</v>
      </c>
      <c r="W228">
        <f t="shared" si="35"/>
        <v>122.084928</v>
      </c>
      <c r="X228">
        <f t="shared" si="36"/>
        <v>31.670352000000001</v>
      </c>
      <c r="Y228">
        <f t="shared" si="37"/>
        <v>29.286720000000006</v>
      </c>
      <c r="Z228">
        <f t="shared" si="44"/>
        <v>103.62568175999999</v>
      </c>
      <c r="AA228">
        <f t="shared" si="45"/>
        <v>60.414107040000005</v>
      </c>
      <c r="AB228">
        <f t="shared" si="46"/>
        <v>19.002211200000001</v>
      </c>
      <c r="AC228" t="b">
        <f t="shared" si="38"/>
        <v>1</v>
      </c>
      <c r="AD228" t="b">
        <f t="shared" si="39"/>
        <v>1</v>
      </c>
    </row>
    <row r="229" spans="1:30" x14ac:dyDescent="0.35">
      <c r="A229" t="s">
        <v>31</v>
      </c>
      <c r="B229">
        <v>10</v>
      </c>
      <c r="C229">
        <v>2</v>
      </c>
      <c r="D229" t="s">
        <v>32</v>
      </c>
      <c r="E229">
        <v>2</v>
      </c>
      <c r="F229">
        <v>1</v>
      </c>
      <c r="G229" s="16">
        <v>35</v>
      </c>
      <c r="H229" s="16">
        <v>13.592000000000001</v>
      </c>
      <c r="I229" s="16">
        <v>1795</v>
      </c>
      <c r="J229" s="16">
        <v>16.564</v>
      </c>
      <c r="K229" s="16">
        <v>38.677999999999997</v>
      </c>
      <c r="L229" s="16">
        <v>0.12</v>
      </c>
      <c r="M229" s="23">
        <v>216.12</v>
      </c>
      <c r="N229" s="16">
        <v>1.54</v>
      </c>
      <c r="O229" s="17">
        <v>6.1749999999999998</v>
      </c>
      <c r="P229" s="18">
        <v>35</v>
      </c>
      <c r="Q229" s="18">
        <v>16.564</v>
      </c>
      <c r="R229" s="18">
        <v>166.34</v>
      </c>
      <c r="S229" s="18">
        <v>49.78</v>
      </c>
      <c r="T229" s="14" t="b">
        <f t="shared" si="42"/>
        <v>1</v>
      </c>
      <c r="U229" s="14" t="b">
        <f t="shared" si="43"/>
        <v>1</v>
      </c>
      <c r="V229" s="15">
        <f>VLOOKUP(IF(J229&lt;10, 10, IF(J229&gt;50,50,J229)),'Over to underbark'!$A$3:$C$43,IF(A229="Scots pine",3,IF(A229="Sitka spruce",2, "error")),TRUE)/100</f>
        <v>0.84</v>
      </c>
      <c r="W229">
        <f t="shared" si="35"/>
        <v>125.75304000000001</v>
      </c>
      <c r="X229">
        <f t="shared" si="36"/>
        <v>37.633679999999998</v>
      </c>
      <c r="Y229">
        <f t="shared" si="37"/>
        <v>31.121280000000009</v>
      </c>
      <c r="Z229">
        <f t="shared" si="44"/>
        <v>108.4455648</v>
      </c>
      <c r="AA229">
        <f t="shared" si="45"/>
        <v>63.482227200000004</v>
      </c>
      <c r="AB229">
        <f t="shared" si="46"/>
        <v>22.580207999999999</v>
      </c>
      <c r="AC229" t="b">
        <f t="shared" si="38"/>
        <v>1</v>
      </c>
      <c r="AD229" t="b">
        <f t="shared" si="39"/>
        <v>1</v>
      </c>
    </row>
    <row r="230" spans="1:30" x14ac:dyDescent="0.35">
      <c r="A230" t="s">
        <v>31</v>
      </c>
      <c r="B230">
        <v>10</v>
      </c>
      <c r="C230">
        <v>2</v>
      </c>
      <c r="D230" t="s">
        <v>32</v>
      </c>
      <c r="E230">
        <v>2</v>
      </c>
      <c r="F230">
        <v>1</v>
      </c>
      <c r="G230" s="16">
        <v>36</v>
      </c>
      <c r="H230" s="16">
        <v>13.936</v>
      </c>
      <c r="I230" s="16">
        <v>1764</v>
      </c>
      <c r="J230" s="16">
        <v>16.963999999999999</v>
      </c>
      <c r="K230" s="16">
        <v>39.872</v>
      </c>
      <c r="L230" s="16">
        <v>0.13</v>
      </c>
      <c r="M230" s="23">
        <v>228.86</v>
      </c>
      <c r="N230" s="16">
        <v>1.6919999999999999</v>
      </c>
      <c r="O230" s="17">
        <v>6.3570000000000002</v>
      </c>
      <c r="P230" s="18">
        <v>36</v>
      </c>
      <c r="Q230" s="18">
        <v>16.963999999999999</v>
      </c>
      <c r="R230" s="18">
        <v>170.547</v>
      </c>
      <c r="S230" s="18">
        <v>58.313000000000002</v>
      </c>
      <c r="T230" s="14" t="b">
        <f t="shared" si="42"/>
        <v>1</v>
      </c>
      <c r="U230" s="14" t="b">
        <f t="shared" si="43"/>
        <v>1</v>
      </c>
      <c r="V230" s="15">
        <f>VLOOKUP(IF(J230&lt;10, 10, IF(J230&gt;50,50,J230)),'Over to underbark'!$A$3:$C$43,IF(A230="Scots pine",3,IF(A230="Sitka spruce",2, "error")),TRUE)/100</f>
        <v>0.84</v>
      </c>
      <c r="W230">
        <f t="shared" si="35"/>
        <v>128.93353199999999</v>
      </c>
      <c r="X230">
        <f t="shared" si="36"/>
        <v>44.084628000000002</v>
      </c>
      <c r="Y230">
        <f t="shared" si="37"/>
        <v>32.955840000000009</v>
      </c>
      <c r="Z230">
        <f t="shared" si="44"/>
        <v>113.06064744</v>
      </c>
      <c r="AA230">
        <f t="shared" si="45"/>
        <v>66.462575759999993</v>
      </c>
      <c r="AB230">
        <f t="shared" si="46"/>
        <v>26.4507768</v>
      </c>
      <c r="AC230" t="b">
        <f t="shared" si="38"/>
        <v>1</v>
      </c>
      <c r="AD230" t="b">
        <f t="shared" si="39"/>
        <v>1</v>
      </c>
    </row>
    <row r="231" spans="1:30" x14ac:dyDescent="0.35">
      <c r="A231" t="s">
        <v>31</v>
      </c>
      <c r="B231">
        <v>10</v>
      </c>
      <c r="C231">
        <v>2</v>
      </c>
      <c r="D231" t="s">
        <v>32</v>
      </c>
      <c r="E231">
        <v>2</v>
      </c>
      <c r="F231">
        <v>1</v>
      </c>
      <c r="G231" s="16">
        <v>37</v>
      </c>
      <c r="H231" s="16">
        <v>14.28</v>
      </c>
      <c r="I231" s="16">
        <v>1733</v>
      </c>
      <c r="J231" s="16">
        <v>17.37</v>
      </c>
      <c r="K231" s="16">
        <v>41.067</v>
      </c>
      <c r="L231" s="16">
        <v>0.13900000000000001</v>
      </c>
      <c r="M231" s="23">
        <v>241.6</v>
      </c>
      <c r="N231" s="16">
        <v>1.829</v>
      </c>
      <c r="O231" s="17">
        <v>6.53</v>
      </c>
      <c r="P231" s="18">
        <v>37</v>
      </c>
      <c r="Q231" s="18">
        <v>17.37</v>
      </c>
      <c r="R231" s="18">
        <v>174.07599999999999</v>
      </c>
      <c r="S231" s="18">
        <v>67.524000000000001</v>
      </c>
      <c r="T231" s="14" t="b">
        <f t="shared" si="42"/>
        <v>1</v>
      </c>
      <c r="U231" s="14" t="b">
        <f t="shared" si="43"/>
        <v>1</v>
      </c>
      <c r="V231" s="15">
        <f>VLOOKUP(IF(J231&lt;10, 10, IF(J231&gt;50,50,J231)),'Over to underbark'!$A$3:$C$43,IF(A231="Scots pine",3,IF(A231="Sitka spruce",2, "error")),TRUE)/100</f>
        <v>0.84</v>
      </c>
      <c r="W231">
        <f t="shared" si="35"/>
        <v>131.60145599999998</v>
      </c>
      <c r="X231">
        <f t="shared" si="36"/>
        <v>51.048144000000001</v>
      </c>
      <c r="Y231">
        <f t="shared" si="37"/>
        <v>34.790400000000005</v>
      </c>
      <c r="Z231">
        <f t="shared" si="44"/>
        <v>117.46045151999999</v>
      </c>
      <c r="AA231">
        <f t="shared" si="45"/>
        <v>69.350662079999992</v>
      </c>
      <c r="AB231">
        <f t="shared" si="46"/>
        <v>30.628886399999999</v>
      </c>
      <c r="AC231" t="b">
        <f t="shared" si="38"/>
        <v>1</v>
      </c>
      <c r="AD231" t="b">
        <f t="shared" si="39"/>
        <v>1</v>
      </c>
    </row>
    <row r="232" spans="1:30" x14ac:dyDescent="0.35">
      <c r="A232" t="s">
        <v>31</v>
      </c>
      <c r="B232">
        <v>10</v>
      </c>
      <c r="C232">
        <v>2</v>
      </c>
      <c r="D232" t="s">
        <v>32</v>
      </c>
      <c r="E232">
        <v>2</v>
      </c>
      <c r="F232">
        <v>1</v>
      </c>
      <c r="G232" s="16">
        <v>38</v>
      </c>
      <c r="H232" s="16">
        <v>14.598000000000001</v>
      </c>
      <c r="I232" s="16">
        <v>1702</v>
      </c>
      <c r="J232" s="16">
        <v>17.753</v>
      </c>
      <c r="K232" s="16">
        <v>42.128999999999998</v>
      </c>
      <c r="L232" s="16">
        <v>0.15</v>
      </c>
      <c r="M232" s="23">
        <v>254.56</v>
      </c>
      <c r="N232" s="16">
        <v>2.0920000000000001</v>
      </c>
      <c r="O232" s="17">
        <v>6.6989999999999998</v>
      </c>
      <c r="P232" s="18">
        <v>38</v>
      </c>
      <c r="Q232" s="18">
        <v>17.753</v>
      </c>
      <c r="R232" s="18">
        <v>177.53399999999999</v>
      </c>
      <c r="S232" s="18">
        <v>77.025999999999996</v>
      </c>
      <c r="T232" s="14" t="b">
        <f t="shared" si="42"/>
        <v>1</v>
      </c>
      <c r="U232" s="14" t="b">
        <f t="shared" si="43"/>
        <v>1</v>
      </c>
      <c r="V232" s="15">
        <f>VLOOKUP(IF(J232&lt;10, 10, IF(J232&gt;50,50,J232)),'Over to underbark'!$A$3:$C$43,IF(A232="Scots pine",3,IF(A232="Sitka spruce",2, "error")),TRUE)/100</f>
        <v>0.84</v>
      </c>
      <c r="W232">
        <f t="shared" si="35"/>
        <v>134.21570399999999</v>
      </c>
      <c r="X232">
        <f t="shared" si="36"/>
        <v>58.231655999999994</v>
      </c>
      <c r="Y232">
        <f t="shared" si="37"/>
        <v>36.65664000000001</v>
      </c>
      <c r="Z232">
        <f t="shared" si="44"/>
        <v>121.89433968</v>
      </c>
      <c r="AA232">
        <f t="shared" si="45"/>
        <v>72.270666719999994</v>
      </c>
      <c r="AB232">
        <f t="shared" si="46"/>
        <v>34.938993599999996</v>
      </c>
      <c r="AC232" t="b">
        <f t="shared" si="38"/>
        <v>1</v>
      </c>
      <c r="AD232" t="b">
        <f t="shared" si="39"/>
        <v>1</v>
      </c>
    </row>
    <row r="233" spans="1:30" x14ac:dyDescent="0.35">
      <c r="A233" t="s">
        <v>31</v>
      </c>
      <c r="B233">
        <v>10</v>
      </c>
      <c r="C233">
        <v>2</v>
      </c>
      <c r="D233" t="s">
        <v>32</v>
      </c>
      <c r="E233">
        <v>2</v>
      </c>
      <c r="F233">
        <v>1</v>
      </c>
      <c r="G233" s="16">
        <v>39</v>
      </c>
      <c r="H233" s="16">
        <v>14.916</v>
      </c>
      <c r="I233" s="16">
        <v>1672</v>
      </c>
      <c r="J233" s="16">
        <v>18.135999999999999</v>
      </c>
      <c r="K233" s="16">
        <v>43.191000000000003</v>
      </c>
      <c r="L233" s="16">
        <v>0.16</v>
      </c>
      <c r="M233" s="23">
        <v>267.52</v>
      </c>
      <c r="N233" s="16">
        <v>2.3290000000000002</v>
      </c>
      <c r="O233" s="17">
        <v>6.859</v>
      </c>
      <c r="P233" s="18">
        <v>39</v>
      </c>
      <c r="Q233" s="18">
        <v>18.135999999999999</v>
      </c>
      <c r="R233" s="18">
        <v>180.453</v>
      </c>
      <c r="S233" s="18">
        <v>87.066999999999993</v>
      </c>
      <c r="T233" s="14" t="b">
        <f t="shared" si="42"/>
        <v>1</v>
      </c>
      <c r="U233" s="14" t="b">
        <f t="shared" si="43"/>
        <v>1</v>
      </c>
      <c r="V233" s="15">
        <f>VLOOKUP(IF(J233&lt;10, 10, IF(J233&gt;50,50,J233)),'Over to underbark'!$A$3:$C$43,IF(A233="Scots pine",3,IF(A233="Sitka spruce",2, "error")),TRUE)/100</f>
        <v>0.84</v>
      </c>
      <c r="W233">
        <f t="shared" si="35"/>
        <v>136.42246800000001</v>
      </c>
      <c r="X233">
        <f t="shared" si="36"/>
        <v>65.822651999999991</v>
      </c>
      <c r="Y233">
        <f t="shared" si="37"/>
        <v>38.522880000000008</v>
      </c>
      <c r="Z233">
        <f t="shared" si="44"/>
        <v>126.15708455999999</v>
      </c>
      <c r="AA233">
        <f t="shared" si="45"/>
        <v>75.117324240000002</v>
      </c>
      <c r="AB233">
        <f t="shared" si="46"/>
        <v>39.49359119999999</v>
      </c>
      <c r="AC233" t="b">
        <f t="shared" si="38"/>
        <v>1</v>
      </c>
      <c r="AD233" t="b">
        <f t="shared" si="39"/>
        <v>1</v>
      </c>
    </row>
    <row r="234" spans="1:30" x14ac:dyDescent="0.35">
      <c r="A234" t="s">
        <v>31</v>
      </c>
      <c r="B234">
        <v>10</v>
      </c>
      <c r="C234">
        <v>2</v>
      </c>
      <c r="D234" t="s">
        <v>32</v>
      </c>
      <c r="E234">
        <v>2</v>
      </c>
      <c r="F234">
        <v>1</v>
      </c>
      <c r="G234" s="16">
        <v>40</v>
      </c>
      <c r="H234" s="16">
        <v>15.234</v>
      </c>
      <c r="I234" s="16">
        <v>1642</v>
      </c>
      <c r="J234" s="16">
        <v>18.524000000000001</v>
      </c>
      <c r="K234" s="16">
        <v>44.253</v>
      </c>
      <c r="L234" s="16">
        <v>0.17100000000000001</v>
      </c>
      <c r="M234" s="23">
        <v>280.48</v>
      </c>
      <c r="N234" s="16">
        <v>2.5430000000000001</v>
      </c>
      <c r="O234" s="17">
        <v>7.0119999999999996</v>
      </c>
      <c r="P234" s="18">
        <v>40</v>
      </c>
      <c r="Q234" s="18">
        <v>18.524000000000001</v>
      </c>
      <c r="R234" s="18">
        <v>182.77500000000001</v>
      </c>
      <c r="S234" s="18">
        <v>97.704999999999998</v>
      </c>
      <c r="T234" s="14" t="b">
        <f t="shared" si="42"/>
        <v>1</v>
      </c>
      <c r="U234" s="14" t="b">
        <f t="shared" si="43"/>
        <v>1</v>
      </c>
      <c r="V234" s="15">
        <f>VLOOKUP(IF(J234&lt;10, 10, IF(J234&gt;50,50,J234)),'Over to underbark'!$A$3:$C$43,IF(A234="Scots pine",3,IF(A234="Sitka spruce",2, "error")),TRUE)/100</f>
        <v>0.84</v>
      </c>
      <c r="W234">
        <f t="shared" si="35"/>
        <v>138.17789999999999</v>
      </c>
      <c r="X234">
        <f t="shared" si="36"/>
        <v>73.864980000000003</v>
      </c>
      <c r="Y234">
        <f t="shared" si="37"/>
        <v>40.389120000000013</v>
      </c>
      <c r="Z234">
        <f t="shared" si="44"/>
        <v>130.23026999999999</v>
      </c>
      <c r="AA234">
        <f t="shared" si="45"/>
        <v>77.882742000000007</v>
      </c>
      <c r="AB234">
        <f t="shared" si="46"/>
        <v>44.318987999999997</v>
      </c>
      <c r="AC234" t="b">
        <f t="shared" si="38"/>
        <v>1</v>
      </c>
      <c r="AD234" t="b">
        <f t="shared" si="39"/>
        <v>1</v>
      </c>
    </row>
    <row r="235" spans="1:30" x14ac:dyDescent="0.35">
      <c r="A235" t="s">
        <v>31</v>
      </c>
      <c r="B235">
        <v>10</v>
      </c>
      <c r="C235">
        <v>2</v>
      </c>
      <c r="D235" t="s">
        <v>32</v>
      </c>
      <c r="E235">
        <v>2</v>
      </c>
      <c r="F235">
        <v>1</v>
      </c>
      <c r="G235" s="16">
        <v>41</v>
      </c>
      <c r="H235" s="16">
        <v>15.552</v>
      </c>
      <c r="I235" s="16">
        <v>1612</v>
      </c>
      <c r="J235" s="16">
        <v>18.919</v>
      </c>
      <c r="K235" s="16">
        <v>45.316000000000003</v>
      </c>
      <c r="L235" s="16">
        <v>0.182</v>
      </c>
      <c r="M235" s="23">
        <v>293.44</v>
      </c>
      <c r="N235" s="16">
        <v>2.738</v>
      </c>
      <c r="O235" s="17">
        <v>7.157</v>
      </c>
      <c r="P235" s="18">
        <v>41</v>
      </c>
      <c r="Q235" s="18">
        <v>18.919</v>
      </c>
      <c r="R235" s="18">
        <v>184.47800000000001</v>
      </c>
      <c r="S235" s="18">
        <v>108.962</v>
      </c>
      <c r="T235" s="14" t="b">
        <f t="shared" si="42"/>
        <v>1</v>
      </c>
      <c r="U235" s="14" t="b">
        <f t="shared" si="43"/>
        <v>1</v>
      </c>
      <c r="V235" s="15">
        <f>VLOOKUP(IF(J235&lt;10, 10, IF(J235&gt;50,50,J235)),'Over to underbark'!$A$3:$C$43,IF(A235="Scots pine",3,IF(A235="Sitka spruce",2, "error")),TRUE)/100</f>
        <v>0.84</v>
      </c>
      <c r="W235">
        <f t="shared" si="35"/>
        <v>139.46536800000001</v>
      </c>
      <c r="X235">
        <f t="shared" si="36"/>
        <v>82.37527200000001</v>
      </c>
      <c r="Y235">
        <f t="shared" si="37"/>
        <v>42.25536000000001</v>
      </c>
      <c r="Z235">
        <f t="shared" si="44"/>
        <v>134.10691056000002</v>
      </c>
      <c r="AA235">
        <f t="shared" si="45"/>
        <v>80.563926240000001</v>
      </c>
      <c r="AB235">
        <f t="shared" si="46"/>
        <v>49.425163200000007</v>
      </c>
      <c r="AC235" t="b">
        <f t="shared" si="38"/>
        <v>1</v>
      </c>
      <c r="AD235" t="b">
        <f t="shared" si="39"/>
        <v>1</v>
      </c>
    </row>
    <row r="236" spans="1:30" x14ac:dyDescent="0.35">
      <c r="A236" t="s">
        <v>31</v>
      </c>
      <c r="B236">
        <v>10</v>
      </c>
      <c r="C236">
        <v>2</v>
      </c>
      <c r="D236" t="s">
        <v>32</v>
      </c>
      <c r="E236">
        <v>2</v>
      </c>
      <c r="F236">
        <v>1</v>
      </c>
      <c r="G236" s="16">
        <v>42</v>
      </c>
      <c r="H236" s="16">
        <v>15.87</v>
      </c>
      <c r="I236" s="16">
        <v>1582</v>
      </c>
      <c r="J236" s="16">
        <v>19.32</v>
      </c>
      <c r="K236" s="16">
        <v>46.378</v>
      </c>
      <c r="L236" s="16">
        <v>0.19400000000000001</v>
      </c>
      <c r="M236" s="23">
        <v>306.39999999999998</v>
      </c>
      <c r="N236" s="16">
        <v>2.915</v>
      </c>
      <c r="O236" s="17">
        <v>7.2949999999999999</v>
      </c>
      <c r="P236" s="18">
        <v>42</v>
      </c>
      <c r="Q236" s="18">
        <v>19.32</v>
      </c>
      <c r="R236" s="18">
        <v>185.595</v>
      </c>
      <c r="S236" s="18">
        <v>120.80500000000001</v>
      </c>
      <c r="T236" s="14" t="b">
        <f t="shared" si="42"/>
        <v>1</v>
      </c>
      <c r="U236" s="14" t="b">
        <f t="shared" si="43"/>
        <v>1</v>
      </c>
      <c r="V236" s="15">
        <f>VLOOKUP(IF(J236&lt;10, 10, IF(J236&gt;50,50,J236)),'Over to underbark'!$A$3:$C$43,IF(A236="Scots pine",3,IF(A236="Sitka spruce",2, "error")),TRUE)/100</f>
        <v>0.84</v>
      </c>
      <c r="W236">
        <f t="shared" si="35"/>
        <v>140.30982</v>
      </c>
      <c r="X236">
        <f t="shared" si="36"/>
        <v>91.328580000000002</v>
      </c>
      <c r="Y236">
        <f t="shared" si="37"/>
        <v>44.121600000000008</v>
      </c>
      <c r="Z236">
        <f t="shared" si="44"/>
        <v>137.7974844</v>
      </c>
      <c r="AA236">
        <f t="shared" si="45"/>
        <v>83.165367599999996</v>
      </c>
      <c r="AB236">
        <f t="shared" si="46"/>
        <v>54.797148</v>
      </c>
      <c r="AC236" t="b">
        <f t="shared" si="38"/>
        <v>1</v>
      </c>
      <c r="AD236" t="b">
        <f t="shared" si="39"/>
        <v>1</v>
      </c>
    </row>
    <row r="237" spans="1:30" x14ac:dyDescent="0.35">
      <c r="A237" t="s">
        <v>31</v>
      </c>
      <c r="B237">
        <v>10</v>
      </c>
      <c r="C237">
        <v>2</v>
      </c>
      <c r="D237" t="s">
        <v>32</v>
      </c>
      <c r="E237">
        <v>2</v>
      </c>
      <c r="F237">
        <v>1</v>
      </c>
      <c r="G237" s="16">
        <v>43</v>
      </c>
      <c r="H237" s="16">
        <v>16.166</v>
      </c>
      <c r="I237" s="16">
        <v>1553</v>
      </c>
      <c r="J237" s="16">
        <v>19.687999999999999</v>
      </c>
      <c r="K237" s="16">
        <v>47.28</v>
      </c>
      <c r="L237" s="16">
        <v>0.20499999999999999</v>
      </c>
      <c r="M237" s="23">
        <v>319</v>
      </c>
      <c r="N237" s="16">
        <v>3.2280000000000002</v>
      </c>
      <c r="O237" s="17">
        <v>7.4189999999999996</v>
      </c>
      <c r="P237" s="18">
        <v>43</v>
      </c>
      <c r="Q237" s="18">
        <v>19.687999999999999</v>
      </c>
      <c r="R237" s="18">
        <v>186.626</v>
      </c>
      <c r="S237" s="18">
        <v>132.374</v>
      </c>
      <c r="T237" s="14" t="b">
        <f t="shared" si="42"/>
        <v>1</v>
      </c>
      <c r="U237" s="14" t="b">
        <f t="shared" si="43"/>
        <v>1</v>
      </c>
      <c r="V237" s="15">
        <f>VLOOKUP(IF(J237&lt;10, 10, IF(J237&gt;50,50,J237)),'Over to underbark'!$A$3:$C$43,IF(A237="Scots pine",3,IF(A237="Sitka spruce",2, "error")),TRUE)/100</f>
        <v>0.84</v>
      </c>
      <c r="W237">
        <f t="shared" si="35"/>
        <v>141.08925600000001</v>
      </c>
      <c r="X237">
        <f t="shared" si="36"/>
        <v>100.074744</v>
      </c>
      <c r="Y237">
        <f t="shared" si="37"/>
        <v>45.936000000000014</v>
      </c>
      <c r="Z237">
        <f t="shared" si="44"/>
        <v>141.36808752000002</v>
      </c>
      <c r="AA237">
        <f t="shared" si="45"/>
        <v>85.687066079999994</v>
      </c>
      <c r="AB237">
        <f t="shared" si="46"/>
        <v>60.044846399999997</v>
      </c>
      <c r="AC237" t="b">
        <f t="shared" si="38"/>
        <v>1</v>
      </c>
      <c r="AD237" t="b">
        <f t="shared" si="39"/>
        <v>1</v>
      </c>
    </row>
    <row r="238" spans="1:30" x14ac:dyDescent="0.35">
      <c r="A238" t="s">
        <v>31</v>
      </c>
      <c r="B238">
        <v>10</v>
      </c>
      <c r="C238">
        <v>2</v>
      </c>
      <c r="D238" t="s">
        <v>32</v>
      </c>
      <c r="E238">
        <v>2</v>
      </c>
      <c r="F238">
        <v>1</v>
      </c>
      <c r="G238" s="16">
        <v>44</v>
      </c>
      <c r="H238" s="16">
        <v>16.462</v>
      </c>
      <c r="I238" s="16">
        <v>1524</v>
      </c>
      <c r="J238" s="16">
        <v>20.064</v>
      </c>
      <c r="K238" s="16">
        <v>48.183</v>
      </c>
      <c r="L238" s="16">
        <v>0.218</v>
      </c>
      <c r="M238" s="23">
        <v>331.6</v>
      </c>
      <c r="N238" s="16">
        <v>3.5150000000000001</v>
      </c>
      <c r="O238" s="17">
        <v>7.5359999999999996</v>
      </c>
      <c r="P238" s="18">
        <v>44</v>
      </c>
      <c r="Q238" s="18">
        <v>20.064</v>
      </c>
      <c r="R238" s="18">
        <v>187.11699999999999</v>
      </c>
      <c r="S238" s="18">
        <v>144.483</v>
      </c>
      <c r="T238" s="14" t="b">
        <f t="shared" si="42"/>
        <v>1</v>
      </c>
      <c r="U238" s="14" t="b">
        <f t="shared" si="43"/>
        <v>1</v>
      </c>
      <c r="V238" s="15">
        <f>VLOOKUP(IF(J238&lt;10, 10, IF(J238&gt;50,50,J238)),'Over to underbark'!$A$3:$C$43,IF(A238="Scots pine",3,IF(A238="Sitka spruce",2, "error")),TRUE)/100</f>
        <v>0.84</v>
      </c>
      <c r="W238">
        <f t="shared" si="35"/>
        <v>141.46045199999998</v>
      </c>
      <c r="X238">
        <f t="shared" si="36"/>
        <v>109.22914800000001</v>
      </c>
      <c r="Y238">
        <f t="shared" si="37"/>
        <v>47.75040000000002</v>
      </c>
      <c r="Z238">
        <f t="shared" si="44"/>
        <v>144.76722984</v>
      </c>
      <c r="AA238">
        <f t="shared" si="45"/>
        <v>88.135281359999993</v>
      </c>
      <c r="AB238">
        <f t="shared" si="46"/>
        <v>65.537488800000006</v>
      </c>
      <c r="AC238" t="b">
        <f t="shared" si="38"/>
        <v>1</v>
      </c>
      <c r="AD238" t="b">
        <f t="shared" si="39"/>
        <v>1</v>
      </c>
    </row>
    <row r="239" spans="1:30" x14ac:dyDescent="0.35">
      <c r="A239" t="s">
        <v>31</v>
      </c>
      <c r="B239">
        <v>10</v>
      </c>
      <c r="C239">
        <v>2</v>
      </c>
      <c r="D239" t="s">
        <v>32</v>
      </c>
      <c r="E239">
        <v>2</v>
      </c>
      <c r="F239">
        <v>1</v>
      </c>
      <c r="G239" s="16">
        <v>45</v>
      </c>
      <c r="H239" s="16">
        <v>16.757999999999999</v>
      </c>
      <c r="I239" s="16">
        <v>1496</v>
      </c>
      <c r="J239" s="16">
        <v>20.439</v>
      </c>
      <c r="K239" s="16">
        <v>49.085999999999999</v>
      </c>
      <c r="L239" s="16">
        <v>0.23</v>
      </c>
      <c r="M239" s="23">
        <v>344.2</v>
      </c>
      <c r="N239" s="16">
        <v>3.7789999999999999</v>
      </c>
      <c r="O239" s="17">
        <v>7.649</v>
      </c>
      <c r="P239" s="18">
        <v>45</v>
      </c>
      <c r="Q239" s="18">
        <v>20.439</v>
      </c>
      <c r="R239" s="18">
        <v>187.24600000000001</v>
      </c>
      <c r="S239" s="18">
        <v>156.95400000000001</v>
      </c>
      <c r="T239" s="14" t="b">
        <f t="shared" si="42"/>
        <v>1</v>
      </c>
      <c r="U239" s="14" t="b">
        <f t="shared" si="43"/>
        <v>1</v>
      </c>
      <c r="V239" s="15">
        <f>VLOOKUP(IF(J239&lt;10, 10, IF(J239&gt;50,50,J239)),'Over to underbark'!$A$3:$C$43,IF(A239="Scots pine",3,IF(A239="Sitka spruce",2, "error")),TRUE)/100</f>
        <v>0.84</v>
      </c>
      <c r="W239">
        <f t="shared" si="35"/>
        <v>141.557976</v>
      </c>
      <c r="X239">
        <f t="shared" si="36"/>
        <v>118.657224</v>
      </c>
      <c r="Y239">
        <f t="shared" si="37"/>
        <v>49.564800000000012</v>
      </c>
      <c r="Z239">
        <f t="shared" si="44"/>
        <v>148.05142992</v>
      </c>
      <c r="AA239">
        <f t="shared" si="45"/>
        <v>90.534235679999995</v>
      </c>
      <c r="AB239">
        <f t="shared" si="46"/>
        <v>71.194334400000002</v>
      </c>
      <c r="AC239" t="b">
        <f t="shared" si="38"/>
        <v>1</v>
      </c>
      <c r="AD239" t="b">
        <f t="shared" si="39"/>
        <v>1</v>
      </c>
    </row>
    <row r="240" spans="1:30" x14ac:dyDescent="0.35">
      <c r="A240" t="s">
        <v>31</v>
      </c>
      <c r="B240">
        <v>10</v>
      </c>
      <c r="C240">
        <v>2</v>
      </c>
      <c r="D240" t="s">
        <v>32</v>
      </c>
      <c r="E240">
        <v>2</v>
      </c>
      <c r="F240">
        <v>1</v>
      </c>
      <c r="G240" s="16">
        <v>46</v>
      </c>
      <c r="H240" s="16">
        <v>17.053999999999998</v>
      </c>
      <c r="I240" s="16">
        <v>1467</v>
      </c>
      <c r="J240" s="16">
        <v>20.829000000000001</v>
      </c>
      <c r="K240" s="16">
        <v>49.988</v>
      </c>
      <c r="L240" s="16">
        <v>0.24299999999999999</v>
      </c>
      <c r="M240" s="23">
        <v>356.8</v>
      </c>
      <c r="N240" s="16">
        <v>4.024</v>
      </c>
      <c r="O240" s="17">
        <v>7.7569999999999997</v>
      </c>
      <c r="P240" s="18">
        <v>46</v>
      </c>
      <c r="Q240" s="18">
        <v>20.829000000000001</v>
      </c>
      <c r="R240" s="18">
        <v>186.739</v>
      </c>
      <c r="S240" s="18">
        <v>170.06100000000001</v>
      </c>
      <c r="T240" s="14" t="b">
        <f t="shared" si="42"/>
        <v>1</v>
      </c>
      <c r="U240" s="14" t="b">
        <f t="shared" si="43"/>
        <v>1</v>
      </c>
      <c r="V240" s="15">
        <f>VLOOKUP(IF(J240&lt;10, 10, IF(J240&gt;50,50,J240)),'Over to underbark'!$A$3:$C$43,IF(A240="Scots pine",3,IF(A240="Sitka spruce",2, "error")),TRUE)/100</f>
        <v>0.84</v>
      </c>
      <c r="W240">
        <f t="shared" si="35"/>
        <v>141.17468399999998</v>
      </c>
      <c r="X240">
        <f t="shared" si="36"/>
        <v>128.56611599999999</v>
      </c>
      <c r="Y240">
        <f t="shared" si="37"/>
        <v>51.379200000000012</v>
      </c>
      <c r="Z240">
        <f t="shared" si="44"/>
        <v>151.13368728</v>
      </c>
      <c r="AA240">
        <f t="shared" si="45"/>
        <v>92.846643119999982</v>
      </c>
      <c r="AB240">
        <f t="shared" si="46"/>
        <v>77.139669599999991</v>
      </c>
      <c r="AC240" t="b">
        <f t="shared" si="38"/>
        <v>1</v>
      </c>
      <c r="AD240" t="b">
        <f t="shared" si="39"/>
        <v>1</v>
      </c>
    </row>
    <row r="241" spans="1:30" x14ac:dyDescent="0.35">
      <c r="A241" t="s">
        <v>31</v>
      </c>
      <c r="B241">
        <v>10</v>
      </c>
      <c r="C241">
        <v>2</v>
      </c>
      <c r="D241" t="s">
        <v>32</v>
      </c>
      <c r="E241">
        <v>2</v>
      </c>
      <c r="F241">
        <v>1</v>
      </c>
      <c r="G241" s="16">
        <v>47</v>
      </c>
      <c r="H241" s="16">
        <v>17.350000000000001</v>
      </c>
      <c r="I241" s="16">
        <v>1439</v>
      </c>
      <c r="J241" s="16">
        <v>21.22</v>
      </c>
      <c r="K241" s="16">
        <v>50.890999999999998</v>
      </c>
      <c r="L241" s="16">
        <v>0.25700000000000001</v>
      </c>
      <c r="M241" s="23">
        <v>369.4</v>
      </c>
      <c r="N241" s="16">
        <v>4.2510000000000003</v>
      </c>
      <c r="O241" s="17">
        <v>7.86</v>
      </c>
      <c r="P241" s="18">
        <v>47</v>
      </c>
      <c r="Q241" s="18">
        <v>21.22</v>
      </c>
      <c r="R241" s="18">
        <v>185.874</v>
      </c>
      <c r="S241" s="18">
        <v>183.52600000000001</v>
      </c>
      <c r="T241" s="14" t="b">
        <f t="shared" si="42"/>
        <v>1</v>
      </c>
      <c r="U241" s="14" t="b">
        <f t="shared" si="43"/>
        <v>1</v>
      </c>
      <c r="V241" s="15">
        <f>VLOOKUP(IF(J241&lt;10, 10, IF(J241&gt;50,50,J241)),'Over to underbark'!$A$3:$C$43,IF(A241="Scots pine",3,IF(A241="Sitka spruce",2, "error")),TRUE)/100</f>
        <v>0.84</v>
      </c>
      <c r="W241">
        <f t="shared" si="35"/>
        <v>140.52074399999998</v>
      </c>
      <c r="X241">
        <f t="shared" si="36"/>
        <v>138.745656</v>
      </c>
      <c r="Y241">
        <f t="shared" si="37"/>
        <v>53.193600000000004</v>
      </c>
      <c r="Z241">
        <f t="shared" si="44"/>
        <v>154.10227247999998</v>
      </c>
      <c r="AA241">
        <f t="shared" si="45"/>
        <v>95.110333919999988</v>
      </c>
      <c r="AB241">
        <f t="shared" si="46"/>
        <v>83.247393599999995</v>
      </c>
      <c r="AC241" t="b">
        <f t="shared" si="38"/>
        <v>1</v>
      </c>
      <c r="AD241" t="b">
        <f t="shared" si="39"/>
        <v>1</v>
      </c>
    </row>
    <row r="242" spans="1:30" x14ac:dyDescent="0.35">
      <c r="A242" t="s">
        <v>31</v>
      </c>
      <c r="B242">
        <v>10</v>
      </c>
      <c r="C242">
        <v>2</v>
      </c>
      <c r="D242" t="s">
        <v>32</v>
      </c>
      <c r="E242">
        <v>2</v>
      </c>
      <c r="F242">
        <v>1</v>
      </c>
      <c r="G242" s="16">
        <v>48</v>
      </c>
      <c r="H242" s="16">
        <v>17.623999999999999</v>
      </c>
      <c r="I242" s="16">
        <v>1413</v>
      </c>
      <c r="J242" s="16">
        <v>21.579000000000001</v>
      </c>
      <c r="K242" s="16">
        <v>51.674999999999997</v>
      </c>
      <c r="L242" s="16">
        <v>0.27</v>
      </c>
      <c r="M242" s="23">
        <v>381.24</v>
      </c>
      <c r="N242" s="16">
        <v>4.6040000000000001</v>
      </c>
      <c r="O242" s="17">
        <v>7.9420000000000002</v>
      </c>
      <c r="P242" s="18">
        <v>48</v>
      </c>
      <c r="Q242" s="18">
        <v>21.579000000000001</v>
      </c>
      <c r="R242" s="18">
        <v>184.93299999999999</v>
      </c>
      <c r="S242" s="18">
        <v>196.30699999999999</v>
      </c>
      <c r="T242" s="14" t="b">
        <f t="shared" si="42"/>
        <v>1</v>
      </c>
      <c r="U242" s="14" t="b">
        <f t="shared" si="43"/>
        <v>1</v>
      </c>
      <c r="V242" s="15">
        <f>VLOOKUP(IF(J242&lt;10, 10, IF(J242&gt;50,50,J242)),'Over to underbark'!$A$3:$C$43,IF(A242="Scots pine",3,IF(A242="Sitka spruce",2, "error")),TRUE)/100</f>
        <v>0.84</v>
      </c>
      <c r="W242">
        <f t="shared" si="35"/>
        <v>139.80934799999997</v>
      </c>
      <c r="X242">
        <f t="shared" si="36"/>
        <v>148.40809199999998</v>
      </c>
      <c r="Y242">
        <f t="shared" si="37"/>
        <v>54.898560000000018</v>
      </c>
      <c r="Z242">
        <f t="shared" si="44"/>
        <v>156.85110215999998</v>
      </c>
      <c r="AA242">
        <f t="shared" si="45"/>
        <v>97.220042639999974</v>
      </c>
      <c r="AB242">
        <f t="shared" si="46"/>
        <v>89.044855199999986</v>
      </c>
      <c r="AC242" t="b">
        <f t="shared" si="38"/>
        <v>1</v>
      </c>
      <c r="AD242" t="b">
        <f t="shared" si="39"/>
        <v>1</v>
      </c>
    </row>
    <row r="243" spans="1:30" x14ac:dyDescent="0.35">
      <c r="A243" t="s">
        <v>31</v>
      </c>
      <c r="B243">
        <v>10</v>
      </c>
      <c r="C243">
        <v>2</v>
      </c>
      <c r="D243" t="s">
        <v>32</v>
      </c>
      <c r="E243">
        <v>2</v>
      </c>
      <c r="F243">
        <v>1</v>
      </c>
      <c r="G243" s="16">
        <v>49</v>
      </c>
      <c r="H243" s="16">
        <v>17.898</v>
      </c>
      <c r="I243" s="16">
        <v>1387</v>
      </c>
      <c r="J243" s="16">
        <v>21.945</v>
      </c>
      <c r="K243" s="16">
        <v>52.46</v>
      </c>
      <c r="L243" s="16">
        <v>0.28299999999999997</v>
      </c>
      <c r="M243" s="23">
        <v>393.08</v>
      </c>
      <c r="N243" s="16">
        <v>4.9340000000000002</v>
      </c>
      <c r="O243" s="17">
        <v>8.0220000000000002</v>
      </c>
      <c r="P243" s="18">
        <v>49</v>
      </c>
      <c r="Q243" s="18">
        <v>21.945</v>
      </c>
      <c r="R243" s="18">
        <v>183.601</v>
      </c>
      <c r="S243" s="18">
        <v>209.47900000000001</v>
      </c>
      <c r="T243" s="14" t="b">
        <f t="shared" si="42"/>
        <v>1</v>
      </c>
      <c r="U243" s="14" t="b">
        <f t="shared" si="43"/>
        <v>1</v>
      </c>
      <c r="V243" s="15">
        <f>VLOOKUP(IF(J243&lt;10, 10, IF(J243&gt;50,50,J243)),'Over to underbark'!$A$3:$C$43,IF(A243="Scots pine",3,IF(A243="Sitka spruce",2, "error")),TRUE)/100</f>
        <v>0.84</v>
      </c>
      <c r="W243">
        <f t="shared" si="35"/>
        <v>138.802356</v>
      </c>
      <c r="X243">
        <f t="shared" si="36"/>
        <v>158.36612400000001</v>
      </c>
      <c r="Y243">
        <f t="shared" si="37"/>
        <v>56.603520000000017</v>
      </c>
      <c r="Z243">
        <f t="shared" si="44"/>
        <v>159.47578152</v>
      </c>
      <c r="AA243">
        <f t="shared" si="45"/>
        <v>99.276544080000008</v>
      </c>
      <c r="AB243">
        <f t="shared" si="46"/>
        <v>95.0196744</v>
      </c>
      <c r="AC243" t="b">
        <f t="shared" si="38"/>
        <v>1</v>
      </c>
      <c r="AD243" t="b">
        <f t="shared" si="39"/>
        <v>1</v>
      </c>
    </row>
    <row r="244" spans="1:30" x14ac:dyDescent="0.35">
      <c r="A244" t="s">
        <v>31</v>
      </c>
      <c r="B244">
        <v>10</v>
      </c>
      <c r="C244">
        <v>2</v>
      </c>
      <c r="D244" t="s">
        <v>32</v>
      </c>
      <c r="E244">
        <v>2</v>
      </c>
      <c r="F244">
        <v>1</v>
      </c>
      <c r="G244" s="16">
        <v>50</v>
      </c>
      <c r="H244" s="16">
        <v>18.172000000000001</v>
      </c>
      <c r="I244" s="16">
        <v>1361</v>
      </c>
      <c r="J244" s="16">
        <v>22.318000000000001</v>
      </c>
      <c r="K244" s="16">
        <v>53.244</v>
      </c>
      <c r="L244" s="16">
        <v>0.29799999999999999</v>
      </c>
      <c r="M244" s="23">
        <v>404.92</v>
      </c>
      <c r="N244" s="16">
        <v>5.242</v>
      </c>
      <c r="O244" s="17">
        <v>8.0980000000000008</v>
      </c>
      <c r="P244" s="18">
        <v>50</v>
      </c>
      <c r="Q244" s="18">
        <v>22.318000000000001</v>
      </c>
      <c r="R244" s="18">
        <v>181.89699999999999</v>
      </c>
      <c r="S244" s="18">
        <v>223.023</v>
      </c>
      <c r="T244" s="14" t="b">
        <f t="shared" si="42"/>
        <v>1</v>
      </c>
      <c r="U244" s="14" t="b">
        <f t="shared" si="43"/>
        <v>1</v>
      </c>
      <c r="V244" s="15">
        <f>VLOOKUP(IF(J244&lt;10, 10, IF(J244&gt;50,50,J244)),'Over to underbark'!$A$3:$C$43,IF(A244="Scots pine",3,IF(A244="Sitka spruce",2, "error")),TRUE)/100</f>
        <v>0.84</v>
      </c>
      <c r="W244">
        <f t="shared" si="35"/>
        <v>137.51413199999999</v>
      </c>
      <c r="X244">
        <f t="shared" si="36"/>
        <v>168.60538799999998</v>
      </c>
      <c r="Y244">
        <f t="shared" si="37"/>
        <v>58.30848000000001</v>
      </c>
      <c r="Z244">
        <f t="shared" si="44"/>
        <v>161.98234343999999</v>
      </c>
      <c r="AA244">
        <f t="shared" si="45"/>
        <v>101.28242375999999</v>
      </c>
      <c r="AB244">
        <f t="shared" si="46"/>
        <v>101.16323279999999</v>
      </c>
      <c r="AC244" t="b">
        <f t="shared" si="38"/>
        <v>1</v>
      </c>
      <c r="AD244" t="b">
        <f t="shared" si="39"/>
        <v>1</v>
      </c>
    </row>
    <row r="245" spans="1:30" x14ac:dyDescent="0.35">
      <c r="A245" t="s">
        <v>31</v>
      </c>
      <c r="B245">
        <v>10</v>
      </c>
      <c r="C245">
        <v>2</v>
      </c>
      <c r="D245" t="s">
        <v>32</v>
      </c>
      <c r="E245">
        <v>2</v>
      </c>
      <c r="F245">
        <v>1</v>
      </c>
      <c r="G245" s="16">
        <v>51</v>
      </c>
      <c r="H245" s="16">
        <v>18.446000000000002</v>
      </c>
      <c r="I245" s="16">
        <v>1335</v>
      </c>
      <c r="J245" s="16">
        <v>22.7</v>
      </c>
      <c r="K245" s="16">
        <v>54.027999999999999</v>
      </c>
      <c r="L245" s="16">
        <v>0.312</v>
      </c>
      <c r="M245" s="23">
        <v>416.76</v>
      </c>
      <c r="N245" s="16">
        <v>5.5309999999999997</v>
      </c>
      <c r="O245" s="17">
        <v>8.1720000000000006</v>
      </c>
      <c r="P245" s="18">
        <v>51</v>
      </c>
      <c r="Q245" s="18">
        <v>22.7</v>
      </c>
      <c r="R245" s="18">
        <v>179.8</v>
      </c>
      <c r="S245" s="18">
        <v>236.96</v>
      </c>
      <c r="T245" s="14" t="b">
        <f t="shared" si="42"/>
        <v>1</v>
      </c>
      <c r="U245" s="14" t="b">
        <f t="shared" si="43"/>
        <v>1</v>
      </c>
      <c r="V245" s="15">
        <f>VLOOKUP(IF(J245&lt;10, 10, IF(J245&gt;50,50,J245)),'Over to underbark'!$A$3:$C$43,IF(A245="Scots pine",3,IF(A245="Sitka spruce",2, "error")),TRUE)/100</f>
        <v>0.84</v>
      </c>
      <c r="W245">
        <f t="shared" si="35"/>
        <v>135.92880000000002</v>
      </c>
      <c r="X245">
        <f t="shared" si="36"/>
        <v>179.14176</v>
      </c>
      <c r="Y245">
        <f t="shared" si="37"/>
        <v>60.01344000000001</v>
      </c>
      <c r="Z245">
        <f t="shared" si="44"/>
        <v>164.36412000000001</v>
      </c>
      <c r="AA245">
        <f t="shared" si="45"/>
        <v>103.234824</v>
      </c>
      <c r="AB245">
        <f t="shared" si="46"/>
        <v>107.485056</v>
      </c>
      <c r="AC245" t="b">
        <f t="shared" si="38"/>
        <v>1</v>
      </c>
      <c r="AD245" t="b">
        <f t="shared" si="39"/>
        <v>1</v>
      </c>
    </row>
    <row r="246" spans="1:30" x14ac:dyDescent="0.35">
      <c r="A246" t="s">
        <v>31</v>
      </c>
      <c r="B246">
        <v>10</v>
      </c>
      <c r="C246">
        <v>2</v>
      </c>
      <c r="D246" t="s">
        <v>32</v>
      </c>
      <c r="E246">
        <v>2</v>
      </c>
      <c r="F246">
        <v>1</v>
      </c>
      <c r="G246" s="16">
        <v>52</v>
      </c>
      <c r="H246" s="16">
        <v>18.72</v>
      </c>
      <c r="I246" s="16">
        <v>1309</v>
      </c>
      <c r="J246" s="16">
        <v>23.09</v>
      </c>
      <c r="K246" s="16">
        <v>54.811999999999998</v>
      </c>
      <c r="L246" s="16">
        <v>0.32700000000000001</v>
      </c>
      <c r="M246" s="23">
        <v>428.6</v>
      </c>
      <c r="N246" s="16">
        <v>5.8019999999999996</v>
      </c>
      <c r="O246" s="17">
        <v>8.2420000000000009</v>
      </c>
      <c r="P246" s="18">
        <v>52</v>
      </c>
      <c r="Q246" s="18">
        <v>23.09</v>
      </c>
      <c r="R246" s="18">
        <v>177.35</v>
      </c>
      <c r="S246" s="18">
        <v>251.25</v>
      </c>
      <c r="T246" s="14" t="b">
        <f t="shared" si="42"/>
        <v>1</v>
      </c>
      <c r="U246" s="14" t="b">
        <f t="shared" si="43"/>
        <v>1</v>
      </c>
      <c r="V246" s="15">
        <f>VLOOKUP(IF(J246&lt;10, 10, IF(J246&gt;50,50,J246)),'Over to underbark'!$A$3:$C$43,IF(A246="Scots pine",3,IF(A246="Sitka spruce",2, "error")),TRUE)/100</f>
        <v>0.84</v>
      </c>
      <c r="W246">
        <f t="shared" si="35"/>
        <v>134.07660000000001</v>
      </c>
      <c r="X246">
        <f t="shared" si="36"/>
        <v>189.94499999999999</v>
      </c>
      <c r="Y246">
        <f t="shared" si="37"/>
        <v>61.718400000000017</v>
      </c>
      <c r="Z246">
        <f t="shared" si="44"/>
        <v>166.63381200000001</v>
      </c>
      <c r="AA246">
        <f t="shared" si="45"/>
        <v>105.139188</v>
      </c>
      <c r="AB246">
        <f t="shared" si="46"/>
        <v>113.967</v>
      </c>
      <c r="AC246" t="b">
        <f t="shared" si="38"/>
        <v>1</v>
      </c>
      <c r="AD246" t="b">
        <f t="shared" si="39"/>
        <v>1</v>
      </c>
    </row>
    <row r="247" spans="1:30" x14ac:dyDescent="0.35">
      <c r="A247" t="s">
        <v>31</v>
      </c>
      <c r="B247">
        <v>10</v>
      </c>
      <c r="C247">
        <v>2</v>
      </c>
      <c r="D247" t="s">
        <v>32</v>
      </c>
      <c r="E247">
        <v>2</v>
      </c>
      <c r="F247">
        <v>1</v>
      </c>
      <c r="G247" s="16">
        <v>53</v>
      </c>
      <c r="H247" s="16">
        <v>18.968</v>
      </c>
      <c r="I247" s="16">
        <v>1286</v>
      </c>
      <c r="J247" s="16">
        <v>23.437000000000001</v>
      </c>
      <c r="K247" s="16">
        <v>55.478000000000002</v>
      </c>
      <c r="L247" s="16">
        <v>0.34200000000000003</v>
      </c>
      <c r="M247" s="23">
        <v>439.36</v>
      </c>
      <c r="N247" s="16">
        <v>6.1879999999999997</v>
      </c>
      <c r="O247" s="17">
        <v>8.2899999999999991</v>
      </c>
      <c r="P247" s="18">
        <v>53</v>
      </c>
      <c r="Q247" s="18">
        <v>23.437000000000001</v>
      </c>
      <c r="R247" s="18">
        <v>175.108</v>
      </c>
      <c r="S247" s="18">
        <v>264.25200000000001</v>
      </c>
      <c r="T247" s="14" t="b">
        <f t="shared" si="42"/>
        <v>1</v>
      </c>
      <c r="U247" s="14" t="b">
        <f t="shared" si="43"/>
        <v>1</v>
      </c>
      <c r="V247" s="15">
        <f>VLOOKUP(IF(J247&lt;10, 10, IF(J247&gt;50,50,J247)),'Over to underbark'!$A$3:$C$43,IF(A247="Scots pine",3,IF(A247="Sitka spruce",2, "error")),TRUE)/100</f>
        <v>0.84</v>
      </c>
      <c r="W247">
        <f t="shared" si="35"/>
        <v>132.38164800000001</v>
      </c>
      <c r="X247">
        <f t="shared" si="36"/>
        <v>199.77451200000002</v>
      </c>
      <c r="Y247">
        <f t="shared" si="37"/>
        <v>63.267840000000021</v>
      </c>
      <c r="Z247">
        <f t="shared" si="44"/>
        <v>168.69155616000003</v>
      </c>
      <c r="AA247">
        <f t="shared" si="45"/>
        <v>106.86773664</v>
      </c>
      <c r="AB247">
        <f t="shared" si="46"/>
        <v>119.8647072</v>
      </c>
      <c r="AC247" t="b">
        <f t="shared" si="38"/>
        <v>1</v>
      </c>
      <c r="AD247" t="b">
        <f t="shared" si="39"/>
        <v>1</v>
      </c>
    </row>
    <row r="248" spans="1:30" x14ac:dyDescent="0.35">
      <c r="A248" t="s">
        <v>31</v>
      </c>
      <c r="B248">
        <v>10</v>
      </c>
      <c r="C248">
        <v>2</v>
      </c>
      <c r="D248" t="s">
        <v>32</v>
      </c>
      <c r="E248">
        <v>2</v>
      </c>
      <c r="F248">
        <v>1</v>
      </c>
      <c r="G248" s="16">
        <v>54</v>
      </c>
      <c r="H248" s="16">
        <v>19.216000000000001</v>
      </c>
      <c r="I248" s="16">
        <v>1263</v>
      </c>
      <c r="J248" s="16">
        <v>23.791</v>
      </c>
      <c r="K248" s="16">
        <v>56.143999999999998</v>
      </c>
      <c r="L248" s="16">
        <v>0.35599999999999998</v>
      </c>
      <c r="M248" s="23">
        <v>450.12</v>
      </c>
      <c r="N248" s="16">
        <v>6.5519999999999996</v>
      </c>
      <c r="O248" s="17">
        <v>8.3360000000000003</v>
      </c>
      <c r="P248" s="18">
        <v>54</v>
      </c>
      <c r="Q248" s="18">
        <v>23.791</v>
      </c>
      <c r="R248" s="18">
        <v>172.59800000000001</v>
      </c>
      <c r="S248" s="18">
        <v>277.52199999999999</v>
      </c>
      <c r="T248" s="14" t="b">
        <f t="shared" si="42"/>
        <v>1</v>
      </c>
      <c r="U248" s="14" t="b">
        <f t="shared" si="43"/>
        <v>1</v>
      </c>
      <c r="V248" s="15">
        <f>VLOOKUP(IF(J248&lt;10, 10, IF(J248&gt;50,50,J248)),'Over to underbark'!$A$3:$C$43,IF(A248="Scots pine",3,IF(A248="Sitka spruce",2, "error")),TRUE)/100</f>
        <v>0.84</v>
      </c>
      <c r="W248">
        <f t="shared" si="35"/>
        <v>130.48408800000001</v>
      </c>
      <c r="X248">
        <f t="shared" si="36"/>
        <v>209.80663200000001</v>
      </c>
      <c r="Y248">
        <f t="shared" si="37"/>
        <v>64.817280000000011</v>
      </c>
      <c r="Z248">
        <f t="shared" si="44"/>
        <v>170.66420496000001</v>
      </c>
      <c r="AA248">
        <f t="shared" si="45"/>
        <v>108.55981584</v>
      </c>
      <c r="AB248">
        <f t="shared" si="46"/>
        <v>125.8839792</v>
      </c>
      <c r="AC248" t="b">
        <f t="shared" si="38"/>
        <v>1</v>
      </c>
      <c r="AD248" t="b">
        <f t="shared" si="39"/>
        <v>1</v>
      </c>
    </row>
    <row r="249" spans="1:30" x14ac:dyDescent="0.35">
      <c r="A249" t="s">
        <v>31</v>
      </c>
      <c r="B249">
        <v>10</v>
      </c>
      <c r="C249">
        <v>2</v>
      </c>
      <c r="D249" t="s">
        <v>32</v>
      </c>
      <c r="E249">
        <v>2</v>
      </c>
      <c r="F249">
        <v>1</v>
      </c>
      <c r="G249" s="16">
        <v>55</v>
      </c>
      <c r="H249" s="16">
        <v>19.463999999999999</v>
      </c>
      <c r="I249" s="16">
        <v>1240</v>
      </c>
      <c r="J249" s="16">
        <v>24.152000000000001</v>
      </c>
      <c r="K249" s="16">
        <v>56.81</v>
      </c>
      <c r="L249" s="16">
        <v>0.372</v>
      </c>
      <c r="M249" s="23">
        <v>460.88</v>
      </c>
      <c r="N249" s="16">
        <v>6.8970000000000002</v>
      </c>
      <c r="O249" s="17">
        <v>8.3800000000000008</v>
      </c>
      <c r="P249" s="18">
        <v>55</v>
      </c>
      <c r="Q249" s="18">
        <v>24.152000000000001</v>
      </c>
      <c r="R249" s="18">
        <v>169.83600000000001</v>
      </c>
      <c r="S249" s="18">
        <v>291.04399999999998</v>
      </c>
      <c r="T249" s="14" t="b">
        <f t="shared" si="42"/>
        <v>1</v>
      </c>
      <c r="U249" s="14" t="b">
        <f t="shared" si="43"/>
        <v>1</v>
      </c>
      <c r="V249" s="15">
        <f>VLOOKUP(IF(J249&lt;10, 10, IF(J249&gt;50,50,J249)),'Over to underbark'!$A$3:$C$43,IF(A249="Scots pine",3,IF(A249="Sitka spruce",2, "error")),TRUE)/100</f>
        <v>0.84</v>
      </c>
      <c r="W249">
        <f t="shared" si="35"/>
        <v>128.396016</v>
      </c>
      <c r="X249">
        <f t="shared" si="36"/>
        <v>220.02926399999998</v>
      </c>
      <c r="Y249">
        <f t="shared" si="37"/>
        <v>66.366720000000015</v>
      </c>
      <c r="Z249">
        <f t="shared" si="44"/>
        <v>172.55683872</v>
      </c>
      <c r="AA249">
        <f t="shared" si="45"/>
        <v>110.21760287999999</v>
      </c>
      <c r="AB249">
        <f t="shared" si="46"/>
        <v>132.01755839999998</v>
      </c>
      <c r="AC249" t="b">
        <f t="shared" si="38"/>
        <v>1</v>
      </c>
      <c r="AD249" t="b">
        <f t="shared" si="39"/>
        <v>1</v>
      </c>
    </row>
    <row r="250" spans="1:30" x14ac:dyDescent="0.35">
      <c r="A250" t="s">
        <v>31</v>
      </c>
      <c r="B250">
        <v>10</v>
      </c>
      <c r="C250">
        <v>2</v>
      </c>
      <c r="D250" t="s">
        <v>32</v>
      </c>
      <c r="E250">
        <v>2</v>
      </c>
      <c r="F250">
        <v>1</v>
      </c>
      <c r="G250" s="16">
        <v>56</v>
      </c>
      <c r="H250" s="16">
        <v>19.712</v>
      </c>
      <c r="I250" s="16">
        <v>1217</v>
      </c>
      <c r="J250" s="16">
        <v>24.521999999999998</v>
      </c>
      <c r="K250" s="16">
        <v>57.475999999999999</v>
      </c>
      <c r="L250" s="16">
        <v>0.38800000000000001</v>
      </c>
      <c r="M250" s="23">
        <v>471.64</v>
      </c>
      <c r="N250" s="16">
        <v>7.2229999999999999</v>
      </c>
      <c r="O250" s="17">
        <v>8.4220000000000006</v>
      </c>
      <c r="P250" s="18">
        <v>56</v>
      </c>
      <c r="Q250" s="18">
        <v>24.521999999999998</v>
      </c>
      <c r="R250" s="18">
        <v>166.80199999999999</v>
      </c>
      <c r="S250" s="18">
        <v>304.83800000000002</v>
      </c>
      <c r="T250" s="14" t="b">
        <f t="shared" si="42"/>
        <v>1</v>
      </c>
      <c r="U250" s="14" t="b">
        <f t="shared" si="43"/>
        <v>1</v>
      </c>
      <c r="V250" s="15">
        <f>VLOOKUP(IF(J250&lt;10, 10, IF(J250&gt;50,50,J250)),'Over to underbark'!$A$3:$C$43,IF(A250="Scots pine",3,IF(A250="Sitka spruce",2, "error")),TRUE)/100</f>
        <v>0.84</v>
      </c>
      <c r="W250">
        <f t="shared" si="35"/>
        <v>126.102312</v>
      </c>
      <c r="X250">
        <f t="shared" si="36"/>
        <v>230.45752800000002</v>
      </c>
      <c r="Y250">
        <f t="shared" si="37"/>
        <v>67.916160000000019</v>
      </c>
      <c r="Z250">
        <f t="shared" si="44"/>
        <v>174.36310704000002</v>
      </c>
      <c r="AA250">
        <f t="shared" si="45"/>
        <v>111.83837616</v>
      </c>
      <c r="AB250">
        <f t="shared" si="46"/>
        <v>138.27451680000001</v>
      </c>
      <c r="AC250" t="b">
        <f t="shared" si="38"/>
        <v>1</v>
      </c>
      <c r="AD250" t="b">
        <f t="shared" si="39"/>
        <v>1</v>
      </c>
    </row>
    <row r="251" spans="1:30" x14ac:dyDescent="0.35">
      <c r="A251" t="s">
        <v>31</v>
      </c>
      <c r="B251">
        <v>10</v>
      </c>
      <c r="C251">
        <v>2</v>
      </c>
      <c r="D251" t="s">
        <v>32</v>
      </c>
      <c r="E251">
        <v>2</v>
      </c>
      <c r="F251">
        <v>1</v>
      </c>
      <c r="G251" s="16">
        <v>57</v>
      </c>
      <c r="H251" s="16">
        <v>19.96</v>
      </c>
      <c r="I251" s="16">
        <v>1194</v>
      </c>
      <c r="J251" s="16">
        <v>24.9</v>
      </c>
      <c r="K251" s="16">
        <v>58.142000000000003</v>
      </c>
      <c r="L251" s="16">
        <v>0.40400000000000003</v>
      </c>
      <c r="M251" s="23">
        <v>482.4</v>
      </c>
      <c r="N251" s="16">
        <v>7.5330000000000004</v>
      </c>
      <c r="O251" s="17">
        <v>8.4629999999999992</v>
      </c>
      <c r="P251" s="18">
        <v>57</v>
      </c>
      <c r="Q251" s="18">
        <v>24.9</v>
      </c>
      <c r="R251" s="18">
        <v>163.53200000000001</v>
      </c>
      <c r="S251" s="18">
        <v>318.86799999999999</v>
      </c>
      <c r="T251" s="14" t="b">
        <f t="shared" si="42"/>
        <v>1</v>
      </c>
      <c r="U251" s="14" t="b">
        <f t="shared" si="43"/>
        <v>1</v>
      </c>
      <c r="V251" s="15">
        <f>VLOOKUP(IF(J251&lt;10, 10, IF(J251&gt;50,50,J251)),'Over to underbark'!$A$3:$C$43,IF(A251="Scots pine",3,IF(A251="Sitka spruce",2, "error")),TRUE)/100</f>
        <v>0.84</v>
      </c>
      <c r="W251">
        <f t="shared" si="35"/>
        <v>123.63019200000002</v>
      </c>
      <c r="X251">
        <f t="shared" si="36"/>
        <v>241.06420799999998</v>
      </c>
      <c r="Y251">
        <f t="shared" si="37"/>
        <v>69.465600000000009</v>
      </c>
      <c r="Z251">
        <f t="shared" si="44"/>
        <v>176.09444064000002</v>
      </c>
      <c r="AA251">
        <f t="shared" si="45"/>
        <v>113.42703456000001</v>
      </c>
      <c r="AB251">
        <f t="shared" si="46"/>
        <v>144.63852479999997</v>
      </c>
      <c r="AC251" t="b">
        <f t="shared" si="38"/>
        <v>1</v>
      </c>
      <c r="AD251" t="b">
        <f t="shared" si="39"/>
        <v>1</v>
      </c>
    </row>
    <row r="252" spans="1:30" x14ac:dyDescent="0.35">
      <c r="A252" t="s">
        <v>31</v>
      </c>
      <c r="B252">
        <v>10</v>
      </c>
      <c r="C252">
        <v>2</v>
      </c>
      <c r="D252" t="s">
        <v>32</v>
      </c>
      <c r="E252">
        <v>2</v>
      </c>
      <c r="F252">
        <v>1</v>
      </c>
      <c r="G252" s="16">
        <v>58</v>
      </c>
      <c r="H252" s="16">
        <v>20.181999999999999</v>
      </c>
      <c r="I252" s="16">
        <v>1175</v>
      </c>
      <c r="J252" s="16">
        <v>25.228999999999999</v>
      </c>
      <c r="K252" s="16">
        <v>58.738</v>
      </c>
      <c r="L252" s="16">
        <v>0.41899999999999998</v>
      </c>
      <c r="M252" s="23">
        <v>492.18</v>
      </c>
      <c r="N252" s="16">
        <v>7.8760000000000003</v>
      </c>
      <c r="O252" s="17">
        <v>8.4860000000000007</v>
      </c>
      <c r="P252" s="18">
        <v>58</v>
      </c>
      <c r="Q252" s="18">
        <v>25.228999999999999</v>
      </c>
      <c r="R252" s="18">
        <v>160.76300000000001</v>
      </c>
      <c r="S252" s="18">
        <v>331.41699999999997</v>
      </c>
      <c r="T252" s="14" t="b">
        <f t="shared" si="42"/>
        <v>1</v>
      </c>
      <c r="U252" s="14" t="b">
        <f t="shared" si="43"/>
        <v>1</v>
      </c>
      <c r="V252" s="15">
        <f>VLOOKUP(IF(J252&lt;10, 10, IF(J252&gt;50,50,J252)),'Over to underbark'!$A$3:$C$43,IF(A252="Scots pine",3,IF(A252="Sitka spruce",2, "error")),TRUE)/100</f>
        <v>0.84</v>
      </c>
      <c r="W252">
        <f t="shared" si="35"/>
        <v>121.536828</v>
      </c>
      <c r="X252">
        <f t="shared" si="36"/>
        <v>250.55125199999995</v>
      </c>
      <c r="Y252">
        <f t="shared" si="37"/>
        <v>70.873920000000012</v>
      </c>
      <c r="Z252">
        <f t="shared" si="44"/>
        <v>177.73259975999997</v>
      </c>
      <c r="AA252">
        <f t="shared" si="45"/>
        <v>114.89864903999998</v>
      </c>
      <c r="AB252">
        <f t="shared" si="46"/>
        <v>150.33075119999995</v>
      </c>
      <c r="AC252" t="b">
        <f t="shared" si="38"/>
        <v>1</v>
      </c>
      <c r="AD252" t="b">
        <f t="shared" si="39"/>
        <v>1</v>
      </c>
    </row>
    <row r="253" spans="1:30" x14ac:dyDescent="0.35">
      <c r="A253" t="s">
        <v>31</v>
      </c>
      <c r="B253">
        <v>10</v>
      </c>
      <c r="C253">
        <v>2</v>
      </c>
      <c r="D253" t="s">
        <v>32</v>
      </c>
      <c r="E253">
        <v>2</v>
      </c>
      <c r="F253">
        <v>1</v>
      </c>
      <c r="G253" s="16">
        <v>59</v>
      </c>
      <c r="H253" s="16">
        <v>20.404</v>
      </c>
      <c r="I253" s="16">
        <v>1156</v>
      </c>
      <c r="J253" s="16">
        <v>25.564</v>
      </c>
      <c r="K253" s="16">
        <v>59.332999999999998</v>
      </c>
      <c r="L253" s="16">
        <v>0.434</v>
      </c>
      <c r="M253" s="23">
        <v>501.96</v>
      </c>
      <c r="N253" s="16">
        <v>8.2040000000000006</v>
      </c>
      <c r="O253" s="17">
        <v>8.5079999999999991</v>
      </c>
      <c r="P253" s="18">
        <v>59</v>
      </c>
      <c r="Q253" s="18">
        <v>25.564</v>
      </c>
      <c r="R253" s="18">
        <v>157.83000000000001</v>
      </c>
      <c r="S253" s="18">
        <v>344.13</v>
      </c>
      <c r="T253" s="14" t="b">
        <f t="shared" si="42"/>
        <v>1</v>
      </c>
      <c r="U253" s="14" t="b">
        <f t="shared" si="43"/>
        <v>1</v>
      </c>
      <c r="V253" s="15">
        <f>VLOOKUP(IF(J253&lt;10, 10, IF(J253&gt;50,50,J253)),'Over to underbark'!$A$3:$C$43,IF(A253="Scots pine",3,IF(A253="Sitka spruce",2, "error")),TRUE)/100</f>
        <v>0.84</v>
      </c>
      <c r="W253">
        <f t="shared" si="35"/>
        <v>119.31948000000001</v>
      </c>
      <c r="X253">
        <f t="shared" si="36"/>
        <v>260.16227999999995</v>
      </c>
      <c r="Y253">
        <f t="shared" si="37"/>
        <v>72.28224000000003</v>
      </c>
      <c r="Z253">
        <f t="shared" si="44"/>
        <v>179.31868560000004</v>
      </c>
      <c r="AA253">
        <f t="shared" si="45"/>
        <v>116.34794639999998</v>
      </c>
      <c r="AB253">
        <f t="shared" si="46"/>
        <v>156.09736799999996</v>
      </c>
      <c r="AC253" t="b">
        <f t="shared" si="38"/>
        <v>1</v>
      </c>
      <c r="AD253" t="b">
        <f t="shared" si="39"/>
        <v>1</v>
      </c>
    </row>
    <row r="254" spans="1:30" x14ac:dyDescent="0.35">
      <c r="A254" t="s">
        <v>31</v>
      </c>
      <c r="B254">
        <v>10</v>
      </c>
      <c r="C254">
        <v>2</v>
      </c>
      <c r="D254" t="s">
        <v>32</v>
      </c>
      <c r="E254">
        <v>2</v>
      </c>
      <c r="F254">
        <v>1</v>
      </c>
      <c r="G254" s="16">
        <v>60</v>
      </c>
      <c r="H254" s="16">
        <v>20.626000000000001</v>
      </c>
      <c r="I254" s="16">
        <v>1137</v>
      </c>
      <c r="J254" s="16">
        <v>25.905000000000001</v>
      </c>
      <c r="K254" s="16">
        <v>59.927999999999997</v>
      </c>
      <c r="L254" s="16">
        <v>0.45</v>
      </c>
      <c r="M254" s="23">
        <v>511.74</v>
      </c>
      <c r="N254" s="16">
        <v>8.5169999999999995</v>
      </c>
      <c r="O254" s="17">
        <v>8.5289999999999999</v>
      </c>
      <c r="P254" s="18">
        <v>60</v>
      </c>
      <c r="Q254" s="18">
        <v>25.905000000000001</v>
      </c>
      <c r="R254" s="18">
        <v>154.74600000000001</v>
      </c>
      <c r="S254" s="18">
        <v>356.99400000000003</v>
      </c>
      <c r="T254" s="14" t="b">
        <f t="shared" si="42"/>
        <v>1</v>
      </c>
      <c r="U254" s="14" t="b">
        <f t="shared" si="43"/>
        <v>1</v>
      </c>
      <c r="V254" s="15">
        <f>VLOOKUP(IF(J254&lt;10, 10, IF(J254&gt;50,50,J254)),'Over to underbark'!$A$3:$C$43,IF(A254="Scots pine",3,IF(A254="Sitka spruce",2, "error")),TRUE)/100</f>
        <v>0.84</v>
      </c>
      <c r="W254">
        <f t="shared" si="35"/>
        <v>116.98797599999999</v>
      </c>
      <c r="X254">
        <f t="shared" si="36"/>
        <v>269.88746400000002</v>
      </c>
      <c r="Y254">
        <f t="shared" si="37"/>
        <v>73.690560000000019</v>
      </c>
      <c r="Z254">
        <f t="shared" si="44"/>
        <v>180.85682592000001</v>
      </c>
      <c r="AA254">
        <f t="shared" si="45"/>
        <v>117.77669568</v>
      </c>
      <c r="AB254">
        <f t="shared" si="46"/>
        <v>161.93247840000001</v>
      </c>
      <c r="AC254" t="b">
        <f t="shared" si="38"/>
        <v>1</v>
      </c>
      <c r="AD254" t="b">
        <f t="shared" si="39"/>
        <v>1</v>
      </c>
    </row>
    <row r="255" spans="1:30" x14ac:dyDescent="0.35">
      <c r="A255" t="s">
        <v>31</v>
      </c>
      <c r="B255">
        <v>10</v>
      </c>
      <c r="C255">
        <v>2</v>
      </c>
      <c r="D255" t="s">
        <v>32</v>
      </c>
      <c r="E255">
        <v>2</v>
      </c>
      <c r="F255">
        <v>1</v>
      </c>
      <c r="G255" s="16">
        <v>61</v>
      </c>
      <c r="H255" s="16">
        <v>20.847999999999999</v>
      </c>
      <c r="I255" s="16">
        <v>1118</v>
      </c>
      <c r="J255" s="16">
        <v>26.254000000000001</v>
      </c>
      <c r="K255" s="16">
        <v>60.524000000000001</v>
      </c>
      <c r="L255" s="16">
        <v>0.46600000000000003</v>
      </c>
      <c r="M255" s="23">
        <v>521.52</v>
      </c>
      <c r="N255" s="16">
        <v>8.8160000000000007</v>
      </c>
      <c r="O255" s="17">
        <v>8.5500000000000007</v>
      </c>
      <c r="P255" s="18">
        <v>61</v>
      </c>
      <c r="Q255" s="18">
        <v>26.254000000000001</v>
      </c>
      <c r="R255" s="18">
        <v>151.488</v>
      </c>
      <c r="S255" s="18">
        <v>370.03199999999998</v>
      </c>
      <c r="T255" s="14" t="b">
        <f t="shared" si="42"/>
        <v>1</v>
      </c>
      <c r="U255" s="14" t="b">
        <f t="shared" si="43"/>
        <v>1</v>
      </c>
      <c r="V255" s="15">
        <f>VLOOKUP(IF(J255&lt;10, 10, IF(J255&gt;50,50,J255)),'Over to underbark'!$A$3:$C$43,IF(A255="Scots pine",3,IF(A255="Sitka spruce",2, "error")),TRUE)/100</f>
        <v>0.84</v>
      </c>
      <c r="W255">
        <f t="shared" si="35"/>
        <v>114.524928</v>
      </c>
      <c r="X255">
        <f t="shared" si="36"/>
        <v>279.744192</v>
      </c>
      <c r="Y255">
        <f t="shared" si="37"/>
        <v>75.098880000000008</v>
      </c>
      <c r="Z255">
        <f t="shared" si="44"/>
        <v>182.33971776000001</v>
      </c>
      <c r="AA255">
        <f t="shared" si="45"/>
        <v>119.18176704</v>
      </c>
      <c r="AB255">
        <f t="shared" si="46"/>
        <v>167.8465152</v>
      </c>
      <c r="AC255" t="b">
        <f t="shared" si="38"/>
        <v>1</v>
      </c>
      <c r="AD255" t="b">
        <f t="shared" si="39"/>
        <v>1</v>
      </c>
    </row>
    <row r="256" spans="1:30" x14ac:dyDescent="0.35">
      <c r="A256" t="s">
        <v>31</v>
      </c>
      <c r="B256">
        <v>10</v>
      </c>
      <c r="C256">
        <v>2</v>
      </c>
      <c r="D256" t="s">
        <v>32</v>
      </c>
      <c r="E256">
        <v>2</v>
      </c>
      <c r="F256">
        <v>1</v>
      </c>
      <c r="G256" s="16">
        <v>62</v>
      </c>
      <c r="H256" s="16">
        <v>21.07</v>
      </c>
      <c r="I256" s="16">
        <v>1099</v>
      </c>
      <c r="J256" s="16">
        <v>26.61</v>
      </c>
      <c r="K256" s="16">
        <v>61.119</v>
      </c>
      <c r="L256" s="16">
        <v>0.48299999999999998</v>
      </c>
      <c r="M256" s="23">
        <v>531.29999999999995</v>
      </c>
      <c r="N256" s="16">
        <v>9.1020000000000003</v>
      </c>
      <c r="O256" s="17">
        <v>8.5690000000000008</v>
      </c>
      <c r="P256" s="18">
        <v>62</v>
      </c>
      <c r="Q256" s="18">
        <v>26.61</v>
      </c>
      <c r="R256" s="18">
        <v>148.089</v>
      </c>
      <c r="S256" s="18">
        <v>383.21100000000001</v>
      </c>
      <c r="T256" s="14" t="b">
        <f t="shared" si="42"/>
        <v>1</v>
      </c>
      <c r="U256" s="14" t="b">
        <f t="shared" si="43"/>
        <v>1</v>
      </c>
      <c r="V256" s="15">
        <f>VLOOKUP(IF(J256&lt;10, 10, IF(J256&gt;50,50,J256)),'Over to underbark'!$A$3:$C$43,IF(A256="Scots pine",3,IF(A256="Sitka spruce",2, "error")),TRUE)/100</f>
        <v>0.84</v>
      </c>
      <c r="W256">
        <f t="shared" ref="W256:W296" si="47">R256*0.9*V256</f>
        <v>111.95528400000001</v>
      </c>
      <c r="X256">
        <f t="shared" ref="X256:X296" si="48">S256*0.9*V256</f>
        <v>289.707516</v>
      </c>
      <c r="Y256">
        <f t="shared" si="37"/>
        <v>76.507200000000012</v>
      </c>
      <c r="Z256">
        <f t="shared" si="44"/>
        <v>183.77783928000002</v>
      </c>
      <c r="AA256">
        <f t="shared" si="45"/>
        <v>120.56765111999999</v>
      </c>
      <c r="AB256">
        <f t="shared" si="46"/>
        <v>173.8245096</v>
      </c>
      <c r="AC256" t="b">
        <f t="shared" si="38"/>
        <v>1</v>
      </c>
      <c r="AD256" t="b">
        <f t="shared" si="39"/>
        <v>1</v>
      </c>
    </row>
    <row r="257" spans="1:30" x14ac:dyDescent="0.35">
      <c r="A257" t="s">
        <v>31</v>
      </c>
      <c r="B257">
        <v>10</v>
      </c>
      <c r="C257">
        <v>2</v>
      </c>
      <c r="D257" t="s">
        <v>32</v>
      </c>
      <c r="E257">
        <v>2</v>
      </c>
      <c r="F257">
        <v>1</v>
      </c>
      <c r="G257" s="16">
        <v>63</v>
      </c>
      <c r="H257" s="16">
        <v>21.27</v>
      </c>
      <c r="I257" s="16">
        <v>1082</v>
      </c>
      <c r="J257" s="16">
        <v>26.927</v>
      </c>
      <c r="K257" s="16">
        <v>61.613999999999997</v>
      </c>
      <c r="L257" s="16">
        <v>0.499</v>
      </c>
      <c r="M257" s="23">
        <v>540.28</v>
      </c>
      <c r="N257" s="16">
        <v>9.3670000000000009</v>
      </c>
      <c r="O257" s="17">
        <v>8.5760000000000005</v>
      </c>
      <c r="P257" s="18">
        <v>63</v>
      </c>
      <c r="Q257" s="18">
        <v>26.927</v>
      </c>
      <c r="R257" s="18">
        <v>145.12700000000001</v>
      </c>
      <c r="S257" s="18">
        <v>395.15300000000002</v>
      </c>
      <c r="T257" s="14" t="b">
        <f t="shared" si="42"/>
        <v>1</v>
      </c>
      <c r="U257" s="14" t="b">
        <f t="shared" si="43"/>
        <v>1</v>
      </c>
      <c r="V257" s="15">
        <f>VLOOKUP(IF(J257&lt;10, 10, IF(J257&gt;50,50,J257)),'Over to underbark'!$A$3:$C$43,IF(A257="Scots pine",3,IF(A257="Sitka spruce",2, "error")),TRUE)/100</f>
        <v>0.84</v>
      </c>
      <c r="W257">
        <f t="shared" si="47"/>
        <v>109.71601200000001</v>
      </c>
      <c r="X257">
        <f t="shared" si="48"/>
        <v>298.73566800000003</v>
      </c>
      <c r="Y257">
        <f t="shared" si="37"/>
        <v>77.800320000000013</v>
      </c>
      <c r="Z257">
        <f t="shared" si="44"/>
        <v>185.14879704000003</v>
      </c>
      <c r="AA257">
        <f t="shared" si="45"/>
        <v>121.86180216000001</v>
      </c>
      <c r="AB257">
        <f t="shared" si="46"/>
        <v>179.24140080000001</v>
      </c>
      <c r="AC257" t="b">
        <f t="shared" si="38"/>
        <v>1</v>
      </c>
      <c r="AD257" t="b">
        <f t="shared" si="39"/>
        <v>1</v>
      </c>
    </row>
    <row r="258" spans="1:30" x14ac:dyDescent="0.35">
      <c r="A258" t="s">
        <v>31</v>
      </c>
      <c r="B258">
        <v>10</v>
      </c>
      <c r="C258">
        <v>2</v>
      </c>
      <c r="D258" t="s">
        <v>32</v>
      </c>
      <c r="E258">
        <v>2</v>
      </c>
      <c r="F258">
        <v>1</v>
      </c>
      <c r="G258" s="16">
        <v>64</v>
      </c>
      <c r="H258" s="16">
        <v>21.47</v>
      </c>
      <c r="I258" s="16">
        <v>1065</v>
      </c>
      <c r="J258" s="16">
        <v>27.248999999999999</v>
      </c>
      <c r="K258" s="16">
        <v>62.107999999999997</v>
      </c>
      <c r="L258" s="16">
        <v>0.51600000000000001</v>
      </c>
      <c r="M258" s="23">
        <v>549.26</v>
      </c>
      <c r="N258" s="16">
        <v>9.6229999999999993</v>
      </c>
      <c r="O258" s="17">
        <v>8.5820000000000007</v>
      </c>
      <c r="P258" s="18">
        <v>64</v>
      </c>
      <c r="Q258" s="18">
        <v>27.248999999999999</v>
      </c>
      <c r="R258" s="18">
        <v>142.07400000000001</v>
      </c>
      <c r="S258" s="18">
        <v>407.18599999999998</v>
      </c>
      <c r="T258" s="14" t="b">
        <f t="shared" si="42"/>
        <v>1</v>
      </c>
      <c r="U258" s="14" t="b">
        <f t="shared" si="43"/>
        <v>1</v>
      </c>
      <c r="V258" s="15">
        <f>VLOOKUP(IF(J258&lt;10, 10, IF(J258&gt;50,50,J258)),'Over to underbark'!$A$3:$C$43,IF(A258="Scots pine",3,IF(A258="Sitka spruce",2, "error")),TRUE)/100</f>
        <v>0.85</v>
      </c>
      <c r="W258">
        <f t="shared" si="47"/>
        <v>108.68661000000002</v>
      </c>
      <c r="X258">
        <f t="shared" si="48"/>
        <v>311.49728999999996</v>
      </c>
      <c r="Y258">
        <f t="shared" si="37"/>
        <v>74.150100000000009</v>
      </c>
      <c r="Z258">
        <f t="shared" si="44"/>
        <v>182.8260612</v>
      </c>
      <c r="AA258">
        <f t="shared" si="45"/>
        <v>124.60956479999999</v>
      </c>
      <c r="AB258">
        <f t="shared" si="46"/>
        <v>186.89837399999996</v>
      </c>
      <c r="AC258" t="b">
        <f t="shared" si="38"/>
        <v>1</v>
      </c>
      <c r="AD258" t="b">
        <f t="shared" si="39"/>
        <v>1</v>
      </c>
    </row>
    <row r="259" spans="1:30" x14ac:dyDescent="0.35">
      <c r="A259" t="s">
        <v>31</v>
      </c>
      <c r="B259">
        <v>10</v>
      </c>
      <c r="C259">
        <v>2</v>
      </c>
      <c r="D259" t="s">
        <v>32</v>
      </c>
      <c r="E259">
        <v>2</v>
      </c>
      <c r="F259">
        <v>1</v>
      </c>
      <c r="G259" s="16">
        <v>65</v>
      </c>
      <c r="H259" s="16">
        <v>21.67</v>
      </c>
      <c r="I259" s="16">
        <v>1049</v>
      </c>
      <c r="J259" s="16">
        <v>27.565000000000001</v>
      </c>
      <c r="K259" s="16">
        <v>62.603000000000002</v>
      </c>
      <c r="L259" s="16">
        <v>0.53200000000000003</v>
      </c>
      <c r="M259" s="23">
        <v>558.24</v>
      </c>
      <c r="N259" s="16">
        <v>9.8680000000000003</v>
      </c>
      <c r="O259" s="17">
        <v>8.5879999999999992</v>
      </c>
      <c r="P259" s="18">
        <v>65</v>
      </c>
      <c r="Q259" s="18">
        <v>27.565000000000001</v>
      </c>
      <c r="R259" s="18">
        <v>139.12</v>
      </c>
      <c r="S259" s="18">
        <v>419.12</v>
      </c>
      <c r="T259" s="14" t="b">
        <f t="shared" si="42"/>
        <v>1</v>
      </c>
      <c r="U259" s="14" t="b">
        <f t="shared" si="43"/>
        <v>1</v>
      </c>
      <c r="V259" s="15">
        <f>VLOOKUP(IF(J259&lt;10, 10, IF(J259&gt;50,50,J259)),'Over to underbark'!$A$3:$C$43,IF(A259="Scots pine",3,IF(A259="Sitka spruce",2, "error")),TRUE)/100</f>
        <v>0.85</v>
      </c>
      <c r="W259">
        <f t="shared" si="47"/>
        <v>106.42680000000001</v>
      </c>
      <c r="X259">
        <f t="shared" si="48"/>
        <v>320.6268</v>
      </c>
      <c r="Y259">
        <f t="shared" si="37"/>
        <v>75.362400000000008</v>
      </c>
      <c r="Z259">
        <f t="shared" si="44"/>
        <v>184.119696</v>
      </c>
      <c r="AA259">
        <f t="shared" si="45"/>
        <v>125.920224</v>
      </c>
      <c r="AB259">
        <f t="shared" si="46"/>
        <v>192.37608</v>
      </c>
      <c r="AC259" t="b">
        <f t="shared" si="38"/>
        <v>1</v>
      </c>
      <c r="AD259" t="b">
        <f t="shared" si="39"/>
        <v>1</v>
      </c>
    </row>
    <row r="260" spans="1:30" x14ac:dyDescent="0.35">
      <c r="A260" t="s">
        <v>31</v>
      </c>
      <c r="B260">
        <v>10</v>
      </c>
      <c r="C260">
        <v>2</v>
      </c>
      <c r="D260" t="s">
        <v>32</v>
      </c>
      <c r="E260">
        <v>2</v>
      </c>
      <c r="F260">
        <v>1</v>
      </c>
      <c r="G260" s="16">
        <v>66</v>
      </c>
      <c r="H260" s="16">
        <v>21.87</v>
      </c>
      <c r="I260" s="16">
        <v>1032</v>
      </c>
      <c r="J260" s="16">
        <v>27.901</v>
      </c>
      <c r="K260" s="16">
        <v>63.097999999999999</v>
      </c>
      <c r="L260" s="16">
        <v>0.55000000000000004</v>
      </c>
      <c r="M260" s="23">
        <v>567.22</v>
      </c>
      <c r="N260" s="16">
        <v>10.105</v>
      </c>
      <c r="O260" s="17">
        <v>8.5939999999999994</v>
      </c>
      <c r="P260" s="18">
        <v>66</v>
      </c>
      <c r="Q260" s="18">
        <v>27.901</v>
      </c>
      <c r="R260" s="18">
        <v>135.845</v>
      </c>
      <c r="S260" s="18">
        <v>431.375</v>
      </c>
      <c r="T260" s="14" t="b">
        <f t="shared" si="42"/>
        <v>1</v>
      </c>
      <c r="U260" s="14" t="b">
        <f t="shared" si="43"/>
        <v>1</v>
      </c>
      <c r="V260" s="15">
        <f>VLOOKUP(IF(J260&lt;10, 10, IF(J260&gt;50,50,J260)),'Over to underbark'!$A$3:$C$43,IF(A260="Scots pine",3,IF(A260="Sitka spruce",2, "error")),TRUE)/100</f>
        <v>0.85</v>
      </c>
      <c r="W260">
        <f t="shared" si="47"/>
        <v>103.921425</v>
      </c>
      <c r="X260">
        <f t="shared" si="48"/>
        <v>330.00187499999998</v>
      </c>
      <c r="Y260">
        <f t="shared" ref="Y260:Y296" si="49">(R260+S260)*0.9*(100%-V260)</f>
        <v>76.574700000000021</v>
      </c>
      <c r="Z260">
        <f t="shared" si="44"/>
        <v>185.31019350000003</v>
      </c>
      <c r="AA260">
        <f t="shared" si="45"/>
        <v>127.18668149999999</v>
      </c>
      <c r="AB260">
        <f t="shared" si="46"/>
        <v>198.00112499999997</v>
      </c>
      <c r="AC260" t="b">
        <f t="shared" ref="AC260:AC296" si="50">SUM(W260:Y260)=SUM(Z260:AB260)</f>
        <v>1</v>
      </c>
      <c r="AD260" t="b">
        <f t="shared" ref="AD260:AD296" si="51">SUM(R260:S260)*0.9 = SUM(W260:Y260)</f>
        <v>1</v>
      </c>
    </row>
    <row r="261" spans="1:30" x14ac:dyDescent="0.35">
      <c r="A261" t="s">
        <v>31</v>
      </c>
      <c r="B261">
        <v>10</v>
      </c>
      <c r="C261">
        <v>2</v>
      </c>
      <c r="D261" t="s">
        <v>32</v>
      </c>
      <c r="E261">
        <v>2</v>
      </c>
      <c r="F261">
        <v>1</v>
      </c>
      <c r="G261" s="16">
        <v>67</v>
      </c>
      <c r="H261" s="16">
        <v>22.07</v>
      </c>
      <c r="I261" s="16">
        <v>1016</v>
      </c>
      <c r="J261" s="16">
        <v>28.23</v>
      </c>
      <c r="K261" s="16">
        <v>63.591999999999999</v>
      </c>
      <c r="L261" s="16">
        <v>0.56699999999999995</v>
      </c>
      <c r="M261" s="23">
        <v>576.20000000000005</v>
      </c>
      <c r="N261" s="16">
        <v>10.333</v>
      </c>
      <c r="O261" s="17">
        <v>8.6</v>
      </c>
      <c r="P261" s="18">
        <v>67</v>
      </c>
      <c r="Q261" s="18">
        <v>28.23</v>
      </c>
      <c r="R261" s="18">
        <v>132.69900000000001</v>
      </c>
      <c r="S261" s="18">
        <v>443.50099999999998</v>
      </c>
      <c r="T261" s="14" t="b">
        <f t="shared" si="42"/>
        <v>1</v>
      </c>
      <c r="U261" s="14" t="b">
        <f t="shared" si="43"/>
        <v>1</v>
      </c>
      <c r="V261" s="15">
        <f>VLOOKUP(IF(J261&lt;10, 10, IF(J261&gt;50,50,J261)),'Over to underbark'!$A$3:$C$43,IF(A261="Scots pine",3,IF(A261="Sitka spruce",2, "error")),TRUE)/100</f>
        <v>0.85</v>
      </c>
      <c r="W261">
        <f t="shared" si="47"/>
        <v>101.51473500000002</v>
      </c>
      <c r="X261">
        <f t="shared" si="48"/>
        <v>339.27826499999998</v>
      </c>
      <c r="Y261">
        <f t="shared" si="49"/>
        <v>77.78700000000002</v>
      </c>
      <c r="Z261">
        <f t="shared" si="44"/>
        <v>186.54213870000001</v>
      </c>
      <c r="AA261">
        <f t="shared" si="45"/>
        <v>128.47090230000001</v>
      </c>
      <c r="AB261">
        <f t="shared" si="46"/>
        <v>203.56695899999997</v>
      </c>
      <c r="AC261" t="b">
        <f t="shared" si="50"/>
        <v>1</v>
      </c>
      <c r="AD261" t="b">
        <f t="shared" si="51"/>
        <v>1</v>
      </c>
    </row>
    <row r="262" spans="1:30" x14ac:dyDescent="0.35">
      <c r="A262" t="s">
        <v>31</v>
      </c>
      <c r="B262">
        <v>10</v>
      </c>
      <c r="C262">
        <v>2</v>
      </c>
      <c r="D262" t="s">
        <v>32</v>
      </c>
      <c r="E262">
        <v>2</v>
      </c>
      <c r="F262">
        <v>1</v>
      </c>
      <c r="G262" s="16">
        <v>68</v>
      </c>
      <c r="H262" s="16">
        <v>22.245999999999999</v>
      </c>
      <c r="I262" s="16">
        <v>1004</v>
      </c>
      <c r="J262" s="16">
        <v>28.504000000000001</v>
      </c>
      <c r="K262" s="16">
        <v>64.066000000000003</v>
      </c>
      <c r="L262" s="16">
        <v>0.58199999999999996</v>
      </c>
      <c r="M262" s="23">
        <v>584.46</v>
      </c>
      <c r="N262" s="16">
        <v>10.515000000000001</v>
      </c>
      <c r="O262" s="17">
        <v>8.5950000000000006</v>
      </c>
      <c r="P262" s="18">
        <v>68</v>
      </c>
      <c r="Q262" s="18">
        <v>28.504000000000001</v>
      </c>
      <c r="R262" s="18">
        <v>130.267</v>
      </c>
      <c r="S262" s="18">
        <v>454.19299999999998</v>
      </c>
      <c r="T262" s="14" t="b">
        <f t="shared" si="42"/>
        <v>1</v>
      </c>
      <c r="U262" s="14" t="b">
        <f t="shared" si="43"/>
        <v>1</v>
      </c>
      <c r="V262" s="15">
        <f>VLOOKUP(IF(J262&lt;10, 10, IF(J262&gt;50,50,J262)),'Over to underbark'!$A$3:$C$43,IF(A262="Scots pine",3,IF(A262="Sitka spruce",2, "error")),TRUE)/100</f>
        <v>0.85</v>
      </c>
      <c r="W262">
        <f t="shared" si="47"/>
        <v>99.654255000000006</v>
      </c>
      <c r="X262">
        <f t="shared" si="48"/>
        <v>347.45764500000001</v>
      </c>
      <c r="Y262">
        <f t="shared" si="49"/>
        <v>78.902100000000019</v>
      </c>
      <c r="Z262">
        <f t="shared" si="44"/>
        <v>187.82367210000004</v>
      </c>
      <c r="AA262">
        <f t="shared" si="45"/>
        <v>129.71574090000001</v>
      </c>
      <c r="AB262">
        <f t="shared" si="46"/>
        <v>208.47458700000001</v>
      </c>
      <c r="AC262" t="b">
        <f t="shared" si="50"/>
        <v>1</v>
      </c>
      <c r="AD262" t="b">
        <f t="shared" si="51"/>
        <v>1</v>
      </c>
    </row>
    <row r="263" spans="1:30" x14ac:dyDescent="0.35">
      <c r="A263" t="s">
        <v>31</v>
      </c>
      <c r="B263">
        <v>10</v>
      </c>
      <c r="C263">
        <v>2</v>
      </c>
      <c r="D263" t="s">
        <v>32</v>
      </c>
      <c r="E263">
        <v>2</v>
      </c>
      <c r="F263">
        <v>1</v>
      </c>
      <c r="G263" s="16">
        <v>69</v>
      </c>
      <c r="H263" s="16">
        <v>22.422000000000001</v>
      </c>
      <c r="I263" s="16">
        <v>992</v>
      </c>
      <c r="J263" s="16">
        <v>28.777999999999999</v>
      </c>
      <c r="K263" s="16">
        <v>64.540000000000006</v>
      </c>
      <c r="L263" s="16">
        <v>0.59699999999999998</v>
      </c>
      <c r="M263" s="23">
        <v>592.72</v>
      </c>
      <c r="N263" s="16">
        <v>10.692</v>
      </c>
      <c r="O263" s="17">
        <v>8.59</v>
      </c>
      <c r="P263" s="18">
        <v>69</v>
      </c>
      <c r="Q263" s="18">
        <v>28.777999999999999</v>
      </c>
      <c r="R263" s="18">
        <v>127.839</v>
      </c>
      <c r="S263" s="18">
        <v>464.88099999999997</v>
      </c>
      <c r="T263" s="14" t="b">
        <f t="shared" si="42"/>
        <v>1</v>
      </c>
      <c r="U263" s="14" t="b">
        <f t="shared" si="43"/>
        <v>1</v>
      </c>
      <c r="V263" s="15">
        <f>VLOOKUP(IF(J263&lt;10, 10, IF(J263&gt;50,50,J263)),'Over to underbark'!$A$3:$C$43,IF(A263="Scots pine",3,IF(A263="Sitka spruce",2, "error")),TRUE)/100</f>
        <v>0.85</v>
      </c>
      <c r="W263">
        <f t="shared" si="47"/>
        <v>97.796834999999987</v>
      </c>
      <c r="X263">
        <f t="shared" si="48"/>
        <v>355.63396499999999</v>
      </c>
      <c r="Y263">
        <f t="shared" si="49"/>
        <v>80.017200000000031</v>
      </c>
      <c r="Z263">
        <f t="shared" si="44"/>
        <v>189.10649069999999</v>
      </c>
      <c r="AA263">
        <f t="shared" si="45"/>
        <v>130.96113029999998</v>
      </c>
      <c r="AB263">
        <f t="shared" si="46"/>
        <v>213.38037899999998</v>
      </c>
      <c r="AC263" t="b">
        <f t="shared" si="50"/>
        <v>1</v>
      </c>
      <c r="AD263" t="b">
        <f t="shared" si="51"/>
        <v>1</v>
      </c>
    </row>
    <row r="264" spans="1:30" x14ac:dyDescent="0.35">
      <c r="A264" t="s">
        <v>31</v>
      </c>
      <c r="B264">
        <v>10</v>
      </c>
      <c r="C264">
        <v>2</v>
      </c>
      <c r="D264" t="s">
        <v>32</v>
      </c>
      <c r="E264">
        <v>2</v>
      </c>
      <c r="F264">
        <v>1</v>
      </c>
      <c r="G264" s="16">
        <v>70</v>
      </c>
      <c r="H264" s="16">
        <v>22.597999999999999</v>
      </c>
      <c r="I264" s="16">
        <v>980</v>
      </c>
      <c r="J264" s="16">
        <v>29.058</v>
      </c>
      <c r="K264" s="16">
        <v>65.013000000000005</v>
      </c>
      <c r="L264" s="16">
        <v>0.61299999999999999</v>
      </c>
      <c r="M264" s="23">
        <v>600.98</v>
      </c>
      <c r="N264" s="16">
        <v>10.863</v>
      </c>
      <c r="O264" s="17">
        <v>8.5850000000000009</v>
      </c>
      <c r="P264" s="18">
        <v>70</v>
      </c>
      <c r="Q264" s="18">
        <v>29.058</v>
      </c>
      <c r="R264" s="18">
        <v>125.327</v>
      </c>
      <c r="S264" s="18">
        <v>475.65300000000002</v>
      </c>
      <c r="T264" s="14" t="b">
        <f t="shared" si="42"/>
        <v>1</v>
      </c>
      <c r="U264" s="14" t="b">
        <f t="shared" si="43"/>
        <v>1</v>
      </c>
      <c r="V264" s="15">
        <f>VLOOKUP(IF(J264&lt;10, 10, IF(J264&gt;50,50,J264)),'Over to underbark'!$A$3:$C$43,IF(A264="Scots pine",3,IF(A264="Sitka spruce",2, "error")),TRUE)/100</f>
        <v>0.85</v>
      </c>
      <c r="W264">
        <f t="shared" si="47"/>
        <v>95.875155000000007</v>
      </c>
      <c r="X264">
        <f t="shared" si="48"/>
        <v>363.87454500000001</v>
      </c>
      <c r="Y264">
        <f t="shared" si="49"/>
        <v>81.132300000000015</v>
      </c>
      <c r="Z264">
        <f t="shared" si="44"/>
        <v>190.36232010000003</v>
      </c>
      <c r="AA264">
        <f t="shared" si="45"/>
        <v>132.1949529</v>
      </c>
      <c r="AB264">
        <f t="shared" si="46"/>
        <v>218.324727</v>
      </c>
      <c r="AC264" t="b">
        <f t="shared" si="50"/>
        <v>1</v>
      </c>
      <c r="AD264" t="b">
        <f t="shared" si="51"/>
        <v>1</v>
      </c>
    </row>
    <row r="265" spans="1:30" x14ac:dyDescent="0.35">
      <c r="A265" t="s">
        <v>31</v>
      </c>
      <c r="B265">
        <v>10</v>
      </c>
      <c r="C265">
        <v>2</v>
      </c>
      <c r="D265" t="s">
        <v>32</v>
      </c>
      <c r="E265">
        <v>2</v>
      </c>
      <c r="F265">
        <v>1</v>
      </c>
      <c r="G265" s="16">
        <v>71</v>
      </c>
      <c r="H265" s="16">
        <v>22.774000000000001</v>
      </c>
      <c r="I265" s="16">
        <v>968</v>
      </c>
      <c r="J265" s="16">
        <v>29.341999999999999</v>
      </c>
      <c r="K265" s="16">
        <v>65.486999999999995</v>
      </c>
      <c r="L265" s="16">
        <v>0.629</v>
      </c>
      <c r="M265" s="23">
        <v>609.24</v>
      </c>
      <c r="N265" s="16">
        <v>11.029</v>
      </c>
      <c r="O265" s="17">
        <v>8.5809999999999995</v>
      </c>
      <c r="P265" s="18">
        <v>71</v>
      </c>
      <c r="Q265" s="18">
        <v>29.341999999999999</v>
      </c>
      <c r="R265" s="18">
        <v>122.767</v>
      </c>
      <c r="S265" s="18">
        <v>486.47300000000001</v>
      </c>
      <c r="T265" s="14" t="b">
        <f t="shared" si="42"/>
        <v>1</v>
      </c>
      <c r="U265" s="14" t="b">
        <f t="shared" si="43"/>
        <v>1</v>
      </c>
      <c r="V265" s="15">
        <f>VLOOKUP(IF(J265&lt;10, 10, IF(J265&gt;50,50,J265)),'Over to underbark'!$A$3:$C$43,IF(A265="Scots pine",3,IF(A265="Sitka spruce",2, "error")),TRUE)/100</f>
        <v>0.85</v>
      </c>
      <c r="W265">
        <f t="shared" si="47"/>
        <v>93.916754999999995</v>
      </c>
      <c r="X265">
        <f t="shared" si="48"/>
        <v>372.15184500000004</v>
      </c>
      <c r="Y265">
        <f t="shared" si="49"/>
        <v>82.247400000000013</v>
      </c>
      <c r="Z265">
        <f t="shared" si="44"/>
        <v>191.60272710000001</v>
      </c>
      <c r="AA265">
        <f t="shared" si="45"/>
        <v>133.42216590000001</v>
      </c>
      <c r="AB265">
        <f t="shared" si="46"/>
        <v>223.29110700000001</v>
      </c>
      <c r="AC265" t="b">
        <f t="shared" si="50"/>
        <v>1</v>
      </c>
      <c r="AD265" t="b">
        <f t="shared" si="51"/>
        <v>1</v>
      </c>
    </row>
    <row r="266" spans="1:30" x14ac:dyDescent="0.35">
      <c r="A266" t="s">
        <v>31</v>
      </c>
      <c r="B266">
        <v>10</v>
      </c>
      <c r="C266">
        <v>2</v>
      </c>
      <c r="D266" t="s">
        <v>32</v>
      </c>
      <c r="E266">
        <v>2</v>
      </c>
      <c r="F266">
        <v>1</v>
      </c>
      <c r="G266" s="16">
        <v>72</v>
      </c>
      <c r="H266" s="16">
        <v>22.95</v>
      </c>
      <c r="I266" s="16">
        <v>957</v>
      </c>
      <c r="J266" s="16">
        <v>29.63</v>
      </c>
      <c r="K266" s="16">
        <v>65.959999999999994</v>
      </c>
      <c r="L266" s="16">
        <v>0.64600000000000002</v>
      </c>
      <c r="M266" s="23">
        <v>617.5</v>
      </c>
      <c r="N266" s="16">
        <v>11.189</v>
      </c>
      <c r="O266" s="17">
        <v>8.5760000000000005</v>
      </c>
      <c r="P266" s="18">
        <v>72</v>
      </c>
      <c r="Q266" s="18">
        <v>29.63</v>
      </c>
      <c r="R266" s="18">
        <v>120.16500000000001</v>
      </c>
      <c r="S266" s="18">
        <v>497.33499999999998</v>
      </c>
      <c r="T266" s="14" t="b">
        <f t="shared" si="42"/>
        <v>1</v>
      </c>
      <c r="U266" s="14" t="b">
        <f t="shared" si="43"/>
        <v>1</v>
      </c>
      <c r="V266" s="15">
        <f>VLOOKUP(IF(J266&lt;10, 10, IF(J266&gt;50,50,J266)),'Over to underbark'!$A$3:$C$43,IF(A266="Scots pine",3,IF(A266="Sitka spruce",2, "error")),TRUE)/100</f>
        <v>0.85</v>
      </c>
      <c r="W266">
        <f t="shared" si="47"/>
        <v>91.926225000000002</v>
      </c>
      <c r="X266">
        <f t="shared" si="48"/>
        <v>380.461275</v>
      </c>
      <c r="Y266">
        <f t="shared" si="49"/>
        <v>83.362500000000011</v>
      </c>
      <c r="Z266">
        <f t="shared" si="44"/>
        <v>192.82963950000001</v>
      </c>
      <c r="AA266">
        <f t="shared" si="45"/>
        <v>134.6435955</v>
      </c>
      <c r="AB266">
        <f t="shared" si="46"/>
        <v>228.27676499999998</v>
      </c>
      <c r="AC266" t="b">
        <f t="shared" si="50"/>
        <v>1</v>
      </c>
      <c r="AD266" t="b">
        <f t="shared" si="51"/>
        <v>1</v>
      </c>
    </row>
    <row r="267" spans="1:30" x14ac:dyDescent="0.35">
      <c r="A267" t="s">
        <v>31</v>
      </c>
      <c r="B267">
        <v>10</v>
      </c>
      <c r="C267">
        <v>2</v>
      </c>
      <c r="D267" t="s">
        <v>32</v>
      </c>
      <c r="E267">
        <v>2</v>
      </c>
      <c r="F267">
        <v>1</v>
      </c>
      <c r="G267" s="16">
        <v>73</v>
      </c>
      <c r="H267" s="16">
        <v>23.106000000000002</v>
      </c>
      <c r="I267" s="16">
        <v>947</v>
      </c>
      <c r="J267" s="16">
        <v>29.873999999999999</v>
      </c>
      <c r="K267" s="16">
        <v>66.370999999999995</v>
      </c>
      <c r="L267" s="16">
        <v>0.66</v>
      </c>
      <c r="M267" s="23">
        <v>624.94000000000005</v>
      </c>
      <c r="N267" s="16">
        <v>11.327999999999999</v>
      </c>
      <c r="O267" s="17">
        <v>8.5609999999999999</v>
      </c>
      <c r="P267" s="18">
        <v>73</v>
      </c>
      <c r="Q267" s="18">
        <v>29.873999999999999</v>
      </c>
      <c r="R267" s="18">
        <v>118.06100000000001</v>
      </c>
      <c r="S267" s="18">
        <v>506.87900000000002</v>
      </c>
      <c r="T267" s="14" t="b">
        <f t="shared" si="42"/>
        <v>1</v>
      </c>
      <c r="U267" s="14" t="b">
        <f t="shared" si="43"/>
        <v>1</v>
      </c>
      <c r="V267" s="15">
        <f>VLOOKUP(IF(J267&lt;10, 10, IF(J267&gt;50,50,J267)),'Over to underbark'!$A$3:$C$43,IF(A267="Scots pine",3,IF(A267="Sitka spruce",2, "error")),TRUE)/100</f>
        <v>0.85</v>
      </c>
      <c r="W267">
        <f t="shared" si="47"/>
        <v>90.316665</v>
      </c>
      <c r="X267">
        <f t="shared" si="48"/>
        <v>387.76243499999998</v>
      </c>
      <c r="Y267">
        <f t="shared" si="49"/>
        <v>84.366900000000015</v>
      </c>
      <c r="Z267">
        <f t="shared" si="44"/>
        <v>194.01176430000001</v>
      </c>
      <c r="AA267">
        <f t="shared" si="45"/>
        <v>135.7767747</v>
      </c>
      <c r="AB267">
        <f t="shared" si="46"/>
        <v>232.65746099999998</v>
      </c>
      <c r="AC267" t="b">
        <f t="shared" si="50"/>
        <v>1</v>
      </c>
      <c r="AD267" t="b">
        <f t="shared" si="51"/>
        <v>1</v>
      </c>
    </row>
    <row r="268" spans="1:30" x14ac:dyDescent="0.35">
      <c r="A268" t="s">
        <v>31</v>
      </c>
      <c r="B268">
        <v>10</v>
      </c>
      <c r="C268">
        <v>2</v>
      </c>
      <c r="D268" t="s">
        <v>32</v>
      </c>
      <c r="E268">
        <v>2</v>
      </c>
      <c r="F268">
        <v>1</v>
      </c>
      <c r="G268" s="16">
        <v>74</v>
      </c>
      <c r="H268" s="16">
        <v>23.262</v>
      </c>
      <c r="I268" s="16">
        <v>937</v>
      </c>
      <c r="J268" s="16">
        <v>30.120999999999999</v>
      </c>
      <c r="K268" s="16">
        <v>66.781000000000006</v>
      </c>
      <c r="L268" s="16">
        <v>0.67500000000000004</v>
      </c>
      <c r="M268" s="23">
        <v>632.38</v>
      </c>
      <c r="N268" s="16">
        <v>11.464</v>
      </c>
      <c r="O268" s="17">
        <v>8.5459999999999994</v>
      </c>
      <c r="P268" s="18">
        <v>74</v>
      </c>
      <c r="Q268" s="18">
        <v>30.120999999999999</v>
      </c>
      <c r="R268" s="18">
        <v>115.925</v>
      </c>
      <c r="S268" s="18">
        <v>516.45500000000004</v>
      </c>
      <c r="T268" s="14" t="b">
        <f t="shared" si="42"/>
        <v>1</v>
      </c>
      <c r="U268" s="14" t="b">
        <f t="shared" si="43"/>
        <v>1</v>
      </c>
      <c r="V268" s="15">
        <f>VLOOKUP(IF(J268&lt;10, 10, IF(J268&gt;50,50,J268)),'Over to underbark'!$A$3:$C$43,IF(A268="Scots pine",3,IF(A268="Sitka spruce",2, "error")),TRUE)/100</f>
        <v>0.85</v>
      </c>
      <c r="W268">
        <f t="shared" si="47"/>
        <v>88.682624999999987</v>
      </c>
      <c r="X268">
        <f t="shared" si="48"/>
        <v>395.08807500000006</v>
      </c>
      <c r="Y268">
        <f t="shared" si="49"/>
        <v>85.371300000000019</v>
      </c>
      <c r="Z268">
        <f t="shared" si="44"/>
        <v>195.18360750000002</v>
      </c>
      <c r="AA268">
        <f t="shared" si="45"/>
        <v>136.90554750000001</v>
      </c>
      <c r="AB268">
        <f t="shared" si="46"/>
        <v>237.05284500000002</v>
      </c>
      <c r="AC268" t="b">
        <f t="shared" si="50"/>
        <v>1</v>
      </c>
      <c r="AD268" t="b">
        <f t="shared" si="51"/>
        <v>1</v>
      </c>
    </row>
    <row r="269" spans="1:30" x14ac:dyDescent="0.35">
      <c r="A269" t="s">
        <v>31</v>
      </c>
      <c r="B269">
        <v>10</v>
      </c>
      <c r="C269">
        <v>2</v>
      </c>
      <c r="D269" t="s">
        <v>32</v>
      </c>
      <c r="E269">
        <v>2</v>
      </c>
      <c r="F269">
        <v>1</v>
      </c>
      <c r="G269" s="16">
        <v>75</v>
      </c>
      <c r="H269" s="16">
        <v>23.417999999999999</v>
      </c>
      <c r="I269" s="16">
        <v>928</v>
      </c>
      <c r="J269" s="16">
        <v>30.370999999999999</v>
      </c>
      <c r="K269" s="16">
        <v>67.191000000000003</v>
      </c>
      <c r="L269" s="16">
        <v>0.69</v>
      </c>
      <c r="M269" s="23">
        <v>639.82000000000005</v>
      </c>
      <c r="N269" s="16">
        <v>11.595000000000001</v>
      </c>
      <c r="O269" s="17">
        <v>8.5310000000000006</v>
      </c>
      <c r="P269" s="18">
        <v>75</v>
      </c>
      <c r="Q269" s="18">
        <v>30.370999999999999</v>
      </c>
      <c r="R269" s="18">
        <v>113.761</v>
      </c>
      <c r="S269" s="18">
        <v>526.05899999999997</v>
      </c>
      <c r="T269" s="14" t="b">
        <f t="shared" si="42"/>
        <v>1</v>
      </c>
      <c r="U269" s="14" t="b">
        <f t="shared" si="43"/>
        <v>1</v>
      </c>
      <c r="V269" s="15">
        <f>VLOOKUP(IF(J269&lt;10, 10, IF(J269&gt;50,50,J269)),'Over to underbark'!$A$3:$C$43,IF(A269="Scots pine",3,IF(A269="Sitka spruce",2, "error")),TRUE)/100</f>
        <v>0.85</v>
      </c>
      <c r="W269">
        <f t="shared" si="47"/>
        <v>87.027164999999997</v>
      </c>
      <c r="X269">
        <f t="shared" si="48"/>
        <v>402.435135</v>
      </c>
      <c r="Y269">
        <f t="shared" si="49"/>
        <v>86.375700000000009</v>
      </c>
      <c r="Z269">
        <f t="shared" si="44"/>
        <v>196.3464543</v>
      </c>
      <c r="AA269">
        <f t="shared" si="45"/>
        <v>138.03046469999998</v>
      </c>
      <c r="AB269">
        <f t="shared" si="46"/>
        <v>241.46108099999998</v>
      </c>
      <c r="AC269" t="b">
        <f t="shared" si="50"/>
        <v>1</v>
      </c>
      <c r="AD269" t="b">
        <f t="shared" si="51"/>
        <v>1</v>
      </c>
    </row>
    <row r="270" spans="1:30" x14ac:dyDescent="0.35">
      <c r="A270" t="s">
        <v>31</v>
      </c>
      <c r="B270">
        <v>10</v>
      </c>
      <c r="C270">
        <v>2</v>
      </c>
      <c r="D270" t="s">
        <v>32</v>
      </c>
      <c r="E270">
        <v>2</v>
      </c>
      <c r="F270">
        <v>1</v>
      </c>
      <c r="G270" s="16">
        <v>76</v>
      </c>
      <c r="H270" s="16">
        <v>23.574000000000002</v>
      </c>
      <c r="I270" s="16">
        <v>918</v>
      </c>
      <c r="J270" s="16">
        <v>30.623999999999999</v>
      </c>
      <c r="K270" s="16">
        <v>67.600999999999999</v>
      </c>
      <c r="L270" s="16">
        <v>0.70499999999999996</v>
      </c>
      <c r="M270" s="23">
        <v>647.26</v>
      </c>
      <c r="N270" s="16">
        <v>11.724</v>
      </c>
      <c r="O270" s="17">
        <v>8.5169999999999995</v>
      </c>
      <c r="P270" s="18">
        <v>76</v>
      </c>
      <c r="Q270" s="18">
        <v>30.623999999999999</v>
      </c>
      <c r="R270" s="18">
        <v>111.57299999999999</v>
      </c>
      <c r="S270" s="18">
        <v>535.68700000000001</v>
      </c>
      <c r="T270" s="14" t="b">
        <f t="shared" si="42"/>
        <v>1</v>
      </c>
      <c r="U270" s="14" t="b">
        <f t="shared" si="43"/>
        <v>1</v>
      </c>
      <c r="V270" s="15">
        <f>VLOOKUP(IF(J270&lt;10, 10, IF(J270&gt;50,50,J270)),'Over to underbark'!$A$3:$C$43,IF(A270="Scots pine",3,IF(A270="Sitka spruce",2, "error")),TRUE)/100</f>
        <v>0.85</v>
      </c>
      <c r="W270">
        <f t="shared" si="47"/>
        <v>85.353345000000004</v>
      </c>
      <c r="X270">
        <f t="shared" si="48"/>
        <v>409.80055500000003</v>
      </c>
      <c r="Y270">
        <f t="shared" si="49"/>
        <v>87.380100000000013</v>
      </c>
      <c r="Z270">
        <f t="shared" si="44"/>
        <v>197.5015899</v>
      </c>
      <c r="AA270">
        <f t="shared" si="45"/>
        <v>139.15207710000001</v>
      </c>
      <c r="AB270">
        <f t="shared" si="46"/>
        <v>245.88033300000001</v>
      </c>
      <c r="AC270" t="b">
        <f t="shared" si="50"/>
        <v>1</v>
      </c>
      <c r="AD270" t="b">
        <f t="shared" si="51"/>
        <v>1</v>
      </c>
    </row>
    <row r="271" spans="1:30" x14ac:dyDescent="0.35">
      <c r="A271" t="s">
        <v>31</v>
      </c>
      <c r="B271">
        <v>10</v>
      </c>
      <c r="C271">
        <v>2</v>
      </c>
      <c r="D271" t="s">
        <v>32</v>
      </c>
      <c r="E271">
        <v>2</v>
      </c>
      <c r="F271">
        <v>1</v>
      </c>
      <c r="G271" s="16">
        <v>77</v>
      </c>
      <c r="H271" s="16">
        <v>23.73</v>
      </c>
      <c r="I271" s="16">
        <v>908</v>
      </c>
      <c r="J271" s="16">
        <v>30.88</v>
      </c>
      <c r="K271" s="16">
        <v>68.010999999999996</v>
      </c>
      <c r="L271" s="16">
        <v>0.72099999999999997</v>
      </c>
      <c r="M271" s="23">
        <v>654.70000000000005</v>
      </c>
      <c r="N271" s="16">
        <v>11.849</v>
      </c>
      <c r="O271" s="17">
        <v>8.5030000000000001</v>
      </c>
      <c r="P271" s="18">
        <v>77</v>
      </c>
      <c r="Q271" s="18">
        <v>30.88</v>
      </c>
      <c r="R271" s="18">
        <v>109.363</v>
      </c>
      <c r="S271" s="18">
        <v>545.33699999999999</v>
      </c>
      <c r="T271" s="14" t="b">
        <f t="shared" si="42"/>
        <v>1</v>
      </c>
      <c r="U271" s="14" t="b">
        <f t="shared" si="43"/>
        <v>1</v>
      </c>
      <c r="V271" s="15">
        <f>VLOOKUP(IF(J271&lt;10, 10, IF(J271&gt;50,50,J271)),'Over to underbark'!$A$3:$C$43,IF(A271="Scots pine",3,IF(A271="Sitka spruce",2, "error")),TRUE)/100</f>
        <v>0.85</v>
      </c>
      <c r="W271">
        <f t="shared" si="47"/>
        <v>83.662694999999999</v>
      </c>
      <c r="X271">
        <f t="shared" si="48"/>
        <v>417.18280499999997</v>
      </c>
      <c r="Y271">
        <f t="shared" si="49"/>
        <v>88.384500000000017</v>
      </c>
      <c r="Z271">
        <f t="shared" si="44"/>
        <v>198.6496569</v>
      </c>
      <c r="AA271">
        <f t="shared" si="45"/>
        <v>140.27066009999999</v>
      </c>
      <c r="AB271">
        <f t="shared" si="46"/>
        <v>250.30968299999998</v>
      </c>
      <c r="AC271" t="b">
        <f t="shared" si="50"/>
        <v>1</v>
      </c>
      <c r="AD271" t="b">
        <f t="shared" si="51"/>
        <v>1</v>
      </c>
    </row>
    <row r="272" spans="1:30" x14ac:dyDescent="0.35">
      <c r="A272" t="s">
        <v>31</v>
      </c>
      <c r="B272">
        <v>10</v>
      </c>
      <c r="C272">
        <v>2</v>
      </c>
      <c r="D272" t="s">
        <v>32</v>
      </c>
      <c r="E272">
        <v>2</v>
      </c>
      <c r="F272">
        <v>1</v>
      </c>
      <c r="G272" s="16">
        <v>78</v>
      </c>
      <c r="H272" s="16">
        <v>23.867999999999999</v>
      </c>
      <c r="I272" s="16">
        <v>900</v>
      </c>
      <c r="J272" s="16">
        <v>31.097000000000001</v>
      </c>
      <c r="K272" s="16">
        <v>68.358000000000004</v>
      </c>
      <c r="L272" s="16">
        <v>0.73499999999999999</v>
      </c>
      <c r="M272" s="23">
        <v>661.28</v>
      </c>
      <c r="N272" s="16">
        <v>11.956</v>
      </c>
      <c r="O272" s="17">
        <v>8.4779999999999998</v>
      </c>
      <c r="P272" s="18">
        <v>78</v>
      </c>
      <c r="Q272" s="18">
        <v>31.097000000000001</v>
      </c>
      <c r="R272" s="18">
        <v>107.55200000000001</v>
      </c>
      <c r="S272" s="18">
        <v>553.72799999999995</v>
      </c>
      <c r="T272" s="14" t="b">
        <f t="shared" si="42"/>
        <v>1</v>
      </c>
      <c r="U272" s="14" t="b">
        <f t="shared" si="43"/>
        <v>1</v>
      </c>
      <c r="V272" s="15">
        <f>VLOOKUP(IF(J272&lt;10, 10, IF(J272&gt;50,50,J272)),'Over to underbark'!$A$3:$C$43,IF(A272="Scots pine",3,IF(A272="Sitka spruce",2, "error")),TRUE)/100</f>
        <v>0.85</v>
      </c>
      <c r="W272">
        <f t="shared" si="47"/>
        <v>82.277280000000005</v>
      </c>
      <c r="X272">
        <f t="shared" si="48"/>
        <v>423.60191999999995</v>
      </c>
      <c r="Y272">
        <f t="shared" si="49"/>
        <v>89.272800000000018</v>
      </c>
      <c r="Z272">
        <f t="shared" si="44"/>
        <v>199.71113760000003</v>
      </c>
      <c r="AA272">
        <f t="shared" si="45"/>
        <v>141.2797104</v>
      </c>
      <c r="AB272">
        <f t="shared" si="46"/>
        <v>254.16115199999996</v>
      </c>
      <c r="AC272" t="b">
        <f t="shared" si="50"/>
        <v>1</v>
      </c>
      <c r="AD272" t="b">
        <f t="shared" si="51"/>
        <v>1</v>
      </c>
    </row>
    <row r="273" spans="1:30" x14ac:dyDescent="0.35">
      <c r="A273" t="s">
        <v>31</v>
      </c>
      <c r="B273">
        <v>10</v>
      </c>
      <c r="C273">
        <v>2</v>
      </c>
      <c r="D273" t="s">
        <v>32</v>
      </c>
      <c r="E273">
        <v>2</v>
      </c>
      <c r="F273">
        <v>1</v>
      </c>
      <c r="G273" s="16">
        <v>79</v>
      </c>
      <c r="H273" s="16">
        <v>24.006</v>
      </c>
      <c r="I273" s="16">
        <v>892</v>
      </c>
      <c r="J273" s="16">
        <v>31.317</v>
      </c>
      <c r="K273" s="16">
        <v>68.706000000000003</v>
      </c>
      <c r="L273" s="16">
        <v>0.749</v>
      </c>
      <c r="M273" s="23">
        <v>667.86</v>
      </c>
      <c r="N273" s="16">
        <v>12.061</v>
      </c>
      <c r="O273" s="17">
        <v>8.4540000000000006</v>
      </c>
      <c r="P273" s="18">
        <v>79</v>
      </c>
      <c r="Q273" s="18">
        <v>31.317</v>
      </c>
      <c r="R273" s="18">
        <v>105.715</v>
      </c>
      <c r="S273" s="18">
        <v>562.14499999999998</v>
      </c>
      <c r="T273" s="14" t="b">
        <f t="shared" si="42"/>
        <v>1</v>
      </c>
      <c r="U273" s="14" t="b">
        <f t="shared" si="43"/>
        <v>1</v>
      </c>
      <c r="V273" s="15">
        <f>VLOOKUP(IF(J273&lt;10, 10, IF(J273&gt;50,50,J273)),'Over to underbark'!$A$3:$C$43,IF(A273="Scots pine",3,IF(A273="Sitka spruce",2, "error")),TRUE)/100</f>
        <v>0.85</v>
      </c>
      <c r="W273">
        <f t="shared" si="47"/>
        <v>80.871975000000006</v>
      </c>
      <c r="X273">
        <f t="shared" si="48"/>
        <v>430.04092499999996</v>
      </c>
      <c r="Y273">
        <f t="shared" si="49"/>
        <v>90.161100000000019</v>
      </c>
      <c r="Z273">
        <f t="shared" si="44"/>
        <v>200.76426450000002</v>
      </c>
      <c r="AA273">
        <f t="shared" si="45"/>
        <v>142.2851805</v>
      </c>
      <c r="AB273">
        <f t="shared" si="46"/>
        <v>258.02455499999996</v>
      </c>
      <c r="AC273" t="b">
        <f t="shared" si="50"/>
        <v>1</v>
      </c>
      <c r="AD273" t="b">
        <f t="shared" si="51"/>
        <v>1</v>
      </c>
    </row>
    <row r="274" spans="1:30" x14ac:dyDescent="0.35">
      <c r="A274" t="s">
        <v>31</v>
      </c>
      <c r="B274">
        <v>10</v>
      </c>
      <c r="C274">
        <v>2</v>
      </c>
      <c r="D274" t="s">
        <v>32</v>
      </c>
      <c r="E274">
        <v>2</v>
      </c>
      <c r="F274">
        <v>1</v>
      </c>
      <c r="G274" s="16">
        <v>80</v>
      </c>
      <c r="H274" s="16">
        <v>24.143999999999998</v>
      </c>
      <c r="I274" s="16">
        <v>884</v>
      </c>
      <c r="J274" s="16">
        <v>31.539000000000001</v>
      </c>
      <c r="K274" s="16">
        <v>69.054000000000002</v>
      </c>
      <c r="L274" s="16">
        <v>0.76300000000000001</v>
      </c>
      <c r="M274" s="23">
        <v>674.44</v>
      </c>
      <c r="N274" s="16">
        <v>12.164</v>
      </c>
      <c r="O274" s="17">
        <v>8.4309999999999992</v>
      </c>
      <c r="P274" s="18">
        <v>80</v>
      </c>
      <c r="Q274" s="18">
        <v>31.539000000000001</v>
      </c>
      <c r="R274" s="18">
        <v>103.86799999999999</v>
      </c>
      <c r="S274" s="18">
        <v>570.572</v>
      </c>
      <c r="T274" s="14" t="b">
        <f t="shared" si="42"/>
        <v>1</v>
      </c>
      <c r="U274" s="14" t="b">
        <f t="shared" si="43"/>
        <v>1</v>
      </c>
      <c r="V274" s="15">
        <f>VLOOKUP(IF(J274&lt;10, 10, IF(J274&gt;50,50,J274)),'Over to underbark'!$A$3:$C$43,IF(A274="Scots pine",3,IF(A274="Sitka spruce",2, "error")),TRUE)/100</f>
        <v>0.85</v>
      </c>
      <c r="W274">
        <f t="shared" si="47"/>
        <v>79.459019999999995</v>
      </c>
      <c r="X274">
        <f t="shared" si="48"/>
        <v>436.48758000000004</v>
      </c>
      <c r="Y274">
        <f t="shared" si="49"/>
        <v>91.049400000000034</v>
      </c>
      <c r="Z274">
        <f t="shared" si="44"/>
        <v>201.81417840000003</v>
      </c>
      <c r="AA274">
        <f t="shared" si="45"/>
        <v>143.2892736</v>
      </c>
      <c r="AB274">
        <f t="shared" si="46"/>
        <v>261.89254800000003</v>
      </c>
      <c r="AC274" t="b">
        <f t="shared" si="50"/>
        <v>1</v>
      </c>
      <c r="AD274" t="b">
        <f t="shared" si="51"/>
        <v>1</v>
      </c>
    </row>
    <row r="275" spans="1:30" x14ac:dyDescent="0.35">
      <c r="A275" t="s">
        <v>31</v>
      </c>
      <c r="B275">
        <v>10</v>
      </c>
      <c r="C275">
        <v>2</v>
      </c>
      <c r="D275" t="s">
        <v>32</v>
      </c>
      <c r="E275">
        <v>2</v>
      </c>
      <c r="F275">
        <v>1</v>
      </c>
      <c r="G275" s="16">
        <v>81</v>
      </c>
      <c r="H275" s="16">
        <v>24.282</v>
      </c>
      <c r="I275" s="16">
        <v>876</v>
      </c>
      <c r="J275" s="16">
        <v>31.763000000000002</v>
      </c>
      <c r="K275" s="16">
        <v>69.400999999999996</v>
      </c>
      <c r="L275" s="16">
        <v>0.77800000000000002</v>
      </c>
      <c r="M275" s="23">
        <v>681.02</v>
      </c>
      <c r="N275" s="16">
        <v>12.265000000000001</v>
      </c>
      <c r="O275" s="17">
        <v>8.4079999999999995</v>
      </c>
      <c r="P275" s="18">
        <v>81</v>
      </c>
      <c r="Q275" s="18">
        <v>31.763000000000002</v>
      </c>
      <c r="R275" s="18">
        <v>102.01300000000001</v>
      </c>
      <c r="S275" s="18">
        <v>579.00699999999995</v>
      </c>
      <c r="T275" s="14" t="b">
        <f t="shared" si="42"/>
        <v>1</v>
      </c>
      <c r="U275" s="14" t="b">
        <f t="shared" si="43"/>
        <v>1</v>
      </c>
      <c r="V275" s="15">
        <f>VLOOKUP(IF(J275&lt;10, 10, IF(J275&gt;50,50,J275)),'Over to underbark'!$A$3:$C$43,IF(A275="Scots pine",3,IF(A275="Sitka spruce",2, "error")),TRUE)/100</f>
        <v>0.85</v>
      </c>
      <c r="W275">
        <f t="shared" si="47"/>
        <v>78.039945000000003</v>
      </c>
      <c r="X275">
        <f t="shared" si="48"/>
        <v>442.9403549999999</v>
      </c>
      <c r="Y275">
        <f t="shared" si="49"/>
        <v>91.937700000000021</v>
      </c>
      <c r="Z275">
        <f t="shared" si="44"/>
        <v>202.86152190000001</v>
      </c>
      <c r="AA275">
        <f t="shared" si="45"/>
        <v>144.29226509999998</v>
      </c>
      <c r="AB275">
        <f t="shared" si="46"/>
        <v>265.76421299999993</v>
      </c>
      <c r="AC275" t="b">
        <f t="shared" si="50"/>
        <v>1</v>
      </c>
      <c r="AD275" t="b">
        <f t="shared" si="51"/>
        <v>1</v>
      </c>
    </row>
    <row r="276" spans="1:30" x14ac:dyDescent="0.35">
      <c r="A276" t="s">
        <v>31</v>
      </c>
      <c r="B276">
        <v>10</v>
      </c>
      <c r="C276">
        <v>2</v>
      </c>
      <c r="D276" t="s">
        <v>32</v>
      </c>
      <c r="E276">
        <v>2</v>
      </c>
      <c r="F276">
        <v>1</v>
      </c>
      <c r="G276" s="16">
        <v>82</v>
      </c>
      <c r="H276" s="16">
        <v>24.42</v>
      </c>
      <c r="I276" s="16">
        <v>868</v>
      </c>
      <c r="J276" s="16">
        <v>31.99</v>
      </c>
      <c r="K276" s="16">
        <v>69.748999999999995</v>
      </c>
      <c r="L276" s="16">
        <v>0.79200000000000004</v>
      </c>
      <c r="M276" s="23">
        <v>687.6</v>
      </c>
      <c r="N276" s="16">
        <v>12.363</v>
      </c>
      <c r="O276" s="17">
        <v>8.3849999999999998</v>
      </c>
      <c r="P276" s="18">
        <v>82</v>
      </c>
      <c r="Q276" s="18">
        <v>31.99</v>
      </c>
      <c r="R276" s="18">
        <v>100.139</v>
      </c>
      <c r="S276" s="18">
        <v>587.46100000000001</v>
      </c>
      <c r="T276" s="14" t="b">
        <f t="shared" si="42"/>
        <v>1</v>
      </c>
      <c r="U276" s="14" t="b">
        <f t="shared" si="43"/>
        <v>1</v>
      </c>
      <c r="V276" s="15">
        <f>VLOOKUP(IF(J276&lt;10, 10, IF(J276&gt;50,50,J276)),'Over to underbark'!$A$3:$C$43,IF(A276="Scots pine",3,IF(A276="Sitka spruce",2, "error")),TRUE)/100</f>
        <v>0.85</v>
      </c>
      <c r="W276">
        <f t="shared" si="47"/>
        <v>76.606335000000001</v>
      </c>
      <c r="X276">
        <f t="shared" si="48"/>
        <v>449.40766500000001</v>
      </c>
      <c r="Y276">
        <f t="shared" si="49"/>
        <v>92.826000000000022</v>
      </c>
      <c r="Z276">
        <f t="shared" si="44"/>
        <v>203.90276070000002</v>
      </c>
      <c r="AA276">
        <f t="shared" si="45"/>
        <v>145.29264030000002</v>
      </c>
      <c r="AB276">
        <f t="shared" si="46"/>
        <v>269.64459899999997</v>
      </c>
      <c r="AC276" t="b">
        <f t="shared" si="50"/>
        <v>1</v>
      </c>
      <c r="AD276" t="b">
        <f t="shared" si="51"/>
        <v>1</v>
      </c>
    </row>
    <row r="277" spans="1:30" x14ac:dyDescent="0.35">
      <c r="A277" t="s">
        <v>31</v>
      </c>
      <c r="B277">
        <v>10</v>
      </c>
      <c r="C277">
        <v>2</v>
      </c>
      <c r="D277" t="s">
        <v>32</v>
      </c>
      <c r="E277">
        <v>2</v>
      </c>
      <c r="F277">
        <v>1</v>
      </c>
      <c r="G277" s="16">
        <v>83</v>
      </c>
      <c r="H277" s="16">
        <v>24.538</v>
      </c>
      <c r="I277" s="16">
        <v>861</v>
      </c>
      <c r="J277" s="16">
        <v>32.18</v>
      </c>
      <c r="K277" s="16">
        <v>70.040999999999997</v>
      </c>
      <c r="L277" s="16">
        <v>0.80500000000000005</v>
      </c>
      <c r="M277" s="23">
        <v>693.34</v>
      </c>
      <c r="N277" s="16">
        <v>12.45</v>
      </c>
      <c r="O277" s="17">
        <v>8.3529999999999998</v>
      </c>
      <c r="P277" s="18">
        <v>83</v>
      </c>
      <c r="Q277" s="18">
        <v>32.18</v>
      </c>
      <c r="R277" s="18">
        <v>98.619</v>
      </c>
      <c r="S277" s="18">
        <v>594.721</v>
      </c>
      <c r="T277" s="14" t="b">
        <f t="shared" si="42"/>
        <v>1</v>
      </c>
      <c r="U277" s="14" t="b">
        <f t="shared" si="43"/>
        <v>1</v>
      </c>
      <c r="V277" s="15">
        <f>VLOOKUP(IF(J277&lt;10, 10, IF(J277&gt;50,50,J277)),'Over to underbark'!$A$3:$C$43,IF(A277="Scots pine",3,IF(A277="Sitka spruce",2, "error")),TRUE)/100</f>
        <v>0.85</v>
      </c>
      <c r="W277">
        <f t="shared" si="47"/>
        <v>75.443535000000011</v>
      </c>
      <c r="X277">
        <f t="shared" si="48"/>
        <v>454.96156500000001</v>
      </c>
      <c r="Y277">
        <f t="shared" si="49"/>
        <v>93.600900000000024</v>
      </c>
      <c r="Z277">
        <f t="shared" si="44"/>
        <v>204.84794970000004</v>
      </c>
      <c r="AA277">
        <f t="shared" si="45"/>
        <v>146.1811113</v>
      </c>
      <c r="AB277">
        <f t="shared" si="46"/>
        <v>272.97693900000002</v>
      </c>
      <c r="AC277" t="b">
        <f t="shared" si="50"/>
        <v>1</v>
      </c>
      <c r="AD277" t="b">
        <f t="shared" si="51"/>
        <v>1</v>
      </c>
    </row>
    <row r="278" spans="1:30" x14ac:dyDescent="0.35">
      <c r="A278" t="s">
        <v>31</v>
      </c>
      <c r="B278">
        <v>10</v>
      </c>
      <c r="C278">
        <v>2</v>
      </c>
      <c r="D278" t="s">
        <v>32</v>
      </c>
      <c r="E278">
        <v>2</v>
      </c>
      <c r="F278">
        <v>1</v>
      </c>
      <c r="G278" s="16">
        <v>84</v>
      </c>
      <c r="H278" s="16">
        <v>24.655999999999999</v>
      </c>
      <c r="I278" s="16">
        <v>855</v>
      </c>
      <c r="J278" s="16">
        <v>32.372</v>
      </c>
      <c r="K278" s="16">
        <v>70.334000000000003</v>
      </c>
      <c r="L278" s="16">
        <v>0.81799999999999995</v>
      </c>
      <c r="M278" s="23">
        <v>699.08</v>
      </c>
      <c r="N278" s="16">
        <v>12.536</v>
      </c>
      <c r="O278" s="17">
        <v>8.3219999999999992</v>
      </c>
      <c r="P278" s="18">
        <v>84</v>
      </c>
      <c r="Q278" s="18">
        <v>32.372</v>
      </c>
      <c r="R278" s="18">
        <v>97.087999999999994</v>
      </c>
      <c r="S278" s="18">
        <v>601.99199999999996</v>
      </c>
      <c r="T278" s="14" t="b">
        <f t="shared" si="42"/>
        <v>1</v>
      </c>
      <c r="U278" s="14" t="b">
        <f t="shared" si="43"/>
        <v>1</v>
      </c>
      <c r="V278" s="15">
        <f>VLOOKUP(IF(J278&lt;10, 10, IF(J278&gt;50,50,J278)),'Over to underbark'!$A$3:$C$43,IF(A278="Scots pine",3,IF(A278="Sitka spruce",2, "error")),TRUE)/100</f>
        <v>0.85</v>
      </c>
      <c r="W278">
        <f t="shared" si="47"/>
        <v>74.272319999999993</v>
      </c>
      <c r="X278">
        <f t="shared" si="48"/>
        <v>460.52387999999996</v>
      </c>
      <c r="Y278">
        <f t="shared" si="49"/>
        <v>94.375799999999998</v>
      </c>
      <c r="Z278">
        <f t="shared" si="44"/>
        <v>205.78960439999997</v>
      </c>
      <c r="AA278">
        <f t="shared" si="45"/>
        <v>147.06806759999998</v>
      </c>
      <c r="AB278">
        <f t="shared" si="46"/>
        <v>276.31432799999999</v>
      </c>
      <c r="AC278" t="b">
        <f t="shared" si="50"/>
        <v>1</v>
      </c>
      <c r="AD278" t="b">
        <f t="shared" si="51"/>
        <v>1</v>
      </c>
    </row>
    <row r="279" spans="1:30" x14ac:dyDescent="0.35">
      <c r="A279" t="s">
        <v>31</v>
      </c>
      <c r="B279">
        <v>10</v>
      </c>
      <c r="C279">
        <v>2</v>
      </c>
      <c r="D279" t="s">
        <v>32</v>
      </c>
      <c r="E279">
        <v>2</v>
      </c>
      <c r="F279">
        <v>1</v>
      </c>
      <c r="G279" s="16">
        <v>85</v>
      </c>
      <c r="H279" s="16">
        <v>24.774000000000001</v>
      </c>
      <c r="I279" s="16">
        <v>848</v>
      </c>
      <c r="J279" s="16">
        <v>32.566000000000003</v>
      </c>
      <c r="K279" s="16">
        <v>70.626000000000005</v>
      </c>
      <c r="L279" s="16">
        <v>0.83099999999999996</v>
      </c>
      <c r="M279" s="23">
        <v>704.82</v>
      </c>
      <c r="N279" s="16">
        <v>12.621</v>
      </c>
      <c r="O279" s="17">
        <v>8.2919999999999998</v>
      </c>
      <c r="P279" s="18">
        <v>85</v>
      </c>
      <c r="Q279" s="18">
        <v>32.566000000000003</v>
      </c>
      <c r="R279" s="18">
        <v>95.546999999999997</v>
      </c>
      <c r="S279" s="18">
        <v>609.27300000000002</v>
      </c>
      <c r="T279" s="14" t="b">
        <f t="shared" si="42"/>
        <v>1</v>
      </c>
      <c r="U279" s="14" t="b">
        <f t="shared" si="43"/>
        <v>1</v>
      </c>
      <c r="V279" s="15">
        <f>VLOOKUP(IF(J279&lt;10, 10, IF(J279&gt;50,50,J279)),'Over to underbark'!$A$3:$C$43,IF(A279="Scots pine",3,IF(A279="Sitka spruce",2, "error")),TRUE)/100</f>
        <v>0.85</v>
      </c>
      <c r="W279">
        <f t="shared" si="47"/>
        <v>73.093454999999992</v>
      </c>
      <c r="X279">
        <f t="shared" si="48"/>
        <v>466.09384500000004</v>
      </c>
      <c r="Y279">
        <f t="shared" si="49"/>
        <v>95.150700000000029</v>
      </c>
      <c r="Z279">
        <f t="shared" si="44"/>
        <v>206.72804610000003</v>
      </c>
      <c r="AA279">
        <f t="shared" si="45"/>
        <v>147.9536469</v>
      </c>
      <c r="AB279">
        <f t="shared" si="46"/>
        <v>279.65630700000003</v>
      </c>
      <c r="AC279" t="b">
        <f t="shared" si="50"/>
        <v>1</v>
      </c>
      <c r="AD279" t="b">
        <f t="shared" si="51"/>
        <v>1</v>
      </c>
    </row>
    <row r="280" spans="1:30" x14ac:dyDescent="0.35">
      <c r="A280" t="s">
        <v>31</v>
      </c>
      <c r="B280">
        <v>10</v>
      </c>
      <c r="C280">
        <v>2</v>
      </c>
      <c r="D280" t="s">
        <v>32</v>
      </c>
      <c r="E280">
        <v>2</v>
      </c>
      <c r="F280">
        <v>1</v>
      </c>
      <c r="G280" s="16">
        <v>86</v>
      </c>
      <c r="H280" s="16">
        <v>24.891999999999999</v>
      </c>
      <c r="I280" s="16">
        <v>841</v>
      </c>
      <c r="J280" s="16">
        <v>32.762</v>
      </c>
      <c r="K280" s="16">
        <v>70.918000000000006</v>
      </c>
      <c r="L280" s="16">
        <v>0.84499999999999997</v>
      </c>
      <c r="M280" s="23">
        <v>710.56</v>
      </c>
      <c r="N280" s="16">
        <v>12.702999999999999</v>
      </c>
      <c r="O280" s="17">
        <v>8.2620000000000005</v>
      </c>
      <c r="P280" s="18">
        <v>86</v>
      </c>
      <c r="Q280" s="18">
        <v>32.762</v>
      </c>
      <c r="R280" s="18">
        <v>93.997</v>
      </c>
      <c r="S280" s="18">
        <v>616.56299999999999</v>
      </c>
      <c r="T280" s="14" t="b">
        <f t="shared" ref="T280:T296" si="52">G280=P280</f>
        <v>1</v>
      </c>
      <c r="U280" s="14" t="b">
        <f t="shared" ref="U280:U296" si="53">J280=Q280</f>
        <v>1</v>
      </c>
      <c r="V280" s="15">
        <f>VLOOKUP(IF(J280&lt;10, 10, IF(J280&gt;50,50,J280)),'Over to underbark'!$A$3:$C$43,IF(A280="Scots pine",3,IF(A280="Sitka spruce",2, "error")),TRUE)/100</f>
        <v>0.85</v>
      </c>
      <c r="W280">
        <f t="shared" si="47"/>
        <v>71.907705000000007</v>
      </c>
      <c r="X280">
        <f t="shared" si="48"/>
        <v>471.67069499999997</v>
      </c>
      <c r="Y280">
        <f t="shared" si="49"/>
        <v>95.925600000000017</v>
      </c>
      <c r="Z280">
        <f t="shared" si="44"/>
        <v>207.66359610000001</v>
      </c>
      <c r="AA280">
        <f t="shared" si="45"/>
        <v>148.8379869</v>
      </c>
      <c r="AB280">
        <f t="shared" si="46"/>
        <v>283.00241699999998</v>
      </c>
      <c r="AC280" t="b">
        <f t="shared" si="50"/>
        <v>1</v>
      </c>
      <c r="AD280" t="b">
        <f t="shared" si="51"/>
        <v>1</v>
      </c>
    </row>
    <row r="281" spans="1:30" x14ac:dyDescent="0.35">
      <c r="A281" t="s">
        <v>31</v>
      </c>
      <c r="B281">
        <v>10</v>
      </c>
      <c r="C281">
        <v>2</v>
      </c>
      <c r="D281" t="s">
        <v>32</v>
      </c>
      <c r="E281">
        <v>2</v>
      </c>
      <c r="F281">
        <v>1</v>
      </c>
      <c r="G281" s="16">
        <v>87</v>
      </c>
      <c r="H281" s="16">
        <v>25.01</v>
      </c>
      <c r="I281" s="16">
        <v>835</v>
      </c>
      <c r="J281" s="16">
        <v>32.96</v>
      </c>
      <c r="K281" s="16">
        <v>71.209999999999994</v>
      </c>
      <c r="L281" s="16">
        <v>0.85799999999999998</v>
      </c>
      <c r="M281" s="23">
        <v>716.3</v>
      </c>
      <c r="N281" s="16">
        <v>12.785</v>
      </c>
      <c r="O281" s="17">
        <v>8.2330000000000005</v>
      </c>
      <c r="P281" s="18">
        <v>87</v>
      </c>
      <c r="Q281" s="18">
        <v>32.96</v>
      </c>
      <c r="R281" s="18">
        <v>92.44</v>
      </c>
      <c r="S281" s="18">
        <v>623.86</v>
      </c>
      <c r="T281" s="14" t="b">
        <f t="shared" si="52"/>
        <v>1</v>
      </c>
      <c r="U281" s="14" t="b">
        <f t="shared" si="53"/>
        <v>1</v>
      </c>
      <c r="V281" s="15">
        <f>VLOOKUP(IF(J281&lt;10, 10, IF(J281&gt;50,50,J281)),'Over to underbark'!$A$3:$C$43,IF(A281="Scots pine",3,IF(A281="Sitka spruce",2, "error")),TRUE)/100</f>
        <v>0.85</v>
      </c>
      <c r="W281">
        <f t="shared" si="47"/>
        <v>70.7166</v>
      </c>
      <c r="X281">
        <f t="shared" si="48"/>
        <v>477.25290000000001</v>
      </c>
      <c r="Y281">
        <f t="shared" si="49"/>
        <v>96.700500000000005</v>
      </c>
      <c r="Z281">
        <f t="shared" si="44"/>
        <v>208.59689700000001</v>
      </c>
      <c r="AA281">
        <f t="shared" si="45"/>
        <v>149.721363</v>
      </c>
      <c r="AB281">
        <f t="shared" si="46"/>
        <v>286.35174000000001</v>
      </c>
      <c r="AC281" t="b">
        <f t="shared" si="50"/>
        <v>1</v>
      </c>
      <c r="AD281" t="b">
        <f t="shared" si="51"/>
        <v>1</v>
      </c>
    </row>
    <row r="282" spans="1:30" x14ac:dyDescent="0.35">
      <c r="A282" t="s">
        <v>31</v>
      </c>
      <c r="B282">
        <v>10</v>
      </c>
      <c r="C282">
        <v>2</v>
      </c>
      <c r="D282" t="s">
        <v>32</v>
      </c>
      <c r="E282">
        <v>2</v>
      </c>
      <c r="F282">
        <v>1</v>
      </c>
      <c r="G282" s="16">
        <v>88</v>
      </c>
      <c r="H282" s="16">
        <v>25.11</v>
      </c>
      <c r="I282" s="16">
        <v>829</v>
      </c>
      <c r="J282" s="16">
        <v>33.127000000000002</v>
      </c>
      <c r="K282" s="16">
        <v>71.47</v>
      </c>
      <c r="L282" s="16">
        <v>0.87</v>
      </c>
      <c r="M282" s="23">
        <v>721.2</v>
      </c>
      <c r="N282" s="16">
        <v>12.861000000000001</v>
      </c>
      <c r="O282" s="17">
        <v>8.1950000000000003</v>
      </c>
      <c r="P282" s="18">
        <v>88</v>
      </c>
      <c r="Q282" s="18">
        <v>33.127000000000002</v>
      </c>
      <c r="R282" s="18">
        <v>91.147999999999996</v>
      </c>
      <c r="S282" s="18">
        <v>630.05200000000002</v>
      </c>
      <c r="T282" s="14" t="b">
        <f t="shared" si="52"/>
        <v>1</v>
      </c>
      <c r="U282" s="14" t="b">
        <f t="shared" si="53"/>
        <v>1</v>
      </c>
      <c r="V282" s="15">
        <f>VLOOKUP(IF(J282&lt;10, 10, IF(J282&gt;50,50,J282)),'Over to underbark'!$A$3:$C$43,IF(A282="Scots pine",3,IF(A282="Sitka spruce",2, "error")),TRUE)/100</f>
        <v>0.85</v>
      </c>
      <c r="W282">
        <f t="shared" si="47"/>
        <v>69.728219999999993</v>
      </c>
      <c r="X282">
        <f t="shared" si="48"/>
        <v>481.98978000000005</v>
      </c>
      <c r="Y282">
        <f t="shared" si="49"/>
        <v>97.362000000000023</v>
      </c>
      <c r="Z282">
        <f t="shared" si="44"/>
        <v>209.40555240000003</v>
      </c>
      <c r="AA282">
        <f t="shared" si="45"/>
        <v>150.4805796</v>
      </c>
      <c r="AB282">
        <f t="shared" si="46"/>
        <v>289.19386800000001</v>
      </c>
      <c r="AC282" t="b">
        <f t="shared" si="50"/>
        <v>1</v>
      </c>
      <c r="AD282" t="b">
        <f t="shared" si="51"/>
        <v>1</v>
      </c>
    </row>
    <row r="283" spans="1:30" x14ac:dyDescent="0.35">
      <c r="A283" t="s">
        <v>31</v>
      </c>
      <c r="B283">
        <v>10</v>
      </c>
      <c r="C283">
        <v>2</v>
      </c>
      <c r="D283" t="s">
        <v>32</v>
      </c>
      <c r="E283">
        <v>2</v>
      </c>
      <c r="F283">
        <v>1</v>
      </c>
      <c r="G283" s="16">
        <v>89</v>
      </c>
      <c r="H283" s="16">
        <v>25.21</v>
      </c>
      <c r="I283" s="16">
        <v>824</v>
      </c>
      <c r="J283" s="16">
        <v>33.295999999999999</v>
      </c>
      <c r="K283" s="16">
        <v>71.728999999999999</v>
      </c>
      <c r="L283" s="16">
        <v>0.88100000000000001</v>
      </c>
      <c r="M283" s="23">
        <v>726.1</v>
      </c>
      <c r="N283" s="16">
        <v>12.936</v>
      </c>
      <c r="O283" s="17">
        <v>8.1579999999999995</v>
      </c>
      <c r="P283" s="18">
        <v>89</v>
      </c>
      <c r="Q283" s="18">
        <v>33.295999999999999</v>
      </c>
      <c r="R283" s="18">
        <v>89.843999999999994</v>
      </c>
      <c r="S283" s="18">
        <v>636.25599999999997</v>
      </c>
      <c r="T283" s="14" t="b">
        <f t="shared" si="52"/>
        <v>1</v>
      </c>
      <c r="U283" s="14" t="b">
        <f t="shared" si="53"/>
        <v>1</v>
      </c>
      <c r="V283" s="15">
        <f>VLOOKUP(IF(J283&lt;10, 10, IF(J283&gt;50,50,J283)),'Over to underbark'!$A$3:$C$43,IF(A283="Scots pine",3,IF(A283="Sitka spruce",2, "error")),TRUE)/100</f>
        <v>0.85</v>
      </c>
      <c r="W283">
        <f t="shared" si="47"/>
        <v>68.73066</v>
      </c>
      <c r="X283">
        <f t="shared" si="48"/>
        <v>486.73584</v>
      </c>
      <c r="Y283">
        <f t="shared" si="49"/>
        <v>98.023499999999999</v>
      </c>
      <c r="Z283">
        <f t="shared" si="44"/>
        <v>210.21035219999999</v>
      </c>
      <c r="AA283">
        <f t="shared" si="45"/>
        <v>151.23814379999999</v>
      </c>
      <c r="AB283">
        <f t="shared" si="46"/>
        <v>292.04150399999997</v>
      </c>
      <c r="AC283" t="b">
        <f t="shared" si="50"/>
        <v>1</v>
      </c>
      <c r="AD283" t="b">
        <f t="shared" si="51"/>
        <v>1</v>
      </c>
    </row>
    <row r="284" spans="1:30" x14ac:dyDescent="0.35">
      <c r="A284" t="s">
        <v>31</v>
      </c>
      <c r="B284">
        <v>10</v>
      </c>
      <c r="C284">
        <v>2</v>
      </c>
      <c r="D284" t="s">
        <v>32</v>
      </c>
      <c r="E284">
        <v>2</v>
      </c>
      <c r="F284">
        <v>1</v>
      </c>
      <c r="G284" s="16">
        <v>90</v>
      </c>
      <c r="H284" s="16">
        <v>25.31</v>
      </c>
      <c r="I284" s="16">
        <v>818</v>
      </c>
      <c r="J284" s="16">
        <v>33.466000000000001</v>
      </c>
      <c r="K284" s="16">
        <v>71.988</v>
      </c>
      <c r="L284" s="16">
        <v>0.89300000000000002</v>
      </c>
      <c r="M284" s="23">
        <v>731</v>
      </c>
      <c r="N284" s="16">
        <v>13.009</v>
      </c>
      <c r="O284" s="17">
        <v>8.1219999999999999</v>
      </c>
      <c r="P284" s="18">
        <v>90</v>
      </c>
      <c r="Q284" s="18">
        <v>33.466000000000001</v>
      </c>
      <c r="R284" s="18">
        <v>88.542000000000002</v>
      </c>
      <c r="S284" s="18">
        <v>642.45799999999997</v>
      </c>
      <c r="T284" s="14" t="b">
        <f t="shared" si="52"/>
        <v>1</v>
      </c>
      <c r="U284" s="14" t="b">
        <f t="shared" si="53"/>
        <v>1</v>
      </c>
      <c r="V284" s="15">
        <f>VLOOKUP(IF(J284&lt;10, 10, IF(J284&gt;50,50,J284)),'Over to underbark'!$A$3:$C$43,IF(A284="Scots pine",3,IF(A284="Sitka spruce",2, "error")),TRUE)/100</f>
        <v>0.85</v>
      </c>
      <c r="W284">
        <f t="shared" si="47"/>
        <v>67.73463000000001</v>
      </c>
      <c r="X284">
        <f t="shared" si="48"/>
        <v>491.48036999999994</v>
      </c>
      <c r="Y284">
        <f t="shared" si="49"/>
        <v>98.685000000000016</v>
      </c>
      <c r="Z284">
        <f t="shared" si="44"/>
        <v>211.01579459999999</v>
      </c>
      <c r="AA284">
        <f t="shared" si="45"/>
        <v>151.9959834</v>
      </c>
      <c r="AB284">
        <f t="shared" si="46"/>
        <v>294.88822199999993</v>
      </c>
      <c r="AC284" t="b">
        <f t="shared" si="50"/>
        <v>1</v>
      </c>
      <c r="AD284" t="b">
        <f t="shared" si="51"/>
        <v>1</v>
      </c>
    </row>
    <row r="285" spans="1:30" x14ac:dyDescent="0.35">
      <c r="A285" t="s">
        <v>31</v>
      </c>
      <c r="B285">
        <v>10</v>
      </c>
      <c r="C285">
        <v>2</v>
      </c>
      <c r="D285" t="s">
        <v>32</v>
      </c>
      <c r="E285">
        <v>2</v>
      </c>
      <c r="F285">
        <v>1</v>
      </c>
      <c r="G285" s="16">
        <v>91</v>
      </c>
      <c r="H285" s="16">
        <v>25.41</v>
      </c>
      <c r="I285" s="16">
        <v>813</v>
      </c>
      <c r="J285" s="16">
        <v>33.637</v>
      </c>
      <c r="K285" s="16">
        <v>72.247</v>
      </c>
      <c r="L285" s="16">
        <v>0.90500000000000003</v>
      </c>
      <c r="M285" s="23">
        <v>735.9</v>
      </c>
      <c r="N285" s="16">
        <v>13.082000000000001</v>
      </c>
      <c r="O285" s="17">
        <v>8.0869999999999997</v>
      </c>
      <c r="P285" s="18">
        <v>91</v>
      </c>
      <c r="Q285" s="18">
        <v>33.637</v>
      </c>
      <c r="R285" s="18">
        <v>87.241</v>
      </c>
      <c r="S285" s="18">
        <v>648.65899999999999</v>
      </c>
      <c r="T285" s="14" t="b">
        <f t="shared" si="52"/>
        <v>1</v>
      </c>
      <c r="U285" s="14" t="b">
        <f t="shared" si="53"/>
        <v>1</v>
      </c>
      <c r="V285" s="15">
        <f>VLOOKUP(IF(J285&lt;10, 10, IF(J285&gt;50,50,J285)),'Over to underbark'!$A$3:$C$43,IF(A285="Scots pine",3,IF(A285="Sitka spruce",2, "error")),TRUE)/100</f>
        <v>0.85</v>
      </c>
      <c r="W285">
        <f t="shared" si="47"/>
        <v>66.739365000000006</v>
      </c>
      <c r="X285">
        <f t="shared" si="48"/>
        <v>496.22413499999999</v>
      </c>
      <c r="Y285">
        <f t="shared" si="49"/>
        <v>99.346500000000006</v>
      </c>
      <c r="Z285">
        <f t="shared" si="44"/>
        <v>211.82155829999999</v>
      </c>
      <c r="AA285">
        <f t="shared" si="45"/>
        <v>152.75396069999999</v>
      </c>
      <c r="AB285">
        <f t="shared" si="46"/>
        <v>297.73448099999996</v>
      </c>
      <c r="AC285" t="b">
        <f t="shared" si="50"/>
        <v>1</v>
      </c>
      <c r="AD285" t="b">
        <f t="shared" si="51"/>
        <v>1</v>
      </c>
    </row>
    <row r="286" spans="1:30" x14ac:dyDescent="0.35">
      <c r="A286" t="s">
        <v>31</v>
      </c>
      <c r="B286">
        <v>10</v>
      </c>
      <c r="C286">
        <v>2</v>
      </c>
      <c r="D286" t="s">
        <v>32</v>
      </c>
      <c r="E286">
        <v>2</v>
      </c>
      <c r="F286">
        <v>1</v>
      </c>
      <c r="G286" s="16">
        <v>92</v>
      </c>
      <c r="H286" s="16">
        <v>25.51</v>
      </c>
      <c r="I286" s="16">
        <v>808</v>
      </c>
      <c r="J286" s="16">
        <v>33.81</v>
      </c>
      <c r="K286" s="16">
        <v>72.506</v>
      </c>
      <c r="L286" s="16">
        <v>0.91700000000000004</v>
      </c>
      <c r="M286" s="23">
        <v>740.8</v>
      </c>
      <c r="N286" s="16">
        <v>13.154</v>
      </c>
      <c r="O286" s="17">
        <v>8.0519999999999996</v>
      </c>
      <c r="P286" s="18">
        <v>92</v>
      </c>
      <c r="Q286" s="18">
        <v>33.81</v>
      </c>
      <c r="R286" s="18">
        <v>85.932000000000002</v>
      </c>
      <c r="S286" s="18">
        <v>654.86800000000005</v>
      </c>
      <c r="T286" s="14" t="b">
        <f t="shared" si="52"/>
        <v>1</v>
      </c>
      <c r="U286" s="14" t="b">
        <f t="shared" si="53"/>
        <v>1</v>
      </c>
      <c r="V286" s="15">
        <f>VLOOKUP(IF(J286&lt;10, 10, IF(J286&gt;50,50,J286)),'Over to underbark'!$A$3:$C$43,IF(A286="Scots pine",3,IF(A286="Sitka spruce",2, "error")),TRUE)/100</f>
        <v>0.85</v>
      </c>
      <c r="W286">
        <f t="shared" si="47"/>
        <v>65.737980000000007</v>
      </c>
      <c r="X286">
        <f t="shared" si="48"/>
        <v>500.97402</v>
      </c>
      <c r="Y286">
        <f t="shared" si="49"/>
        <v>100.00800000000002</v>
      </c>
      <c r="Z286">
        <f t="shared" si="44"/>
        <v>212.62475160000002</v>
      </c>
      <c r="AA286">
        <f t="shared" si="45"/>
        <v>153.51083640000002</v>
      </c>
      <c r="AB286">
        <f t="shared" si="46"/>
        <v>300.58441199999999</v>
      </c>
      <c r="AC286" t="b">
        <f t="shared" si="50"/>
        <v>1</v>
      </c>
      <c r="AD286" t="b">
        <f t="shared" si="51"/>
        <v>1</v>
      </c>
    </row>
    <row r="287" spans="1:30" x14ac:dyDescent="0.35">
      <c r="A287" t="s">
        <v>31</v>
      </c>
      <c r="B287">
        <v>10</v>
      </c>
      <c r="C287">
        <v>2</v>
      </c>
      <c r="D287" t="s">
        <v>32</v>
      </c>
      <c r="E287">
        <v>2</v>
      </c>
      <c r="F287">
        <v>1</v>
      </c>
      <c r="G287" s="16">
        <v>93</v>
      </c>
      <c r="H287" s="16">
        <v>25.591999999999999</v>
      </c>
      <c r="I287" s="16">
        <v>803</v>
      </c>
      <c r="J287" s="16">
        <v>33.954000000000001</v>
      </c>
      <c r="K287" s="16">
        <v>72.733000000000004</v>
      </c>
      <c r="L287" s="16">
        <v>0.92700000000000005</v>
      </c>
      <c r="M287" s="23">
        <v>744.9</v>
      </c>
      <c r="N287" s="16">
        <v>13.224</v>
      </c>
      <c r="O287" s="17">
        <v>8.01</v>
      </c>
      <c r="P287" s="18">
        <v>93</v>
      </c>
      <c r="Q287" s="18">
        <v>33.954000000000001</v>
      </c>
      <c r="R287" s="18">
        <v>84.855999999999995</v>
      </c>
      <c r="S287" s="18">
        <v>660.04399999999998</v>
      </c>
      <c r="T287" s="14" t="b">
        <f t="shared" si="52"/>
        <v>1</v>
      </c>
      <c r="U287" s="14" t="b">
        <f t="shared" si="53"/>
        <v>1</v>
      </c>
      <c r="V287" s="15">
        <f>VLOOKUP(IF(J287&lt;10, 10, IF(J287&gt;50,50,J287)),'Over to underbark'!$A$3:$C$43,IF(A287="Scots pine",3,IF(A287="Sitka spruce",2, "error")),TRUE)/100</f>
        <v>0.85</v>
      </c>
      <c r="W287">
        <f t="shared" si="47"/>
        <v>64.914839999999998</v>
      </c>
      <c r="X287">
        <f t="shared" si="48"/>
        <v>504.93365999999992</v>
      </c>
      <c r="Y287">
        <f t="shared" si="49"/>
        <v>100.56150000000001</v>
      </c>
      <c r="Z287">
        <f t="shared" ref="Z287:Z296" si="54">Y287+(57%*W287)+(15%*X287)</f>
        <v>213.30300779999999</v>
      </c>
      <c r="AA287">
        <f t="shared" ref="AA287:AA296" si="55">(43%*W287)+(25%*X287)</f>
        <v>154.14679619999998</v>
      </c>
      <c r="AB287">
        <f t="shared" ref="AB287:AB296" si="56">60%*X287</f>
        <v>302.96019599999994</v>
      </c>
      <c r="AC287" t="b">
        <f t="shared" si="50"/>
        <v>1</v>
      </c>
      <c r="AD287" t="b">
        <f t="shared" si="51"/>
        <v>1</v>
      </c>
    </row>
    <row r="288" spans="1:30" x14ac:dyDescent="0.35">
      <c r="A288" t="s">
        <v>31</v>
      </c>
      <c r="B288">
        <v>10</v>
      </c>
      <c r="C288">
        <v>2</v>
      </c>
      <c r="D288" t="s">
        <v>32</v>
      </c>
      <c r="E288">
        <v>2</v>
      </c>
      <c r="F288">
        <v>1</v>
      </c>
      <c r="G288" s="16">
        <v>94</v>
      </c>
      <c r="H288" s="16">
        <v>25.673999999999999</v>
      </c>
      <c r="I288" s="16">
        <v>799</v>
      </c>
      <c r="J288" s="16">
        <v>34.098999999999997</v>
      </c>
      <c r="K288" s="16">
        <v>72.959000000000003</v>
      </c>
      <c r="L288" s="16">
        <v>0.93799999999999994</v>
      </c>
      <c r="M288" s="23">
        <v>749</v>
      </c>
      <c r="N288" s="16">
        <v>13.294</v>
      </c>
      <c r="O288" s="17">
        <v>7.968</v>
      </c>
      <c r="P288" s="18">
        <v>94</v>
      </c>
      <c r="Q288" s="18">
        <v>34.098999999999997</v>
      </c>
      <c r="R288" s="18">
        <v>83.778000000000006</v>
      </c>
      <c r="S288" s="18">
        <v>665.22199999999998</v>
      </c>
      <c r="T288" s="14" t="b">
        <f t="shared" si="52"/>
        <v>1</v>
      </c>
      <c r="U288" s="14" t="b">
        <f t="shared" si="53"/>
        <v>1</v>
      </c>
      <c r="V288" s="15">
        <f>VLOOKUP(IF(J288&lt;10, 10, IF(J288&gt;50,50,J288)),'Over to underbark'!$A$3:$C$43,IF(A288="Scots pine",3,IF(A288="Sitka spruce",2, "error")),TRUE)/100</f>
        <v>0.85</v>
      </c>
      <c r="W288">
        <f t="shared" si="47"/>
        <v>64.090170000000015</v>
      </c>
      <c r="X288">
        <f t="shared" si="48"/>
        <v>508.89482999999996</v>
      </c>
      <c r="Y288">
        <f t="shared" si="49"/>
        <v>101.11500000000002</v>
      </c>
      <c r="Z288">
        <f t="shared" si="54"/>
        <v>213.98062140000002</v>
      </c>
      <c r="AA288">
        <f t="shared" si="55"/>
        <v>154.78248059999999</v>
      </c>
      <c r="AB288">
        <f t="shared" si="56"/>
        <v>305.33689799999996</v>
      </c>
      <c r="AC288" t="b">
        <f t="shared" si="50"/>
        <v>1</v>
      </c>
      <c r="AD288" t="b">
        <f t="shared" si="51"/>
        <v>1</v>
      </c>
    </row>
    <row r="289" spans="1:30" x14ac:dyDescent="0.35">
      <c r="A289" t="s">
        <v>31</v>
      </c>
      <c r="B289">
        <v>10</v>
      </c>
      <c r="C289">
        <v>2</v>
      </c>
      <c r="D289" t="s">
        <v>32</v>
      </c>
      <c r="E289">
        <v>2</v>
      </c>
      <c r="F289">
        <v>1</v>
      </c>
      <c r="G289" s="16">
        <v>95</v>
      </c>
      <c r="H289" s="16">
        <v>25.756</v>
      </c>
      <c r="I289" s="16">
        <v>795</v>
      </c>
      <c r="J289" s="16">
        <v>34.244999999999997</v>
      </c>
      <c r="K289" s="16">
        <v>73.185000000000002</v>
      </c>
      <c r="L289" s="16">
        <v>0.94799999999999995</v>
      </c>
      <c r="M289" s="23">
        <v>753.1</v>
      </c>
      <c r="N289" s="16">
        <v>13.363</v>
      </c>
      <c r="O289" s="17">
        <v>7.9269999999999996</v>
      </c>
      <c r="P289" s="18">
        <v>95</v>
      </c>
      <c r="Q289" s="18">
        <v>34.244999999999997</v>
      </c>
      <c r="R289" s="18">
        <v>82.7</v>
      </c>
      <c r="S289" s="18">
        <v>670.4</v>
      </c>
      <c r="T289" s="14" t="b">
        <f t="shared" si="52"/>
        <v>1</v>
      </c>
      <c r="U289" s="14" t="b">
        <f t="shared" si="53"/>
        <v>1</v>
      </c>
      <c r="V289" s="15">
        <f>VLOOKUP(IF(J289&lt;10, 10, IF(J289&gt;50,50,J289)),'Over to underbark'!$A$3:$C$43,IF(A289="Scots pine",3,IF(A289="Sitka spruce",2, "error")),TRUE)/100</f>
        <v>0.85</v>
      </c>
      <c r="W289">
        <f t="shared" si="47"/>
        <v>63.265500000000003</v>
      </c>
      <c r="X289">
        <f t="shared" si="48"/>
        <v>512.85599999999999</v>
      </c>
      <c r="Y289">
        <f t="shared" si="49"/>
        <v>101.66850000000002</v>
      </c>
      <c r="Z289">
        <f t="shared" si="54"/>
        <v>214.65823500000005</v>
      </c>
      <c r="AA289">
        <f t="shared" si="55"/>
        <v>155.41816499999999</v>
      </c>
      <c r="AB289">
        <f t="shared" si="56"/>
        <v>307.71359999999999</v>
      </c>
      <c r="AC289" t="b">
        <f t="shared" si="50"/>
        <v>1</v>
      </c>
      <c r="AD289" t="b">
        <f t="shared" si="51"/>
        <v>1</v>
      </c>
    </row>
    <row r="290" spans="1:30" x14ac:dyDescent="0.35">
      <c r="A290" t="s">
        <v>31</v>
      </c>
      <c r="B290">
        <v>10</v>
      </c>
      <c r="C290">
        <v>2</v>
      </c>
      <c r="D290" t="s">
        <v>32</v>
      </c>
      <c r="E290">
        <v>2</v>
      </c>
      <c r="F290">
        <v>1</v>
      </c>
      <c r="G290" s="16">
        <v>96</v>
      </c>
      <c r="H290" s="16">
        <v>25.838000000000001</v>
      </c>
      <c r="I290" s="16">
        <v>790</v>
      </c>
      <c r="J290" s="16">
        <v>34.392000000000003</v>
      </c>
      <c r="K290" s="16">
        <v>73.412000000000006</v>
      </c>
      <c r="L290" s="16">
        <v>0.95799999999999996</v>
      </c>
      <c r="M290" s="23">
        <v>757.2</v>
      </c>
      <c r="N290" s="16">
        <v>13.430999999999999</v>
      </c>
      <c r="O290" s="17">
        <v>7.8869999999999996</v>
      </c>
      <c r="P290" s="18">
        <v>96</v>
      </c>
      <c r="Q290" s="18">
        <v>34.392000000000003</v>
      </c>
      <c r="R290" s="18">
        <v>81.622</v>
      </c>
      <c r="S290" s="18">
        <v>675.57799999999997</v>
      </c>
      <c r="T290" s="14" t="b">
        <f t="shared" si="52"/>
        <v>1</v>
      </c>
      <c r="U290" s="14" t="b">
        <f t="shared" si="53"/>
        <v>1</v>
      </c>
      <c r="V290" s="15">
        <f>VLOOKUP(IF(J290&lt;10, 10, IF(J290&gt;50,50,J290)),'Over to underbark'!$A$3:$C$43,IF(A290="Scots pine",3,IF(A290="Sitka spruce",2, "error")),TRUE)/100</f>
        <v>0.85</v>
      </c>
      <c r="W290">
        <f t="shared" si="47"/>
        <v>62.440829999999998</v>
      </c>
      <c r="X290">
        <f t="shared" si="48"/>
        <v>516.81717000000003</v>
      </c>
      <c r="Y290">
        <f t="shared" si="49"/>
        <v>102.22199999999999</v>
      </c>
      <c r="Z290">
        <f t="shared" si="54"/>
        <v>215.33584860000002</v>
      </c>
      <c r="AA290">
        <f t="shared" si="55"/>
        <v>156.05384940000002</v>
      </c>
      <c r="AB290">
        <f t="shared" si="56"/>
        <v>310.09030200000001</v>
      </c>
      <c r="AC290" t="b">
        <f t="shared" si="50"/>
        <v>1</v>
      </c>
      <c r="AD290" t="b">
        <f t="shared" si="51"/>
        <v>1</v>
      </c>
    </row>
    <row r="291" spans="1:30" x14ac:dyDescent="0.35">
      <c r="A291" t="s">
        <v>31</v>
      </c>
      <c r="B291">
        <v>10</v>
      </c>
      <c r="C291">
        <v>2</v>
      </c>
      <c r="D291" t="s">
        <v>32</v>
      </c>
      <c r="E291">
        <v>2</v>
      </c>
      <c r="F291">
        <v>1</v>
      </c>
      <c r="G291" s="16">
        <v>97</v>
      </c>
      <c r="H291" s="16">
        <v>25.92</v>
      </c>
      <c r="I291" s="16">
        <v>786</v>
      </c>
      <c r="J291" s="16">
        <v>34.54</v>
      </c>
      <c r="K291" s="16">
        <v>73.638000000000005</v>
      </c>
      <c r="L291" s="16">
        <v>0.96899999999999997</v>
      </c>
      <c r="M291" s="23">
        <v>761.3</v>
      </c>
      <c r="N291" s="16">
        <v>13.497999999999999</v>
      </c>
      <c r="O291" s="17">
        <v>7.8479999999999999</v>
      </c>
      <c r="P291" s="18">
        <v>97</v>
      </c>
      <c r="Q291" s="18">
        <v>34.54</v>
      </c>
      <c r="R291" s="18">
        <v>80.543999999999997</v>
      </c>
      <c r="S291" s="18">
        <v>680.75599999999997</v>
      </c>
      <c r="T291" s="14" t="b">
        <f t="shared" si="52"/>
        <v>1</v>
      </c>
      <c r="U291" s="14" t="b">
        <f t="shared" si="53"/>
        <v>1</v>
      </c>
      <c r="V291" s="15">
        <f>VLOOKUP(IF(J291&lt;10, 10, IF(J291&gt;50,50,J291)),'Over to underbark'!$A$3:$C$43,IF(A291="Scots pine",3,IF(A291="Sitka spruce",2, "error")),TRUE)/100</f>
        <v>0.85</v>
      </c>
      <c r="W291">
        <f t="shared" si="47"/>
        <v>61.616159999999994</v>
      </c>
      <c r="X291">
        <f t="shared" si="48"/>
        <v>520.77833999999996</v>
      </c>
      <c r="Y291">
        <f t="shared" si="49"/>
        <v>102.77550000000001</v>
      </c>
      <c r="Z291">
        <f t="shared" si="54"/>
        <v>216.01346219999999</v>
      </c>
      <c r="AA291">
        <f t="shared" si="55"/>
        <v>156.68953379999999</v>
      </c>
      <c r="AB291">
        <f t="shared" si="56"/>
        <v>312.46700399999997</v>
      </c>
      <c r="AC291" t="b">
        <f t="shared" si="50"/>
        <v>1</v>
      </c>
      <c r="AD291" t="b">
        <f t="shared" si="51"/>
        <v>1</v>
      </c>
    </row>
    <row r="292" spans="1:30" x14ac:dyDescent="0.35">
      <c r="A292" t="s">
        <v>31</v>
      </c>
      <c r="B292">
        <v>10</v>
      </c>
      <c r="C292">
        <v>2</v>
      </c>
      <c r="D292" t="s">
        <v>32</v>
      </c>
      <c r="E292">
        <v>2</v>
      </c>
      <c r="F292">
        <v>1</v>
      </c>
      <c r="G292" s="16">
        <v>98</v>
      </c>
      <c r="H292" s="16">
        <v>25.994</v>
      </c>
      <c r="I292" s="16">
        <v>782</v>
      </c>
      <c r="J292" s="16">
        <v>34.673999999999999</v>
      </c>
      <c r="K292" s="16">
        <v>73.855000000000004</v>
      </c>
      <c r="L292" s="16">
        <v>0.97799999999999998</v>
      </c>
      <c r="M292" s="23">
        <v>765.1</v>
      </c>
      <c r="N292" s="16">
        <v>13.561999999999999</v>
      </c>
      <c r="O292" s="17">
        <v>7.8070000000000004</v>
      </c>
      <c r="P292" s="18">
        <v>98</v>
      </c>
      <c r="Q292" s="18">
        <v>34.673999999999999</v>
      </c>
      <c r="R292" s="18">
        <v>79.585999999999999</v>
      </c>
      <c r="S292" s="18">
        <v>685.51400000000001</v>
      </c>
      <c r="T292" s="14" t="b">
        <f t="shared" si="52"/>
        <v>1</v>
      </c>
      <c r="U292" s="14" t="b">
        <f t="shared" si="53"/>
        <v>1</v>
      </c>
      <c r="V292" s="15">
        <f>VLOOKUP(IF(J292&lt;10, 10, IF(J292&gt;50,50,J292)),'Over to underbark'!$A$3:$C$43,IF(A292="Scots pine",3,IF(A292="Sitka spruce",2, "error")),TRUE)/100</f>
        <v>0.85</v>
      </c>
      <c r="W292">
        <f t="shared" si="47"/>
        <v>60.883289999999995</v>
      </c>
      <c r="X292">
        <f t="shared" si="48"/>
        <v>524.41821000000004</v>
      </c>
      <c r="Y292">
        <f t="shared" si="49"/>
        <v>103.28850000000001</v>
      </c>
      <c r="Z292">
        <f t="shared" si="54"/>
        <v>216.65470680000001</v>
      </c>
      <c r="AA292">
        <f t="shared" si="55"/>
        <v>157.28436720000002</v>
      </c>
      <c r="AB292">
        <f t="shared" si="56"/>
        <v>314.65092600000003</v>
      </c>
      <c r="AC292" t="b">
        <f t="shared" si="50"/>
        <v>1</v>
      </c>
      <c r="AD292" t="b">
        <f t="shared" si="51"/>
        <v>1</v>
      </c>
    </row>
    <row r="293" spans="1:30" x14ac:dyDescent="0.35">
      <c r="A293" t="s">
        <v>31</v>
      </c>
      <c r="B293">
        <v>10</v>
      </c>
      <c r="C293">
        <v>2</v>
      </c>
      <c r="D293" t="s">
        <v>32</v>
      </c>
      <c r="E293">
        <v>2</v>
      </c>
      <c r="F293">
        <v>1</v>
      </c>
      <c r="G293" s="16">
        <v>99</v>
      </c>
      <c r="H293" s="16">
        <v>26.068000000000001</v>
      </c>
      <c r="I293" s="16">
        <v>778</v>
      </c>
      <c r="J293" s="16">
        <v>34.81</v>
      </c>
      <c r="K293" s="16">
        <v>74.072999999999993</v>
      </c>
      <c r="L293" s="16">
        <v>0.98799999999999999</v>
      </c>
      <c r="M293" s="23">
        <v>768.9</v>
      </c>
      <c r="N293" s="16">
        <v>13.624000000000001</v>
      </c>
      <c r="O293" s="17">
        <v>7.7670000000000003</v>
      </c>
      <c r="P293" s="18">
        <v>99</v>
      </c>
      <c r="Q293" s="18">
        <v>34.81</v>
      </c>
      <c r="R293" s="18">
        <v>78.617000000000004</v>
      </c>
      <c r="S293" s="18">
        <v>690.28300000000002</v>
      </c>
      <c r="T293" s="14" t="b">
        <f t="shared" si="52"/>
        <v>1</v>
      </c>
      <c r="U293" s="14" t="b">
        <f t="shared" si="53"/>
        <v>1</v>
      </c>
      <c r="V293" s="15">
        <f>VLOOKUP(IF(J293&lt;10, 10, IF(J293&gt;50,50,J293)),'Over to underbark'!$A$3:$C$43,IF(A293="Scots pine",3,IF(A293="Sitka spruce",2, "error")),TRUE)/100</f>
        <v>0.85</v>
      </c>
      <c r="W293">
        <f t="shared" si="47"/>
        <v>60.142005000000005</v>
      </c>
      <c r="X293">
        <f t="shared" si="48"/>
        <v>528.06649500000003</v>
      </c>
      <c r="Y293">
        <f t="shared" si="49"/>
        <v>103.80150000000002</v>
      </c>
      <c r="Z293">
        <f t="shared" si="54"/>
        <v>217.29241710000002</v>
      </c>
      <c r="AA293">
        <f t="shared" si="55"/>
        <v>157.87768590000002</v>
      </c>
      <c r="AB293">
        <f t="shared" si="56"/>
        <v>316.83989700000001</v>
      </c>
      <c r="AC293" t="b">
        <f t="shared" si="50"/>
        <v>1</v>
      </c>
      <c r="AD293" t="b">
        <f t="shared" si="51"/>
        <v>1</v>
      </c>
    </row>
    <row r="294" spans="1:30" x14ac:dyDescent="0.35">
      <c r="A294" t="s">
        <v>31</v>
      </c>
      <c r="B294">
        <v>10</v>
      </c>
      <c r="C294">
        <v>2</v>
      </c>
      <c r="D294" t="s">
        <v>32</v>
      </c>
      <c r="E294">
        <v>2</v>
      </c>
      <c r="F294">
        <v>1</v>
      </c>
      <c r="G294" s="16">
        <v>100</v>
      </c>
      <c r="H294" s="16">
        <v>26.141999999999999</v>
      </c>
      <c r="I294" s="16">
        <v>775</v>
      </c>
      <c r="J294" s="16">
        <v>34.945999999999998</v>
      </c>
      <c r="K294" s="16">
        <v>74.290000000000006</v>
      </c>
      <c r="L294" s="16">
        <v>0.998</v>
      </c>
      <c r="M294" s="23">
        <v>772.7</v>
      </c>
      <c r="N294" s="16">
        <v>13.686</v>
      </c>
      <c r="O294" s="17">
        <v>7.7270000000000003</v>
      </c>
      <c r="P294" s="18">
        <v>100</v>
      </c>
      <c r="Q294" s="18">
        <v>34.945999999999998</v>
      </c>
      <c r="R294" s="18">
        <v>77.656000000000006</v>
      </c>
      <c r="S294" s="18">
        <v>695.04399999999998</v>
      </c>
      <c r="T294" s="14" t="b">
        <f t="shared" si="52"/>
        <v>1</v>
      </c>
      <c r="U294" s="14" t="b">
        <f t="shared" si="53"/>
        <v>1</v>
      </c>
      <c r="V294" s="15">
        <f>VLOOKUP(IF(J294&lt;10, 10, IF(J294&gt;50,50,J294)),'Over to underbark'!$A$3:$C$43,IF(A294="Scots pine",3,IF(A294="Sitka spruce",2, "error")),TRUE)/100</f>
        <v>0.85</v>
      </c>
      <c r="W294">
        <f t="shared" si="47"/>
        <v>59.40684000000001</v>
      </c>
      <c r="X294">
        <f t="shared" si="48"/>
        <v>531.7086599999999</v>
      </c>
      <c r="Y294">
        <f t="shared" si="49"/>
        <v>104.31450000000002</v>
      </c>
      <c r="Z294">
        <f t="shared" si="54"/>
        <v>217.9326978</v>
      </c>
      <c r="AA294">
        <f t="shared" si="55"/>
        <v>158.47210619999998</v>
      </c>
      <c r="AB294">
        <f t="shared" si="56"/>
        <v>319.02519599999994</v>
      </c>
      <c r="AC294" t="b">
        <f t="shared" si="50"/>
        <v>1</v>
      </c>
      <c r="AD294" t="b">
        <f t="shared" si="51"/>
        <v>1</v>
      </c>
    </row>
    <row r="295" spans="1:30" x14ac:dyDescent="0.35">
      <c r="A295" t="s">
        <v>31</v>
      </c>
      <c r="B295">
        <v>10</v>
      </c>
      <c r="C295">
        <v>2</v>
      </c>
      <c r="D295" t="s">
        <v>32</v>
      </c>
      <c r="E295">
        <v>2</v>
      </c>
      <c r="F295">
        <v>1</v>
      </c>
      <c r="G295" s="16">
        <v>101</v>
      </c>
      <c r="H295" s="16">
        <v>26.216000000000001</v>
      </c>
      <c r="I295" s="16">
        <v>771</v>
      </c>
      <c r="J295" s="16">
        <v>35.082000000000001</v>
      </c>
      <c r="K295" s="16">
        <v>74.507000000000005</v>
      </c>
      <c r="L295" s="16">
        <v>1.0069999999999999</v>
      </c>
      <c r="M295" s="23">
        <v>776.5</v>
      </c>
      <c r="N295" s="16">
        <v>13.747</v>
      </c>
      <c r="O295" s="17">
        <v>7.6879999999999997</v>
      </c>
      <c r="P295" s="18">
        <v>101</v>
      </c>
      <c r="Q295" s="18">
        <v>35.082000000000001</v>
      </c>
      <c r="R295" s="18">
        <v>76.704999999999998</v>
      </c>
      <c r="S295" s="18">
        <v>699.79499999999996</v>
      </c>
      <c r="T295" s="14" t="b">
        <f t="shared" si="52"/>
        <v>1</v>
      </c>
      <c r="U295" s="14" t="b">
        <f t="shared" si="53"/>
        <v>1</v>
      </c>
      <c r="V295" s="15">
        <f>VLOOKUP(IF(J295&lt;10, 10, IF(J295&gt;50,50,J295)),'Over to underbark'!$A$3:$C$43,IF(A295="Scots pine",3,IF(A295="Sitka spruce",2, "error")),TRUE)/100</f>
        <v>0.85</v>
      </c>
      <c r="W295">
        <f t="shared" si="47"/>
        <v>58.679324999999992</v>
      </c>
      <c r="X295">
        <f t="shared" si="48"/>
        <v>535.34317499999997</v>
      </c>
      <c r="Y295">
        <f t="shared" si="49"/>
        <v>104.82750000000001</v>
      </c>
      <c r="Z295">
        <f t="shared" si="54"/>
        <v>218.57619149999999</v>
      </c>
      <c r="AA295">
        <f t="shared" si="55"/>
        <v>159.0679035</v>
      </c>
      <c r="AB295">
        <f t="shared" si="56"/>
        <v>321.20590499999997</v>
      </c>
      <c r="AC295" t="b">
        <f t="shared" si="50"/>
        <v>1</v>
      </c>
      <c r="AD295" t="b">
        <f t="shared" si="51"/>
        <v>1</v>
      </c>
    </row>
    <row r="296" spans="1:30" x14ac:dyDescent="0.35">
      <c r="A296" t="s">
        <v>31</v>
      </c>
      <c r="B296">
        <v>10</v>
      </c>
      <c r="C296">
        <v>2</v>
      </c>
      <c r="D296" t="s">
        <v>32</v>
      </c>
      <c r="E296">
        <v>2</v>
      </c>
      <c r="F296">
        <v>1</v>
      </c>
      <c r="G296" s="16">
        <v>102</v>
      </c>
      <c r="H296" s="16">
        <v>26.29</v>
      </c>
      <c r="I296" s="16">
        <v>767</v>
      </c>
      <c r="J296" s="16">
        <v>35.22</v>
      </c>
      <c r="K296" s="16">
        <v>74.724999999999994</v>
      </c>
      <c r="L296" s="16">
        <v>1.0169999999999999</v>
      </c>
      <c r="M296" s="23">
        <v>780.3</v>
      </c>
      <c r="N296" s="16">
        <v>13.808</v>
      </c>
      <c r="O296" s="17">
        <v>7.65</v>
      </c>
      <c r="P296" s="18">
        <v>102</v>
      </c>
      <c r="Q296" s="18">
        <v>35.22</v>
      </c>
      <c r="R296" s="18">
        <v>75.742999999999995</v>
      </c>
      <c r="S296" s="18">
        <v>704.55700000000002</v>
      </c>
      <c r="T296" s="14" t="b">
        <f t="shared" si="52"/>
        <v>1</v>
      </c>
      <c r="U296" s="14" t="b">
        <f t="shared" si="53"/>
        <v>1</v>
      </c>
      <c r="V296" s="15">
        <f>VLOOKUP(IF(J296&lt;10, 10, IF(J296&gt;50,50,J296)),'Over to underbark'!$A$3:$C$43,IF(A296="Scots pine",3,IF(A296="Sitka spruce",2, "error")),TRUE)/100</f>
        <v>0.85</v>
      </c>
      <c r="W296">
        <f t="shared" si="47"/>
        <v>57.943395000000002</v>
      </c>
      <c r="X296">
        <f t="shared" si="48"/>
        <v>538.98610500000007</v>
      </c>
      <c r="Y296">
        <f t="shared" si="49"/>
        <v>105.34050000000001</v>
      </c>
      <c r="Z296">
        <f t="shared" si="54"/>
        <v>219.2161509</v>
      </c>
      <c r="AA296">
        <f t="shared" si="55"/>
        <v>159.66218610000001</v>
      </c>
      <c r="AB296">
        <f t="shared" si="56"/>
        <v>323.39166300000005</v>
      </c>
      <c r="AC296" t="b">
        <f t="shared" si="50"/>
        <v>1</v>
      </c>
      <c r="AD296" t="b">
        <f t="shared" si="51"/>
        <v>1</v>
      </c>
    </row>
    <row r="297" spans="1:30" x14ac:dyDescent="0.35">
      <c r="A297" t="s">
        <v>33</v>
      </c>
      <c r="B297">
        <v>6</v>
      </c>
      <c r="C297">
        <v>2</v>
      </c>
      <c r="D297" t="s">
        <v>32</v>
      </c>
      <c r="E297">
        <v>2</v>
      </c>
      <c r="F297">
        <v>1</v>
      </c>
      <c r="G297" s="16">
        <v>30</v>
      </c>
      <c r="H297" s="16">
        <v>7.45</v>
      </c>
      <c r="I297" s="16">
        <v>2307</v>
      </c>
      <c r="J297" s="16">
        <v>11.42</v>
      </c>
      <c r="K297" s="16">
        <v>23.63</v>
      </c>
      <c r="L297" s="16">
        <v>2.9000000000000001E-2</v>
      </c>
      <c r="M297" s="23">
        <v>67</v>
      </c>
      <c r="N297" s="16">
        <v>0</v>
      </c>
      <c r="O297" s="17">
        <v>2.2330000000000001</v>
      </c>
      <c r="P297" s="18">
        <v>30</v>
      </c>
      <c r="Q297" s="18">
        <v>11.42</v>
      </c>
      <c r="R297" s="18">
        <v>67</v>
      </c>
      <c r="S297" s="18">
        <v>0</v>
      </c>
      <c r="T297" s="14" t="b">
        <f t="shared" ref="T297:T360" si="57">G297=P297</f>
        <v>1</v>
      </c>
      <c r="U297" s="14" t="b">
        <f t="shared" ref="U297:U360" si="58">J297=Q297</f>
        <v>1</v>
      </c>
      <c r="V297" s="15">
        <f>VLOOKUP(IF(J297&lt;10, 10, IF(J297&gt;50,50,J297)),'Over to underbark'!$A$3:$C$43,IF(A297="Scots pine",3,IF(A297="Sitka spruce",2, "error")),TRUE)/100</f>
        <v>0.82</v>
      </c>
      <c r="W297">
        <f t="shared" ref="W297:W360" si="59">R297*0.9*V297</f>
        <v>49.445999999999998</v>
      </c>
      <c r="X297">
        <f t="shared" ref="X297:X360" si="60">S297*0.9*V297</f>
        <v>0</v>
      </c>
      <c r="Y297">
        <f t="shared" ref="Y297:Y360" si="61">(R297+S297)*0.9*(100%-V297)</f>
        <v>10.854000000000005</v>
      </c>
      <c r="Z297">
        <f t="shared" ref="Z297:Z360" si="62">Y297+(57%*W297)+(15%*X297)</f>
        <v>39.038220000000003</v>
      </c>
      <c r="AA297">
        <f t="shared" ref="AA297:AA360" si="63">(43%*W297)+(25%*X297)</f>
        <v>21.261779999999998</v>
      </c>
      <c r="AB297">
        <f t="shared" ref="AB297:AB360" si="64">60%*X297</f>
        <v>0</v>
      </c>
      <c r="AC297" t="b">
        <f t="shared" ref="AC297:AC360" si="65">SUM(W297:Y297)=SUM(Z297:AB297)</f>
        <v>1</v>
      </c>
      <c r="AD297" t="b">
        <f t="shared" ref="AD297:AD360" si="66">SUM(R297:S297)*0.9 = SUM(W297:Y297)</f>
        <v>1</v>
      </c>
    </row>
    <row r="298" spans="1:30" x14ac:dyDescent="0.35">
      <c r="A298" t="s">
        <v>33</v>
      </c>
      <c r="B298">
        <v>6</v>
      </c>
      <c r="C298">
        <v>2</v>
      </c>
      <c r="D298" t="s">
        <v>32</v>
      </c>
      <c r="E298">
        <v>2</v>
      </c>
      <c r="F298">
        <v>1</v>
      </c>
      <c r="G298" s="16">
        <v>31</v>
      </c>
      <c r="H298" s="16">
        <v>7.8019999999999996</v>
      </c>
      <c r="I298" s="16">
        <v>2299</v>
      </c>
      <c r="J298" s="16">
        <v>11.76</v>
      </c>
      <c r="K298" s="16">
        <v>24.971</v>
      </c>
      <c r="L298" s="16">
        <v>3.3000000000000002E-2</v>
      </c>
      <c r="M298" s="23">
        <v>75.14</v>
      </c>
      <c r="N298" s="16">
        <v>0</v>
      </c>
      <c r="O298" s="17">
        <v>2.4239999999999999</v>
      </c>
      <c r="P298" s="18">
        <v>31</v>
      </c>
      <c r="Q298" s="18">
        <v>11.76</v>
      </c>
      <c r="R298" s="18">
        <v>75.14</v>
      </c>
      <c r="S298" s="18">
        <v>0</v>
      </c>
      <c r="T298" s="14" t="b">
        <f t="shared" si="57"/>
        <v>1</v>
      </c>
      <c r="U298" s="14" t="b">
        <f t="shared" si="58"/>
        <v>1</v>
      </c>
      <c r="V298" s="15">
        <f>VLOOKUP(IF(J298&lt;10, 10, IF(J298&gt;50,50,J298)),'Over to underbark'!$A$3:$C$43,IF(A298="Scots pine",3,IF(A298="Sitka spruce",2, "error")),TRUE)/100</f>
        <v>0.82</v>
      </c>
      <c r="W298">
        <f t="shared" si="59"/>
        <v>55.453319999999998</v>
      </c>
      <c r="X298">
        <f t="shared" si="60"/>
        <v>0</v>
      </c>
      <c r="Y298">
        <f t="shared" si="61"/>
        <v>12.172680000000003</v>
      </c>
      <c r="Z298">
        <f t="shared" si="62"/>
        <v>43.781072399999999</v>
      </c>
      <c r="AA298">
        <f t="shared" si="63"/>
        <v>23.844927599999998</v>
      </c>
      <c r="AB298">
        <f t="shared" si="64"/>
        <v>0</v>
      </c>
      <c r="AC298" t="b">
        <f t="shared" si="65"/>
        <v>1</v>
      </c>
      <c r="AD298" t="b">
        <f t="shared" si="66"/>
        <v>1</v>
      </c>
    </row>
    <row r="299" spans="1:30" x14ac:dyDescent="0.35">
      <c r="A299" t="s">
        <v>33</v>
      </c>
      <c r="B299">
        <v>6</v>
      </c>
      <c r="C299">
        <v>2</v>
      </c>
      <c r="D299" t="s">
        <v>32</v>
      </c>
      <c r="E299">
        <v>2</v>
      </c>
      <c r="F299">
        <v>1</v>
      </c>
      <c r="G299" s="16">
        <v>32</v>
      </c>
      <c r="H299" s="16">
        <v>8.1539999999999999</v>
      </c>
      <c r="I299" s="16">
        <v>2291</v>
      </c>
      <c r="J299" s="16">
        <v>12.093</v>
      </c>
      <c r="K299" s="16">
        <v>26.312000000000001</v>
      </c>
      <c r="L299" s="16">
        <v>3.5999999999999997E-2</v>
      </c>
      <c r="M299" s="23">
        <v>83.28</v>
      </c>
      <c r="N299" s="16">
        <v>0</v>
      </c>
      <c r="O299" s="17">
        <v>2.6030000000000002</v>
      </c>
      <c r="P299" s="18">
        <v>32</v>
      </c>
      <c r="Q299" s="18">
        <v>12.093</v>
      </c>
      <c r="R299" s="18">
        <v>83.28</v>
      </c>
      <c r="S299" s="18">
        <v>0</v>
      </c>
      <c r="T299" s="14" t="b">
        <f t="shared" si="57"/>
        <v>1</v>
      </c>
      <c r="U299" s="14" t="b">
        <f t="shared" si="58"/>
        <v>1</v>
      </c>
      <c r="V299" s="15">
        <f>VLOOKUP(IF(J299&lt;10, 10, IF(J299&gt;50,50,J299)),'Over to underbark'!$A$3:$C$43,IF(A299="Scots pine",3,IF(A299="Sitka spruce",2, "error")),TRUE)/100</f>
        <v>0.87</v>
      </c>
      <c r="W299">
        <f t="shared" si="59"/>
        <v>65.208240000000004</v>
      </c>
      <c r="X299">
        <f t="shared" si="60"/>
        <v>0</v>
      </c>
      <c r="Y299">
        <f t="shared" si="61"/>
        <v>9.74376</v>
      </c>
      <c r="Z299">
        <f t="shared" si="62"/>
        <v>46.912456800000001</v>
      </c>
      <c r="AA299">
        <f t="shared" si="63"/>
        <v>28.039543200000001</v>
      </c>
      <c r="AB299">
        <f t="shared" si="64"/>
        <v>0</v>
      </c>
      <c r="AC299" t="b">
        <f t="shared" si="65"/>
        <v>1</v>
      </c>
      <c r="AD299" t="b">
        <f t="shared" si="66"/>
        <v>1</v>
      </c>
    </row>
    <row r="300" spans="1:30" x14ac:dyDescent="0.35">
      <c r="A300" t="s">
        <v>33</v>
      </c>
      <c r="B300">
        <v>6</v>
      </c>
      <c r="C300">
        <v>2</v>
      </c>
      <c r="D300" t="s">
        <v>32</v>
      </c>
      <c r="E300">
        <v>2</v>
      </c>
      <c r="F300">
        <v>1</v>
      </c>
      <c r="G300" s="16">
        <v>33</v>
      </c>
      <c r="H300" s="16">
        <v>8.5060000000000002</v>
      </c>
      <c r="I300" s="16">
        <v>2283</v>
      </c>
      <c r="J300" s="16">
        <v>12.419</v>
      </c>
      <c r="K300" s="16">
        <v>27.654</v>
      </c>
      <c r="L300" s="16">
        <v>0.04</v>
      </c>
      <c r="M300" s="23">
        <v>91.42</v>
      </c>
      <c r="N300" s="16">
        <v>0</v>
      </c>
      <c r="O300" s="17">
        <v>2.77</v>
      </c>
      <c r="P300" s="18">
        <v>33</v>
      </c>
      <c r="Q300" s="18">
        <v>12.419</v>
      </c>
      <c r="R300" s="18">
        <v>91.42</v>
      </c>
      <c r="S300" s="18">
        <v>0</v>
      </c>
      <c r="T300" s="14" t="b">
        <f t="shared" si="57"/>
        <v>1</v>
      </c>
      <c r="U300" s="14" t="b">
        <f t="shared" si="58"/>
        <v>1</v>
      </c>
      <c r="V300" s="15">
        <f>VLOOKUP(IF(J300&lt;10, 10, IF(J300&gt;50,50,J300)),'Over to underbark'!$A$3:$C$43,IF(A300="Scots pine",3,IF(A300="Sitka spruce",2, "error")),TRUE)/100</f>
        <v>0.87</v>
      </c>
      <c r="W300">
        <f t="shared" si="59"/>
        <v>71.581860000000006</v>
      </c>
      <c r="X300">
        <f t="shared" si="60"/>
        <v>0</v>
      </c>
      <c r="Y300">
        <f t="shared" si="61"/>
        <v>10.696140000000002</v>
      </c>
      <c r="Z300">
        <f t="shared" si="62"/>
        <v>51.4978002</v>
      </c>
      <c r="AA300">
        <f t="shared" si="63"/>
        <v>30.780199800000002</v>
      </c>
      <c r="AB300">
        <f t="shared" si="64"/>
        <v>0</v>
      </c>
      <c r="AC300" t="b">
        <f t="shared" si="65"/>
        <v>1</v>
      </c>
      <c r="AD300" t="b">
        <f t="shared" si="66"/>
        <v>1</v>
      </c>
    </row>
    <row r="301" spans="1:30" x14ac:dyDescent="0.35">
      <c r="A301" t="s">
        <v>33</v>
      </c>
      <c r="B301">
        <v>6</v>
      </c>
      <c r="C301">
        <v>2</v>
      </c>
      <c r="D301" t="s">
        <v>32</v>
      </c>
      <c r="E301">
        <v>2</v>
      </c>
      <c r="F301">
        <v>1</v>
      </c>
      <c r="G301" s="16">
        <v>34</v>
      </c>
      <c r="H301" s="16">
        <v>8.8580000000000005</v>
      </c>
      <c r="I301" s="16">
        <v>2275</v>
      </c>
      <c r="J301" s="16">
        <v>12.739000000000001</v>
      </c>
      <c r="K301" s="16">
        <v>28.995000000000001</v>
      </c>
      <c r="L301" s="16">
        <v>4.3999999999999997E-2</v>
      </c>
      <c r="M301" s="23">
        <v>99.56</v>
      </c>
      <c r="N301" s="16">
        <v>0</v>
      </c>
      <c r="O301" s="17">
        <v>2.9279999999999999</v>
      </c>
      <c r="P301" s="18">
        <v>34</v>
      </c>
      <c r="Q301" s="18">
        <v>12.739000000000001</v>
      </c>
      <c r="R301" s="18">
        <v>99.284999999999997</v>
      </c>
      <c r="S301" s="18">
        <v>0.27500000000000002</v>
      </c>
      <c r="T301" s="14" t="b">
        <f t="shared" si="57"/>
        <v>1</v>
      </c>
      <c r="U301" s="14" t="b">
        <f t="shared" si="58"/>
        <v>1</v>
      </c>
      <c r="V301" s="15">
        <f>VLOOKUP(IF(J301&lt;10, 10, IF(J301&gt;50,50,J301)),'Over to underbark'!$A$3:$C$43,IF(A301="Scots pine",3,IF(A301="Sitka spruce",2, "error")),TRUE)/100</f>
        <v>0.87</v>
      </c>
      <c r="W301">
        <f t="shared" si="59"/>
        <v>77.740155000000001</v>
      </c>
      <c r="X301">
        <f t="shared" si="60"/>
        <v>0.21532500000000002</v>
      </c>
      <c r="Y301">
        <f t="shared" si="61"/>
        <v>11.64852</v>
      </c>
      <c r="Z301">
        <f t="shared" si="62"/>
        <v>55.992707099999997</v>
      </c>
      <c r="AA301">
        <f t="shared" si="63"/>
        <v>33.482097899999999</v>
      </c>
      <c r="AB301">
        <f t="shared" si="64"/>
        <v>0.129195</v>
      </c>
      <c r="AC301" t="b">
        <f t="shared" si="65"/>
        <v>1</v>
      </c>
      <c r="AD301" t="b">
        <f t="shared" si="66"/>
        <v>1</v>
      </c>
    </row>
    <row r="302" spans="1:30" x14ac:dyDescent="0.35">
      <c r="A302" t="s">
        <v>33</v>
      </c>
      <c r="B302">
        <v>6</v>
      </c>
      <c r="C302">
        <v>2</v>
      </c>
      <c r="D302" t="s">
        <v>32</v>
      </c>
      <c r="E302">
        <v>2</v>
      </c>
      <c r="F302">
        <v>1</v>
      </c>
      <c r="G302" s="16">
        <v>35</v>
      </c>
      <c r="H302" s="16">
        <v>9.2100000000000009</v>
      </c>
      <c r="I302" s="16">
        <v>2268</v>
      </c>
      <c r="J302" s="16">
        <v>13.05</v>
      </c>
      <c r="K302" s="16">
        <v>30.335999999999999</v>
      </c>
      <c r="L302" s="16">
        <v>4.7E-2</v>
      </c>
      <c r="M302" s="23">
        <v>107.7</v>
      </c>
      <c r="N302" s="16">
        <v>0</v>
      </c>
      <c r="O302" s="17">
        <v>3.077</v>
      </c>
      <c r="P302" s="18">
        <v>35</v>
      </c>
      <c r="Q302" s="18">
        <v>13.05</v>
      </c>
      <c r="R302" s="18">
        <v>105.548</v>
      </c>
      <c r="S302" s="18">
        <v>2.1520000000000001</v>
      </c>
      <c r="T302" s="14" t="b">
        <f t="shared" si="57"/>
        <v>1</v>
      </c>
      <c r="U302" s="14" t="b">
        <f t="shared" si="58"/>
        <v>1</v>
      </c>
      <c r="V302" s="15">
        <f>VLOOKUP(IF(J302&lt;10, 10, IF(J302&gt;50,50,J302)),'Over to underbark'!$A$3:$C$43,IF(A302="Scots pine",3,IF(A302="Sitka spruce",2, "error")),TRUE)/100</f>
        <v>0.89</v>
      </c>
      <c r="W302">
        <f t="shared" si="59"/>
        <v>84.543948</v>
      </c>
      <c r="X302">
        <f t="shared" si="60"/>
        <v>1.7237520000000002</v>
      </c>
      <c r="Y302">
        <f t="shared" si="61"/>
        <v>10.6623</v>
      </c>
      <c r="Z302">
        <f t="shared" si="62"/>
        <v>59.110913159999996</v>
      </c>
      <c r="AA302">
        <f t="shared" si="63"/>
        <v>36.784835639999997</v>
      </c>
      <c r="AB302">
        <f t="shared" si="64"/>
        <v>1.0342512000000001</v>
      </c>
      <c r="AC302" t="b">
        <f t="shared" si="65"/>
        <v>1</v>
      </c>
      <c r="AD302" t="b">
        <f t="shared" si="66"/>
        <v>1</v>
      </c>
    </row>
    <row r="303" spans="1:30" x14ac:dyDescent="0.35">
      <c r="A303" t="s">
        <v>33</v>
      </c>
      <c r="B303">
        <v>6</v>
      </c>
      <c r="C303">
        <v>2</v>
      </c>
      <c r="D303" t="s">
        <v>32</v>
      </c>
      <c r="E303">
        <v>2</v>
      </c>
      <c r="F303">
        <v>1</v>
      </c>
      <c r="G303" s="16">
        <v>36</v>
      </c>
      <c r="H303" s="16">
        <v>9.532</v>
      </c>
      <c r="I303" s="16">
        <v>2260</v>
      </c>
      <c r="J303" s="16">
        <v>13.359</v>
      </c>
      <c r="K303" s="16">
        <v>31.677</v>
      </c>
      <c r="L303" s="16">
        <v>5.1999999999999998E-2</v>
      </c>
      <c r="M303" s="23">
        <v>117.22</v>
      </c>
      <c r="N303" s="16">
        <v>0</v>
      </c>
      <c r="O303" s="17">
        <v>3.2559999999999998</v>
      </c>
      <c r="P303" s="18">
        <v>36</v>
      </c>
      <c r="Q303" s="18">
        <v>13.359</v>
      </c>
      <c r="R303" s="18">
        <v>112.83</v>
      </c>
      <c r="S303" s="18">
        <v>4.3899999999999997</v>
      </c>
      <c r="T303" s="14" t="b">
        <f t="shared" si="57"/>
        <v>1</v>
      </c>
      <c r="U303" s="14" t="b">
        <f t="shared" si="58"/>
        <v>1</v>
      </c>
      <c r="V303" s="15">
        <f>VLOOKUP(IF(J303&lt;10, 10, IF(J303&gt;50,50,J303)),'Over to underbark'!$A$3:$C$43,IF(A303="Scots pine",3,IF(A303="Sitka spruce",2, "error")),TRUE)/100</f>
        <v>0.89</v>
      </c>
      <c r="W303">
        <f t="shared" si="59"/>
        <v>90.376829999999998</v>
      </c>
      <c r="X303">
        <f t="shared" si="60"/>
        <v>3.5163899999999999</v>
      </c>
      <c r="Y303">
        <f t="shared" si="61"/>
        <v>11.60478</v>
      </c>
      <c r="Z303">
        <f t="shared" si="62"/>
        <v>63.647031599999991</v>
      </c>
      <c r="AA303">
        <f t="shared" si="63"/>
        <v>39.7411344</v>
      </c>
      <c r="AB303">
        <f t="shared" si="64"/>
        <v>2.1098339999999998</v>
      </c>
      <c r="AC303" t="b">
        <f t="shared" si="65"/>
        <v>1</v>
      </c>
      <c r="AD303" t="b">
        <f t="shared" si="66"/>
        <v>1</v>
      </c>
    </row>
    <row r="304" spans="1:30" x14ac:dyDescent="0.35">
      <c r="A304" t="s">
        <v>33</v>
      </c>
      <c r="B304">
        <v>6</v>
      </c>
      <c r="C304">
        <v>2</v>
      </c>
      <c r="D304" t="s">
        <v>32</v>
      </c>
      <c r="E304">
        <v>2</v>
      </c>
      <c r="F304">
        <v>1</v>
      </c>
      <c r="G304" s="16">
        <v>37</v>
      </c>
      <c r="H304" s="16">
        <v>9.8539999999999992</v>
      </c>
      <c r="I304" s="16">
        <v>2253</v>
      </c>
      <c r="J304" s="16">
        <v>13.66</v>
      </c>
      <c r="K304" s="16">
        <v>33.018999999999998</v>
      </c>
      <c r="L304" s="16">
        <v>5.6000000000000001E-2</v>
      </c>
      <c r="M304" s="23">
        <v>126.74</v>
      </c>
      <c r="N304" s="16">
        <v>0</v>
      </c>
      <c r="O304" s="17">
        <v>3.4249999999999998</v>
      </c>
      <c r="P304" s="18">
        <v>37</v>
      </c>
      <c r="Q304" s="18">
        <v>13.66</v>
      </c>
      <c r="R304" s="18">
        <v>119.79900000000001</v>
      </c>
      <c r="S304" s="18">
        <v>6.9409999999999998</v>
      </c>
      <c r="T304" s="14" t="b">
        <f t="shared" si="57"/>
        <v>1</v>
      </c>
      <c r="U304" s="14" t="b">
        <f t="shared" si="58"/>
        <v>1</v>
      </c>
      <c r="V304" s="15">
        <f>VLOOKUP(IF(J304&lt;10, 10, IF(J304&gt;50,50,J304)),'Over to underbark'!$A$3:$C$43,IF(A304="Scots pine",3,IF(A304="Sitka spruce",2, "error")),TRUE)/100</f>
        <v>0.89</v>
      </c>
      <c r="W304">
        <f t="shared" si="59"/>
        <v>95.958999000000006</v>
      </c>
      <c r="X304">
        <f t="shared" si="60"/>
        <v>5.5597409999999998</v>
      </c>
      <c r="Y304">
        <f t="shared" si="61"/>
        <v>12.54726</v>
      </c>
      <c r="Z304">
        <f t="shared" si="62"/>
        <v>68.077850579999989</v>
      </c>
      <c r="AA304">
        <f t="shared" si="63"/>
        <v>42.652304820000005</v>
      </c>
      <c r="AB304">
        <f t="shared" si="64"/>
        <v>3.3358445999999997</v>
      </c>
      <c r="AC304" t="b">
        <f t="shared" si="65"/>
        <v>1</v>
      </c>
      <c r="AD304" t="b">
        <f t="shared" si="66"/>
        <v>1</v>
      </c>
    </row>
    <row r="305" spans="1:30" x14ac:dyDescent="0.35">
      <c r="A305" t="s">
        <v>33</v>
      </c>
      <c r="B305">
        <v>6</v>
      </c>
      <c r="C305">
        <v>2</v>
      </c>
      <c r="D305" t="s">
        <v>32</v>
      </c>
      <c r="E305">
        <v>2</v>
      </c>
      <c r="F305">
        <v>1</v>
      </c>
      <c r="G305" s="16">
        <v>38</v>
      </c>
      <c r="H305" s="16">
        <v>10.176</v>
      </c>
      <c r="I305" s="16">
        <v>2245</v>
      </c>
      <c r="J305" s="16">
        <v>13.96</v>
      </c>
      <c r="K305" s="16">
        <v>34.360999999999997</v>
      </c>
      <c r="L305" s="16">
        <v>6.0999999999999999E-2</v>
      </c>
      <c r="M305" s="23">
        <v>136.26</v>
      </c>
      <c r="N305" s="16">
        <v>0</v>
      </c>
      <c r="O305" s="17">
        <v>3.5859999999999999</v>
      </c>
      <c r="P305" s="18">
        <v>38</v>
      </c>
      <c r="Q305" s="18">
        <v>13.96</v>
      </c>
      <c r="R305" s="18">
        <v>126.41</v>
      </c>
      <c r="S305" s="18">
        <v>9.85</v>
      </c>
      <c r="T305" s="14" t="b">
        <f t="shared" si="57"/>
        <v>1</v>
      </c>
      <c r="U305" s="14" t="b">
        <f t="shared" si="58"/>
        <v>1</v>
      </c>
      <c r="V305" s="15">
        <f>VLOOKUP(IF(J305&lt;10, 10, IF(J305&gt;50,50,J305)),'Over to underbark'!$A$3:$C$43,IF(A305="Scots pine",3,IF(A305="Sitka spruce",2, "error")),TRUE)/100</f>
        <v>0.89</v>
      </c>
      <c r="W305">
        <f t="shared" si="59"/>
        <v>101.25441000000001</v>
      </c>
      <c r="X305">
        <f t="shared" si="60"/>
        <v>7.88985</v>
      </c>
      <c r="Y305">
        <f t="shared" si="61"/>
        <v>13.489739999999998</v>
      </c>
      <c r="Z305">
        <f t="shared" si="62"/>
        <v>72.388231199999993</v>
      </c>
      <c r="AA305">
        <f t="shared" si="63"/>
        <v>45.511858799999999</v>
      </c>
      <c r="AB305">
        <f t="shared" si="64"/>
        <v>4.7339099999999998</v>
      </c>
      <c r="AC305" t="b">
        <f t="shared" si="65"/>
        <v>1</v>
      </c>
      <c r="AD305" t="b">
        <f t="shared" si="66"/>
        <v>1</v>
      </c>
    </row>
    <row r="306" spans="1:30" x14ac:dyDescent="0.35">
      <c r="A306" t="s">
        <v>33</v>
      </c>
      <c r="B306">
        <v>6</v>
      </c>
      <c r="C306">
        <v>2</v>
      </c>
      <c r="D306" t="s">
        <v>32</v>
      </c>
      <c r="E306">
        <v>2</v>
      </c>
      <c r="F306">
        <v>1</v>
      </c>
      <c r="G306" s="16">
        <v>39</v>
      </c>
      <c r="H306" s="16">
        <v>10.497999999999999</v>
      </c>
      <c r="I306" s="16">
        <v>2238</v>
      </c>
      <c r="J306" s="16">
        <v>14.252000000000001</v>
      </c>
      <c r="K306" s="16">
        <v>35.701999999999998</v>
      </c>
      <c r="L306" s="16">
        <v>6.5000000000000002E-2</v>
      </c>
      <c r="M306" s="23">
        <v>145.78</v>
      </c>
      <c r="N306" s="16">
        <v>0</v>
      </c>
      <c r="O306" s="17">
        <v>3.738</v>
      </c>
      <c r="P306" s="18">
        <v>39</v>
      </c>
      <c r="Q306" s="18">
        <v>14.252000000000001</v>
      </c>
      <c r="R306" s="18">
        <v>132.72499999999999</v>
      </c>
      <c r="S306" s="18">
        <v>13.055</v>
      </c>
      <c r="T306" s="14" t="b">
        <f t="shared" si="57"/>
        <v>1</v>
      </c>
      <c r="U306" s="14" t="b">
        <f t="shared" si="58"/>
        <v>1</v>
      </c>
      <c r="V306" s="15">
        <f>VLOOKUP(IF(J306&lt;10, 10, IF(J306&gt;50,50,J306)),'Over to underbark'!$A$3:$C$43,IF(A306="Scots pine",3,IF(A306="Sitka spruce",2, "error")),TRUE)/100</f>
        <v>0.9</v>
      </c>
      <c r="W306">
        <f t="shared" si="59"/>
        <v>107.50725</v>
      </c>
      <c r="X306">
        <f t="shared" si="60"/>
        <v>10.57455</v>
      </c>
      <c r="Y306">
        <f t="shared" si="61"/>
        <v>13.120199999999997</v>
      </c>
      <c r="Z306">
        <f t="shared" si="62"/>
        <v>75.985514999999992</v>
      </c>
      <c r="AA306">
        <f t="shared" si="63"/>
        <v>48.871754999999993</v>
      </c>
      <c r="AB306">
        <f t="shared" si="64"/>
        <v>6.3447300000000002</v>
      </c>
      <c r="AC306" t="b">
        <f t="shared" si="65"/>
        <v>1</v>
      </c>
      <c r="AD306" t="b">
        <f t="shared" si="66"/>
        <v>1</v>
      </c>
    </row>
    <row r="307" spans="1:30" x14ac:dyDescent="0.35">
      <c r="A307" t="s">
        <v>33</v>
      </c>
      <c r="B307">
        <v>6</v>
      </c>
      <c r="C307">
        <v>2</v>
      </c>
      <c r="D307" t="s">
        <v>32</v>
      </c>
      <c r="E307">
        <v>2</v>
      </c>
      <c r="F307">
        <v>1</v>
      </c>
      <c r="G307" s="16">
        <v>40</v>
      </c>
      <c r="H307" s="16">
        <v>10.82</v>
      </c>
      <c r="I307" s="16">
        <v>2231</v>
      </c>
      <c r="J307" s="16">
        <v>14.54</v>
      </c>
      <c r="K307" s="16">
        <v>37.043999999999997</v>
      </c>
      <c r="L307" s="16">
        <v>7.0000000000000007E-2</v>
      </c>
      <c r="M307" s="23">
        <v>155.30000000000001</v>
      </c>
      <c r="N307" s="16">
        <v>0</v>
      </c>
      <c r="O307" s="17">
        <v>3.883</v>
      </c>
      <c r="P307" s="18">
        <v>40</v>
      </c>
      <c r="Q307" s="18">
        <v>14.54</v>
      </c>
      <c r="R307" s="18">
        <v>138.71899999999999</v>
      </c>
      <c r="S307" s="18">
        <v>16.581</v>
      </c>
      <c r="T307" s="14" t="b">
        <f t="shared" si="57"/>
        <v>1</v>
      </c>
      <c r="U307" s="14" t="b">
        <f t="shared" si="58"/>
        <v>1</v>
      </c>
      <c r="V307" s="15">
        <f>VLOOKUP(IF(J307&lt;10, 10, IF(J307&gt;50,50,J307)),'Over to underbark'!$A$3:$C$43,IF(A307="Scots pine",3,IF(A307="Sitka spruce",2, "error")),TRUE)/100</f>
        <v>0.9</v>
      </c>
      <c r="W307">
        <f t="shared" si="59"/>
        <v>112.36239</v>
      </c>
      <c r="X307">
        <f t="shared" si="60"/>
        <v>13.43061</v>
      </c>
      <c r="Y307">
        <f t="shared" si="61"/>
        <v>13.976999999999995</v>
      </c>
      <c r="Z307">
        <f t="shared" si="62"/>
        <v>80.038153799999975</v>
      </c>
      <c r="AA307">
        <f t="shared" si="63"/>
        <v>51.6734802</v>
      </c>
      <c r="AB307">
        <f t="shared" si="64"/>
        <v>8.0583659999999995</v>
      </c>
      <c r="AC307" t="b">
        <f t="shared" si="65"/>
        <v>1</v>
      </c>
      <c r="AD307" t="b">
        <f t="shared" si="66"/>
        <v>1</v>
      </c>
    </row>
    <row r="308" spans="1:30" x14ac:dyDescent="0.35">
      <c r="A308" t="s">
        <v>33</v>
      </c>
      <c r="B308">
        <v>6</v>
      </c>
      <c r="C308">
        <v>2</v>
      </c>
      <c r="D308" t="s">
        <v>32</v>
      </c>
      <c r="E308">
        <v>2</v>
      </c>
      <c r="F308">
        <v>1</v>
      </c>
      <c r="G308" s="16">
        <v>41</v>
      </c>
      <c r="H308" s="16">
        <v>11.116</v>
      </c>
      <c r="I308" s="16">
        <v>2211</v>
      </c>
      <c r="J308" s="16">
        <v>14.805999999999999</v>
      </c>
      <c r="K308" s="16">
        <v>38.07</v>
      </c>
      <c r="L308" s="16">
        <v>7.4999999999999997E-2</v>
      </c>
      <c r="M308" s="23">
        <v>165.3</v>
      </c>
      <c r="N308" s="16">
        <v>8.5000000000000006E-2</v>
      </c>
      <c r="O308" s="17">
        <v>4.032</v>
      </c>
      <c r="P308" s="18">
        <v>41</v>
      </c>
      <c r="Q308" s="18">
        <v>14.805999999999999</v>
      </c>
      <c r="R308" s="18">
        <v>145.001</v>
      </c>
      <c r="S308" s="18">
        <v>20.298999999999999</v>
      </c>
      <c r="T308" s="14" t="b">
        <f t="shared" si="57"/>
        <v>1</v>
      </c>
      <c r="U308" s="14" t="b">
        <f t="shared" si="58"/>
        <v>1</v>
      </c>
      <c r="V308" s="15">
        <f>VLOOKUP(IF(J308&lt;10, 10, IF(J308&gt;50,50,J308)),'Over to underbark'!$A$3:$C$43,IF(A308="Scots pine",3,IF(A308="Sitka spruce",2, "error")),TRUE)/100</f>
        <v>0.9</v>
      </c>
      <c r="W308">
        <f t="shared" si="59"/>
        <v>117.45081</v>
      </c>
      <c r="X308">
        <f t="shared" si="60"/>
        <v>16.442190000000004</v>
      </c>
      <c r="Y308">
        <f t="shared" si="61"/>
        <v>14.876999999999997</v>
      </c>
      <c r="Z308">
        <f t="shared" si="62"/>
        <v>84.290290200000001</v>
      </c>
      <c r="AA308">
        <f t="shared" si="63"/>
        <v>54.614395800000004</v>
      </c>
      <c r="AB308">
        <f t="shared" si="64"/>
        <v>9.8653140000000015</v>
      </c>
      <c r="AC308" t="b">
        <f t="shared" si="65"/>
        <v>1</v>
      </c>
      <c r="AD308" t="b">
        <f t="shared" si="66"/>
        <v>1</v>
      </c>
    </row>
    <row r="309" spans="1:30" x14ac:dyDescent="0.35">
      <c r="A309" t="s">
        <v>33</v>
      </c>
      <c r="B309">
        <v>6</v>
      </c>
      <c r="C309">
        <v>2</v>
      </c>
      <c r="D309" t="s">
        <v>32</v>
      </c>
      <c r="E309">
        <v>2</v>
      </c>
      <c r="F309">
        <v>1</v>
      </c>
      <c r="G309" s="16">
        <v>42</v>
      </c>
      <c r="H309" s="16">
        <v>11.412000000000001</v>
      </c>
      <c r="I309" s="16">
        <v>2191</v>
      </c>
      <c r="J309" s="16">
        <v>15.073</v>
      </c>
      <c r="K309" s="16">
        <v>39.094999999999999</v>
      </c>
      <c r="L309" s="16">
        <v>0.08</v>
      </c>
      <c r="M309" s="23">
        <v>175.3</v>
      </c>
      <c r="N309" s="16">
        <v>0.159</v>
      </c>
      <c r="O309" s="17">
        <v>4.1740000000000004</v>
      </c>
      <c r="P309" s="18">
        <v>42</v>
      </c>
      <c r="Q309" s="18">
        <v>15.073</v>
      </c>
      <c r="R309" s="18">
        <v>150.934</v>
      </c>
      <c r="S309" s="18">
        <v>24.366</v>
      </c>
      <c r="T309" s="14" t="b">
        <f t="shared" si="57"/>
        <v>1</v>
      </c>
      <c r="U309" s="14" t="b">
        <f t="shared" si="58"/>
        <v>1</v>
      </c>
      <c r="V309" s="15">
        <f>VLOOKUP(IF(J309&lt;10, 10, IF(J309&gt;50,50,J309)),'Over to underbark'!$A$3:$C$43,IF(A309="Scots pine",3,IF(A309="Sitka spruce",2, "error")),TRUE)/100</f>
        <v>0.9</v>
      </c>
      <c r="W309">
        <f t="shared" si="59"/>
        <v>122.25654</v>
      </c>
      <c r="X309">
        <f t="shared" si="60"/>
        <v>19.736460000000001</v>
      </c>
      <c r="Y309">
        <f t="shared" si="61"/>
        <v>15.776999999999997</v>
      </c>
      <c r="Z309">
        <f t="shared" si="62"/>
        <v>88.423696800000002</v>
      </c>
      <c r="AA309">
        <f t="shared" si="63"/>
        <v>57.504427199999995</v>
      </c>
      <c r="AB309">
        <f t="shared" si="64"/>
        <v>11.841876000000001</v>
      </c>
      <c r="AC309" t="b">
        <f t="shared" si="65"/>
        <v>1</v>
      </c>
      <c r="AD309" t="b">
        <f t="shared" si="66"/>
        <v>1</v>
      </c>
    </row>
    <row r="310" spans="1:30" x14ac:dyDescent="0.35">
      <c r="A310" t="s">
        <v>33</v>
      </c>
      <c r="B310">
        <v>6</v>
      </c>
      <c r="C310">
        <v>2</v>
      </c>
      <c r="D310" t="s">
        <v>32</v>
      </c>
      <c r="E310">
        <v>2</v>
      </c>
      <c r="F310">
        <v>1</v>
      </c>
      <c r="G310" s="16">
        <v>43</v>
      </c>
      <c r="H310" s="16">
        <v>11.708</v>
      </c>
      <c r="I310" s="16">
        <v>2171</v>
      </c>
      <c r="J310" s="16">
        <v>15.34</v>
      </c>
      <c r="K310" s="16">
        <v>40.121000000000002</v>
      </c>
      <c r="L310" s="16">
        <v>8.5000000000000006E-2</v>
      </c>
      <c r="M310" s="23">
        <v>185.3</v>
      </c>
      <c r="N310" s="16">
        <v>0.22600000000000001</v>
      </c>
      <c r="O310" s="17">
        <v>4.3090000000000002</v>
      </c>
      <c r="P310" s="18">
        <v>43</v>
      </c>
      <c r="Q310" s="18">
        <v>15.34</v>
      </c>
      <c r="R310" s="18">
        <v>156.52799999999999</v>
      </c>
      <c r="S310" s="18">
        <v>28.771999999999998</v>
      </c>
      <c r="T310" s="14" t="b">
        <f t="shared" si="57"/>
        <v>1</v>
      </c>
      <c r="U310" s="14" t="b">
        <f t="shared" si="58"/>
        <v>1</v>
      </c>
      <c r="V310" s="15">
        <f>VLOOKUP(IF(J310&lt;10, 10, IF(J310&gt;50,50,J310)),'Over to underbark'!$A$3:$C$43,IF(A310="Scots pine",3,IF(A310="Sitka spruce",2, "error")),TRUE)/100</f>
        <v>0.9</v>
      </c>
      <c r="W310">
        <f t="shared" si="59"/>
        <v>126.78768000000001</v>
      </c>
      <c r="X310">
        <f t="shared" si="60"/>
        <v>23.305320000000002</v>
      </c>
      <c r="Y310">
        <f t="shared" si="61"/>
        <v>16.676999999999996</v>
      </c>
      <c r="Z310">
        <f t="shared" si="62"/>
        <v>92.441775599999986</v>
      </c>
      <c r="AA310">
        <f t="shared" si="63"/>
        <v>60.345032400000001</v>
      </c>
      <c r="AB310">
        <f t="shared" si="64"/>
        <v>13.983192000000001</v>
      </c>
      <c r="AC310" t="b">
        <f t="shared" si="65"/>
        <v>1</v>
      </c>
      <c r="AD310" t="b">
        <f t="shared" si="66"/>
        <v>1</v>
      </c>
    </row>
    <row r="311" spans="1:30" x14ac:dyDescent="0.35">
      <c r="A311" t="s">
        <v>33</v>
      </c>
      <c r="B311">
        <v>6</v>
      </c>
      <c r="C311">
        <v>2</v>
      </c>
      <c r="D311" t="s">
        <v>32</v>
      </c>
      <c r="E311">
        <v>2</v>
      </c>
      <c r="F311">
        <v>1</v>
      </c>
      <c r="G311" s="16">
        <v>44</v>
      </c>
      <c r="H311" s="16">
        <v>12.004</v>
      </c>
      <c r="I311" s="16">
        <v>2151</v>
      </c>
      <c r="J311" s="16">
        <v>15.606</v>
      </c>
      <c r="K311" s="16">
        <v>41.146999999999998</v>
      </c>
      <c r="L311" s="16">
        <v>9.0999999999999998E-2</v>
      </c>
      <c r="M311" s="23">
        <v>195.3</v>
      </c>
      <c r="N311" s="16">
        <v>0.28599999999999998</v>
      </c>
      <c r="O311" s="17">
        <v>4.4390000000000001</v>
      </c>
      <c r="P311" s="18">
        <v>44</v>
      </c>
      <c r="Q311" s="18">
        <v>15.606</v>
      </c>
      <c r="R311" s="18">
        <v>161.79599999999999</v>
      </c>
      <c r="S311" s="18">
        <v>33.503999999999998</v>
      </c>
      <c r="T311" s="14" t="b">
        <f t="shared" si="57"/>
        <v>1</v>
      </c>
      <c r="U311" s="14" t="b">
        <f t="shared" si="58"/>
        <v>1</v>
      </c>
      <c r="V311" s="15">
        <f>VLOOKUP(IF(J311&lt;10, 10, IF(J311&gt;50,50,J311)),'Over to underbark'!$A$3:$C$43,IF(A311="Scots pine",3,IF(A311="Sitka spruce",2, "error")),TRUE)/100</f>
        <v>0.9</v>
      </c>
      <c r="W311">
        <f t="shared" si="59"/>
        <v>131.05476000000002</v>
      </c>
      <c r="X311">
        <f t="shared" si="60"/>
        <v>27.13824</v>
      </c>
      <c r="Y311">
        <f t="shared" si="61"/>
        <v>17.576999999999995</v>
      </c>
      <c r="Z311">
        <f t="shared" si="62"/>
        <v>96.348949199999993</v>
      </c>
      <c r="AA311">
        <f t="shared" si="63"/>
        <v>63.138106800000003</v>
      </c>
      <c r="AB311">
        <f t="shared" si="64"/>
        <v>16.282944000000001</v>
      </c>
      <c r="AC311" t="b">
        <f t="shared" si="65"/>
        <v>1</v>
      </c>
      <c r="AD311" t="b">
        <f t="shared" si="66"/>
        <v>1</v>
      </c>
    </row>
    <row r="312" spans="1:30" x14ac:dyDescent="0.35">
      <c r="A312" t="s">
        <v>33</v>
      </c>
      <c r="B312">
        <v>6</v>
      </c>
      <c r="C312">
        <v>2</v>
      </c>
      <c r="D312" t="s">
        <v>32</v>
      </c>
      <c r="E312">
        <v>2</v>
      </c>
      <c r="F312">
        <v>1</v>
      </c>
      <c r="G312" s="16">
        <v>45</v>
      </c>
      <c r="H312" s="16">
        <v>12.3</v>
      </c>
      <c r="I312" s="16">
        <v>2132</v>
      </c>
      <c r="J312" s="16">
        <v>15.87</v>
      </c>
      <c r="K312" s="16">
        <v>42.173000000000002</v>
      </c>
      <c r="L312" s="16">
        <v>9.6000000000000002E-2</v>
      </c>
      <c r="M312" s="23">
        <v>205.3</v>
      </c>
      <c r="N312" s="16">
        <v>0.34</v>
      </c>
      <c r="O312" s="17">
        <v>4.5620000000000003</v>
      </c>
      <c r="P312" s="18">
        <v>45</v>
      </c>
      <c r="Q312" s="18">
        <v>15.87</v>
      </c>
      <c r="R312" s="18">
        <v>166.75700000000001</v>
      </c>
      <c r="S312" s="18">
        <v>38.542999999999999</v>
      </c>
      <c r="T312" s="14" t="b">
        <f t="shared" si="57"/>
        <v>1</v>
      </c>
      <c r="U312" s="14" t="b">
        <f t="shared" si="58"/>
        <v>1</v>
      </c>
      <c r="V312" s="15">
        <f>VLOOKUP(IF(J312&lt;10, 10, IF(J312&gt;50,50,J312)),'Over to underbark'!$A$3:$C$43,IF(A312="Scots pine",3,IF(A312="Sitka spruce",2, "error")),TRUE)/100</f>
        <v>0.9</v>
      </c>
      <c r="W312">
        <f t="shared" si="59"/>
        <v>135.07317</v>
      </c>
      <c r="X312">
        <f t="shared" si="60"/>
        <v>31.219829999999998</v>
      </c>
      <c r="Y312">
        <f t="shared" si="61"/>
        <v>18.476999999999997</v>
      </c>
      <c r="Z312">
        <f t="shared" si="62"/>
        <v>100.1516814</v>
      </c>
      <c r="AA312">
        <f t="shared" si="63"/>
        <v>65.886420599999994</v>
      </c>
      <c r="AB312">
        <f t="shared" si="64"/>
        <v>18.731897999999997</v>
      </c>
      <c r="AC312" t="b">
        <f t="shared" si="65"/>
        <v>1</v>
      </c>
      <c r="AD312" t="b">
        <f t="shared" si="66"/>
        <v>1</v>
      </c>
    </row>
    <row r="313" spans="1:30" x14ac:dyDescent="0.35">
      <c r="A313" t="s">
        <v>33</v>
      </c>
      <c r="B313">
        <v>6</v>
      </c>
      <c r="C313">
        <v>2</v>
      </c>
      <c r="D313" t="s">
        <v>32</v>
      </c>
      <c r="E313">
        <v>2</v>
      </c>
      <c r="F313">
        <v>1</v>
      </c>
      <c r="G313" s="16">
        <v>46</v>
      </c>
      <c r="H313" s="16">
        <v>12.57</v>
      </c>
      <c r="I313" s="16">
        <v>2111</v>
      </c>
      <c r="J313" s="16">
        <v>16.099</v>
      </c>
      <c r="K313" s="16">
        <v>42.970999999999997</v>
      </c>
      <c r="L313" s="16">
        <v>0.10199999999999999</v>
      </c>
      <c r="M313" s="23">
        <v>214.96</v>
      </c>
      <c r="N313" s="16">
        <v>0.44500000000000001</v>
      </c>
      <c r="O313" s="17">
        <v>4.673</v>
      </c>
      <c r="P313" s="18">
        <v>46</v>
      </c>
      <c r="Q313" s="18">
        <v>16.099</v>
      </c>
      <c r="R313" s="18">
        <v>171.58099999999999</v>
      </c>
      <c r="S313" s="18">
        <v>43.378999999999998</v>
      </c>
      <c r="T313" s="14" t="b">
        <f t="shared" si="57"/>
        <v>1</v>
      </c>
      <c r="U313" s="14" t="b">
        <f t="shared" si="58"/>
        <v>1</v>
      </c>
      <c r="V313" s="15">
        <f>VLOOKUP(IF(J313&lt;10, 10, IF(J313&gt;50,50,J313)),'Over to underbark'!$A$3:$C$43,IF(A313="Scots pine",3,IF(A313="Sitka spruce",2, "error")),TRUE)/100</f>
        <v>0.89</v>
      </c>
      <c r="W313">
        <f t="shared" si="59"/>
        <v>137.43638100000001</v>
      </c>
      <c r="X313">
        <f t="shared" si="60"/>
        <v>34.746579000000004</v>
      </c>
      <c r="Y313">
        <f t="shared" si="61"/>
        <v>21.281039999999997</v>
      </c>
      <c r="Z313">
        <f t="shared" si="62"/>
        <v>104.83176401999999</v>
      </c>
      <c r="AA313">
        <f t="shared" si="63"/>
        <v>67.784288580000009</v>
      </c>
      <c r="AB313">
        <f t="shared" si="64"/>
        <v>20.847947400000002</v>
      </c>
      <c r="AC313" t="b">
        <f t="shared" si="65"/>
        <v>1</v>
      </c>
      <c r="AD313" t="b">
        <f t="shared" si="66"/>
        <v>1</v>
      </c>
    </row>
    <row r="314" spans="1:30" x14ac:dyDescent="0.35">
      <c r="A314" t="s">
        <v>33</v>
      </c>
      <c r="B314">
        <v>6</v>
      </c>
      <c r="C314">
        <v>2</v>
      </c>
      <c r="D314" t="s">
        <v>32</v>
      </c>
      <c r="E314">
        <v>2</v>
      </c>
      <c r="F314">
        <v>1</v>
      </c>
      <c r="G314" s="16">
        <v>47</v>
      </c>
      <c r="H314" s="16">
        <v>12.84</v>
      </c>
      <c r="I314" s="16">
        <v>2090</v>
      </c>
      <c r="J314" s="16">
        <v>16.329000000000001</v>
      </c>
      <c r="K314" s="16">
        <v>43.768999999999998</v>
      </c>
      <c r="L314" s="16">
        <v>0.107</v>
      </c>
      <c r="M314" s="23">
        <v>224.62</v>
      </c>
      <c r="N314" s="16">
        <v>0.54</v>
      </c>
      <c r="O314" s="17">
        <v>4.7789999999999999</v>
      </c>
      <c r="P314" s="18">
        <v>47</v>
      </c>
      <c r="Q314" s="18">
        <v>16.329000000000001</v>
      </c>
      <c r="R314" s="18">
        <v>176.12</v>
      </c>
      <c r="S314" s="18">
        <v>48.5</v>
      </c>
      <c r="T314" s="14" t="b">
        <f t="shared" si="57"/>
        <v>1</v>
      </c>
      <c r="U314" s="14" t="b">
        <f t="shared" si="58"/>
        <v>1</v>
      </c>
      <c r="V314" s="15">
        <f>VLOOKUP(IF(J314&lt;10, 10, IF(J314&gt;50,50,J314)),'Over to underbark'!$A$3:$C$43,IF(A314="Scots pine",3,IF(A314="Sitka spruce",2, "error")),TRUE)/100</f>
        <v>0.89</v>
      </c>
      <c r="W314">
        <f t="shared" si="59"/>
        <v>141.07212000000001</v>
      </c>
      <c r="X314">
        <f t="shared" si="60"/>
        <v>38.848500000000001</v>
      </c>
      <c r="Y314">
        <f t="shared" si="61"/>
        <v>22.237379999999998</v>
      </c>
      <c r="Z314">
        <f t="shared" si="62"/>
        <v>108.47576340000001</v>
      </c>
      <c r="AA314">
        <f t="shared" si="63"/>
        <v>70.373136600000009</v>
      </c>
      <c r="AB314">
        <f t="shared" si="64"/>
        <v>23.309100000000001</v>
      </c>
      <c r="AC314" t="b">
        <f t="shared" si="65"/>
        <v>1</v>
      </c>
      <c r="AD314" t="b">
        <f t="shared" si="66"/>
        <v>1</v>
      </c>
    </row>
    <row r="315" spans="1:30" x14ac:dyDescent="0.35">
      <c r="A315" t="s">
        <v>33</v>
      </c>
      <c r="B315">
        <v>6</v>
      </c>
      <c r="C315">
        <v>2</v>
      </c>
      <c r="D315" t="s">
        <v>32</v>
      </c>
      <c r="E315">
        <v>2</v>
      </c>
      <c r="F315">
        <v>1</v>
      </c>
      <c r="G315" s="16">
        <v>48</v>
      </c>
      <c r="H315" s="16">
        <v>13.11</v>
      </c>
      <c r="I315" s="16">
        <v>2070</v>
      </c>
      <c r="J315" s="16">
        <v>16.556999999999999</v>
      </c>
      <c r="K315" s="16">
        <v>44.567</v>
      </c>
      <c r="L315" s="16">
        <v>0.113</v>
      </c>
      <c r="M315" s="23">
        <v>234.28</v>
      </c>
      <c r="N315" s="16">
        <v>0.628</v>
      </c>
      <c r="O315" s="17">
        <v>4.8810000000000002</v>
      </c>
      <c r="P315" s="18">
        <v>48</v>
      </c>
      <c r="Q315" s="18">
        <v>16.556999999999999</v>
      </c>
      <c r="R315" s="18">
        <v>180.41800000000001</v>
      </c>
      <c r="S315" s="18">
        <v>53.862000000000002</v>
      </c>
      <c r="T315" s="14" t="b">
        <f t="shared" si="57"/>
        <v>1</v>
      </c>
      <c r="U315" s="14" t="b">
        <f t="shared" si="58"/>
        <v>1</v>
      </c>
      <c r="V315" s="15">
        <f>VLOOKUP(IF(J315&lt;10, 10, IF(J315&gt;50,50,J315)),'Over to underbark'!$A$3:$C$43,IF(A315="Scots pine",3,IF(A315="Sitka spruce",2, "error")),TRUE)/100</f>
        <v>0.89</v>
      </c>
      <c r="W315">
        <f t="shared" si="59"/>
        <v>144.51481800000002</v>
      </c>
      <c r="X315">
        <f t="shared" si="60"/>
        <v>43.143462</v>
      </c>
      <c r="Y315">
        <f t="shared" si="61"/>
        <v>23.193719999999999</v>
      </c>
      <c r="Z315">
        <f t="shared" si="62"/>
        <v>112.03868556</v>
      </c>
      <c r="AA315">
        <f t="shared" si="63"/>
        <v>72.927237240000011</v>
      </c>
      <c r="AB315">
        <f t="shared" si="64"/>
        <v>25.886077199999999</v>
      </c>
      <c r="AC315" t="b">
        <f t="shared" si="65"/>
        <v>1</v>
      </c>
      <c r="AD315" t="b">
        <f t="shared" si="66"/>
        <v>1</v>
      </c>
    </row>
    <row r="316" spans="1:30" x14ac:dyDescent="0.35">
      <c r="A316" t="s">
        <v>33</v>
      </c>
      <c r="B316">
        <v>6</v>
      </c>
      <c r="C316">
        <v>2</v>
      </c>
      <c r="D316" t="s">
        <v>32</v>
      </c>
      <c r="E316">
        <v>2</v>
      </c>
      <c r="F316">
        <v>1</v>
      </c>
      <c r="G316" s="16">
        <v>49</v>
      </c>
      <c r="H316" s="16">
        <v>13.38</v>
      </c>
      <c r="I316" s="16">
        <v>2049</v>
      </c>
      <c r="J316" s="16">
        <v>16.79</v>
      </c>
      <c r="K316" s="16">
        <v>45.365000000000002</v>
      </c>
      <c r="L316" s="16">
        <v>0.11899999999999999</v>
      </c>
      <c r="M316" s="23">
        <v>243.94</v>
      </c>
      <c r="N316" s="16">
        <v>0.70799999999999996</v>
      </c>
      <c r="O316" s="17">
        <v>4.9779999999999998</v>
      </c>
      <c r="P316" s="18">
        <v>49</v>
      </c>
      <c r="Q316" s="18">
        <v>16.79</v>
      </c>
      <c r="R316" s="18">
        <v>184.37700000000001</v>
      </c>
      <c r="S316" s="18">
        <v>59.563000000000002</v>
      </c>
      <c r="T316" s="14" t="b">
        <f t="shared" si="57"/>
        <v>1</v>
      </c>
      <c r="U316" s="14" t="b">
        <f t="shared" si="58"/>
        <v>1</v>
      </c>
      <c r="V316" s="15">
        <f>VLOOKUP(IF(J316&lt;10, 10, IF(J316&gt;50,50,J316)),'Over to underbark'!$A$3:$C$43,IF(A316="Scots pine",3,IF(A316="Sitka spruce",2, "error")),TRUE)/100</f>
        <v>0.89</v>
      </c>
      <c r="W316">
        <f t="shared" si="59"/>
        <v>147.68597700000001</v>
      </c>
      <c r="X316">
        <f t="shared" si="60"/>
        <v>47.709963000000002</v>
      </c>
      <c r="Y316">
        <f t="shared" si="61"/>
        <v>24.150059999999996</v>
      </c>
      <c r="Z316">
        <f t="shared" si="62"/>
        <v>115.48756133999998</v>
      </c>
      <c r="AA316">
        <f t="shared" si="63"/>
        <v>75.432460860000006</v>
      </c>
      <c r="AB316">
        <f t="shared" si="64"/>
        <v>28.625977800000001</v>
      </c>
      <c r="AC316" t="b">
        <f t="shared" si="65"/>
        <v>1</v>
      </c>
      <c r="AD316" t="b">
        <f t="shared" si="66"/>
        <v>1</v>
      </c>
    </row>
    <row r="317" spans="1:30" x14ac:dyDescent="0.35">
      <c r="A317" t="s">
        <v>33</v>
      </c>
      <c r="B317">
        <v>6</v>
      </c>
      <c r="C317">
        <v>2</v>
      </c>
      <c r="D317" t="s">
        <v>32</v>
      </c>
      <c r="E317">
        <v>2</v>
      </c>
      <c r="F317">
        <v>1</v>
      </c>
      <c r="G317" s="16">
        <v>50</v>
      </c>
      <c r="H317" s="16">
        <v>13.65</v>
      </c>
      <c r="I317" s="16">
        <v>2029</v>
      </c>
      <c r="J317" s="16">
        <v>17.02</v>
      </c>
      <c r="K317" s="16">
        <v>46.162999999999997</v>
      </c>
      <c r="L317" s="16">
        <v>0.125</v>
      </c>
      <c r="M317" s="23">
        <v>253.6</v>
      </c>
      <c r="N317" s="16">
        <v>0.78200000000000003</v>
      </c>
      <c r="O317" s="17">
        <v>5.0720000000000001</v>
      </c>
      <c r="P317" s="18">
        <v>50</v>
      </c>
      <c r="Q317" s="18">
        <v>17.02</v>
      </c>
      <c r="R317" s="18">
        <v>188.11699999999999</v>
      </c>
      <c r="S317" s="18">
        <v>65.483000000000004</v>
      </c>
      <c r="T317" s="14" t="b">
        <f t="shared" si="57"/>
        <v>1</v>
      </c>
      <c r="U317" s="14" t="b">
        <f t="shared" si="58"/>
        <v>1</v>
      </c>
      <c r="V317" s="15">
        <f>VLOOKUP(IF(J317&lt;10, 10, IF(J317&gt;50,50,J317)),'Over to underbark'!$A$3:$C$43,IF(A317="Scots pine",3,IF(A317="Sitka spruce",2, "error")),TRUE)/100</f>
        <v>0.9</v>
      </c>
      <c r="W317">
        <f t="shared" si="59"/>
        <v>152.37476999999998</v>
      </c>
      <c r="X317">
        <f t="shared" si="60"/>
        <v>53.041230000000006</v>
      </c>
      <c r="Y317">
        <f t="shared" si="61"/>
        <v>22.823999999999995</v>
      </c>
      <c r="Z317">
        <f t="shared" si="62"/>
        <v>117.63380339999999</v>
      </c>
      <c r="AA317">
        <f t="shared" si="63"/>
        <v>78.781458599999993</v>
      </c>
      <c r="AB317">
        <f t="shared" si="64"/>
        <v>31.824738000000004</v>
      </c>
      <c r="AC317" t="b">
        <f t="shared" si="65"/>
        <v>1</v>
      </c>
      <c r="AD317" t="b">
        <f t="shared" si="66"/>
        <v>1</v>
      </c>
    </row>
    <row r="318" spans="1:30" x14ac:dyDescent="0.35">
      <c r="A318" t="s">
        <v>33</v>
      </c>
      <c r="B318">
        <v>6</v>
      </c>
      <c r="C318">
        <v>2</v>
      </c>
      <c r="D318" t="s">
        <v>32</v>
      </c>
      <c r="E318">
        <v>2</v>
      </c>
      <c r="F318">
        <v>1</v>
      </c>
      <c r="G318" s="16">
        <v>51</v>
      </c>
      <c r="H318" s="16">
        <v>13.888</v>
      </c>
      <c r="I318" s="16">
        <v>2007</v>
      </c>
      <c r="J318" s="16">
        <v>17.216000000000001</v>
      </c>
      <c r="K318" s="16">
        <v>46.718000000000004</v>
      </c>
      <c r="L318" s="16">
        <v>0.13100000000000001</v>
      </c>
      <c r="M318" s="23">
        <v>262.32</v>
      </c>
      <c r="N318" s="16">
        <v>0.89900000000000002</v>
      </c>
      <c r="O318" s="17">
        <v>5.1440000000000001</v>
      </c>
      <c r="P318" s="18">
        <v>51</v>
      </c>
      <c r="Q318" s="18">
        <v>17.216000000000001</v>
      </c>
      <c r="R318" s="18">
        <v>191.45599999999999</v>
      </c>
      <c r="S318" s="18">
        <v>70.864000000000004</v>
      </c>
      <c r="T318" s="14" t="b">
        <f t="shared" si="57"/>
        <v>1</v>
      </c>
      <c r="U318" s="14" t="b">
        <f t="shared" si="58"/>
        <v>1</v>
      </c>
      <c r="V318" s="15">
        <f>VLOOKUP(IF(J318&lt;10, 10, IF(J318&gt;50,50,J318)),'Over to underbark'!$A$3:$C$43,IF(A318="Scots pine",3,IF(A318="Sitka spruce",2, "error")),TRUE)/100</f>
        <v>0.9</v>
      </c>
      <c r="W318">
        <f t="shared" si="59"/>
        <v>155.07935999999998</v>
      </c>
      <c r="X318">
        <f t="shared" si="60"/>
        <v>57.399840000000005</v>
      </c>
      <c r="Y318">
        <f t="shared" si="61"/>
        <v>23.608799999999995</v>
      </c>
      <c r="Z318">
        <f t="shared" si="62"/>
        <v>120.61401119999998</v>
      </c>
      <c r="AA318">
        <f t="shared" si="63"/>
        <v>81.034084799999988</v>
      </c>
      <c r="AB318">
        <f t="shared" si="64"/>
        <v>34.439903999999999</v>
      </c>
      <c r="AC318" t="b">
        <f t="shared" si="65"/>
        <v>1</v>
      </c>
      <c r="AD318" t="b">
        <f t="shared" si="66"/>
        <v>1</v>
      </c>
    </row>
    <row r="319" spans="1:30" x14ac:dyDescent="0.35">
      <c r="A319" t="s">
        <v>33</v>
      </c>
      <c r="B319">
        <v>6</v>
      </c>
      <c r="C319">
        <v>2</v>
      </c>
      <c r="D319" t="s">
        <v>32</v>
      </c>
      <c r="E319">
        <v>2</v>
      </c>
      <c r="F319">
        <v>1</v>
      </c>
      <c r="G319" s="16">
        <v>52</v>
      </c>
      <c r="H319" s="16">
        <v>14.125999999999999</v>
      </c>
      <c r="I319" s="16">
        <v>1985</v>
      </c>
      <c r="J319" s="16">
        <v>17.414000000000001</v>
      </c>
      <c r="K319" s="16">
        <v>47.274000000000001</v>
      </c>
      <c r="L319" s="16">
        <v>0.13700000000000001</v>
      </c>
      <c r="M319" s="23">
        <v>271.04000000000002</v>
      </c>
      <c r="N319" s="16">
        <v>1.008</v>
      </c>
      <c r="O319" s="17">
        <v>5.2119999999999997</v>
      </c>
      <c r="P319" s="18">
        <v>52</v>
      </c>
      <c r="Q319" s="18">
        <v>17.414000000000001</v>
      </c>
      <c r="R319" s="18">
        <v>194.566</v>
      </c>
      <c r="S319" s="18">
        <v>76.474000000000004</v>
      </c>
      <c r="T319" s="14" t="b">
        <f t="shared" si="57"/>
        <v>1</v>
      </c>
      <c r="U319" s="14" t="b">
        <f t="shared" si="58"/>
        <v>1</v>
      </c>
      <c r="V319" s="15">
        <f>VLOOKUP(IF(J319&lt;10, 10, IF(J319&gt;50,50,J319)),'Over to underbark'!$A$3:$C$43,IF(A319="Scots pine",3,IF(A319="Sitka spruce",2, "error")),TRUE)/100</f>
        <v>0.9</v>
      </c>
      <c r="W319">
        <f t="shared" si="59"/>
        <v>157.59845999999999</v>
      </c>
      <c r="X319">
        <f t="shared" si="60"/>
        <v>61.943939999999998</v>
      </c>
      <c r="Y319">
        <f t="shared" si="61"/>
        <v>24.393599999999999</v>
      </c>
      <c r="Z319">
        <f t="shared" si="62"/>
        <v>123.51631319999997</v>
      </c>
      <c r="AA319">
        <f t="shared" si="63"/>
        <v>83.253322799999992</v>
      </c>
      <c r="AB319">
        <f t="shared" si="64"/>
        <v>37.166363999999994</v>
      </c>
      <c r="AC319" t="b">
        <f t="shared" si="65"/>
        <v>1</v>
      </c>
      <c r="AD319" t="b">
        <f t="shared" si="66"/>
        <v>1</v>
      </c>
    </row>
    <row r="320" spans="1:30" x14ac:dyDescent="0.35">
      <c r="A320" t="s">
        <v>33</v>
      </c>
      <c r="B320">
        <v>6</v>
      </c>
      <c r="C320">
        <v>2</v>
      </c>
      <c r="D320" t="s">
        <v>32</v>
      </c>
      <c r="E320">
        <v>2</v>
      </c>
      <c r="F320">
        <v>1</v>
      </c>
      <c r="G320" s="16">
        <v>53</v>
      </c>
      <c r="H320" s="16">
        <v>14.364000000000001</v>
      </c>
      <c r="I320" s="16">
        <v>1963</v>
      </c>
      <c r="J320" s="16">
        <v>17.613</v>
      </c>
      <c r="K320" s="16">
        <v>47.83</v>
      </c>
      <c r="L320" s="16">
        <v>0.14299999999999999</v>
      </c>
      <c r="M320" s="23">
        <v>279.76</v>
      </c>
      <c r="N320" s="16">
        <v>1.1100000000000001</v>
      </c>
      <c r="O320" s="17">
        <v>5.2779999999999996</v>
      </c>
      <c r="P320" s="18">
        <v>53</v>
      </c>
      <c r="Q320" s="18">
        <v>17.613</v>
      </c>
      <c r="R320" s="18">
        <v>197.464</v>
      </c>
      <c r="S320" s="18">
        <v>82.296000000000006</v>
      </c>
      <c r="T320" s="14" t="b">
        <f t="shared" si="57"/>
        <v>1</v>
      </c>
      <c r="U320" s="14" t="b">
        <f t="shared" si="58"/>
        <v>1</v>
      </c>
      <c r="V320" s="15">
        <f>VLOOKUP(IF(J320&lt;10, 10, IF(J320&gt;50,50,J320)),'Over to underbark'!$A$3:$C$43,IF(A320="Scots pine",3,IF(A320="Sitka spruce",2, "error")),TRUE)/100</f>
        <v>0.9</v>
      </c>
      <c r="W320">
        <f t="shared" si="59"/>
        <v>159.94584</v>
      </c>
      <c r="X320">
        <f t="shared" si="60"/>
        <v>66.659760000000006</v>
      </c>
      <c r="Y320">
        <f t="shared" si="61"/>
        <v>25.178399999999993</v>
      </c>
      <c r="Z320">
        <f t="shared" si="62"/>
        <v>126.34649279999999</v>
      </c>
      <c r="AA320">
        <f t="shared" si="63"/>
        <v>85.441651199999995</v>
      </c>
      <c r="AB320">
        <f t="shared" si="64"/>
        <v>39.995856000000003</v>
      </c>
      <c r="AC320" t="b">
        <f t="shared" si="65"/>
        <v>1</v>
      </c>
      <c r="AD320" t="b">
        <f t="shared" si="66"/>
        <v>1</v>
      </c>
    </row>
    <row r="321" spans="1:30" x14ac:dyDescent="0.35">
      <c r="A321" t="s">
        <v>33</v>
      </c>
      <c r="B321">
        <v>6</v>
      </c>
      <c r="C321">
        <v>2</v>
      </c>
      <c r="D321" t="s">
        <v>32</v>
      </c>
      <c r="E321">
        <v>2</v>
      </c>
      <c r="F321">
        <v>1</v>
      </c>
      <c r="G321" s="16">
        <v>54</v>
      </c>
      <c r="H321" s="16">
        <v>14.602</v>
      </c>
      <c r="I321" s="16">
        <v>1941</v>
      </c>
      <c r="J321" s="16">
        <v>17.815999999999999</v>
      </c>
      <c r="K321" s="16">
        <v>48.384999999999998</v>
      </c>
      <c r="L321" s="16">
        <v>0.14899999999999999</v>
      </c>
      <c r="M321" s="23">
        <v>288.48</v>
      </c>
      <c r="N321" s="16">
        <v>1.2050000000000001</v>
      </c>
      <c r="O321" s="17">
        <v>5.3419999999999996</v>
      </c>
      <c r="P321" s="18">
        <v>54</v>
      </c>
      <c r="Q321" s="18">
        <v>17.815999999999999</v>
      </c>
      <c r="R321" s="18">
        <v>200.1</v>
      </c>
      <c r="S321" s="18">
        <v>88.38</v>
      </c>
      <c r="T321" s="14" t="b">
        <f t="shared" si="57"/>
        <v>1</v>
      </c>
      <c r="U321" s="14" t="b">
        <f t="shared" si="58"/>
        <v>1</v>
      </c>
      <c r="V321" s="15">
        <f>VLOOKUP(IF(J321&lt;10, 10, IF(J321&gt;50,50,J321)),'Over to underbark'!$A$3:$C$43,IF(A321="Scots pine",3,IF(A321="Sitka spruce",2, "error")),TRUE)/100</f>
        <v>0.9</v>
      </c>
      <c r="W321">
        <f t="shared" si="59"/>
        <v>162.08100000000002</v>
      </c>
      <c r="X321">
        <f t="shared" si="60"/>
        <v>71.587800000000001</v>
      </c>
      <c r="Y321">
        <f t="shared" si="61"/>
        <v>25.963199999999993</v>
      </c>
      <c r="Z321">
        <f t="shared" si="62"/>
        <v>129.08753999999999</v>
      </c>
      <c r="AA321">
        <f t="shared" si="63"/>
        <v>87.591780000000014</v>
      </c>
      <c r="AB321">
        <f t="shared" si="64"/>
        <v>42.952680000000001</v>
      </c>
      <c r="AC321" t="b">
        <f t="shared" si="65"/>
        <v>1</v>
      </c>
      <c r="AD321" t="b">
        <f t="shared" si="66"/>
        <v>1</v>
      </c>
    </row>
    <row r="322" spans="1:30" x14ac:dyDescent="0.35">
      <c r="A322" t="s">
        <v>33</v>
      </c>
      <c r="B322">
        <v>6</v>
      </c>
      <c r="C322">
        <v>2</v>
      </c>
      <c r="D322" t="s">
        <v>32</v>
      </c>
      <c r="E322">
        <v>2</v>
      </c>
      <c r="F322">
        <v>1</v>
      </c>
      <c r="G322" s="16">
        <v>55</v>
      </c>
      <c r="H322" s="16">
        <v>14.84</v>
      </c>
      <c r="I322" s="16">
        <v>1919</v>
      </c>
      <c r="J322" s="16">
        <v>18.02</v>
      </c>
      <c r="K322" s="16">
        <v>48.941000000000003</v>
      </c>
      <c r="L322" s="16">
        <v>0.155</v>
      </c>
      <c r="M322" s="23">
        <v>297.2</v>
      </c>
      <c r="N322" s="16">
        <v>1.2949999999999999</v>
      </c>
      <c r="O322" s="17">
        <v>5.4039999999999999</v>
      </c>
      <c r="P322" s="18">
        <v>55</v>
      </c>
      <c r="Q322" s="18">
        <v>18.02</v>
      </c>
      <c r="R322" s="18">
        <v>202.52500000000001</v>
      </c>
      <c r="S322" s="18">
        <v>94.674999999999997</v>
      </c>
      <c r="T322" s="14" t="b">
        <f t="shared" si="57"/>
        <v>1</v>
      </c>
      <c r="U322" s="14" t="b">
        <f t="shared" si="58"/>
        <v>1</v>
      </c>
      <c r="V322" s="15">
        <f>VLOOKUP(IF(J322&lt;10, 10, IF(J322&gt;50,50,J322)),'Over to underbark'!$A$3:$C$43,IF(A322="Scots pine",3,IF(A322="Sitka spruce",2, "error")),TRUE)/100</f>
        <v>0.9</v>
      </c>
      <c r="W322">
        <f t="shared" si="59"/>
        <v>164.04525000000001</v>
      </c>
      <c r="X322">
        <f t="shared" si="60"/>
        <v>76.686750000000004</v>
      </c>
      <c r="Y322">
        <f t="shared" si="61"/>
        <v>26.747999999999998</v>
      </c>
      <c r="Z322">
        <f t="shared" si="62"/>
        <v>131.75680500000001</v>
      </c>
      <c r="AA322">
        <f t="shared" si="63"/>
        <v>89.711145000000002</v>
      </c>
      <c r="AB322">
        <f t="shared" si="64"/>
        <v>46.012050000000002</v>
      </c>
      <c r="AC322" t="b">
        <f t="shared" si="65"/>
        <v>1</v>
      </c>
      <c r="AD322" t="b">
        <f t="shared" si="66"/>
        <v>1</v>
      </c>
    </row>
    <row r="323" spans="1:30" x14ac:dyDescent="0.35">
      <c r="A323" t="s">
        <v>33</v>
      </c>
      <c r="B323">
        <v>6</v>
      </c>
      <c r="C323">
        <v>2</v>
      </c>
      <c r="D323" t="s">
        <v>32</v>
      </c>
      <c r="E323">
        <v>2</v>
      </c>
      <c r="F323">
        <v>1</v>
      </c>
      <c r="G323" s="16">
        <v>56</v>
      </c>
      <c r="H323" s="16">
        <v>15.042</v>
      </c>
      <c r="I323" s="16">
        <v>1899</v>
      </c>
      <c r="J323" s="16">
        <v>18.193000000000001</v>
      </c>
      <c r="K323" s="16">
        <v>49.365000000000002</v>
      </c>
      <c r="L323" s="16">
        <v>0.16</v>
      </c>
      <c r="M323" s="23">
        <v>304.66000000000003</v>
      </c>
      <c r="N323" s="16">
        <v>1.4239999999999999</v>
      </c>
      <c r="O323" s="17">
        <v>5.44</v>
      </c>
      <c r="P323" s="18">
        <v>56</v>
      </c>
      <c r="Q323" s="18">
        <v>18.193000000000001</v>
      </c>
      <c r="R323" s="18">
        <v>204.476</v>
      </c>
      <c r="S323" s="18">
        <v>100.184</v>
      </c>
      <c r="T323" s="14" t="b">
        <f t="shared" si="57"/>
        <v>1</v>
      </c>
      <c r="U323" s="14" t="b">
        <f t="shared" si="58"/>
        <v>1</v>
      </c>
      <c r="V323" s="15">
        <f>VLOOKUP(IF(J323&lt;10, 10, IF(J323&gt;50,50,J323)),'Over to underbark'!$A$3:$C$43,IF(A323="Scots pine",3,IF(A323="Sitka spruce",2, "error")),TRUE)/100</f>
        <v>0.9</v>
      </c>
      <c r="W323">
        <f t="shared" si="59"/>
        <v>165.62556000000001</v>
      </c>
      <c r="X323">
        <f t="shared" si="60"/>
        <v>81.149039999999999</v>
      </c>
      <c r="Y323">
        <f t="shared" si="61"/>
        <v>27.419399999999989</v>
      </c>
      <c r="Z323">
        <f t="shared" si="62"/>
        <v>133.99832519999998</v>
      </c>
      <c r="AA323">
        <f t="shared" si="63"/>
        <v>91.506250800000004</v>
      </c>
      <c r="AB323">
        <f t="shared" si="64"/>
        <v>48.689423999999995</v>
      </c>
      <c r="AC323" t="b">
        <f t="shared" si="65"/>
        <v>1</v>
      </c>
      <c r="AD323" t="b">
        <f t="shared" si="66"/>
        <v>1</v>
      </c>
    </row>
    <row r="324" spans="1:30" x14ac:dyDescent="0.35">
      <c r="A324" t="s">
        <v>33</v>
      </c>
      <c r="B324">
        <v>6</v>
      </c>
      <c r="C324">
        <v>2</v>
      </c>
      <c r="D324" t="s">
        <v>32</v>
      </c>
      <c r="E324">
        <v>2</v>
      </c>
      <c r="F324">
        <v>1</v>
      </c>
      <c r="G324" s="16">
        <v>57</v>
      </c>
      <c r="H324" s="16">
        <v>15.244</v>
      </c>
      <c r="I324" s="16">
        <v>1880</v>
      </c>
      <c r="J324" s="16">
        <v>18.363</v>
      </c>
      <c r="K324" s="16">
        <v>49.79</v>
      </c>
      <c r="L324" s="16">
        <v>0.16600000000000001</v>
      </c>
      <c r="M324" s="23">
        <v>312.12</v>
      </c>
      <c r="N324" s="16">
        <v>1.546</v>
      </c>
      <c r="O324" s="17">
        <v>5.476</v>
      </c>
      <c r="P324" s="18">
        <v>57</v>
      </c>
      <c r="Q324" s="18">
        <v>18.363</v>
      </c>
      <c r="R324" s="18">
        <v>206.346</v>
      </c>
      <c r="S324" s="18">
        <v>105.774</v>
      </c>
      <c r="T324" s="14" t="b">
        <f t="shared" si="57"/>
        <v>1</v>
      </c>
      <c r="U324" s="14" t="b">
        <f t="shared" si="58"/>
        <v>1</v>
      </c>
      <c r="V324" s="15">
        <f>VLOOKUP(IF(J324&lt;10, 10, IF(J324&gt;50,50,J324)),'Over to underbark'!$A$3:$C$43,IF(A324="Scots pine",3,IF(A324="Sitka spruce",2, "error")),TRUE)/100</f>
        <v>0.9</v>
      </c>
      <c r="W324">
        <f t="shared" si="59"/>
        <v>167.14026000000001</v>
      </c>
      <c r="X324">
        <f t="shared" si="60"/>
        <v>85.676940000000002</v>
      </c>
      <c r="Y324">
        <f t="shared" si="61"/>
        <v>28.090799999999994</v>
      </c>
      <c r="Z324">
        <f t="shared" si="62"/>
        <v>136.21228919999999</v>
      </c>
      <c r="AA324">
        <f t="shared" si="63"/>
        <v>93.289546800000011</v>
      </c>
      <c r="AB324">
        <f t="shared" si="64"/>
        <v>51.406163999999997</v>
      </c>
      <c r="AC324" t="b">
        <f t="shared" si="65"/>
        <v>1</v>
      </c>
      <c r="AD324" t="b">
        <f t="shared" si="66"/>
        <v>1</v>
      </c>
    </row>
    <row r="325" spans="1:30" x14ac:dyDescent="0.35">
      <c r="A325" t="s">
        <v>33</v>
      </c>
      <c r="B325">
        <v>6</v>
      </c>
      <c r="C325">
        <v>2</v>
      </c>
      <c r="D325" t="s">
        <v>32</v>
      </c>
      <c r="E325">
        <v>2</v>
      </c>
      <c r="F325">
        <v>1</v>
      </c>
      <c r="G325" s="16">
        <v>58</v>
      </c>
      <c r="H325" s="16">
        <v>15.446</v>
      </c>
      <c r="I325" s="16">
        <v>1860</v>
      </c>
      <c r="J325" s="16">
        <v>18.54</v>
      </c>
      <c r="K325" s="16">
        <v>50.213999999999999</v>
      </c>
      <c r="L325" s="16">
        <v>0.17199999999999999</v>
      </c>
      <c r="M325" s="23">
        <v>319.58</v>
      </c>
      <c r="N325" s="16">
        <v>1.6619999999999999</v>
      </c>
      <c r="O325" s="17">
        <v>5.51</v>
      </c>
      <c r="P325" s="18">
        <v>58</v>
      </c>
      <c r="Q325" s="18">
        <v>18.54</v>
      </c>
      <c r="R325" s="18">
        <v>207.95400000000001</v>
      </c>
      <c r="S325" s="18">
        <v>111.626</v>
      </c>
      <c r="T325" s="14" t="b">
        <f t="shared" si="57"/>
        <v>1</v>
      </c>
      <c r="U325" s="14" t="b">
        <f t="shared" si="58"/>
        <v>1</v>
      </c>
      <c r="V325" s="15">
        <f>VLOOKUP(IF(J325&lt;10, 10, IF(J325&gt;50,50,J325)),'Over to underbark'!$A$3:$C$43,IF(A325="Scots pine",3,IF(A325="Sitka spruce",2, "error")),TRUE)/100</f>
        <v>0.9</v>
      </c>
      <c r="W325">
        <f t="shared" si="59"/>
        <v>168.44274000000001</v>
      </c>
      <c r="X325">
        <f t="shared" si="60"/>
        <v>90.417060000000006</v>
      </c>
      <c r="Y325">
        <f t="shared" si="61"/>
        <v>28.7622</v>
      </c>
      <c r="Z325">
        <f t="shared" si="62"/>
        <v>138.33712079999998</v>
      </c>
      <c r="AA325">
        <f t="shared" si="63"/>
        <v>95.034643200000005</v>
      </c>
      <c r="AB325">
        <f t="shared" si="64"/>
        <v>54.250236000000001</v>
      </c>
      <c r="AC325" t="b">
        <f t="shared" si="65"/>
        <v>1</v>
      </c>
      <c r="AD325" t="b">
        <f t="shared" si="66"/>
        <v>1</v>
      </c>
    </row>
    <row r="326" spans="1:30" x14ac:dyDescent="0.35">
      <c r="A326" t="s">
        <v>33</v>
      </c>
      <c r="B326">
        <v>6</v>
      </c>
      <c r="C326">
        <v>2</v>
      </c>
      <c r="D326" t="s">
        <v>32</v>
      </c>
      <c r="E326">
        <v>2</v>
      </c>
      <c r="F326">
        <v>1</v>
      </c>
      <c r="G326" s="16">
        <v>59</v>
      </c>
      <c r="H326" s="16">
        <v>15.648</v>
      </c>
      <c r="I326" s="16">
        <v>1841</v>
      </c>
      <c r="J326" s="16">
        <v>18.713999999999999</v>
      </c>
      <c r="K326" s="16">
        <v>50.637999999999998</v>
      </c>
      <c r="L326" s="16">
        <v>0.17799999999999999</v>
      </c>
      <c r="M326" s="23">
        <v>327.04000000000002</v>
      </c>
      <c r="N326" s="16">
        <v>1.772</v>
      </c>
      <c r="O326" s="17">
        <v>5.5430000000000001</v>
      </c>
      <c r="P326" s="18">
        <v>59</v>
      </c>
      <c r="Q326" s="18">
        <v>18.713999999999999</v>
      </c>
      <c r="R326" s="18">
        <v>209.48599999999999</v>
      </c>
      <c r="S326" s="18">
        <v>117.554</v>
      </c>
      <c r="T326" s="14" t="b">
        <f t="shared" si="57"/>
        <v>1</v>
      </c>
      <c r="U326" s="14" t="b">
        <f t="shared" si="58"/>
        <v>1</v>
      </c>
      <c r="V326" s="15">
        <f>VLOOKUP(IF(J326&lt;10, 10, IF(J326&gt;50,50,J326)),'Over to underbark'!$A$3:$C$43,IF(A326="Scots pine",3,IF(A326="Sitka spruce",2, "error")),TRUE)/100</f>
        <v>0.9</v>
      </c>
      <c r="W326">
        <f t="shared" si="59"/>
        <v>169.68366</v>
      </c>
      <c r="X326">
        <f t="shared" si="60"/>
        <v>95.218740000000011</v>
      </c>
      <c r="Y326">
        <f t="shared" si="61"/>
        <v>29.433599999999988</v>
      </c>
      <c r="Z326">
        <f t="shared" si="62"/>
        <v>140.43609719999998</v>
      </c>
      <c r="AA326">
        <f t="shared" si="63"/>
        <v>96.768658800000011</v>
      </c>
      <c r="AB326">
        <f t="shared" si="64"/>
        <v>57.131244000000002</v>
      </c>
      <c r="AC326" t="b">
        <f t="shared" si="65"/>
        <v>1</v>
      </c>
      <c r="AD326" t="b">
        <f t="shared" si="66"/>
        <v>1</v>
      </c>
    </row>
    <row r="327" spans="1:30" x14ac:dyDescent="0.35">
      <c r="A327" t="s">
        <v>33</v>
      </c>
      <c r="B327">
        <v>6</v>
      </c>
      <c r="C327">
        <v>2</v>
      </c>
      <c r="D327" t="s">
        <v>32</v>
      </c>
      <c r="E327">
        <v>2</v>
      </c>
      <c r="F327">
        <v>1</v>
      </c>
      <c r="G327" s="16">
        <v>60</v>
      </c>
      <c r="H327" s="16">
        <v>15.85</v>
      </c>
      <c r="I327" s="16">
        <v>1822</v>
      </c>
      <c r="J327" s="16">
        <v>18.89</v>
      </c>
      <c r="K327" s="16">
        <v>51.063000000000002</v>
      </c>
      <c r="L327" s="16">
        <v>0.184</v>
      </c>
      <c r="M327" s="23">
        <v>334.5</v>
      </c>
      <c r="N327" s="16">
        <v>1.877</v>
      </c>
      <c r="O327" s="17">
        <v>5.5750000000000002</v>
      </c>
      <c r="P327" s="18">
        <v>60</v>
      </c>
      <c r="Q327" s="18">
        <v>18.89</v>
      </c>
      <c r="R327" s="18">
        <v>210.851</v>
      </c>
      <c r="S327" s="18">
        <v>123.649</v>
      </c>
      <c r="T327" s="14" t="b">
        <f t="shared" si="57"/>
        <v>1</v>
      </c>
      <c r="U327" s="14" t="b">
        <f t="shared" si="58"/>
        <v>1</v>
      </c>
      <c r="V327" s="15">
        <f>VLOOKUP(IF(J327&lt;10, 10, IF(J327&gt;50,50,J327)),'Over to underbark'!$A$3:$C$43,IF(A327="Scots pine",3,IF(A327="Sitka spruce",2, "error")),TRUE)/100</f>
        <v>0.9</v>
      </c>
      <c r="W327">
        <f t="shared" si="59"/>
        <v>170.78931000000003</v>
      </c>
      <c r="X327">
        <f t="shared" si="60"/>
        <v>100.15569000000001</v>
      </c>
      <c r="Y327">
        <f t="shared" si="61"/>
        <v>30.104999999999993</v>
      </c>
      <c r="Z327">
        <f t="shared" si="62"/>
        <v>142.47826019999999</v>
      </c>
      <c r="AA327">
        <f t="shared" si="63"/>
        <v>98.478325800000007</v>
      </c>
      <c r="AB327">
        <f t="shared" si="64"/>
        <v>60.093414000000003</v>
      </c>
      <c r="AC327" t="b">
        <f t="shared" si="65"/>
        <v>1</v>
      </c>
      <c r="AD327" t="b">
        <f t="shared" si="66"/>
        <v>1</v>
      </c>
    </row>
    <row r="328" spans="1:30" x14ac:dyDescent="0.35">
      <c r="A328" t="s">
        <v>33</v>
      </c>
      <c r="B328">
        <v>6</v>
      </c>
      <c r="C328">
        <v>2</v>
      </c>
      <c r="D328" t="s">
        <v>32</v>
      </c>
      <c r="E328">
        <v>2</v>
      </c>
      <c r="F328">
        <v>1</v>
      </c>
      <c r="G328" s="16">
        <v>61</v>
      </c>
      <c r="H328" s="16">
        <v>16.012</v>
      </c>
      <c r="I328" s="16">
        <v>1806</v>
      </c>
      <c r="J328" s="16">
        <v>19.036999999999999</v>
      </c>
      <c r="K328" s="16">
        <v>51.408000000000001</v>
      </c>
      <c r="L328" s="16">
        <v>0.189</v>
      </c>
      <c r="M328" s="23">
        <v>340.72</v>
      </c>
      <c r="N328" s="16">
        <v>2.0299999999999998</v>
      </c>
      <c r="O328" s="17">
        <v>5.5860000000000003</v>
      </c>
      <c r="P328" s="18">
        <v>61</v>
      </c>
      <c r="Q328" s="18">
        <v>19.036999999999999</v>
      </c>
      <c r="R328" s="18">
        <v>211.887</v>
      </c>
      <c r="S328" s="18">
        <v>128.833</v>
      </c>
      <c r="T328" s="14" t="b">
        <f t="shared" si="57"/>
        <v>1</v>
      </c>
      <c r="U328" s="14" t="b">
        <f t="shared" si="58"/>
        <v>1</v>
      </c>
      <c r="V328" s="15">
        <f>VLOOKUP(IF(J328&lt;10, 10, IF(J328&gt;50,50,J328)),'Over to underbark'!$A$3:$C$43,IF(A328="Scots pine",3,IF(A328="Sitka spruce",2, "error")),TRUE)/100</f>
        <v>0.9</v>
      </c>
      <c r="W328">
        <f t="shared" si="59"/>
        <v>171.62847000000002</v>
      </c>
      <c r="X328">
        <f t="shared" si="60"/>
        <v>104.35473</v>
      </c>
      <c r="Y328">
        <f t="shared" si="61"/>
        <v>30.664799999999996</v>
      </c>
      <c r="Z328">
        <f t="shared" si="62"/>
        <v>144.14623739999999</v>
      </c>
      <c r="AA328">
        <f t="shared" si="63"/>
        <v>99.88892460000001</v>
      </c>
      <c r="AB328">
        <f t="shared" si="64"/>
        <v>62.612837999999996</v>
      </c>
      <c r="AC328" t="b">
        <f t="shared" si="65"/>
        <v>1</v>
      </c>
      <c r="AD328" t="b">
        <f t="shared" si="66"/>
        <v>1</v>
      </c>
    </row>
    <row r="329" spans="1:30" x14ac:dyDescent="0.35">
      <c r="A329" t="s">
        <v>33</v>
      </c>
      <c r="B329">
        <v>6</v>
      </c>
      <c r="C329">
        <v>2</v>
      </c>
      <c r="D329" t="s">
        <v>32</v>
      </c>
      <c r="E329">
        <v>2</v>
      </c>
      <c r="F329">
        <v>1</v>
      </c>
      <c r="G329" s="16">
        <v>62</v>
      </c>
      <c r="H329" s="16">
        <v>16.173999999999999</v>
      </c>
      <c r="I329" s="16">
        <v>1791</v>
      </c>
      <c r="J329" s="16">
        <v>19.181000000000001</v>
      </c>
      <c r="K329" s="16">
        <v>51.753</v>
      </c>
      <c r="L329" s="16">
        <v>0.19400000000000001</v>
      </c>
      <c r="M329" s="23">
        <v>346.94</v>
      </c>
      <c r="N329" s="16">
        <v>2.177</v>
      </c>
      <c r="O329" s="17">
        <v>5.5960000000000001</v>
      </c>
      <c r="P329" s="18">
        <v>62</v>
      </c>
      <c r="Q329" s="18">
        <v>19.181000000000001</v>
      </c>
      <c r="R329" s="18">
        <v>212.89400000000001</v>
      </c>
      <c r="S329" s="18">
        <v>134.04599999999999</v>
      </c>
      <c r="T329" s="14" t="b">
        <f t="shared" si="57"/>
        <v>1</v>
      </c>
      <c r="U329" s="14" t="b">
        <f t="shared" si="58"/>
        <v>1</v>
      </c>
      <c r="V329" s="15">
        <f>VLOOKUP(IF(J329&lt;10, 10, IF(J329&gt;50,50,J329)),'Over to underbark'!$A$3:$C$43,IF(A329="Scots pine",3,IF(A329="Sitka spruce",2, "error")),TRUE)/100</f>
        <v>0.9</v>
      </c>
      <c r="W329">
        <f t="shared" si="59"/>
        <v>172.44414</v>
      </c>
      <c r="X329">
        <f t="shared" si="60"/>
        <v>108.57726</v>
      </c>
      <c r="Y329">
        <f t="shared" si="61"/>
        <v>31.224599999999992</v>
      </c>
      <c r="Z329">
        <f t="shared" si="62"/>
        <v>145.80434879999999</v>
      </c>
      <c r="AA329">
        <f t="shared" si="63"/>
        <v>101.2952952</v>
      </c>
      <c r="AB329">
        <f t="shared" si="64"/>
        <v>65.146355999999997</v>
      </c>
      <c r="AC329" t="b">
        <f t="shared" si="65"/>
        <v>1</v>
      </c>
      <c r="AD329" t="b">
        <f t="shared" si="66"/>
        <v>1</v>
      </c>
    </row>
    <row r="330" spans="1:30" x14ac:dyDescent="0.35">
      <c r="A330" t="s">
        <v>33</v>
      </c>
      <c r="B330">
        <v>6</v>
      </c>
      <c r="C330">
        <v>2</v>
      </c>
      <c r="D330" t="s">
        <v>32</v>
      </c>
      <c r="E330">
        <v>2</v>
      </c>
      <c r="F330">
        <v>1</v>
      </c>
      <c r="G330" s="16">
        <v>63</v>
      </c>
      <c r="H330" s="16">
        <v>16.335999999999999</v>
      </c>
      <c r="I330" s="16">
        <v>1776</v>
      </c>
      <c r="J330" s="16">
        <v>19.326000000000001</v>
      </c>
      <c r="K330" s="16">
        <v>52.097999999999999</v>
      </c>
      <c r="L330" s="16">
        <v>0.19900000000000001</v>
      </c>
      <c r="M330" s="23">
        <v>353.16</v>
      </c>
      <c r="N330" s="16">
        <v>2.3180000000000001</v>
      </c>
      <c r="O330" s="17">
        <v>5.6059999999999999</v>
      </c>
      <c r="P330" s="18">
        <v>63</v>
      </c>
      <c r="Q330" s="18">
        <v>19.326000000000001</v>
      </c>
      <c r="R330" s="18">
        <v>213.798</v>
      </c>
      <c r="S330" s="18">
        <v>139.36199999999999</v>
      </c>
      <c r="T330" s="14" t="b">
        <f t="shared" si="57"/>
        <v>1</v>
      </c>
      <c r="U330" s="14" t="b">
        <f t="shared" si="58"/>
        <v>1</v>
      </c>
      <c r="V330" s="15">
        <f>VLOOKUP(IF(J330&lt;10, 10, IF(J330&gt;50,50,J330)),'Over to underbark'!$A$3:$C$43,IF(A330="Scots pine",3,IF(A330="Sitka spruce",2, "error")),TRUE)/100</f>
        <v>0.9</v>
      </c>
      <c r="W330">
        <f t="shared" si="59"/>
        <v>173.17638000000002</v>
      </c>
      <c r="X330">
        <f t="shared" si="60"/>
        <v>112.88321999999999</v>
      </c>
      <c r="Y330">
        <f t="shared" si="61"/>
        <v>31.784399999999991</v>
      </c>
      <c r="Z330">
        <f t="shared" si="62"/>
        <v>147.42741960000001</v>
      </c>
      <c r="AA330">
        <f t="shared" si="63"/>
        <v>102.68664840000001</v>
      </c>
      <c r="AB330">
        <f t="shared" si="64"/>
        <v>67.729931999999991</v>
      </c>
      <c r="AC330" t="b">
        <f t="shared" si="65"/>
        <v>1</v>
      </c>
      <c r="AD330" t="b">
        <f t="shared" si="66"/>
        <v>1</v>
      </c>
    </row>
    <row r="331" spans="1:30" x14ac:dyDescent="0.35">
      <c r="A331" t="s">
        <v>33</v>
      </c>
      <c r="B331">
        <v>6</v>
      </c>
      <c r="C331">
        <v>2</v>
      </c>
      <c r="D331" t="s">
        <v>32</v>
      </c>
      <c r="E331">
        <v>2</v>
      </c>
      <c r="F331">
        <v>1</v>
      </c>
      <c r="G331" s="16">
        <v>64</v>
      </c>
      <c r="H331" s="16">
        <v>16.498000000000001</v>
      </c>
      <c r="I331" s="16">
        <v>1761</v>
      </c>
      <c r="J331" s="16">
        <v>19.472000000000001</v>
      </c>
      <c r="K331" s="16">
        <v>52.442999999999998</v>
      </c>
      <c r="L331" s="16">
        <v>0.20399999999999999</v>
      </c>
      <c r="M331" s="23">
        <v>359.38</v>
      </c>
      <c r="N331" s="16">
        <v>2.4540000000000002</v>
      </c>
      <c r="O331" s="17">
        <v>5.6150000000000002</v>
      </c>
      <c r="P331" s="18">
        <v>64</v>
      </c>
      <c r="Q331" s="18">
        <v>19.472000000000001</v>
      </c>
      <c r="R331" s="18">
        <v>214.59899999999999</v>
      </c>
      <c r="S331" s="18">
        <v>144.78100000000001</v>
      </c>
      <c r="T331" s="14" t="b">
        <f t="shared" si="57"/>
        <v>1</v>
      </c>
      <c r="U331" s="14" t="b">
        <f t="shared" si="58"/>
        <v>1</v>
      </c>
      <c r="V331" s="15">
        <f>VLOOKUP(IF(J331&lt;10, 10, IF(J331&gt;50,50,J331)),'Over to underbark'!$A$3:$C$43,IF(A331="Scots pine",3,IF(A331="Sitka spruce",2, "error")),TRUE)/100</f>
        <v>0.9</v>
      </c>
      <c r="W331">
        <f t="shared" si="59"/>
        <v>173.82518999999999</v>
      </c>
      <c r="X331">
        <f t="shared" si="60"/>
        <v>117.27261000000003</v>
      </c>
      <c r="Y331">
        <f t="shared" si="61"/>
        <v>32.344199999999994</v>
      </c>
      <c r="Z331">
        <f t="shared" si="62"/>
        <v>149.01544979999997</v>
      </c>
      <c r="AA331">
        <f t="shared" si="63"/>
        <v>104.0629842</v>
      </c>
      <c r="AB331">
        <f t="shared" si="64"/>
        <v>70.36356600000002</v>
      </c>
      <c r="AC331" t="b">
        <f t="shared" si="65"/>
        <v>1</v>
      </c>
      <c r="AD331" t="b">
        <f t="shared" si="66"/>
        <v>1</v>
      </c>
    </row>
    <row r="332" spans="1:30" x14ac:dyDescent="0.35">
      <c r="A332" t="s">
        <v>33</v>
      </c>
      <c r="B332">
        <v>6</v>
      </c>
      <c r="C332">
        <v>2</v>
      </c>
      <c r="D332" t="s">
        <v>32</v>
      </c>
      <c r="E332">
        <v>2</v>
      </c>
      <c r="F332">
        <v>1</v>
      </c>
      <c r="G332" s="16">
        <v>65</v>
      </c>
      <c r="H332" s="16">
        <v>16.66</v>
      </c>
      <c r="I332" s="16">
        <v>1746</v>
      </c>
      <c r="J332" s="16">
        <v>19.62</v>
      </c>
      <c r="K332" s="16">
        <v>52.787999999999997</v>
      </c>
      <c r="L332" s="16">
        <v>0.20899999999999999</v>
      </c>
      <c r="M332" s="23">
        <v>365.6</v>
      </c>
      <c r="N332" s="16">
        <v>2.585</v>
      </c>
      <c r="O332" s="17">
        <v>5.625</v>
      </c>
      <c r="P332" s="18">
        <v>65</v>
      </c>
      <c r="Q332" s="18">
        <v>19.62</v>
      </c>
      <c r="R332" s="18">
        <v>215.27699999999999</v>
      </c>
      <c r="S332" s="18">
        <v>150.32300000000001</v>
      </c>
      <c r="T332" s="14" t="b">
        <f t="shared" si="57"/>
        <v>1</v>
      </c>
      <c r="U332" s="14" t="b">
        <f t="shared" si="58"/>
        <v>1</v>
      </c>
      <c r="V332" s="15">
        <f>VLOOKUP(IF(J332&lt;10, 10, IF(J332&gt;50,50,J332)),'Over to underbark'!$A$3:$C$43,IF(A332="Scots pine",3,IF(A332="Sitka spruce",2, "error")),TRUE)/100</f>
        <v>0.9</v>
      </c>
      <c r="W332">
        <f t="shared" si="59"/>
        <v>174.37437</v>
      </c>
      <c r="X332">
        <f t="shared" si="60"/>
        <v>121.76163000000001</v>
      </c>
      <c r="Y332">
        <f t="shared" si="61"/>
        <v>32.903999999999996</v>
      </c>
      <c r="Z332">
        <f t="shared" si="62"/>
        <v>150.56163539999997</v>
      </c>
      <c r="AA332">
        <f t="shared" si="63"/>
        <v>105.42138660000001</v>
      </c>
      <c r="AB332">
        <f t="shared" si="64"/>
        <v>73.056978000000001</v>
      </c>
      <c r="AC332" t="b">
        <f t="shared" si="65"/>
        <v>1</v>
      </c>
      <c r="AD332" t="b">
        <f t="shared" si="66"/>
        <v>1</v>
      </c>
    </row>
    <row r="333" spans="1:30" x14ac:dyDescent="0.35">
      <c r="A333" t="s">
        <v>33</v>
      </c>
      <c r="B333">
        <v>6</v>
      </c>
      <c r="C333">
        <v>2</v>
      </c>
      <c r="D333" t="s">
        <v>32</v>
      </c>
      <c r="E333">
        <v>2</v>
      </c>
      <c r="F333">
        <v>1</v>
      </c>
      <c r="G333" s="16">
        <v>66</v>
      </c>
      <c r="H333" s="16">
        <v>16.797999999999998</v>
      </c>
      <c r="I333" s="16">
        <v>1733</v>
      </c>
      <c r="J333" s="16">
        <v>19.751000000000001</v>
      </c>
      <c r="K333" s="16">
        <v>53.094000000000001</v>
      </c>
      <c r="L333" s="16">
        <v>0.214</v>
      </c>
      <c r="M333" s="23">
        <v>370.84</v>
      </c>
      <c r="N333" s="16">
        <v>2.738</v>
      </c>
      <c r="O333" s="17">
        <v>5.6189999999999998</v>
      </c>
      <c r="P333" s="18">
        <v>66</v>
      </c>
      <c r="Q333" s="18">
        <v>19.751000000000001</v>
      </c>
      <c r="R333" s="18">
        <v>215.655</v>
      </c>
      <c r="S333" s="18">
        <v>155.185</v>
      </c>
      <c r="T333" s="14" t="b">
        <f t="shared" si="57"/>
        <v>1</v>
      </c>
      <c r="U333" s="14" t="b">
        <f t="shared" si="58"/>
        <v>1</v>
      </c>
      <c r="V333" s="15">
        <f>VLOOKUP(IF(J333&lt;10, 10, IF(J333&gt;50,50,J333)),'Over to underbark'!$A$3:$C$43,IF(A333="Scots pine",3,IF(A333="Sitka spruce",2, "error")),TRUE)/100</f>
        <v>0.9</v>
      </c>
      <c r="W333">
        <f t="shared" si="59"/>
        <v>174.68055000000001</v>
      </c>
      <c r="X333">
        <f t="shared" si="60"/>
        <v>125.69985000000001</v>
      </c>
      <c r="Y333">
        <f t="shared" si="61"/>
        <v>33.375599999999999</v>
      </c>
      <c r="Z333">
        <f t="shared" si="62"/>
        <v>151.79849099999998</v>
      </c>
      <c r="AA333">
        <f t="shared" si="63"/>
        <v>106.53759900000001</v>
      </c>
      <c r="AB333">
        <f t="shared" si="64"/>
        <v>75.419910000000002</v>
      </c>
      <c r="AC333" t="b">
        <f t="shared" si="65"/>
        <v>1</v>
      </c>
      <c r="AD333" t="b">
        <f t="shared" si="66"/>
        <v>1</v>
      </c>
    </row>
    <row r="334" spans="1:30" x14ac:dyDescent="0.35">
      <c r="A334" t="s">
        <v>33</v>
      </c>
      <c r="B334">
        <v>6</v>
      </c>
      <c r="C334">
        <v>2</v>
      </c>
      <c r="D334" t="s">
        <v>32</v>
      </c>
      <c r="E334">
        <v>2</v>
      </c>
      <c r="F334">
        <v>1</v>
      </c>
      <c r="G334" s="16">
        <v>67</v>
      </c>
      <c r="H334" s="16">
        <v>16.936</v>
      </c>
      <c r="I334" s="16">
        <v>1721</v>
      </c>
      <c r="J334" s="16">
        <v>19.876000000000001</v>
      </c>
      <c r="K334" s="16">
        <v>53.401000000000003</v>
      </c>
      <c r="L334" s="16">
        <v>0.219</v>
      </c>
      <c r="M334" s="23">
        <v>376.08</v>
      </c>
      <c r="N334" s="16">
        <v>2.887</v>
      </c>
      <c r="O334" s="17">
        <v>5.6130000000000004</v>
      </c>
      <c r="P334" s="18">
        <v>67</v>
      </c>
      <c r="Q334" s="18">
        <v>19.876000000000001</v>
      </c>
      <c r="R334" s="18">
        <v>216.09899999999999</v>
      </c>
      <c r="S334" s="18">
        <v>159.98099999999999</v>
      </c>
      <c r="T334" s="14" t="b">
        <f t="shared" si="57"/>
        <v>1</v>
      </c>
      <c r="U334" s="14" t="b">
        <f t="shared" si="58"/>
        <v>1</v>
      </c>
      <c r="V334" s="15">
        <f>VLOOKUP(IF(J334&lt;10, 10, IF(J334&gt;50,50,J334)),'Over to underbark'!$A$3:$C$43,IF(A334="Scots pine",3,IF(A334="Sitka spruce",2, "error")),TRUE)/100</f>
        <v>0.9</v>
      </c>
      <c r="W334">
        <f t="shared" si="59"/>
        <v>175.04019000000002</v>
      </c>
      <c r="X334">
        <f t="shared" si="60"/>
        <v>129.58461</v>
      </c>
      <c r="Y334">
        <f t="shared" si="61"/>
        <v>33.847199999999994</v>
      </c>
      <c r="Z334">
        <f t="shared" si="62"/>
        <v>153.0577998</v>
      </c>
      <c r="AA334">
        <f t="shared" si="63"/>
        <v>107.66343420000001</v>
      </c>
      <c r="AB334">
        <f t="shared" si="64"/>
        <v>77.750765999999999</v>
      </c>
      <c r="AC334" t="b">
        <f t="shared" si="65"/>
        <v>1</v>
      </c>
      <c r="AD334" t="b">
        <f t="shared" si="66"/>
        <v>1</v>
      </c>
    </row>
    <row r="335" spans="1:30" x14ac:dyDescent="0.35">
      <c r="A335" t="s">
        <v>33</v>
      </c>
      <c r="B335">
        <v>6</v>
      </c>
      <c r="C335">
        <v>2</v>
      </c>
      <c r="D335" t="s">
        <v>32</v>
      </c>
      <c r="E335">
        <v>2</v>
      </c>
      <c r="F335">
        <v>1</v>
      </c>
      <c r="G335" s="16">
        <v>68</v>
      </c>
      <c r="H335" s="16">
        <v>17.074000000000002</v>
      </c>
      <c r="I335" s="16">
        <v>1709</v>
      </c>
      <c r="J335" s="16">
        <v>20.003</v>
      </c>
      <c r="K335" s="16">
        <v>53.707999999999998</v>
      </c>
      <c r="L335" s="16">
        <v>0.223</v>
      </c>
      <c r="M335" s="23">
        <v>381.32</v>
      </c>
      <c r="N335" s="16">
        <v>3.0310000000000001</v>
      </c>
      <c r="O335" s="17">
        <v>5.6079999999999997</v>
      </c>
      <c r="P335" s="18">
        <v>68</v>
      </c>
      <c r="Q335" s="18">
        <v>20.003</v>
      </c>
      <c r="R335" s="18">
        <v>216.446</v>
      </c>
      <c r="S335" s="18">
        <v>164.874</v>
      </c>
      <c r="T335" s="14" t="b">
        <f t="shared" si="57"/>
        <v>1</v>
      </c>
      <c r="U335" s="14" t="b">
        <f t="shared" si="58"/>
        <v>1</v>
      </c>
      <c r="V335" s="15">
        <f>VLOOKUP(IF(J335&lt;10, 10, IF(J335&gt;50,50,J335)),'Over to underbark'!$A$3:$C$43,IF(A335="Scots pine",3,IF(A335="Sitka spruce",2, "error")),TRUE)/100</f>
        <v>0.9</v>
      </c>
      <c r="W335">
        <f t="shared" si="59"/>
        <v>175.32126</v>
      </c>
      <c r="X335">
        <f t="shared" si="60"/>
        <v>133.54793999999998</v>
      </c>
      <c r="Y335">
        <f t="shared" si="61"/>
        <v>34.318799999999989</v>
      </c>
      <c r="Z335">
        <f t="shared" si="62"/>
        <v>154.28410919999999</v>
      </c>
      <c r="AA335">
        <f t="shared" si="63"/>
        <v>108.7751268</v>
      </c>
      <c r="AB335">
        <f t="shared" si="64"/>
        <v>80.12876399999999</v>
      </c>
      <c r="AC335" t="b">
        <f t="shared" si="65"/>
        <v>1</v>
      </c>
      <c r="AD335" t="b">
        <f t="shared" si="66"/>
        <v>1</v>
      </c>
    </row>
    <row r="336" spans="1:30" x14ac:dyDescent="0.35">
      <c r="A336" t="s">
        <v>33</v>
      </c>
      <c r="B336">
        <v>6</v>
      </c>
      <c r="C336">
        <v>2</v>
      </c>
      <c r="D336" t="s">
        <v>32</v>
      </c>
      <c r="E336">
        <v>2</v>
      </c>
      <c r="F336">
        <v>1</v>
      </c>
      <c r="G336" s="16">
        <v>69</v>
      </c>
      <c r="H336" s="16">
        <v>17.212</v>
      </c>
      <c r="I336" s="16">
        <v>1697</v>
      </c>
      <c r="J336" s="16">
        <v>20.131</v>
      </c>
      <c r="K336" s="16">
        <v>54.014000000000003</v>
      </c>
      <c r="L336" s="16">
        <v>0.22800000000000001</v>
      </c>
      <c r="M336" s="23">
        <v>386.56</v>
      </c>
      <c r="N336" s="16">
        <v>3.1709999999999998</v>
      </c>
      <c r="O336" s="17">
        <v>5.6020000000000003</v>
      </c>
      <c r="P336" s="18">
        <v>69</v>
      </c>
      <c r="Q336" s="18">
        <v>20.131</v>
      </c>
      <c r="R336" s="18">
        <v>216.71700000000001</v>
      </c>
      <c r="S336" s="18">
        <v>169.84299999999999</v>
      </c>
      <c r="T336" s="14" t="b">
        <f t="shared" si="57"/>
        <v>1</v>
      </c>
      <c r="U336" s="14" t="b">
        <f t="shared" si="58"/>
        <v>1</v>
      </c>
      <c r="V336" s="15">
        <f>VLOOKUP(IF(J336&lt;10, 10, IF(J336&gt;50,50,J336)),'Over to underbark'!$A$3:$C$43,IF(A336="Scots pine",3,IF(A336="Sitka spruce",2, "error")),TRUE)/100</f>
        <v>0.9</v>
      </c>
      <c r="W336">
        <f t="shared" si="59"/>
        <v>175.54077000000004</v>
      </c>
      <c r="X336">
        <f t="shared" si="60"/>
        <v>137.57283000000001</v>
      </c>
      <c r="Y336">
        <f t="shared" si="61"/>
        <v>34.790399999999991</v>
      </c>
      <c r="Z336">
        <f t="shared" si="62"/>
        <v>155.48456340000001</v>
      </c>
      <c r="AA336">
        <f t="shared" si="63"/>
        <v>109.87573860000002</v>
      </c>
      <c r="AB336">
        <f t="shared" si="64"/>
        <v>82.543698000000006</v>
      </c>
      <c r="AC336" t="b">
        <f t="shared" si="65"/>
        <v>1</v>
      </c>
      <c r="AD336" t="b">
        <f t="shared" si="66"/>
        <v>1</v>
      </c>
    </row>
    <row r="337" spans="1:30" x14ac:dyDescent="0.35">
      <c r="A337" t="s">
        <v>33</v>
      </c>
      <c r="B337">
        <v>6</v>
      </c>
      <c r="C337">
        <v>2</v>
      </c>
      <c r="D337" t="s">
        <v>32</v>
      </c>
      <c r="E337">
        <v>2</v>
      </c>
      <c r="F337">
        <v>1</v>
      </c>
      <c r="G337" s="16">
        <v>70</v>
      </c>
      <c r="H337" s="16">
        <v>17.350000000000001</v>
      </c>
      <c r="I337" s="16">
        <v>1685</v>
      </c>
      <c r="J337" s="16">
        <v>20.260000000000002</v>
      </c>
      <c r="K337" s="16">
        <v>54.320999999999998</v>
      </c>
      <c r="L337" s="16">
        <v>0.23300000000000001</v>
      </c>
      <c r="M337" s="23">
        <v>391.8</v>
      </c>
      <c r="N337" s="16">
        <v>3.3069999999999999</v>
      </c>
      <c r="O337" s="17">
        <v>5.5970000000000004</v>
      </c>
      <c r="P337" s="18">
        <v>70</v>
      </c>
      <c r="Q337" s="18">
        <v>20.260000000000002</v>
      </c>
      <c r="R337" s="18">
        <v>216.91300000000001</v>
      </c>
      <c r="S337" s="18">
        <v>174.887</v>
      </c>
      <c r="T337" s="14" t="b">
        <f t="shared" si="57"/>
        <v>1</v>
      </c>
      <c r="U337" s="14" t="b">
        <f t="shared" si="58"/>
        <v>1</v>
      </c>
      <c r="V337" s="15">
        <f>VLOOKUP(IF(J337&lt;10, 10, IF(J337&gt;50,50,J337)),'Over to underbark'!$A$3:$C$43,IF(A337="Scots pine",3,IF(A337="Sitka spruce",2, "error")),TRUE)/100</f>
        <v>0.9</v>
      </c>
      <c r="W337">
        <f t="shared" si="59"/>
        <v>175.69953000000004</v>
      </c>
      <c r="X337">
        <f t="shared" si="60"/>
        <v>141.65847000000002</v>
      </c>
      <c r="Y337">
        <f t="shared" si="61"/>
        <v>35.261999999999993</v>
      </c>
      <c r="Z337">
        <f t="shared" si="62"/>
        <v>156.65950260000002</v>
      </c>
      <c r="AA337">
        <f t="shared" si="63"/>
        <v>110.96541540000003</v>
      </c>
      <c r="AB337">
        <f t="shared" si="64"/>
        <v>84.995082000000011</v>
      </c>
      <c r="AC337" t="b">
        <f t="shared" si="65"/>
        <v>1</v>
      </c>
      <c r="AD337" t="b">
        <f t="shared" si="66"/>
        <v>1</v>
      </c>
    </row>
    <row r="338" spans="1:30" x14ac:dyDescent="0.35">
      <c r="A338" t="s">
        <v>33</v>
      </c>
      <c r="B338">
        <v>6</v>
      </c>
      <c r="C338">
        <v>2</v>
      </c>
      <c r="D338" t="s">
        <v>32</v>
      </c>
      <c r="E338">
        <v>2</v>
      </c>
      <c r="F338">
        <v>1</v>
      </c>
      <c r="G338" s="16">
        <v>71</v>
      </c>
      <c r="H338" s="16">
        <v>17.474</v>
      </c>
      <c r="I338" s="16">
        <v>1673</v>
      </c>
      <c r="J338" s="16">
        <v>20.367999999999999</v>
      </c>
      <c r="K338" s="16">
        <v>54.511000000000003</v>
      </c>
      <c r="L338" s="16">
        <v>0.23699999999999999</v>
      </c>
      <c r="M338" s="23">
        <v>396.2</v>
      </c>
      <c r="N338" s="16">
        <v>3.4649999999999999</v>
      </c>
      <c r="O338" s="17">
        <v>5.58</v>
      </c>
      <c r="P338" s="18">
        <v>71</v>
      </c>
      <c r="Q338" s="18">
        <v>20.367999999999999</v>
      </c>
      <c r="R338" s="18">
        <v>217.042</v>
      </c>
      <c r="S338" s="18">
        <v>179.15799999999999</v>
      </c>
      <c r="T338" s="14" t="b">
        <f t="shared" si="57"/>
        <v>1</v>
      </c>
      <c r="U338" s="14" t="b">
        <f t="shared" si="58"/>
        <v>1</v>
      </c>
      <c r="V338" s="15">
        <f>VLOOKUP(IF(J338&lt;10, 10, IF(J338&gt;50,50,J338)),'Over to underbark'!$A$3:$C$43,IF(A338="Scots pine",3,IF(A338="Sitka spruce",2, "error")),TRUE)/100</f>
        <v>0.9</v>
      </c>
      <c r="W338">
        <f t="shared" si="59"/>
        <v>175.80402000000001</v>
      </c>
      <c r="X338">
        <f t="shared" si="60"/>
        <v>145.11797999999999</v>
      </c>
      <c r="Y338">
        <f t="shared" si="61"/>
        <v>35.657999999999987</v>
      </c>
      <c r="Z338">
        <f t="shared" si="62"/>
        <v>157.63398839999996</v>
      </c>
      <c r="AA338">
        <f t="shared" si="63"/>
        <v>111.8752236</v>
      </c>
      <c r="AB338">
        <f t="shared" si="64"/>
        <v>87.070787999999993</v>
      </c>
      <c r="AC338" t="b">
        <f t="shared" si="65"/>
        <v>1</v>
      </c>
      <c r="AD338" t="b">
        <f t="shared" si="66"/>
        <v>1</v>
      </c>
    </row>
    <row r="339" spans="1:30" x14ac:dyDescent="0.35">
      <c r="A339" t="s">
        <v>33</v>
      </c>
      <c r="B339">
        <v>6</v>
      </c>
      <c r="C339">
        <v>2</v>
      </c>
      <c r="D339" t="s">
        <v>32</v>
      </c>
      <c r="E339">
        <v>2</v>
      </c>
      <c r="F339">
        <v>1</v>
      </c>
      <c r="G339" s="16">
        <v>72</v>
      </c>
      <c r="H339" s="16">
        <v>17.597999999999999</v>
      </c>
      <c r="I339" s="16">
        <v>1661</v>
      </c>
      <c r="J339" s="16">
        <v>20.477</v>
      </c>
      <c r="K339" s="16">
        <v>54.701000000000001</v>
      </c>
      <c r="L339" s="16">
        <v>0.24099999999999999</v>
      </c>
      <c r="M339" s="23">
        <v>400.6</v>
      </c>
      <c r="N339" s="16">
        <v>3.6190000000000002</v>
      </c>
      <c r="O339" s="17">
        <v>5.5640000000000001</v>
      </c>
      <c r="P339" s="18">
        <v>72</v>
      </c>
      <c r="Q339" s="18">
        <v>20.477</v>
      </c>
      <c r="R339" s="18">
        <v>217.114</v>
      </c>
      <c r="S339" s="18">
        <v>183.48599999999999</v>
      </c>
      <c r="T339" s="14" t="b">
        <f t="shared" si="57"/>
        <v>1</v>
      </c>
      <c r="U339" s="14" t="b">
        <f t="shared" si="58"/>
        <v>1</v>
      </c>
      <c r="V339" s="15">
        <f>VLOOKUP(IF(J339&lt;10, 10, IF(J339&gt;50,50,J339)),'Over to underbark'!$A$3:$C$43,IF(A339="Scots pine",3,IF(A339="Sitka spruce",2, "error")),TRUE)/100</f>
        <v>0.9</v>
      </c>
      <c r="W339">
        <f t="shared" si="59"/>
        <v>175.86234000000002</v>
      </c>
      <c r="X339">
        <f t="shared" si="60"/>
        <v>148.62366</v>
      </c>
      <c r="Y339">
        <f t="shared" si="61"/>
        <v>36.053999999999995</v>
      </c>
      <c r="Z339">
        <f t="shared" si="62"/>
        <v>158.58908279999997</v>
      </c>
      <c r="AA339">
        <f t="shared" si="63"/>
        <v>112.7767212</v>
      </c>
      <c r="AB339">
        <f t="shared" si="64"/>
        <v>89.174195999999995</v>
      </c>
      <c r="AC339" t="b">
        <f t="shared" si="65"/>
        <v>1</v>
      </c>
      <c r="AD339" t="b">
        <f t="shared" si="66"/>
        <v>1</v>
      </c>
    </row>
    <row r="340" spans="1:30" x14ac:dyDescent="0.35">
      <c r="A340" t="s">
        <v>33</v>
      </c>
      <c r="B340">
        <v>6</v>
      </c>
      <c r="C340">
        <v>2</v>
      </c>
      <c r="D340" t="s">
        <v>32</v>
      </c>
      <c r="E340">
        <v>2</v>
      </c>
      <c r="F340">
        <v>1</v>
      </c>
      <c r="G340" s="16">
        <v>73</v>
      </c>
      <c r="H340" s="16">
        <v>17.722000000000001</v>
      </c>
      <c r="I340" s="16">
        <v>1649</v>
      </c>
      <c r="J340" s="16">
        <v>20.587</v>
      </c>
      <c r="K340" s="16">
        <v>54.89</v>
      </c>
      <c r="L340" s="16">
        <v>0.246</v>
      </c>
      <c r="M340" s="23">
        <v>405</v>
      </c>
      <c r="N340" s="16">
        <v>3.7679999999999998</v>
      </c>
      <c r="O340" s="17">
        <v>5.548</v>
      </c>
      <c r="P340" s="18">
        <v>73</v>
      </c>
      <c r="Q340" s="18">
        <v>20.587</v>
      </c>
      <c r="R340" s="18">
        <v>217.12799999999999</v>
      </c>
      <c r="S340" s="18">
        <v>187.87200000000001</v>
      </c>
      <c r="T340" s="14" t="b">
        <f t="shared" si="57"/>
        <v>1</v>
      </c>
      <c r="U340" s="14" t="b">
        <f t="shared" si="58"/>
        <v>1</v>
      </c>
      <c r="V340" s="15">
        <f>VLOOKUP(IF(J340&lt;10, 10, IF(J340&gt;50,50,J340)),'Over to underbark'!$A$3:$C$43,IF(A340="Scots pine",3,IF(A340="Sitka spruce",2, "error")),TRUE)/100</f>
        <v>0.9</v>
      </c>
      <c r="W340">
        <f t="shared" si="59"/>
        <v>175.87368000000001</v>
      </c>
      <c r="X340">
        <f t="shared" si="60"/>
        <v>152.17632000000003</v>
      </c>
      <c r="Y340">
        <f t="shared" si="61"/>
        <v>36.449999999999989</v>
      </c>
      <c r="Z340">
        <f t="shared" si="62"/>
        <v>159.52444559999998</v>
      </c>
      <c r="AA340">
        <f t="shared" si="63"/>
        <v>113.66976240000001</v>
      </c>
      <c r="AB340">
        <f t="shared" si="64"/>
        <v>91.305792000000011</v>
      </c>
      <c r="AC340" t="b">
        <f t="shared" si="65"/>
        <v>1</v>
      </c>
      <c r="AD340" t="b">
        <f t="shared" si="66"/>
        <v>1</v>
      </c>
    </row>
    <row r="341" spans="1:30" x14ac:dyDescent="0.35">
      <c r="A341" t="s">
        <v>33</v>
      </c>
      <c r="B341">
        <v>6</v>
      </c>
      <c r="C341">
        <v>2</v>
      </c>
      <c r="D341" t="s">
        <v>32</v>
      </c>
      <c r="E341">
        <v>2</v>
      </c>
      <c r="F341">
        <v>1</v>
      </c>
      <c r="G341" s="16">
        <v>74</v>
      </c>
      <c r="H341" s="16">
        <v>17.846</v>
      </c>
      <c r="I341" s="16">
        <v>1637</v>
      </c>
      <c r="J341" s="16">
        <v>20.698</v>
      </c>
      <c r="K341" s="16">
        <v>55.08</v>
      </c>
      <c r="L341" s="16">
        <v>0.25</v>
      </c>
      <c r="M341" s="23">
        <v>409.4</v>
      </c>
      <c r="N341" s="16">
        <v>3.915</v>
      </c>
      <c r="O341" s="17">
        <v>5.532</v>
      </c>
      <c r="P341" s="18">
        <v>74</v>
      </c>
      <c r="Q341" s="18">
        <v>20.698</v>
      </c>
      <c r="R341" s="18">
        <v>217.084</v>
      </c>
      <c r="S341" s="18">
        <v>192.316</v>
      </c>
      <c r="T341" s="14" t="b">
        <f t="shared" si="57"/>
        <v>1</v>
      </c>
      <c r="U341" s="14" t="b">
        <f t="shared" si="58"/>
        <v>1</v>
      </c>
      <c r="V341" s="15">
        <f>VLOOKUP(IF(J341&lt;10, 10, IF(J341&gt;50,50,J341)),'Over to underbark'!$A$3:$C$43,IF(A341="Scots pine",3,IF(A341="Sitka spruce",2, "error")),TRUE)/100</f>
        <v>0.9</v>
      </c>
      <c r="W341">
        <f t="shared" si="59"/>
        <v>175.83804000000003</v>
      </c>
      <c r="X341">
        <f t="shared" si="60"/>
        <v>155.77596000000003</v>
      </c>
      <c r="Y341">
        <f t="shared" si="61"/>
        <v>36.845999999999989</v>
      </c>
      <c r="Z341">
        <f t="shared" si="62"/>
        <v>160.44007680000001</v>
      </c>
      <c r="AA341">
        <f t="shared" si="63"/>
        <v>114.55434720000002</v>
      </c>
      <c r="AB341">
        <f t="shared" si="64"/>
        <v>93.465576000000013</v>
      </c>
      <c r="AC341" t="b">
        <f t="shared" si="65"/>
        <v>1</v>
      </c>
      <c r="AD341" t="b">
        <f t="shared" si="66"/>
        <v>1</v>
      </c>
    </row>
    <row r="342" spans="1:30" x14ac:dyDescent="0.35">
      <c r="A342" t="s">
        <v>33</v>
      </c>
      <c r="B342">
        <v>6</v>
      </c>
      <c r="C342">
        <v>2</v>
      </c>
      <c r="D342" t="s">
        <v>32</v>
      </c>
      <c r="E342">
        <v>2</v>
      </c>
      <c r="F342">
        <v>1</v>
      </c>
      <c r="G342" s="16">
        <v>75</v>
      </c>
      <c r="H342" s="16">
        <v>17.97</v>
      </c>
      <c r="I342" s="16">
        <v>1625</v>
      </c>
      <c r="J342" s="16">
        <v>20.81</v>
      </c>
      <c r="K342" s="16">
        <v>55.27</v>
      </c>
      <c r="L342" s="16">
        <v>0.255</v>
      </c>
      <c r="M342" s="23">
        <v>413.8</v>
      </c>
      <c r="N342" s="16">
        <v>4.0579999999999998</v>
      </c>
      <c r="O342" s="17">
        <v>5.5170000000000003</v>
      </c>
      <c r="P342" s="18">
        <v>75</v>
      </c>
      <c r="Q342" s="18">
        <v>20.81</v>
      </c>
      <c r="R342" s="18">
        <v>216.982</v>
      </c>
      <c r="S342" s="18">
        <v>196.81800000000001</v>
      </c>
      <c r="T342" s="14" t="b">
        <f t="shared" si="57"/>
        <v>1</v>
      </c>
      <c r="U342" s="14" t="b">
        <f t="shared" si="58"/>
        <v>1</v>
      </c>
      <c r="V342" s="15">
        <f>VLOOKUP(IF(J342&lt;10, 10, IF(J342&gt;50,50,J342)),'Over to underbark'!$A$3:$C$43,IF(A342="Scots pine",3,IF(A342="Sitka spruce",2, "error")),TRUE)/100</f>
        <v>0.9</v>
      </c>
      <c r="W342">
        <f t="shared" si="59"/>
        <v>175.75542000000002</v>
      </c>
      <c r="X342">
        <f t="shared" si="60"/>
        <v>159.42258000000001</v>
      </c>
      <c r="Y342">
        <f t="shared" si="61"/>
        <v>37.24199999999999</v>
      </c>
      <c r="Z342">
        <f t="shared" si="62"/>
        <v>161.33597639999999</v>
      </c>
      <c r="AA342">
        <f t="shared" si="63"/>
        <v>115.43047559999999</v>
      </c>
      <c r="AB342">
        <f t="shared" si="64"/>
        <v>95.653548000000001</v>
      </c>
      <c r="AC342" t="b">
        <f t="shared" si="65"/>
        <v>1</v>
      </c>
      <c r="AD342" t="b">
        <f t="shared" si="66"/>
        <v>1</v>
      </c>
    </row>
    <row r="343" spans="1:30" x14ac:dyDescent="0.35">
      <c r="A343" t="s">
        <v>33</v>
      </c>
      <c r="B343">
        <v>6</v>
      </c>
      <c r="C343">
        <v>2</v>
      </c>
      <c r="D343" t="s">
        <v>32</v>
      </c>
      <c r="E343">
        <v>2</v>
      </c>
      <c r="F343">
        <v>1</v>
      </c>
      <c r="G343" s="16">
        <v>76</v>
      </c>
      <c r="H343" s="16">
        <v>18.076000000000001</v>
      </c>
      <c r="I343" s="16">
        <v>1614</v>
      </c>
      <c r="J343" s="16">
        <v>20.911999999999999</v>
      </c>
      <c r="K343" s="16">
        <v>55.436</v>
      </c>
      <c r="L343" s="16">
        <v>0.25900000000000001</v>
      </c>
      <c r="M343" s="23">
        <v>417.26</v>
      </c>
      <c r="N343" s="16">
        <v>4.2759999999999998</v>
      </c>
      <c r="O343" s="17">
        <v>5.49</v>
      </c>
      <c r="P343" s="18">
        <v>76</v>
      </c>
      <c r="Q343" s="18">
        <v>20.911999999999999</v>
      </c>
      <c r="R343" s="18">
        <v>216.57599999999999</v>
      </c>
      <c r="S343" s="18">
        <v>200.684</v>
      </c>
      <c r="T343" s="14" t="b">
        <f t="shared" si="57"/>
        <v>1</v>
      </c>
      <c r="U343" s="14" t="b">
        <f t="shared" si="58"/>
        <v>1</v>
      </c>
      <c r="V343" s="15">
        <f>VLOOKUP(IF(J343&lt;10, 10, IF(J343&gt;50,50,J343)),'Over to underbark'!$A$3:$C$43,IF(A343="Scots pine",3,IF(A343="Sitka spruce",2, "error")),TRUE)/100</f>
        <v>0.9</v>
      </c>
      <c r="W343">
        <f t="shared" si="59"/>
        <v>175.42655999999999</v>
      </c>
      <c r="X343">
        <f t="shared" si="60"/>
        <v>162.55404000000001</v>
      </c>
      <c r="Y343">
        <f t="shared" si="61"/>
        <v>37.553399999999989</v>
      </c>
      <c r="Z343">
        <f t="shared" si="62"/>
        <v>161.92964519999998</v>
      </c>
      <c r="AA343">
        <f t="shared" si="63"/>
        <v>116.07193079999999</v>
      </c>
      <c r="AB343">
        <f t="shared" si="64"/>
        <v>97.532424000000006</v>
      </c>
      <c r="AC343" t="b">
        <f t="shared" si="65"/>
        <v>1</v>
      </c>
      <c r="AD343" t="b">
        <f t="shared" si="66"/>
        <v>1</v>
      </c>
    </row>
    <row r="344" spans="1:30" x14ac:dyDescent="0.35">
      <c r="A344" t="s">
        <v>33</v>
      </c>
      <c r="B344">
        <v>6</v>
      </c>
      <c r="C344">
        <v>2</v>
      </c>
      <c r="D344" t="s">
        <v>32</v>
      </c>
      <c r="E344">
        <v>2</v>
      </c>
      <c r="F344">
        <v>1</v>
      </c>
      <c r="G344" s="16">
        <v>77</v>
      </c>
      <c r="H344" s="16">
        <v>18.181999999999999</v>
      </c>
      <c r="I344" s="16">
        <v>1603</v>
      </c>
      <c r="J344" s="16">
        <v>21.015000000000001</v>
      </c>
      <c r="K344" s="16">
        <v>55.601999999999997</v>
      </c>
      <c r="L344" s="16">
        <v>0.26200000000000001</v>
      </c>
      <c r="M344" s="23">
        <v>420.72</v>
      </c>
      <c r="N344" s="16">
        <v>4.49</v>
      </c>
      <c r="O344" s="17">
        <v>5.4640000000000004</v>
      </c>
      <c r="P344" s="18">
        <v>77</v>
      </c>
      <c r="Q344" s="18">
        <v>21.015000000000001</v>
      </c>
      <c r="R344" s="18">
        <v>216.125</v>
      </c>
      <c r="S344" s="18">
        <v>204.595</v>
      </c>
      <c r="T344" s="14" t="b">
        <f t="shared" si="57"/>
        <v>1</v>
      </c>
      <c r="U344" s="14" t="b">
        <f t="shared" si="58"/>
        <v>1</v>
      </c>
      <c r="V344" s="15">
        <f>VLOOKUP(IF(J344&lt;10, 10, IF(J344&gt;50,50,J344)),'Over to underbark'!$A$3:$C$43,IF(A344="Scots pine",3,IF(A344="Sitka spruce",2, "error")),TRUE)/100</f>
        <v>0.9</v>
      </c>
      <c r="W344">
        <f t="shared" si="59"/>
        <v>175.06125000000003</v>
      </c>
      <c r="X344">
        <f t="shared" si="60"/>
        <v>165.72195000000002</v>
      </c>
      <c r="Y344">
        <f t="shared" si="61"/>
        <v>37.864799999999995</v>
      </c>
      <c r="Z344">
        <f t="shared" si="62"/>
        <v>162.508005</v>
      </c>
      <c r="AA344">
        <f t="shared" si="63"/>
        <v>116.70682500000001</v>
      </c>
      <c r="AB344">
        <f t="shared" si="64"/>
        <v>99.433170000000004</v>
      </c>
      <c r="AC344" t="b">
        <f t="shared" si="65"/>
        <v>1</v>
      </c>
      <c r="AD344" t="b">
        <f t="shared" si="66"/>
        <v>1</v>
      </c>
    </row>
    <row r="345" spans="1:30" x14ac:dyDescent="0.35">
      <c r="A345" t="s">
        <v>33</v>
      </c>
      <c r="B345">
        <v>6</v>
      </c>
      <c r="C345">
        <v>2</v>
      </c>
      <c r="D345" t="s">
        <v>32</v>
      </c>
      <c r="E345">
        <v>2</v>
      </c>
      <c r="F345">
        <v>1</v>
      </c>
      <c r="G345" s="16">
        <v>78</v>
      </c>
      <c r="H345" s="16">
        <v>18.288</v>
      </c>
      <c r="I345" s="16">
        <v>1592</v>
      </c>
      <c r="J345" s="16">
        <v>21.119</v>
      </c>
      <c r="K345" s="16">
        <v>55.768999999999998</v>
      </c>
      <c r="L345" s="16">
        <v>0.26600000000000001</v>
      </c>
      <c r="M345" s="23">
        <v>424.18</v>
      </c>
      <c r="N345" s="16">
        <v>4.7</v>
      </c>
      <c r="O345" s="17">
        <v>5.4379999999999997</v>
      </c>
      <c r="P345" s="18">
        <v>78</v>
      </c>
      <c r="Q345" s="18">
        <v>21.119</v>
      </c>
      <c r="R345" s="18">
        <v>215.63</v>
      </c>
      <c r="S345" s="18">
        <v>208.55</v>
      </c>
      <c r="T345" s="14" t="b">
        <f t="shared" si="57"/>
        <v>1</v>
      </c>
      <c r="U345" s="14" t="b">
        <f t="shared" si="58"/>
        <v>1</v>
      </c>
      <c r="V345" s="15">
        <f>VLOOKUP(IF(J345&lt;10, 10, IF(J345&gt;50,50,J345)),'Over to underbark'!$A$3:$C$43,IF(A345="Scots pine",3,IF(A345="Sitka spruce",2, "error")),TRUE)/100</f>
        <v>0.9</v>
      </c>
      <c r="W345">
        <f t="shared" si="59"/>
        <v>174.66030000000001</v>
      </c>
      <c r="X345">
        <f t="shared" si="60"/>
        <v>168.92550000000003</v>
      </c>
      <c r="Y345">
        <f t="shared" si="61"/>
        <v>38.176199999999994</v>
      </c>
      <c r="Z345">
        <f t="shared" si="62"/>
        <v>163.07139600000002</v>
      </c>
      <c r="AA345">
        <f t="shared" si="63"/>
        <v>117.33530400000001</v>
      </c>
      <c r="AB345">
        <f t="shared" si="64"/>
        <v>101.35530000000001</v>
      </c>
      <c r="AC345" t="b">
        <f t="shared" si="65"/>
        <v>1</v>
      </c>
      <c r="AD345" t="b">
        <f t="shared" si="66"/>
        <v>1</v>
      </c>
    </row>
    <row r="346" spans="1:30" x14ac:dyDescent="0.35">
      <c r="A346" t="s">
        <v>33</v>
      </c>
      <c r="B346">
        <v>6</v>
      </c>
      <c r="C346">
        <v>2</v>
      </c>
      <c r="D346" t="s">
        <v>32</v>
      </c>
      <c r="E346">
        <v>2</v>
      </c>
      <c r="F346">
        <v>1</v>
      </c>
      <c r="G346" s="16">
        <v>79</v>
      </c>
      <c r="H346" s="16">
        <v>18.393999999999998</v>
      </c>
      <c r="I346" s="16">
        <v>1581</v>
      </c>
      <c r="J346" s="16">
        <v>21.224</v>
      </c>
      <c r="K346" s="16">
        <v>55.935000000000002</v>
      </c>
      <c r="L346" s="16">
        <v>0.27</v>
      </c>
      <c r="M346" s="23">
        <v>427.64</v>
      </c>
      <c r="N346" s="16">
        <v>4.9050000000000002</v>
      </c>
      <c r="O346" s="17">
        <v>5.4130000000000003</v>
      </c>
      <c r="P346" s="18">
        <v>79</v>
      </c>
      <c r="Q346" s="18">
        <v>21.224</v>
      </c>
      <c r="R346" s="18">
        <v>215.09200000000001</v>
      </c>
      <c r="S346" s="18">
        <v>212.548</v>
      </c>
      <c r="T346" s="14" t="b">
        <f t="shared" si="57"/>
        <v>1</v>
      </c>
      <c r="U346" s="14" t="b">
        <f t="shared" si="58"/>
        <v>1</v>
      </c>
      <c r="V346" s="15">
        <f>VLOOKUP(IF(J346&lt;10, 10, IF(J346&gt;50,50,J346)),'Over to underbark'!$A$3:$C$43,IF(A346="Scots pine",3,IF(A346="Sitka spruce",2, "error")),TRUE)/100</f>
        <v>0.9</v>
      </c>
      <c r="W346">
        <f t="shared" si="59"/>
        <v>174.22452000000001</v>
      </c>
      <c r="X346">
        <f t="shared" si="60"/>
        <v>172.16388000000001</v>
      </c>
      <c r="Y346">
        <f t="shared" si="61"/>
        <v>38.487599999999986</v>
      </c>
      <c r="Z346">
        <f t="shared" si="62"/>
        <v>163.62015839999998</v>
      </c>
      <c r="AA346">
        <f t="shared" si="63"/>
        <v>117.9575136</v>
      </c>
      <c r="AB346">
        <f t="shared" si="64"/>
        <v>103.298328</v>
      </c>
      <c r="AC346" t="b">
        <f t="shared" si="65"/>
        <v>1</v>
      </c>
      <c r="AD346" t="b">
        <f t="shared" si="66"/>
        <v>1</v>
      </c>
    </row>
    <row r="347" spans="1:30" x14ac:dyDescent="0.35">
      <c r="A347" t="s">
        <v>33</v>
      </c>
      <c r="B347">
        <v>6</v>
      </c>
      <c r="C347">
        <v>2</v>
      </c>
      <c r="D347" t="s">
        <v>32</v>
      </c>
      <c r="E347">
        <v>2</v>
      </c>
      <c r="F347">
        <v>1</v>
      </c>
      <c r="G347" s="16">
        <v>80</v>
      </c>
      <c r="H347" s="16">
        <v>18.5</v>
      </c>
      <c r="I347" s="16">
        <v>1570</v>
      </c>
      <c r="J347" s="16">
        <v>21.33</v>
      </c>
      <c r="K347" s="16">
        <v>56.100999999999999</v>
      </c>
      <c r="L347" s="16">
        <v>0.27500000000000002</v>
      </c>
      <c r="M347" s="23">
        <v>431.1</v>
      </c>
      <c r="N347" s="16">
        <v>5.1070000000000002</v>
      </c>
      <c r="O347" s="17">
        <v>5.3890000000000002</v>
      </c>
      <c r="P347" s="18">
        <v>80</v>
      </c>
      <c r="Q347" s="18">
        <v>21.33</v>
      </c>
      <c r="R347" s="18">
        <v>214.51</v>
      </c>
      <c r="S347" s="18">
        <v>216.59</v>
      </c>
      <c r="T347" s="14" t="b">
        <f t="shared" si="57"/>
        <v>1</v>
      </c>
      <c r="U347" s="14" t="b">
        <f t="shared" si="58"/>
        <v>1</v>
      </c>
      <c r="V347" s="15">
        <f>VLOOKUP(IF(J347&lt;10, 10, IF(J347&gt;50,50,J347)),'Over to underbark'!$A$3:$C$43,IF(A347="Scots pine",3,IF(A347="Sitka spruce",2, "error")),TRUE)/100</f>
        <v>0.9</v>
      </c>
      <c r="W347">
        <f t="shared" si="59"/>
        <v>173.75309999999999</v>
      </c>
      <c r="X347">
        <f t="shared" si="60"/>
        <v>175.43790000000001</v>
      </c>
      <c r="Y347">
        <f t="shared" si="61"/>
        <v>38.798999999999992</v>
      </c>
      <c r="Z347">
        <f t="shared" si="62"/>
        <v>164.15395199999998</v>
      </c>
      <c r="AA347">
        <f t="shared" si="63"/>
        <v>118.573308</v>
      </c>
      <c r="AB347">
        <f t="shared" si="64"/>
        <v>105.26274000000001</v>
      </c>
      <c r="AC347" t="b">
        <f t="shared" si="65"/>
        <v>1</v>
      </c>
      <c r="AD347" t="b">
        <f t="shared" si="66"/>
        <v>1</v>
      </c>
    </row>
    <row r="348" spans="1:30" x14ac:dyDescent="0.35">
      <c r="A348" t="s">
        <v>33</v>
      </c>
      <c r="B348">
        <v>8</v>
      </c>
      <c r="C348">
        <v>2</v>
      </c>
      <c r="D348" t="s">
        <v>32</v>
      </c>
      <c r="E348">
        <v>2</v>
      </c>
      <c r="F348">
        <v>1</v>
      </c>
      <c r="G348" s="16">
        <v>25</v>
      </c>
      <c r="H348" s="16">
        <v>7.08</v>
      </c>
      <c r="I348" s="16">
        <v>2316</v>
      </c>
      <c r="J348" s="16">
        <v>11.4</v>
      </c>
      <c r="K348" s="16">
        <v>23.638999999999999</v>
      </c>
      <c r="L348" s="16">
        <v>2.7E-2</v>
      </c>
      <c r="M348" s="23">
        <v>63.4</v>
      </c>
      <c r="N348" s="16">
        <v>0</v>
      </c>
      <c r="O348" s="17">
        <v>2.536</v>
      </c>
      <c r="P348" s="18">
        <v>25</v>
      </c>
      <c r="Q348" s="18">
        <v>11.4</v>
      </c>
      <c r="R348" s="18">
        <v>63.4</v>
      </c>
      <c r="S348" s="18">
        <v>0</v>
      </c>
      <c r="T348" s="14" t="b">
        <f t="shared" si="57"/>
        <v>1</v>
      </c>
      <c r="U348" s="14" t="b">
        <f t="shared" si="58"/>
        <v>1</v>
      </c>
      <c r="V348" s="15">
        <f>VLOOKUP(IF(J348&lt;10, 10, IF(J348&gt;50,50,J348)),'Over to underbark'!$A$3:$C$43,IF(A348="Scots pine",3,IF(A348="Sitka spruce",2, "error")),TRUE)/100</f>
        <v>0.82</v>
      </c>
      <c r="W348">
        <f t="shared" si="59"/>
        <v>46.789200000000001</v>
      </c>
      <c r="X348">
        <f t="shared" si="60"/>
        <v>0</v>
      </c>
      <c r="Y348">
        <f t="shared" si="61"/>
        <v>10.270800000000003</v>
      </c>
      <c r="Z348">
        <f t="shared" si="62"/>
        <v>36.940643999999999</v>
      </c>
      <c r="AA348">
        <f t="shared" si="63"/>
        <v>20.119356</v>
      </c>
      <c r="AB348">
        <f t="shared" si="64"/>
        <v>0</v>
      </c>
      <c r="AC348" t="b">
        <f t="shared" si="65"/>
        <v>1</v>
      </c>
      <c r="AD348" t="b">
        <f t="shared" si="66"/>
        <v>1</v>
      </c>
    </row>
    <row r="349" spans="1:30" x14ac:dyDescent="0.35">
      <c r="A349" t="s">
        <v>33</v>
      </c>
      <c r="B349">
        <v>8</v>
      </c>
      <c r="C349">
        <v>2</v>
      </c>
      <c r="D349" t="s">
        <v>32</v>
      </c>
      <c r="E349">
        <v>2</v>
      </c>
      <c r="F349">
        <v>1</v>
      </c>
      <c r="G349" s="16">
        <v>26</v>
      </c>
      <c r="H349" s="16">
        <v>7.5039999999999996</v>
      </c>
      <c r="I349" s="16">
        <v>2306</v>
      </c>
      <c r="J349" s="16">
        <v>11.788</v>
      </c>
      <c r="K349" s="16">
        <v>25.166</v>
      </c>
      <c r="L349" s="16">
        <v>3.2000000000000001E-2</v>
      </c>
      <c r="M349" s="23">
        <v>72.94</v>
      </c>
      <c r="N349" s="16">
        <v>0</v>
      </c>
      <c r="O349" s="17">
        <v>2.8050000000000002</v>
      </c>
      <c r="P349" s="18">
        <v>26</v>
      </c>
      <c r="Q349" s="18">
        <v>11.788</v>
      </c>
      <c r="R349" s="18">
        <v>72.94</v>
      </c>
      <c r="S349" s="18">
        <v>0</v>
      </c>
      <c r="T349" s="14" t="b">
        <f t="shared" si="57"/>
        <v>1</v>
      </c>
      <c r="U349" s="14" t="b">
        <f t="shared" si="58"/>
        <v>1</v>
      </c>
      <c r="V349" s="15">
        <f>VLOOKUP(IF(J349&lt;10, 10, IF(J349&gt;50,50,J349)),'Over to underbark'!$A$3:$C$43,IF(A349="Scots pine",3,IF(A349="Sitka spruce",2, "error")),TRUE)/100</f>
        <v>0.82</v>
      </c>
      <c r="W349">
        <f t="shared" si="59"/>
        <v>53.829719999999995</v>
      </c>
      <c r="X349">
        <f t="shared" si="60"/>
        <v>0</v>
      </c>
      <c r="Y349">
        <f t="shared" si="61"/>
        <v>11.816280000000003</v>
      </c>
      <c r="Z349">
        <f t="shared" si="62"/>
        <v>42.499220399999999</v>
      </c>
      <c r="AA349">
        <f t="shared" si="63"/>
        <v>23.146779599999999</v>
      </c>
      <c r="AB349">
        <f t="shared" si="64"/>
        <v>0</v>
      </c>
      <c r="AC349" t="b">
        <f t="shared" si="65"/>
        <v>1</v>
      </c>
      <c r="AD349" t="b">
        <f t="shared" si="66"/>
        <v>1</v>
      </c>
    </row>
    <row r="350" spans="1:30" x14ac:dyDescent="0.35">
      <c r="A350" t="s">
        <v>33</v>
      </c>
      <c r="B350">
        <v>8</v>
      </c>
      <c r="C350">
        <v>2</v>
      </c>
      <c r="D350" t="s">
        <v>32</v>
      </c>
      <c r="E350">
        <v>2</v>
      </c>
      <c r="F350">
        <v>1</v>
      </c>
      <c r="G350" s="16">
        <v>27</v>
      </c>
      <c r="H350" s="16">
        <v>7.9279999999999999</v>
      </c>
      <c r="I350" s="16">
        <v>2296</v>
      </c>
      <c r="J350" s="16">
        <v>12.167</v>
      </c>
      <c r="K350" s="16">
        <v>26.693000000000001</v>
      </c>
      <c r="L350" s="16">
        <v>3.5999999999999997E-2</v>
      </c>
      <c r="M350" s="23">
        <v>82.48</v>
      </c>
      <c r="N350" s="16">
        <v>0</v>
      </c>
      <c r="O350" s="17">
        <v>3.0550000000000002</v>
      </c>
      <c r="P350" s="18">
        <v>27</v>
      </c>
      <c r="Q350" s="18">
        <v>12.167</v>
      </c>
      <c r="R350" s="18">
        <v>82.48</v>
      </c>
      <c r="S350" s="18">
        <v>0</v>
      </c>
      <c r="T350" s="14" t="b">
        <f t="shared" si="57"/>
        <v>1</v>
      </c>
      <c r="U350" s="14" t="b">
        <f t="shared" si="58"/>
        <v>1</v>
      </c>
      <c r="V350" s="15">
        <f>VLOOKUP(IF(J350&lt;10, 10, IF(J350&gt;50,50,J350)),'Over to underbark'!$A$3:$C$43,IF(A350="Scots pine",3,IF(A350="Sitka spruce",2, "error")),TRUE)/100</f>
        <v>0.87</v>
      </c>
      <c r="W350">
        <f t="shared" si="59"/>
        <v>64.58184</v>
      </c>
      <c r="X350">
        <f t="shared" si="60"/>
        <v>0</v>
      </c>
      <c r="Y350">
        <f t="shared" si="61"/>
        <v>9.6501599999999996</v>
      </c>
      <c r="Z350">
        <f t="shared" si="62"/>
        <v>46.461808799999993</v>
      </c>
      <c r="AA350">
        <f t="shared" si="63"/>
        <v>27.770191199999999</v>
      </c>
      <c r="AB350">
        <f t="shared" si="64"/>
        <v>0</v>
      </c>
      <c r="AC350" t="b">
        <f t="shared" si="65"/>
        <v>1</v>
      </c>
      <c r="AD350" t="b">
        <f t="shared" si="66"/>
        <v>1</v>
      </c>
    </row>
    <row r="351" spans="1:30" x14ac:dyDescent="0.35">
      <c r="A351" t="s">
        <v>33</v>
      </c>
      <c r="B351">
        <v>8</v>
      </c>
      <c r="C351">
        <v>2</v>
      </c>
      <c r="D351" t="s">
        <v>32</v>
      </c>
      <c r="E351">
        <v>2</v>
      </c>
      <c r="F351">
        <v>1</v>
      </c>
      <c r="G351" s="16">
        <v>28</v>
      </c>
      <c r="H351" s="16">
        <v>8.3520000000000003</v>
      </c>
      <c r="I351" s="16">
        <v>2287</v>
      </c>
      <c r="J351" s="16">
        <v>12.534000000000001</v>
      </c>
      <c r="K351" s="16">
        <v>28.219000000000001</v>
      </c>
      <c r="L351" s="16">
        <v>0.04</v>
      </c>
      <c r="M351" s="23">
        <v>92.02</v>
      </c>
      <c r="N351" s="16">
        <v>0</v>
      </c>
      <c r="O351" s="17">
        <v>3.286</v>
      </c>
      <c r="P351" s="18">
        <v>28</v>
      </c>
      <c r="Q351" s="18">
        <v>12.534000000000001</v>
      </c>
      <c r="R351" s="18">
        <v>92.02</v>
      </c>
      <c r="S351" s="18">
        <v>0</v>
      </c>
      <c r="T351" s="14" t="b">
        <f t="shared" si="57"/>
        <v>1</v>
      </c>
      <c r="U351" s="14" t="b">
        <f t="shared" si="58"/>
        <v>1</v>
      </c>
      <c r="V351" s="15">
        <f>VLOOKUP(IF(J351&lt;10, 10, IF(J351&gt;50,50,J351)),'Over to underbark'!$A$3:$C$43,IF(A351="Scots pine",3,IF(A351="Sitka spruce",2, "error")),TRUE)/100</f>
        <v>0.87</v>
      </c>
      <c r="W351">
        <f t="shared" si="59"/>
        <v>72.051659999999998</v>
      </c>
      <c r="X351">
        <f t="shared" si="60"/>
        <v>0</v>
      </c>
      <c r="Y351">
        <f t="shared" si="61"/>
        <v>10.76634</v>
      </c>
      <c r="Z351">
        <f t="shared" si="62"/>
        <v>51.835786199999994</v>
      </c>
      <c r="AA351">
        <f t="shared" si="63"/>
        <v>30.9822138</v>
      </c>
      <c r="AB351">
        <f t="shared" si="64"/>
        <v>0</v>
      </c>
      <c r="AC351" t="b">
        <f t="shared" si="65"/>
        <v>1</v>
      </c>
      <c r="AD351" t="b">
        <f t="shared" si="66"/>
        <v>1</v>
      </c>
    </row>
    <row r="352" spans="1:30" x14ac:dyDescent="0.35">
      <c r="A352" t="s">
        <v>33</v>
      </c>
      <c r="B352">
        <v>8</v>
      </c>
      <c r="C352">
        <v>2</v>
      </c>
      <c r="D352" t="s">
        <v>32</v>
      </c>
      <c r="E352">
        <v>2</v>
      </c>
      <c r="F352">
        <v>1</v>
      </c>
      <c r="G352" s="16">
        <v>29</v>
      </c>
      <c r="H352" s="16">
        <v>8.7759999999999998</v>
      </c>
      <c r="I352" s="16">
        <v>2277</v>
      </c>
      <c r="J352" s="16">
        <v>12.897</v>
      </c>
      <c r="K352" s="16">
        <v>29.745999999999999</v>
      </c>
      <c r="L352" s="16">
        <v>4.4999999999999998E-2</v>
      </c>
      <c r="M352" s="23">
        <v>101.56</v>
      </c>
      <c r="N352" s="16">
        <v>0</v>
      </c>
      <c r="O352" s="17">
        <v>3.5019999999999998</v>
      </c>
      <c r="P352" s="18">
        <v>29</v>
      </c>
      <c r="Q352" s="18">
        <v>12.897</v>
      </c>
      <c r="R352" s="18">
        <v>100.396</v>
      </c>
      <c r="S352" s="18">
        <v>1.1639999999999999</v>
      </c>
      <c r="T352" s="14" t="b">
        <f t="shared" si="57"/>
        <v>1</v>
      </c>
      <c r="U352" s="14" t="b">
        <f t="shared" si="58"/>
        <v>1</v>
      </c>
      <c r="V352" s="15">
        <f>VLOOKUP(IF(J352&lt;10, 10, IF(J352&gt;50,50,J352)),'Over to underbark'!$A$3:$C$43,IF(A352="Scots pine",3,IF(A352="Sitka spruce",2, "error")),TRUE)/100</f>
        <v>0.87</v>
      </c>
      <c r="W352">
        <f t="shared" si="59"/>
        <v>78.610068000000012</v>
      </c>
      <c r="X352">
        <f t="shared" si="60"/>
        <v>0.91141199999999989</v>
      </c>
      <c r="Y352">
        <f t="shared" si="61"/>
        <v>11.882520000000001</v>
      </c>
      <c r="Z352">
        <f t="shared" si="62"/>
        <v>56.826970560000007</v>
      </c>
      <c r="AA352">
        <f t="shared" si="63"/>
        <v>34.030182240000009</v>
      </c>
      <c r="AB352">
        <f t="shared" si="64"/>
        <v>0.54684719999999987</v>
      </c>
      <c r="AC352" t="b">
        <f t="shared" si="65"/>
        <v>1</v>
      </c>
      <c r="AD352" t="b">
        <f t="shared" si="66"/>
        <v>1</v>
      </c>
    </row>
    <row r="353" spans="1:30" x14ac:dyDescent="0.35">
      <c r="A353" t="s">
        <v>33</v>
      </c>
      <c r="B353">
        <v>8</v>
      </c>
      <c r="C353">
        <v>2</v>
      </c>
      <c r="D353" t="s">
        <v>32</v>
      </c>
      <c r="E353">
        <v>2</v>
      </c>
      <c r="F353">
        <v>1</v>
      </c>
      <c r="G353" s="16">
        <v>30</v>
      </c>
      <c r="H353" s="16">
        <v>9.1999999999999993</v>
      </c>
      <c r="I353" s="16">
        <v>2268</v>
      </c>
      <c r="J353" s="16">
        <v>13.25</v>
      </c>
      <c r="K353" s="16">
        <v>31.273</v>
      </c>
      <c r="L353" s="16">
        <v>4.9000000000000002E-2</v>
      </c>
      <c r="M353" s="23">
        <v>111.1</v>
      </c>
      <c r="N353" s="16">
        <v>0</v>
      </c>
      <c r="O353" s="17">
        <v>3.7029999999999998</v>
      </c>
      <c r="P353" s="18">
        <v>30</v>
      </c>
      <c r="Q353" s="18">
        <v>13.25</v>
      </c>
      <c r="R353" s="18">
        <v>107.628</v>
      </c>
      <c r="S353" s="18">
        <v>3.472</v>
      </c>
      <c r="T353" s="14" t="b">
        <f t="shared" si="57"/>
        <v>1</v>
      </c>
      <c r="U353" s="14" t="b">
        <f t="shared" si="58"/>
        <v>1</v>
      </c>
      <c r="V353" s="15">
        <f>VLOOKUP(IF(J353&lt;10, 10, IF(J353&gt;50,50,J353)),'Over to underbark'!$A$3:$C$43,IF(A353="Scots pine",3,IF(A353="Sitka spruce",2, "error")),TRUE)/100</f>
        <v>0.89</v>
      </c>
      <c r="W353">
        <f t="shared" si="59"/>
        <v>86.210028000000008</v>
      </c>
      <c r="X353">
        <f t="shared" si="60"/>
        <v>2.781072</v>
      </c>
      <c r="Y353">
        <f t="shared" si="61"/>
        <v>10.998899999999997</v>
      </c>
      <c r="Z353">
        <f t="shared" si="62"/>
        <v>60.555776760000001</v>
      </c>
      <c r="AA353">
        <f t="shared" si="63"/>
        <v>37.765580040000003</v>
      </c>
      <c r="AB353">
        <f t="shared" si="64"/>
        <v>1.6686432</v>
      </c>
      <c r="AC353" t="b">
        <f t="shared" si="65"/>
        <v>1</v>
      </c>
      <c r="AD353" t="b">
        <f t="shared" si="66"/>
        <v>1</v>
      </c>
    </row>
    <row r="354" spans="1:30" x14ac:dyDescent="0.35">
      <c r="A354" t="s">
        <v>33</v>
      </c>
      <c r="B354">
        <v>8</v>
      </c>
      <c r="C354">
        <v>2</v>
      </c>
      <c r="D354" t="s">
        <v>32</v>
      </c>
      <c r="E354">
        <v>2</v>
      </c>
      <c r="F354">
        <v>1</v>
      </c>
      <c r="G354" s="16">
        <v>31</v>
      </c>
      <c r="H354" s="16">
        <v>9.5960000000000001</v>
      </c>
      <c r="I354" s="16">
        <v>2252</v>
      </c>
      <c r="J354" s="16">
        <v>13.587999999999999</v>
      </c>
      <c r="K354" s="16">
        <v>32.658999999999999</v>
      </c>
      <c r="L354" s="16">
        <v>5.3999999999999999E-2</v>
      </c>
      <c r="M354" s="23">
        <v>122.64</v>
      </c>
      <c r="N354" s="16">
        <v>4.9000000000000002E-2</v>
      </c>
      <c r="O354" s="17">
        <v>3.956</v>
      </c>
      <c r="P354" s="18">
        <v>31</v>
      </c>
      <c r="Q354" s="18">
        <v>13.587999999999999</v>
      </c>
      <c r="R354" s="18">
        <v>116.434</v>
      </c>
      <c r="S354" s="18">
        <v>6.2060000000000004</v>
      </c>
      <c r="T354" s="14" t="b">
        <f t="shared" si="57"/>
        <v>1</v>
      </c>
      <c r="U354" s="14" t="b">
        <f t="shared" si="58"/>
        <v>1</v>
      </c>
      <c r="V354" s="15">
        <f>VLOOKUP(IF(J354&lt;10, 10, IF(J354&gt;50,50,J354)),'Over to underbark'!$A$3:$C$43,IF(A354="Scots pine",3,IF(A354="Sitka spruce",2, "error")),TRUE)/100</f>
        <v>0.89</v>
      </c>
      <c r="W354">
        <f t="shared" si="59"/>
        <v>93.263633999999996</v>
      </c>
      <c r="X354">
        <f t="shared" si="60"/>
        <v>4.9710060000000009</v>
      </c>
      <c r="Y354">
        <f t="shared" si="61"/>
        <v>12.141359999999999</v>
      </c>
      <c r="Z354">
        <f t="shared" si="62"/>
        <v>66.04728227999999</v>
      </c>
      <c r="AA354">
        <f t="shared" si="63"/>
        <v>41.346114119999996</v>
      </c>
      <c r="AB354">
        <f t="shared" si="64"/>
        <v>2.9826036000000005</v>
      </c>
      <c r="AC354" t="b">
        <f t="shared" si="65"/>
        <v>1</v>
      </c>
      <c r="AD354" t="b">
        <f t="shared" si="66"/>
        <v>1</v>
      </c>
    </row>
    <row r="355" spans="1:30" x14ac:dyDescent="0.35">
      <c r="A355" t="s">
        <v>33</v>
      </c>
      <c r="B355">
        <v>8</v>
      </c>
      <c r="C355">
        <v>2</v>
      </c>
      <c r="D355" t="s">
        <v>32</v>
      </c>
      <c r="E355">
        <v>2</v>
      </c>
      <c r="F355">
        <v>1</v>
      </c>
      <c r="G355" s="16">
        <v>32</v>
      </c>
      <c r="H355" s="16">
        <v>9.9920000000000009</v>
      </c>
      <c r="I355" s="16">
        <v>2236</v>
      </c>
      <c r="J355" s="16">
        <v>13.923</v>
      </c>
      <c r="K355" s="16">
        <v>34.045000000000002</v>
      </c>
      <c r="L355" s="16">
        <v>0.06</v>
      </c>
      <c r="M355" s="23">
        <v>134.18</v>
      </c>
      <c r="N355" s="16">
        <v>8.8999999999999996E-2</v>
      </c>
      <c r="O355" s="17">
        <v>4.1929999999999996</v>
      </c>
      <c r="P355" s="18">
        <v>32</v>
      </c>
      <c r="Q355" s="18">
        <v>13.923</v>
      </c>
      <c r="R355" s="18">
        <v>124.77200000000001</v>
      </c>
      <c r="S355" s="18">
        <v>9.4079999999999995</v>
      </c>
      <c r="T355" s="14" t="b">
        <f t="shared" si="57"/>
        <v>1</v>
      </c>
      <c r="U355" s="14" t="b">
        <f t="shared" si="58"/>
        <v>1</v>
      </c>
      <c r="V355" s="15">
        <f>VLOOKUP(IF(J355&lt;10, 10, IF(J355&gt;50,50,J355)),'Over to underbark'!$A$3:$C$43,IF(A355="Scots pine",3,IF(A355="Sitka spruce",2, "error")),TRUE)/100</f>
        <v>0.89</v>
      </c>
      <c r="W355">
        <f t="shared" si="59"/>
        <v>99.942372000000006</v>
      </c>
      <c r="X355">
        <f t="shared" si="60"/>
        <v>7.5358080000000003</v>
      </c>
      <c r="Y355">
        <f t="shared" si="61"/>
        <v>13.28382</v>
      </c>
      <c r="Z355">
        <f t="shared" si="62"/>
        <v>71.381343240000007</v>
      </c>
      <c r="AA355">
        <f t="shared" si="63"/>
        <v>44.859171960000005</v>
      </c>
      <c r="AB355">
        <f t="shared" si="64"/>
        <v>4.5214847999999996</v>
      </c>
      <c r="AC355" t="b">
        <f t="shared" si="65"/>
        <v>1</v>
      </c>
      <c r="AD355" t="b">
        <f t="shared" si="66"/>
        <v>1</v>
      </c>
    </row>
    <row r="356" spans="1:30" x14ac:dyDescent="0.35">
      <c r="A356" t="s">
        <v>33</v>
      </c>
      <c r="B356">
        <v>8</v>
      </c>
      <c r="C356">
        <v>2</v>
      </c>
      <c r="D356" t="s">
        <v>32</v>
      </c>
      <c r="E356">
        <v>2</v>
      </c>
      <c r="F356">
        <v>1</v>
      </c>
      <c r="G356" s="16">
        <v>33</v>
      </c>
      <c r="H356" s="16">
        <v>10.388</v>
      </c>
      <c r="I356" s="16">
        <v>2220</v>
      </c>
      <c r="J356" s="16">
        <v>14.255000000000001</v>
      </c>
      <c r="K356" s="16">
        <v>35.430999999999997</v>
      </c>
      <c r="L356" s="16">
        <v>6.6000000000000003E-2</v>
      </c>
      <c r="M356" s="23">
        <v>145.72</v>
      </c>
      <c r="N356" s="16">
        <v>0.123</v>
      </c>
      <c r="O356" s="17">
        <v>4.4160000000000004</v>
      </c>
      <c r="P356" s="18">
        <v>33</v>
      </c>
      <c r="Q356" s="18">
        <v>14.255000000000001</v>
      </c>
      <c r="R356" s="18">
        <v>132.64400000000001</v>
      </c>
      <c r="S356" s="18">
        <v>13.076000000000001</v>
      </c>
      <c r="T356" s="14" t="b">
        <f t="shared" si="57"/>
        <v>1</v>
      </c>
      <c r="U356" s="14" t="b">
        <f t="shared" si="58"/>
        <v>1</v>
      </c>
      <c r="V356" s="15">
        <f>VLOOKUP(IF(J356&lt;10, 10, IF(J356&gt;50,50,J356)),'Over to underbark'!$A$3:$C$43,IF(A356="Scots pine",3,IF(A356="Sitka spruce",2, "error")),TRUE)/100</f>
        <v>0.9</v>
      </c>
      <c r="W356">
        <f t="shared" si="59"/>
        <v>107.44164000000001</v>
      </c>
      <c r="X356">
        <f t="shared" si="60"/>
        <v>10.591560000000001</v>
      </c>
      <c r="Y356">
        <f t="shared" si="61"/>
        <v>13.114799999999997</v>
      </c>
      <c r="Z356">
        <f t="shared" si="62"/>
        <v>75.945268799999994</v>
      </c>
      <c r="AA356">
        <f t="shared" si="63"/>
        <v>48.847795200000007</v>
      </c>
      <c r="AB356">
        <f t="shared" si="64"/>
        <v>6.3549360000000004</v>
      </c>
      <c r="AC356" t="b">
        <f t="shared" si="65"/>
        <v>1</v>
      </c>
      <c r="AD356" t="b">
        <f t="shared" si="66"/>
        <v>1</v>
      </c>
    </row>
    <row r="357" spans="1:30" x14ac:dyDescent="0.35">
      <c r="A357" t="s">
        <v>33</v>
      </c>
      <c r="B357">
        <v>8</v>
      </c>
      <c r="C357">
        <v>2</v>
      </c>
      <c r="D357" t="s">
        <v>32</v>
      </c>
      <c r="E357">
        <v>2</v>
      </c>
      <c r="F357">
        <v>1</v>
      </c>
      <c r="G357" s="16">
        <v>34</v>
      </c>
      <c r="H357" s="16">
        <v>10.784000000000001</v>
      </c>
      <c r="I357" s="16">
        <v>2204</v>
      </c>
      <c r="J357" s="16">
        <v>14.584</v>
      </c>
      <c r="K357" s="16">
        <v>36.817</v>
      </c>
      <c r="L357" s="16">
        <v>7.0999999999999994E-2</v>
      </c>
      <c r="M357" s="23">
        <v>157.26</v>
      </c>
      <c r="N357" s="16">
        <v>0.152</v>
      </c>
      <c r="O357" s="17">
        <v>4.625</v>
      </c>
      <c r="P357" s="18">
        <v>34</v>
      </c>
      <c r="Q357" s="18">
        <v>14.584</v>
      </c>
      <c r="R357" s="18">
        <v>140.054</v>
      </c>
      <c r="S357" s="18">
        <v>17.206</v>
      </c>
      <c r="T357" s="14" t="b">
        <f t="shared" si="57"/>
        <v>1</v>
      </c>
      <c r="U357" s="14" t="b">
        <f t="shared" si="58"/>
        <v>1</v>
      </c>
      <c r="V357" s="15">
        <f>VLOOKUP(IF(J357&lt;10, 10, IF(J357&gt;50,50,J357)),'Over to underbark'!$A$3:$C$43,IF(A357="Scots pine",3,IF(A357="Sitka spruce",2, "error")),TRUE)/100</f>
        <v>0.9</v>
      </c>
      <c r="W357">
        <f t="shared" si="59"/>
        <v>113.44374000000001</v>
      </c>
      <c r="X357">
        <f t="shared" si="60"/>
        <v>13.936860000000001</v>
      </c>
      <c r="Y357">
        <f t="shared" si="61"/>
        <v>14.153399999999996</v>
      </c>
      <c r="Z357">
        <f t="shared" si="62"/>
        <v>80.90686079999999</v>
      </c>
      <c r="AA357">
        <f t="shared" si="63"/>
        <v>52.265023200000002</v>
      </c>
      <c r="AB357">
        <f t="shared" si="64"/>
        <v>8.3621160000000003</v>
      </c>
      <c r="AC357" t="b">
        <f t="shared" si="65"/>
        <v>1</v>
      </c>
      <c r="AD357" t="b">
        <f t="shared" si="66"/>
        <v>1</v>
      </c>
    </row>
    <row r="358" spans="1:30" x14ac:dyDescent="0.35">
      <c r="A358" t="s">
        <v>33</v>
      </c>
      <c r="B358">
        <v>8</v>
      </c>
      <c r="C358">
        <v>2</v>
      </c>
      <c r="D358" t="s">
        <v>32</v>
      </c>
      <c r="E358">
        <v>2</v>
      </c>
      <c r="F358">
        <v>1</v>
      </c>
      <c r="G358" s="16">
        <v>35</v>
      </c>
      <c r="H358" s="16">
        <v>11.18</v>
      </c>
      <c r="I358" s="16">
        <v>2188</v>
      </c>
      <c r="J358" s="16">
        <v>14.91</v>
      </c>
      <c r="K358" s="16">
        <v>38.203000000000003</v>
      </c>
      <c r="L358" s="16">
        <v>7.6999999999999999E-2</v>
      </c>
      <c r="M358" s="23">
        <v>168.8</v>
      </c>
      <c r="N358" s="16">
        <v>0.17699999999999999</v>
      </c>
      <c r="O358" s="17">
        <v>4.8230000000000004</v>
      </c>
      <c r="P358" s="18">
        <v>35</v>
      </c>
      <c r="Q358" s="18">
        <v>14.91</v>
      </c>
      <c r="R358" s="18">
        <v>147.00899999999999</v>
      </c>
      <c r="S358" s="18">
        <v>21.791</v>
      </c>
      <c r="T358" s="14" t="b">
        <f t="shared" si="57"/>
        <v>1</v>
      </c>
      <c r="U358" s="14" t="b">
        <f t="shared" si="58"/>
        <v>1</v>
      </c>
      <c r="V358" s="15">
        <f>VLOOKUP(IF(J358&lt;10, 10, IF(J358&gt;50,50,J358)),'Over to underbark'!$A$3:$C$43,IF(A358="Scots pine",3,IF(A358="Sitka spruce",2, "error")),TRUE)/100</f>
        <v>0.9</v>
      </c>
      <c r="W358">
        <f t="shared" si="59"/>
        <v>119.07729</v>
      </c>
      <c r="X358">
        <f t="shared" si="60"/>
        <v>17.650710000000004</v>
      </c>
      <c r="Y358">
        <f t="shared" si="61"/>
        <v>15.191999999999995</v>
      </c>
      <c r="Z358">
        <f t="shared" si="62"/>
        <v>85.713661799999983</v>
      </c>
      <c r="AA358">
        <f t="shared" si="63"/>
        <v>55.615912200000004</v>
      </c>
      <c r="AB358">
        <f t="shared" si="64"/>
        <v>10.590426000000003</v>
      </c>
      <c r="AC358" t="b">
        <f t="shared" si="65"/>
        <v>1</v>
      </c>
      <c r="AD358" t="b">
        <f t="shared" si="66"/>
        <v>1</v>
      </c>
    </row>
    <row r="359" spans="1:30" x14ac:dyDescent="0.35">
      <c r="A359" t="s">
        <v>33</v>
      </c>
      <c r="B359">
        <v>8</v>
      </c>
      <c r="C359">
        <v>2</v>
      </c>
      <c r="D359" t="s">
        <v>32</v>
      </c>
      <c r="E359">
        <v>2</v>
      </c>
      <c r="F359">
        <v>1</v>
      </c>
      <c r="G359" s="16">
        <v>36</v>
      </c>
      <c r="H359" s="16">
        <v>11.542</v>
      </c>
      <c r="I359" s="16">
        <v>2166</v>
      </c>
      <c r="J359" s="16">
        <v>15.221</v>
      </c>
      <c r="K359" s="16">
        <v>39.414000000000001</v>
      </c>
      <c r="L359" s="16">
        <v>8.4000000000000005E-2</v>
      </c>
      <c r="M359" s="23">
        <v>181.28</v>
      </c>
      <c r="N359" s="16">
        <v>0.31900000000000001</v>
      </c>
      <c r="O359" s="17">
        <v>5.0359999999999996</v>
      </c>
      <c r="P359" s="18">
        <v>36</v>
      </c>
      <c r="Q359" s="18">
        <v>15.221</v>
      </c>
      <c r="R359" s="18">
        <v>154.44900000000001</v>
      </c>
      <c r="S359" s="18">
        <v>26.831</v>
      </c>
      <c r="T359" s="14" t="b">
        <f t="shared" si="57"/>
        <v>1</v>
      </c>
      <c r="U359" s="14" t="b">
        <f t="shared" si="58"/>
        <v>1</v>
      </c>
      <c r="V359" s="15">
        <f>VLOOKUP(IF(J359&lt;10, 10, IF(J359&gt;50,50,J359)),'Over to underbark'!$A$3:$C$43,IF(A359="Scots pine",3,IF(A359="Sitka spruce",2, "error")),TRUE)/100</f>
        <v>0.9</v>
      </c>
      <c r="W359">
        <f t="shared" si="59"/>
        <v>125.10369000000003</v>
      </c>
      <c r="X359">
        <f t="shared" si="60"/>
        <v>21.73311</v>
      </c>
      <c r="Y359">
        <f t="shared" si="61"/>
        <v>16.315199999999997</v>
      </c>
      <c r="Z359">
        <f t="shared" si="62"/>
        <v>90.884269800000013</v>
      </c>
      <c r="AA359">
        <f t="shared" si="63"/>
        <v>59.227864200000013</v>
      </c>
      <c r="AB359">
        <f t="shared" si="64"/>
        <v>13.039866</v>
      </c>
      <c r="AC359" t="b">
        <f t="shared" si="65"/>
        <v>1</v>
      </c>
      <c r="AD359" t="b">
        <f t="shared" si="66"/>
        <v>1</v>
      </c>
    </row>
    <row r="360" spans="1:30" x14ac:dyDescent="0.35">
      <c r="A360" t="s">
        <v>33</v>
      </c>
      <c r="B360">
        <v>8</v>
      </c>
      <c r="C360">
        <v>2</v>
      </c>
      <c r="D360" t="s">
        <v>32</v>
      </c>
      <c r="E360">
        <v>2</v>
      </c>
      <c r="F360">
        <v>1</v>
      </c>
      <c r="G360" s="16">
        <v>37</v>
      </c>
      <c r="H360" s="16">
        <v>11.904</v>
      </c>
      <c r="I360" s="16">
        <v>2144</v>
      </c>
      <c r="J360" s="16">
        <v>15.532999999999999</v>
      </c>
      <c r="K360" s="16">
        <v>40.625999999999998</v>
      </c>
      <c r="L360" s="16">
        <v>0.09</v>
      </c>
      <c r="M360" s="23">
        <v>193.76</v>
      </c>
      <c r="N360" s="16">
        <v>0.442</v>
      </c>
      <c r="O360" s="17">
        <v>5.2370000000000001</v>
      </c>
      <c r="P360" s="18">
        <v>37</v>
      </c>
      <c r="Q360" s="18">
        <v>15.532999999999999</v>
      </c>
      <c r="R360" s="18">
        <v>161.387</v>
      </c>
      <c r="S360" s="18">
        <v>32.372999999999998</v>
      </c>
      <c r="T360" s="14" t="b">
        <f t="shared" si="57"/>
        <v>1</v>
      </c>
      <c r="U360" s="14" t="b">
        <f t="shared" si="58"/>
        <v>1</v>
      </c>
      <c r="V360" s="15">
        <f>VLOOKUP(IF(J360&lt;10, 10, IF(J360&gt;50,50,J360)),'Over to underbark'!$A$3:$C$43,IF(A360="Scots pine",3,IF(A360="Sitka spruce",2, "error")),TRUE)/100</f>
        <v>0.9</v>
      </c>
      <c r="W360">
        <f t="shared" si="59"/>
        <v>130.72346999999999</v>
      </c>
      <c r="X360">
        <f t="shared" si="60"/>
        <v>26.22213</v>
      </c>
      <c r="Y360">
        <f t="shared" si="61"/>
        <v>17.438399999999994</v>
      </c>
      <c r="Z360">
        <f t="shared" si="62"/>
        <v>95.884097399999987</v>
      </c>
      <c r="AA360">
        <f t="shared" si="63"/>
        <v>62.766624599999993</v>
      </c>
      <c r="AB360">
        <f t="shared" si="64"/>
        <v>15.733277999999999</v>
      </c>
      <c r="AC360" t="b">
        <f t="shared" si="65"/>
        <v>1</v>
      </c>
      <c r="AD360" t="b">
        <f t="shared" si="66"/>
        <v>1</v>
      </c>
    </row>
    <row r="361" spans="1:30" x14ac:dyDescent="0.35">
      <c r="A361" t="s">
        <v>33</v>
      </c>
      <c r="B361">
        <v>8</v>
      </c>
      <c r="C361">
        <v>2</v>
      </c>
      <c r="D361" t="s">
        <v>32</v>
      </c>
      <c r="E361">
        <v>2</v>
      </c>
      <c r="F361">
        <v>1</v>
      </c>
      <c r="G361" s="16">
        <v>38</v>
      </c>
      <c r="H361" s="16">
        <v>12.266</v>
      </c>
      <c r="I361" s="16">
        <v>2123</v>
      </c>
      <c r="J361" s="16">
        <v>15.84</v>
      </c>
      <c r="K361" s="16">
        <v>41.837000000000003</v>
      </c>
      <c r="L361" s="16">
        <v>9.7000000000000003E-2</v>
      </c>
      <c r="M361" s="23">
        <v>206.24</v>
      </c>
      <c r="N361" s="16">
        <v>0.55000000000000004</v>
      </c>
      <c r="O361" s="17">
        <v>5.4269999999999996</v>
      </c>
      <c r="P361" s="18">
        <v>38</v>
      </c>
      <c r="Q361" s="18">
        <v>15.84</v>
      </c>
      <c r="R361" s="18">
        <v>167.9</v>
      </c>
      <c r="S361" s="18">
        <v>38.340000000000003</v>
      </c>
      <c r="T361" s="14" t="b">
        <f t="shared" ref="T361:T424" si="67">G361=P361</f>
        <v>1</v>
      </c>
      <c r="U361" s="14" t="b">
        <f t="shared" ref="U361:U424" si="68">J361=Q361</f>
        <v>1</v>
      </c>
      <c r="V361" s="15">
        <f>VLOOKUP(IF(J361&lt;10, 10, IF(J361&gt;50,50,J361)),'Over to underbark'!$A$3:$C$43,IF(A361="Scots pine",3,IF(A361="Sitka spruce",2, "error")),TRUE)/100</f>
        <v>0.9</v>
      </c>
      <c r="W361">
        <f t="shared" ref="W361:W424" si="69">R361*0.9*V361</f>
        <v>135.99900000000002</v>
      </c>
      <c r="X361">
        <f t="shared" ref="X361:X424" si="70">S361*0.9*V361</f>
        <v>31.055400000000006</v>
      </c>
      <c r="Y361">
        <f t="shared" ref="Y361:Y424" si="71">(R361+S361)*0.9*(100%-V361)</f>
        <v>18.561599999999999</v>
      </c>
      <c r="Z361">
        <f t="shared" ref="Z361:Z424" si="72">Y361+(57%*W361)+(15%*X361)</f>
        <v>100.73934</v>
      </c>
      <c r="AA361">
        <f t="shared" ref="AA361:AA424" si="73">(43%*W361)+(25%*X361)</f>
        <v>66.243420000000015</v>
      </c>
      <c r="AB361">
        <f t="shared" ref="AB361:AB424" si="74">60%*X361</f>
        <v>18.633240000000004</v>
      </c>
      <c r="AC361" t="b">
        <f t="shared" ref="AC361:AC424" si="75">SUM(W361:Y361)=SUM(Z361:AB361)</f>
        <v>1</v>
      </c>
      <c r="AD361" t="b">
        <f t="shared" ref="AD361:AD424" si="76">SUM(R361:S361)*0.9 = SUM(W361:Y361)</f>
        <v>1</v>
      </c>
    </row>
    <row r="362" spans="1:30" x14ac:dyDescent="0.35">
      <c r="A362" t="s">
        <v>33</v>
      </c>
      <c r="B362">
        <v>8</v>
      </c>
      <c r="C362">
        <v>2</v>
      </c>
      <c r="D362" t="s">
        <v>32</v>
      </c>
      <c r="E362">
        <v>2</v>
      </c>
      <c r="F362">
        <v>1</v>
      </c>
      <c r="G362" s="16">
        <v>39</v>
      </c>
      <c r="H362" s="16">
        <v>12.628</v>
      </c>
      <c r="I362" s="16">
        <v>2101</v>
      </c>
      <c r="J362" s="16">
        <v>16.152000000000001</v>
      </c>
      <c r="K362" s="16">
        <v>43.048999999999999</v>
      </c>
      <c r="L362" s="16">
        <v>0.104</v>
      </c>
      <c r="M362" s="23">
        <v>218.72</v>
      </c>
      <c r="N362" s="16">
        <v>0.64500000000000002</v>
      </c>
      <c r="O362" s="17">
        <v>5.6079999999999997</v>
      </c>
      <c r="P362" s="18">
        <v>39</v>
      </c>
      <c r="Q362" s="18">
        <v>16.152000000000001</v>
      </c>
      <c r="R362" s="18">
        <v>173.87</v>
      </c>
      <c r="S362" s="18">
        <v>44.85</v>
      </c>
      <c r="T362" s="14" t="b">
        <f t="shared" si="67"/>
        <v>1</v>
      </c>
      <c r="U362" s="14" t="b">
        <f t="shared" si="68"/>
        <v>1</v>
      </c>
      <c r="V362" s="15">
        <f>VLOOKUP(IF(J362&lt;10, 10, IF(J362&gt;50,50,J362)),'Over to underbark'!$A$3:$C$43,IF(A362="Scots pine",3,IF(A362="Sitka spruce",2, "error")),TRUE)/100</f>
        <v>0.89</v>
      </c>
      <c r="W362">
        <f t="shared" si="69"/>
        <v>139.26987</v>
      </c>
      <c r="X362">
        <f t="shared" si="70"/>
        <v>35.924849999999999</v>
      </c>
      <c r="Y362">
        <f t="shared" si="71"/>
        <v>21.653279999999999</v>
      </c>
      <c r="Z362">
        <f t="shared" si="72"/>
        <v>106.42583339999999</v>
      </c>
      <c r="AA362">
        <f t="shared" si="73"/>
        <v>68.867256600000005</v>
      </c>
      <c r="AB362">
        <f t="shared" si="74"/>
        <v>21.55491</v>
      </c>
      <c r="AC362" t="b">
        <f t="shared" si="75"/>
        <v>1</v>
      </c>
      <c r="AD362" t="b">
        <f t="shared" si="76"/>
        <v>1</v>
      </c>
    </row>
    <row r="363" spans="1:30" x14ac:dyDescent="0.35">
      <c r="A363" t="s">
        <v>33</v>
      </c>
      <c r="B363">
        <v>8</v>
      </c>
      <c r="C363">
        <v>2</v>
      </c>
      <c r="D363" t="s">
        <v>32</v>
      </c>
      <c r="E363">
        <v>2</v>
      </c>
      <c r="F363">
        <v>1</v>
      </c>
      <c r="G363" s="16">
        <v>40</v>
      </c>
      <c r="H363" s="16">
        <v>12.99</v>
      </c>
      <c r="I363" s="16">
        <v>2080</v>
      </c>
      <c r="J363" s="16">
        <v>16.46</v>
      </c>
      <c r="K363" s="16">
        <v>44.26</v>
      </c>
      <c r="L363" s="16">
        <v>0.111</v>
      </c>
      <c r="M363" s="23">
        <v>231.2</v>
      </c>
      <c r="N363" s="16">
        <v>0.73</v>
      </c>
      <c r="O363" s="17">
        <v>5.78</v>
      </c>
      <c r="P363" s="18">
        <v>40</v>
      </c>
      <c r="Q363" s="18">
        <v>16.46</v>
      </c>
      <c r="R363" s="18">
        <v>179.42099999999999</v>
      </c>
      <c r="S363" s="18">
        <v>51.779000000000003</v>
      </c>
      <c r="T363" s="14" t="b">
        <f t="shared" si="67"/>
        <v>1</v>
      </c>
      <c r="U363" s="14" t="b">
        <f t="shared" si="68"/>
        <v>1</v>
      </c>
      <c r="V363" s="15">
        <f>VLOOKUP(IF(J363&lt;10, 10, IF(J363&gt;50,50,J363)),'Over to underbark'!$A$3:$C$43,IF(A363="Scots pine",3,IF(A363="Sitka spruce",2, "error")),TRUE)/100</f>
        <v>0.89</v>
      </c>
      <c r="W363">
        <f t="shared" si="69"/>
        <v>143.71622100000002</v>
      </c>
      <c r="X363">
        <f t="shared" si="70"/>
        <v>41.474979000000005</v>
      </c>
      <c r="Y363">
        <f t="shared" si="71"/>
        <v>22.888799999999996</v>
      </c>
      <c r="Z363">
        <f t="shared" si="72"/>
        <v>111.02829281999999</v>
      </c>
      <c r="AA363">
        <f t="shared" si="73"/>
        <v>72.166719780000008</v>
      </c>
      <c r="AB363">
        <f t="shared" si="74"/>
        <v>24.884987400000004</v>
      </c>
      <c r="AC363" t="b">
        <f t="shared" si="75"/>
        <v>1</v>
      </c>
      <c r="AD363" t="b">
        <f t="shared" si="76"/>
        <v>1</v>
      </c>
    </row>
    <row r="364" spans="1:30" x14ac:dyDescent="0.35">
      <c r="A364" t="s">
        <v>33</v>
      </c>
      <c r="B364">
        <v>8</v>
      </c>
      <c r="C364">
        <v>2</v>
      </c>
      <c r="D364" t="s">
        <v>32</v>
      </c>
      <c r="E364">
        <v>2</v>
      </c>
      <c r="F364">
        <v>1</v>
      </c>
      <c r="G364" s="16">
        <v>41</v>
      </c>
      <c r="H364" s="16">
        <v>13.321999999999999</v>
      </c>
      <c r="I364" s="16">
        <v>2052</v>
      </c>
      <c r="J364" s="16">
        <v>16.742000000000001</v>
      </c>
      <c r="K364" s="16">
        <v>45.171999999999997</v>
      </c>
      <c r="L364" s="16">
        <v>0.11899999999999999</v>
      </c>
      <c r="M364" s="23">
        <v>243.6</v>
      </c>
      <c r="N364" s="16">
        <v>0.879</v>
      </c>
      <c r="O364" s="17">
        <v>5.9409999999999998</v>
      </c>
      <c r="P364" s="18">
        <v>41</v>
      </c>
      <c r="Q364" s="18">
        <v>16.742000000000001</v>
      </c>
      <c r="R364" s="18">
        <v>184.83500000000001</v>
      </c>
      <c r="S364" s="18">
        <v>58.765000000000001</v>
      </c>
      <c r="T364" s="14" t="b">
        <f t="shared" si="67"/>
        <v>1</v>
      </c>
      <c r="U364" s="14" t="b">
        <f t="shared" si="68"/>
        <v>1</v>
      </c>
      <c r="V364" s="15">
        <f>VLOOKUP(IF(J364&lt;10, 10, IF(J364&gt;50,50,J364)),'Over to underbark'!$A$3:$C$43,IF(A364="Scots pine",3,IF(A364="Sitka spruce",2, "error")),TRUE)/100</f>
        <v>0.89</v>
      </c>
      <c r="W364">
        <f t="shared" si="69"/>
        <v>148.05283500000002</v>
      </c>
      <c r="X364">
        <f t="shared" si="70"/>
        <v>47.070765000000002</v>
      </c>
      <c r="Y364">
        <f t="shared" si="71"/>
        <v>24.116400000000002</v>
      </c>
      <c r="Z364">
        <f t="shared" si="72"/>
        <v>115.56713069999999</v>
      </c>
      <c r="AA364">
        <f t="shared" si="73"/>
        <v>75.430410300000005</v>
      </c>
      <c r="AB364">
        <f t="shared" si="74"/>
        <v>28.242459</v>
      </c>
      <c r="AC364" t="b">
        <f t="shared" si="75"/>
        <v>1</v>
      </c>
      <c r="AD364" t="b">
        <f t="shared" si="76"/>
        <v>1</v>
      </c>
    </row>
    <row r="365" spans="1:30" x14ac:dyDescent="0.35">
      <c r="A365" t="s">
        <v>33</v>
      </c>
      <c r="B365">
        <v>8</v>
      </c>
      <c r="C365">
        <v>2</v>
      </c>
      <c r="D365" t="s">
        <v>32</v>
      </c>
      <c r="E365">
        <v>2</v>
      </c>
      <c r="F365">
        <v>1</v>
      </c>
      <c r="G365" s="16">
        <v>42</v>
      </c>
      <c r="H365" s="16">
        <v>13.654</v>
      </c>
      <c r="I365" s="16">
        <v>2024</v>
      </c>
      <c r="J365" s="16">
        <v>17.026</v>
      </c>
      <c r="K365" s="16">
        <v>46.084000000000003</v>
      </c>
      <c r="L365" s="16">
        <v>0.126</v>
      </c>
      <c r="M365" s="23">
        <v>256</v>
      </c>
      <c r="N365" s="16">
        <v>1.0129999999999999</v>
      </c>
      <c r="O365" s="17">
        <v>6.0949999999999998</v>
      </c>
      <c r="P365" s="18">
        <v>42</v>
      </c>
      <c r="Q365" s="18">
        <v>17.026</v>
      </c>
      <c r="R365" s="18">
        <v>189.804</v>
      </c>
      <c r="S365" s="18">
        <v>66.195999999999998</v>
      </c>
      <c r="T365" s="14" t="b">
        <f t="shared" si="67"/>
        <v>1</v>
      </c>
      <c r="U365" s="14" t="b">
        <f t="shared" si="68"/>
        <v>1</v>
      </c>
      <c r="V365" s="15">
        <f>VLOOKUP(IF(J365&lt;10, 10, IF(J365&gt;50,50,J365)),'Over to underbark'!$A$3:$C$43,IF(A365="Scots pine",3,IF(A365="Sitka spruce",2, "error")),TRUE)/100</f>
        <v>0.9</v>
      </c>
      <c r="W365">
        <f t="shared" si="69"/>
        <v>153.74124</v>
      </c>
      <c r="X365">
        <f t="shared" si="70"/>
        <v>53.618760000000002</v>
      </c>
      <c r="Y365">
        <f t="shared" si="71"/>
        <v>23.039999999999996</v>
      </c>
      <c r="Z365">
        <f t="shared" si="72"/>
        <v>118.7153208</v>
      </c>
      <c r="AA365">
        <f t="shared" si="73"/>
        <v>79.513423200000005</v>
      </c>
      <c r="AB365">
        <f t="shared" si="74"/>
        <v>32.171256</v>
      </c>
      <c r="AC365" t="b">
        <f t="shared" si="75"/>
        <v>1</v>
      </c>
      <c r="AD365" t="b">
        <f t="shared" si="76"/>
        <v>1</v>
      </c>
    </row>
    <row r="366" spans="1:30" x14ac:dyDescent="0.35">
      <c r="A366" t="s">
        <v>33</v>
      </c>
      <c r="B366">
        <v>8</v>
      </c>
      <c r="C366">
        <v>2</v>
      </c>
      <c r="D366" t="s">
        <v>32</v>
      </c>
      <c r="E366">
        <v>2</v>
      </c>
      <c r="F366">
        <v>1</v>
      </c>
      <c r="G366" s="16">
        <v>43</v>
      </c>
      <c r="H366" s="16">
        <v>13.986000000000001</v>
      </c>
      <c r="I366" s="16">
        <v>1996</v>
      </c>
      <c r="J366" s="16">
        <v>17.314</v>
      </c>
      <c r="K366" s="16">
        <v>46.996000000000002</v>
      </c>
      <c r="L366" s="16">
        <v>0.13400000000000001</v>
      </c>
      <c r="M366" s="23">
        <v>268.39999999999998</v>
      </c>
      <c r="N366" s="16">
        <v>1.135</v>
      </c>
      <c r="O366" s="17">
        <v>6.242</v>
      </c>
      <c r="P366" s="18">
        <v>43</v>
      </c>
      <c r="Q366" s="18">
        <v>17.314</v>
      </c>
      <c r="R366" s="18">
        <v>194.297</v>
      </c>
      <c r="S366" s="18">
        <v>74.102999999999994</v>
      </c>
      <c r="T366" s="14" t="b">
        <f t="shared" si="67"/>
        <v>1</v>
      </c>
      <c r="U366" s="14" t="b">
        <f t="shared" si="68"/>
        <v>1</v>
      </c>
      <c r="V366" s="15">
        <f>VLOOKUP(IF(J366&lt;10, 10, IF(J366&gt;50,50,J366)),'Over to underbark'!$A$3:$C$43,IF(A366="Scots pine",3,IF(A366="Sitka spruce",2, "error")),TRUE)/100</f>
        <v>0.9</v>
      </c>
      <c r="W366">
        <f t="shared" si="69"/>
        <v>157.38057000000001</v>
      </c>
      <c r="X366">
        <f t="shared" si="70"/>
        <v>60.023430000000005</v>
      </c>
      <c r="Y366">
        <f t="shared" si="71"/>
        <v>24.155999999999992</v>
      </c>
      <c r="Z366">
        <f t="shared" si="72"/>
        <v>122.86643939999998</v>
      </c>
      <c r="AA366">
        <f t="shared" si="73"/>
        <v>82.679502600000006</v>
      </c>
      <c r="AB366">
        <f t="shared" si="74"/>
        <v>36.014057999999999</v>
      </c>
      <c r="AC366" t="b">
        <f t="shared" si="75"/>
        <v>1</v>
      </c>
      <c r="AD366" t="b">
        <f t="shared" si="76"/>
        <v>1</v>
      </c>
    </row>
    <row r="367" spans="1:30" x14ac:dyDescent="0.35">
      <c r="A367" t="s">
        <v>33</v>
      </c>
      <c r="B367">
        <v>8</v>
      </c>
      <c r="C367">
        <v>2</v>
      </c>
      <c r="D367" t="s">
        <v>32</v>
      </c>
      <c r="E367">
        <v>2</v>
      </c>
      <c r="F367">
        <v>1</v>
      </c>
      <c r="G367" s="16">
        <v>44</v>
      </c>
      <c r="H367" s="16">
        <v>14.318</v>
      </c>
      <c r="I367" s="16">
        <v>1968</v>
      </c>
      <c r="J367" s="16">
        <v>17.605</v>
      </c>
      <c r="K367" s="16">
        <v>47.908000000000001</v>
      </c>
      <c r="L367" s="16">
        <v>0.14299999999999999</v>
      </c>
      <c r="M367" s="23">
        <v>280.8</v>
      </c>
      <c r="N367" s="16">
        <v>1.2450000000000001</v>
      </c>
      <c r="O367" s="17">
        <v>6.3819999999999997</v>
      </c>
      <c r="P367" s="18">
        <v>44</v>
      </c>
      <c r="Q367" s="18">
        <v>17.605</v>
      </c>
      <c r="R367" s="18">
        <v>198.333</v>
      </c>
      <c r="S367" s="18">
        <v>82.466999999999999</v>
      </c>
      <c r="T367" s="14" t="b">
        <f t="shared" si="67"/>
        <v>1</v>
      </c>
      <c r="U367" s="14" t="b">
        <f t="shared" si="68"/>
        <v>1</v>
      </c>
      <c r="V367" s="15">
        <f>VLOOKUP(IF(J367&lt;10, 10, IF(J367&gt;50,50,J367)),'Over to underbark'!$A$3:$C$43,IF(A367="Scots pine",3,IF(A367="Sitka spruce",2, "error")),TRUE)/100</f>
        <v>0.9</v>
      </c>
      <c r="W367">
        <f t="shared" si="69"/>
        <v>160.64973000000001</v>
      </c>
      <c r="X367">
        <f t="shared" si="70"/>
        <v>66.798270000000002</v>
      </c>
      <c r="Y367">
        <f t="shared" si="71"/>
        <v>25.271999999999998</v>
      </c>
      <c r="Z367">
        <f t="shared" si="72"/>
        <v>126.86208659999998</v>
      </c>
      <c r="AA367">
        <f t="shared" si="73"/>
        <v>85.778951399999997</v>
      </c>
      <c r="AB367">
        <f t="shared" si="74"/>
        <v>40.078961999999997</v>
      </c>
      <c r="AC367" t="b">
        <f t="shared" si="75"/>
        <v>1</v>
      </c>
      <c r="AD367" t="b">
        <f t="shared" si="76"/>
        <v>1</v>
      </c>
    </row>
    <row r="368" spans="1:30" x14ac:dyDescent="0.35">
      <c r="A368" t="s">
        <v>33</v>
      </c>
      <c r="B368">
        <v>8</v>
      </c>
      <c r="C368">
        <v>2</v>
      </c>
      <c r="D368" t="s">
        <v>32</v>
      </c>
      <c r="E368">
        <v>2</v>
      </c>
      <c r="F368">
        <v>1</v>
      </c>
      <c r="G368" s="16">
        <v>45</v>
      </c>
      <c r="H368" s="16">
        <v>14.65</v>
      </c>
      <c r="I368" s="16">
        <v>1940</v>
      </c>
      <c r="J368" s="16">
        <v>17.899999999999999</v>
      </c>
      <c r="K368" s="16">
        <v>48.82</v>
      </c>
      <c r="L368" s="16">
        <v>0.151</v>
      </c>
      <c r="M368" s="23">
        <v>293.2</v>
      </c>
      <c r="N368" s="16">
        <v>1.3460000000000001</v>
      </c>
      <c r="O368" s="17">
        <v>6.516</v>
      </c>
      <c r="P368" s="18">
        <v>45</v>
      </c>
      <c r="Q368" s="18">
        <v>17.899999999999999</v>
      </c>
      <c r="R368" s="18">
        <v>201.899</v>
      </c>
      <c r="S368" s="18">
        <v>91.301000000000002</v>
      </c>
      <c r="T368" s="14" t="b">
        <f t="shared" si="67"/>
        <v>1</v>
      </c>
      <c r="U368" s="14" t="b">
        <f t="shared" si="68"/>
        <v>1</v>
      </c>
      <c r="V368" s="15">
        <f>VLOOKUP(IF(J368&lt;10, 10, IF(J368&gt;50,50,J368)),'Over to underbark'!$A$3:$C$43,IF(A368="Scots pine",3,IF(A368="Sitka spruce",2, "error")),TRUE)/100</f>
        <v>0.9</v>
      </c>
      <c r="W368">
        <f t="shared" si="69"/>
        <v>163.53819000000001</v>
      </c>
      <c r="X368">
        <f t="shared" si="70"/>
        <v>73.953810000000004</v>
      </c>
      <c r="Y368">
        <f t="shared" si="71"/>
        <v>26.387999999999995</v>
      </c>
      <c r="Z368">
        <f t="shared" si="72"/>
        <v>130.6978398</v>
      </c>
      <c r="AA368">
        <f t="shared" si="73"/>
        <v>88.809874199999996</v>
      </c>
      <c r="AB368">
        <f t="shared" si="74"/>
        <v>44.372286000000003</v>
      </c>
      <c r="AC368" t="b">
        <f t="shared" si="75"/>
        <v>1</v>
      </c>
      <c r="AD368" t="b">
        <f t="shared" si="76"/>
        <v>1</v>
      </c>
    </row>
    <row r="369" spans="1:30" x14ac:dyDescent="0.35">
      <c r="A369" t="s">
        <v>33</v>
      </c>
      <c r="B369">
        <v>8</v>
      </c>
      <c r="C369">
        <v>2</v>
      </c>
      <c r="D369" t="s">
        <v>32</v>
      </c>
      <c r="E369">
        <v>2</v>
      </c>
      <c r="F369">
        <v>1</v>
      </c>
      <c r="G369" s="16">
        <v>46</v>
      </c>
      <c r="H369" s="16">
        <v>14.952</v>
      </c>
      <c r="I369" s="16">
        <v>1912</v>
      </c>
      <c r="J369" s="16">
        <v>18.151</v>
      </c>
      <c r="K369" s="16">
        <v>49.473999999999997</v>
      </c>
      <c r="L369" s="16">
        <v>0.159</v>
      </c>
      <c r="M369" s="23">
        <v>304.64</v>
      </c>
      <c r="N369" s="16">
        <v>1.538</v>
      </c>
      <c r="O369" s="17">
        <v>6.6230000000000002</v>
      </c>
      <c r="P369" s="18">
        <v>46</v>
      </c>
      <c r="Q369" s="18">
        <v>18.151</v>
      </c>
      <c r="R369" s="18">
        <v>205.221</v>
      </c>
      <c r="S369" s="18">
        <v>99.418999999999997</v>
      </c>
      <c r="T369" s="14" t="b">
        <f t="shared" si="67"/>
        <v>1</v>
      </c>
      <c r="U369" s="14" t="b">
        <f t="shared" si="68"/>
        <v>1</v>
      </c>
      <c r="V369" s="15">
        <f>VLOOKUP(IF(J369&lt;10, 10, IF(J369&gt;50,50,J369)),'Over to underbark'!$A$3:$C$43,IF(A369="Scots pine",3,IF(A369="Sitka spruce",2, "error")),TRUE)/100</f>
        <v>0.9</v>
      </c>
      <c r="W369">
        <f t="shared" si="69"/>
        <v>166.22901000000002</v>
      </c>
      <c r="X369">
        <f t="shared" si="70"/>
        <v>80.529389999999992</v>
      </c>
      <c r="Y369">
        <f t="shared" si="71"/>
        <v>27.417599999999993</v>
      </c>
      <c r="Z369">
        <f t="shared" si="72"/>
        <v>134.24754419999999</v>
      </c>
      <c r="AA369">
        <f t="shared" si="73"/>
        <v>91.610821799999997</v>
      </c>
      <c r="AB369">
        <f t="shared" si="74"/>
        <v>48.317633999999991</v>
      </c>
      <c r="AC369" t="b">
        <f t="shared" si="75"/>
        <v>1</v>
      </c>
      <c r="AD369" t="b">
        <f t="shared" si="76"/>
        <v>1</v>
      </c>
    </row>
    <row r="370" spans="1:30" x14ac:dyDescent="0.35">
      <c r="A370" t="s">
        <v>33</v>
      </c>
      <c r="B370">
        <v>8</v>
      </c>
      <c r="C370">
        <v>2</v>
      </c>
      <c r="D370" t="s">
        <v>32</v>
      </c>
      <c r="E370">
        <v>2</v>
      </c>
      <c r="F370">
        <v>1</v>
      </c>
      <c r="G370" s="16">
        <v>47</v>
      </c>
      <c r="H370" s="16">
        <v>15.254</v>
      </c>
      <c r="I370" s="16">
        <v>1884</v>
      </c>
      <c r="J370" s="16">
        <v>18.405999999999999</v>
      </c>
      <c r="K370" s="16">
        <v>50.128</v>
      </c>
      <c r="L370" s="16">
        <v>0.16800000000000001</v>
      </c>
      <c r="M370" s="23">
        <v>316.08</v>
      </c>
      <c r="N370" s="16">
        <v>1.716</v>
      </c>
      <c r="O370" s="17">
        <v>6.7249999999999996</v>
      </c>
      <c r="P370" s="18">
        <v>47</v>
      </c>
      <c r="Q370" s="18">
        <v>18.405999999999999</v>
      </c>
      <c r="R370" s="18">
        <v>208.16399999999999</v>
      </c>
      <c r="S370" s="18">
        <v>107.916</v>
      </c>
      <c r="T370" s="14" t="b">
        <f t="shared" si="67"/>
        <v>1</v>
      </c>
      <c r="U370" s="14" t="b">
        <f t="shared" si="68"/>
        <v>1</v>
      </c>
      <c r="V370" s="15">
        <f>VLOOKUP(IF(J370&lt;10, 10, IF(J370&gt;50,50,J370)),'Over to underbark'!$A$3:$C$43,IF(A370="Scots pine",3,IF(A370="Sitka spruce",2, "error")),TRUE)/100</f>
        <v>0.9</v>
      </c>
      <c r="W370">
        <f t="shared" si="69"/>
        <v>168.61284000000001</v>
      </c>
      <c r="X370">
        <f t="shared" si="70"/>
        <v>87.411959999999993</v>
      </c>
      <c r="Y370">
        <f t="shared" si="71"/>
        <v>28.447199999999992</v>
      </c>
      <c r="Z370">
        <f t="shared" si="72"/>
        <v>137.6683128</v>
      </c>
      <c r="AA370">
        <f t="shared" si="73"/>
        <v>94.3565112</v>
      </c>
      <c r="AB370">
        <f t="shared" si="74"/>
        <v>52.447175999999992</v>
      </c>
      <c r="AC370" t="b">
        <f t="shared" si="75"/>
        <v>1</v>
      </c>
      <c r="AD370" t="b">
        <f t="shared" si="76"/>
        <v>1</v>
      </c>
    </row>
    <row r="371" spans="1:30" x14ac:dyDescent="0.35">
      <c r="A371" t="s">
        <v>33</v>
      </c>
      <c r="B371">
        <v>8</v>
      </c>
      <c r="C371">
        <v>2</v>
      </c>
      <c r="D371" t="s">
        <v>32</v>
      </c>
      <c r="E371">
        <v>2</v>
      </c>
      <c r="F371">
        <v>1</v>
      </c>
      <c r="G371" s="16">
        <v>48</v>
      </c>
      <c r="H371" s="16">
        <v>15.555999999999999</v>
      </c>
      <c r="I371" s="16">
        <v>1856</v>
      </c>
      <c r="J371" s="16">
        <v>18.664999999999999</v>
      </c>
      <c r="K371" s="16">
        <v>50.781999999999996</v>
      </c>
      <c r="L371" s="16">
        <v>0.17599999999999999</v>
      </c>
      <c r="M371" s="23">
        <v>327.52</v>
      </c>
      <c r="N371" s="16">
        <v>1.881</v>
      </c>
      <c r="O371" s="17">
        <v>6.8230000000000004</v>
      </c>
      <c r="P371" s="18">
        <v>48</v>
      </c>
      <c r="Q371" s="18">
        <v>18.664999999999999</v>
      </c>
      <c r="R371" s="18">
        <v>210.72900000000001</v>
      </c>
      <c r="S371" s="18">
        <v>116.791</v>
      </c>
      <c r="T371" s="14" t="b">
        <f t="shared" si="67"/>
        <v>1</v>
      </c>
      <c r="U371" s="14" t="b">
        <f t="shared" si="68"/>
        <v>1</v>
      </c>
      <c r="V371" s="15">
        <f>VLOOKUP(IF(J371&lt;10, 10, IF(J371&gt;50,50,J371)),'Over to underbark'!$A$3:$C$43,IF(A371="Scots pine",3,IF(A371="Sitka spruce",2, "error")),TRUE)/100</f>
        <v>0.9</v>
      </c>
      <c r="W371">
        <f t="shared" si="69"/>
        <v>170.69049000000001</v>
      </c>
      <c r="X371">
        <f t="shared" si="70"/>
        <v>94.600710000000007</v>
      </c>
      <c r="Y371">
        <f t="shared" si="71"/>
        <v>29.47679999999999</v>
      </c>
      <c r="Z371">
        <f t="shared" si="72"/>
        <v>140.96048580000001</v>
      </c>
      <c r="AA371">
        <f t="shared" si="73"/>
        <v>97.047088200000005</v>
      </c>
      <c r="AB371">
        <f t="shared" si="74"/>
        <v>56.760426000000002</v>
      </c>
      <c r="AC371" t="b">
        <f t="shared" si="75"/>
        <v>1</v>
      </c>
      <c r="AD371" t="b">
        <f t="shared" si="76"/>
        <v>1</v>
      </c>
    </row>
    <row r="372" spans="1:30" x14ac:dyDescent="0.35">
      <c r="A372" t="s">
        <v>33</v>
      </c>
      <c r="B372">
        <v>8</v>
      </c>
      <c r="C372">
        <v>2</v>
      </c>
      <c r="D372" t="s">
        <v>32</v>
      </c>
      <c r="E372">
        <v>2</v>
      </c>
      <c r="F372">
        <v>1</v>
      </c>
      <c r="G372" s="16">
        <v>49</v>
      </c>
      <c r="H372" s="16">
        <v>15.858000000000001</v>
      </c>
      <c r="I372" s="16">
        <v>1828</v>
      </c>
      <c r="J372" s="16">
        <v>18.928000000000001</v>
      </c>
      <c r="K372" s="16">
        <v>51.436</v>
      </c>
      <c r="L372" s="16">
        <v>0.185</v>
      </c>
      <c r="M372" s="23">
        <v>338.96</v>
      </c>
      <c r="N372" s="16">
        <v>2.0350000000000001</v>
      </c>
      <c r="O372" s="17">
        <v>6.9180000000000001</v>
      </c>
      <c r="P372" s="18">
        <v>49</v>
      </c>
      <c r="Q372" s="18">
        <v>18.928000000000001</v>
      </c>
      <c r="R372" s="18">
        <v>212.91900000000001</v>
      </c>
      <c r="S372" s="18">
        <v>126.041</v>
      </c>
      <c r="T372" s="14" t="b">
        <f t="shared" si="67"/>
        <v>1</v>
      </c>
      <c r="U372" s="14" t="b">
        <f t="shared" si="68"/>
        <v>1</v>
      </c>
      <c r="V372" s="15">
        <f>VLOOKUP(IF(J372&lt;10, 10, IF(J372&gt;50,50,J372)),'Over to underbark'!$A$3:$C$43,IF(A372="Scots pine",3,IF(A372="Sitka spruce",2, "error")),TRUE)/100</f>
        <v>0.9</v>
      </c>
      <c r="W372">
        <f t="shared" si="69"/>
        <v>172.46439000000001</v>
      </c>
      <c r="X372">
        <f t="shared" si="70"/>
        <v>102.09321</v>
      </c>
      <c r="Y372">
        <f t="shared" si="71"/>
        <v>30.506399999999996</v>
      </c>
      <c r="Z372">
        <f t="shared" si="72"/>
        <v>144.1250838</v>
      </c>
      <c r="AA372">
        <f t="shared" si="73"/>
        <v>99.682990200000006</v>
      </c>
      <c r="AB372">
        <f t="shared" si="74"/>
        <v>61.255925999999995</v>
      </c>
      <c r="AC372" t="b">
        <f t="shared" si="75"/>
        <v>1</v>
      </c>
      <c r="AD372" t="b">
        <f t="shared" si="76"/>
        <v>1</v>
      </c>
    </row>
    <row r="373" spans="1:30" x14ac:dyDescent="0.35">
      <c r="A373" t="s">
        <v>33</v>
      </c>
      <c r="B373">
        <v>8</v>
      </c>
      <c r="C373">
        <v>2</v>
      </c>
      <c r="D373" t="s">
        <v>32</v>
      </c>
      <c r="E373">
        <v>2</v>
      </c>
      <c r="F373">
        <v>1</v>
      </c>
      <c r="G373" s="16">
        <v>50</v>
      </c>
      <c r="H373" s="16">
        <v>16.16</v>
      </c>
      <c r="I373" s="16">
        <v>1801</v>
      </c>
      <c r="J373" s="16">
        <v>19.190000000000001</v>
      </c>
      <c r="K373" s="16">
        <v>52.09</v>
      </c>
      <c r="L373" s="16">
        <v>0.19500000000000001</v>
      </c>
      <c r="M373" s="23">
        <v>350.4</v>
      </c>
      <c r="N373" s="16">
        <v>2.1779999999999999</v>
      </c>
      <c r="O373" s="17">
        <v>7.008</v>
      </c>
      <c r="P373" s="18">
        <v>50</v>
      </c>
      <c r="Q373" s="18">
        <v>19.190000000000001</v>
      </c>
      <c r="R373" s="18">
        <v>214.83799999999999</v>
      </c>
      <c r="S373" s="18">
        <v>135.56200000000001</v>
      </c>
      <c r="T373" s="14" t="b">
        <f t="shared" si="67"/>
        <v>1</v>
      </c>
      <c r="U373" s="14" t="b">
        <f t="shared" si="68"/>
        <v>1</v>
      </c>
      <c r="V373" s="15">
        <f>VLOOKUP(IF(J373&lt;10, 10, IF(J373&gt;50,50,J373)),'Over to underbark'!$A$3:$C$43,IF(A373="Scots pine",3,IF(A373="Sitka spruce",2, "error")),TRUE)/100</f>
        <v>0.9</v>
      </c>
      <c r="W373">
        <f t="shared" si="69"/>
        <v>174.01877999999999</v>
      </c>
      <c r="X373">
        <f t="shared" si="70"/>
        <v>109.80522000000001</v>
      </c>
      <c r="Y373">
        <f t="shared" si="71"/>
        <v>31.535999999999994</v>
      </c>
      <c r="Z373">
        <f t="shared" si="72"/>
        <v>147.19748759999999</v>
      </c>
      <c r="AA373">
        <f t="shared" si="73"/>
        <v>102.27938039999999</v>
      </c>
      <c r="AB373">
        <f t="shared" si="74"/>
        <v>65.883132000000003</v>
      </c>
      <c r="AC373" t="b">
        <f t="shared" si="75"/>
        <v>1</v>
      </c>
      <c r="AD373" t="b">
        <f t="shared" si="76"/>
        <v>1</v>
      </c>
    </row>
    <row r="374" spans="1:30" x14ac:dyDescent="0.35">
      <c r="A374" t="s">
        <v>33</v>
      </c>
      <c r="B374">
        <v>8</v>
      </c>
      <c r="C374">
        <v>2</v>
      </c>
      <c r="D374" t="s">
        <v>32</v>
      </c>
      <c r="E374">
        <v>2</v>
      </c>
      <c r="F374">
        <v>1</v>
      </c>
      <c r="G374" s="16">
        <v>51</v>
      </c>
      <c r="H374" s="16">
        <v>16.428000000000001</v>
      </c>
      <c r="I374" s="16">
        <v>1777</v>
      </c>
      <c r="J374" s="16">
        <v>19.411000000000001</v>
      </c>
      <c r="K374" s="16">
        <v>52.585000000000001</v>
      </c>
      <c r="L374" s="16">
        <v>0.20300000000000001</v>
      </c>
      <c r="M374" s="23">
        <v>360.48</v>
      </c>
      <c r="N374" s="16">
        <v>2.3879999999999999</v>
      </c>
      <c r="O374" s="17">
        <v>7.0679999999999996</v>
      </c>
      <c r="P374" s="18">
        <v>51</v>
      </c>
      <c r="Q374" s="18">
        <v>19.411000000000001</v>
      </c>
      <c r="R374" s="18">
        <v>216.49600000000001</v>
      </c>
      <c r="S374" s="18">
        <v>143.98400000000001</v>
      </c>
      <c r="T374" s="14" t="b">
        <f t="shared" si="67"/>
        <v>1</v>
      </c>
      <c r="U374" s="14" t="b">
        <f t="shared" si="68"/>
        <v>1</v>
      </c>
      <c r="V374" s="15">
        <f>VLOOKUP(IF(J374&lt;10, 10, IF(J374&gt;50,50,J374)),'Over to underbark'!$A$3:$C$43,IF(A374="Scots pine",3,IF(A374="Sitka spruce",2, "error")),TRUE)/100</f>
        <v>0.9</v>
      </c>
      <c r="W374">
        <f t="shared" si="69"/>
        <v>175.36176000000003</v>
      </c>
      <c r="X374">
        <f t="shared" si="70"/>
        <v>116.62704000000001</v>
      </c>
      <c r="Y374">
        <f t="shared" si="71"/>
        <v>32.443199999999997</v>
      </c>
      <c r="Z374">
        <f t="shared" si="72"/>
        <v>149.8934592</v>
      </c>
      <c r="AA374">
        <f t="shared" si="73"/>
        <v>104.56231680000002</v>
      </c>
      <c r="AB374">
        <f t="shared" si="74"/>
        <v>69.976224000000002</v>
      </c>
      <c r="AC374" t="b">
        <f t="shared" si="75"/>
        <v>1</v>
      </c>
      <c r="AD374" t="b">
        <f t="shared" si="76"/>
        <v>1</v>
      </c>
    </row>
    <row r="375" spans="1:30" x14ac:dyDescent="0.35">
      <c r="A375" t="s">
        <v>33</v>
      </c>
      <c r="B375">
        <v>8</v>
      </c>
      <c r="C375">
        <v>2</v>
      </c>
      <c r="D375" t="s">
        <v>32</v>
      </c>
      <c r="E375">
        <v>2</v>
      </c>
      <c r="F375">
        <v>1</v>
      </c>
      <c r="G375" s="16">
        <v>52</v>
      </c>
      <c r="H375" s="16">
        <v>16.696000000000002</v>
      </c>
      <c r="I375" s="16">
        <v>1753</v>
      </c>
      <c r="J375" s="16">
        <v>19.635000000000002</v>
      </c>
      <c r="K375" s="16">
        <v>53.081000000000003</v>
      </c>
      <c r="L375" s="16">
        <v>0.21099999999999999</v>
      </c>
      <c r="M375" s="23">
        <v>370.56</v>
      </c>
      <c r="N375" s="16">
        <v>2.5870000000000002</v>
      </c>
      <c r="O375" s="17">
        <v>7.1260000000000003</v>
      </c>
      <c r="P375" s="18">
        <v>52</v>
      </c>
      <c r="Q375" s="18">
        <v>19.635000000000002</v>
      </c>
      <c r="R375" s="18">
        <v>217.887</v>
      </c>
      <c r="S375" s="18">
        <v>152.673</v>
      </c>
      <c r="T375" s="14" t="b">
        <f t="shared" si="67"/>
        <v>1</v>
      </c>
      <c r="U375" s="14" t="b">
        <f t="shared" si="68"/>
        <v>1</v>
      </c>
      <c r="V375" s="15">
        <f>VLOOKUP(IF(J375&lt;10, 10, IF(J375&gt;50,50,J375)),'Over to underbark'!$A$3:$C$43,IF(A375="Scots pine",3,IF(A375="Sitka spruce",2, "error")),TRUE)/100</f>
        <v>0.9</v>
      </c>
      <c r="W375">
        <f t="shared" si="69"/>
        <v>176.48847000000001</v>
      </c>
      <c r="X375">
        <f t="shared" si="70"/>
        <v>123.66513</v>
      </c>
      <c r="Y375">
        <f t="shared" si="71"/>
        <v>33.350399999999993</v>
      </c>
      <c r="Z375">
        <f t="shared" si="72"/>
        <v>152.49859739999997</v>
      </c>
      <c r="AA375">
        <f t="shared" si="73"/>
        <v>106.80632460000001</v>
      </c>
      <c r="AB375">
        <f t="shared" si="74"/>
        <v>74.199078</v>
      </c>
      <c r="AC375" t="b">
        <f t="shared" si="75"/>
        <v>1</v>
      </c>
      <c r="AD375" t="b">
        <f t="shared" si="76"/>
        <v>1</v>
      </c>
    </row>
    <row r="376" spans="1:30" x14ac:dyDescent="0.35">
      <c r="A376" t="s">
        <v>33</v>
      </c>
      <c r="B376">
        <v>8</v>
      </c>
      <c r="C376">
        <v>2</v>
      </c>
      <c r="D376" t="s">
        <v>32</v>
      </c>
      <c r="E376">
        <v>2</v>
      </c>
      <c r="F376">
        <v>1</v>
      </c>
      <c r="G376" s="16">
        <v>53</v>
      </c>
      <c r="H376" s="16">
        <v>16.963999999999999</v>
      </c>
      <c r="I376" s="16">
        <v>1729</v>
      </c>
      <c r="J376" s="16">
        <v>19.863</v>
      </c>
      <c r="K376" s="16">
        <v>53.576000000000001</v>
      </c>
      <c r="L376" s="16">
        <v>0.22</v>
      </c>
      <c r="M376" s="23">
        <v>380.64</v>
      </c>
      <c r="N376" s="16">
        <v>2.774</v>
      </c>
      <c r="O376" s="17">
        <v>7.1820000000000004</v>
      </c>
      <c r="P376" s="18">
        <v>53</v>
      </c>
      <c r="Q376" s="18">
        <v>19.863</v>
      </c>
      <c r="R376" s="18">
        <v>218.99199999999999</v>
      </c>
      <c r="S376" s="18">
        <v>161.648</v>
      </c>
      <c r="T376" s="14" t="b">
        <f t="shared" si="67"/>
        <v>1</v>
      </c>
      <c r="U376" s="14" t="b">
        <f t="shared" si="68"/>
        <v>1</v>
      </c>
      <c r="V376" s="15">
        <f>VLOOKUP(IF(J376&lt;10, 10, IF(J376&gt;50,50,J376)),'Over to underbark'!$A$3:$C$43,IF(A376="Scots pine",3,IF(A376="Sitka spruce",2, "error")),TRUE)/100</f>
        <v>0.9</v>
      </c>
      <c r="W376">
        <f t="shared" si="69"/>
        <v>177.38351999999998</v>
      </c>
      <c r="X376">
        <f t="shared" si="70"/>
        <v>130.93488000000002</v>
      </c>
      <c r="Y376">
        <f t="shared" si="71"/>
        <v>34.257599999999996</v>
      </c>
      <c r="Z376">
        <f t="shared" si="72"/>
        <v>155.00643839999995</v>
      </c>
      <c r="AA376">
        <f t="shared" si="73"/>
        <v>109.0086336</v>
      </c>
      <c r="AB376">
        <f t="shared" si="74"/>
        <v>78.560928000000004</v>
      </c>
      <c r="AC376" t="b">
        <f t="shared" si="75"/>
        <v>1</v>
      </c>
      <c r="AD376" t="b">
        <f t="shared" si="76"/>
        <v>1</v>
      </c>
    </row>
    <row r="377" spans="1:30" x14ac:dyDescent="0.35">
      <c r="A377" t="s">
        <v>33</v>
      </c>
      <c r="B377">
        <v>8</v>
      </c>
      <c r="C377">
        <v>2</v>
      </c>
      <c r="D377" t="s">
        <v>32</v>
      </c>
      <c r="E377">
        <v>2</v>
      </c>
      <c r="F377">
        <v>1</v>
      </c>
      <c r="G377" s="16">
        <v>54</v>
      </c>
      <c r="H377" s="16">
        <v>17.231999999999999</v>
      </c>
      <c r="I377" s="16">
        <v>1705</v>
      </c>
      <c r="J377" s="16">
        <v>20.094999999999999</v>
      </c>
      <c r="K377" s="16">
        <v>54.072000000000003</v>
      </c>
      <c r="L377" s="16">
        <v>0.22900000000000001</v>
      </c>
      <c r="M377" s="23">
        <v>390.72</v>
      </c>
      <c r="N377" s="16">
        <v>2.9510000000000001</v>
      </c>
      <c r="O377" s="17">
        <v>7.2359999999999998</v>
      </c>
      <c r="P377" s="18">
        <v>54</v>
      </c>
      <c r="Q377" s="18">
        <v>20.094999999999999</v>
      </c>
      <c r="R377" s="18">
        <v>219.816</v>
      </c>
      <c r="S377" s="18">
        <v>170.904</v>
      </c>
      <c r="T377" s="14" t="b">
        <f t="shared" si="67"/>
        <v>1</v>
      </c>
      <c r="U377" s="14" t="b">
        <f t="shared" si="68"/>
        <v>1</v>
      </c>
      <c r="V377" s="15">
        <f>VLOOKUP(IF(J377&lt;10, 10, IF(J377&gt;50,50,J377)),'Over to underbark'!$A$3:$C$43,IF(A377="Scots pine",3,IF(A377="Sitka spruce",2, "error")),TRUE)/100</f>
        <v>0.9</v>
      </c>
      <c r="W377">
        <f t="shared" si="69"/>
        <v>178.05096000000003</v>
      </c>
      <c r="X377">
        <f t="shared" si="70"/>
        <v>138.43224000000001</v>
      </c>
      <c r="Y377">
        <f t="shared" si="71"/>
        <v>35.164799999999993</v>
      </c>
      <c r="Z377">
        <f t="shared" si="72"/>
        <v>157.4186832</v>
      </c>
      <c r="AA377">
        <f t="shared" si="73"/>
        <v>111.16997280000001</v>
      </c>
      <c r="AB377">
        <f t="shared" si="74"/>
        <v>83.059343999999996</v>
      </c>
      <c r="AC377" t="b">
        <f t="shared" si="75"/>
        <v>1</v>
      </c>
      <c r="AD377" t="b">
        <f t="shared" si="76"/>
        <v>1</v>
      </c>
    </row>
    <row r="378" spans="1:30" x14ac:dyDescent="0.35">
      <c r="A378" t="s">
        <v>33</v>
      </c>
      <c r="B378">
        <v>8</v>
      </c>
      <c r="C378">
        <v>2</v>
      </c>
      <c r="D378" t="s">
        <v>32</v>
      </c>
      <c r="E378">
        <v>2</v>
      </c>
      <c r="F378">
        <v>1</v>
      </c>
      <c r="G378" s="16">
        <v>55</v>
      </c>
      <c r="H378" s="16">
        <v>17.5</v>
      </c>
      <c r="I378" s="16">
        <v>1681</v>
      </c>
      <c r="J378" s="16">
        <v>20.329999999999998</v>
      </c>
      <c r="K378" s="16">
        <v>54.567</v>
      </c>
      <c r="L378" s="16">
        <v>0.23799999999999999</v>
      </c>
      <c r="M378" s="23">
        <v>400.8</v>
      </c>
      <c r="N378" s="16">
        <v>3.1179999999999999</v>
      </c>
      <c r="O378" s="17">
        <v>7.2869999999999999</v>
      </c>
      <c r="P378" s="18">
        <v>55</v>
      </c>
      <c r="Q378" s="18">
        <v>20.329999999999998</v>
      </c>
      <c r="R378" s="18">
        <v>220.38200000000001</v>
      </c>
      <c r="S378" s="18">
        <v>180.41800000000001</v>
      </c>
      <c r="T378" s="14" t="b">
        <f t="shared" si="67"/>
        <v>1</v>
      </c>
      <c r="U378" s="14" t="b">
        <f t="shared" si="68"/>
        <v>1</v>
      </c>
      <c r="V378" s="15">
        <f>VLOOKUP(IF(J378&lt;10, 10, IF(J378&gt;50,50,J378)),'Over to underbark'!$A$3:$C$43,IF(A378="Scots pine",3,IF(A378="Sitka spruce",2, "error")),TRUE)/100</f>
        <v>0.9</v>
      </c>
      <c r="W378">
        <f t="shared" si="69"/>
        <v>178.50942000000001</v>
      </c>
      <c r="X378">
        <f t="shared" si="70"/>
        <v>146.13858000000002</v>
      </c>
      <c r="Y378">
        <f t="shared" si="71"/>
        <v>36.071999999999996</v>
      </c>
      <c r="Z378">
        <f t="shared" si="72"/>
        <v>159.74315639999998</v>
      </c>
      <c r="AA378">
        <f t="shared" si="73"/>
        <v>113.29369560000001</v>
      </c>
      <c r="AB378">
        <f t="shared" si="74"/>
        <v>87.683148000000003</v>
      </c>
      <c r="AC378" t="b">
        <f t="shared" si="75"/>
        <v>1</v>
      </c>
      <c r="AD378" t="b">
        <f t="shared" si="76"/>
        <v>1</v>
      </c>
    </row>
    <row r="379" spans="1:30" x14ac:dyDescent="0.35">
      <c r="A379" t="s">
        <v>33</v>
      </c>
      <c r="B379">
        <v>8</v>
      </c>
      <c r="C379">
        <v>2</v>
      </c>
      <c r="D379" t="s">
        <v>32</v>
      </c>
      <c r="E379">
        <v>2</v>
      </c>
      <c r="F379">
        <v>1</v>
      </c>
      <c r="G379" s="16">
        <v>56</v>
      </c>
      <c r="H379" s="16">
        <v>17.728000000000002</v>
      </c>
      <c r="I379" s="16">
        <v>1661</v>
      </c>
      <c r="J379" s="16">
        <v>20.524000000000001</v>
      </c>
      <c r="K379" s="16">
        <v>54.953000000000003</v>
      </c>
      <c r="L379" s="16">
        <v>0.246</v>
      </c>
      <c r="M379" s="23">
        <v>409.34</v>
      </c>
      <c r="N379" s="16">
        <v>3.3479999999999999</v>
      </c>
      <c r="O379" s="17">
        <v>7.31</v>
      </c>
      <c r="P379" s="18">
        <v>56</v>
      </c>
      <c r="Q379" s="18">
        <v>20.524000000000001</v>
      </c>
      <c r="R379" s="18">
        <v>220.82499999999999</v>
      </c>
      <c r="S379" s="18">
        <v>188.51499999999999</v>
      </c>
      <c r="T379" s="14" t="b">
        <f t="shared" si="67"/>
        <v>1</v>
      </c>
      <c r="U379" s="14" t="b">
        <f t="shared" si="68"/>
        <v>1</v>
      </c>
      <c r="V379" s="15">
        <f>VLOOKUP(IF(J379&lt;10, 10, IF(J379&gt;50,50,J379)),'Over to underbark'!$A$3:$C$43,IF(A379="Scots pine",3,IF(A379="Sitka spruce",2, "error")),TRUE)/100</f>
        <v>0.9</v>
      </c>
      <c r="W379">
        <f t="shared" si="69"/>
        <v>178.86825000000002</v>
      </c>
      <c r="X379">
        <f t="shared" si="70"/>
        <v>152.69714999999999</v>
      </c>
      <c r="Y379">
        <f t="shared" si="71"/>
        <v>36.840599999999995</v>
      </c>
      <c r="Z379">
        <f t="shared" si="72"/>
        <v>161.700075</v>
      </c>
      <c r="AA379">
        <f t="shared" si="73"/>
        <v>115.08763500000001</v>
      </c>
      <c r="AB379">
        <f t="shared" si="74"/>
        <v>91.618289999999988</v>
      </c>
      <c r="AC379" t="b">
        <f t="shared" si="75"/>
        <v>1</v>
      </c>
      <c r="AD379" t="b">
        <f t="shared" si="76"/>
        <v>1</v>
      </c>
    </row>
    <row r="380" spans="1:30" x14ac:dyDescent="0.35">
      <c r="A380" t="s">
        <v>33</v>
      </c>
      <c r="B380">
        <v>8</v>
      </c>
      <c r="C380">
        <v>2</v>
      </c>
      <c r="D380" t="s">
        <v>32</v>
      </c>
      <c r="E380">
        <v>2</v>
      </c>
      <c r="F380">
        <v>1</v>
      </c>
      <c r="G380" s="16">
        <v>57</v>
      </c>
      <c r="H380" s="16">
        <v>17.956</v>
      </c>
      <c r="I380" s="16">
        <v>1641</v>
      </c>
      <c r="J380" s="16">
        <v>20.721</v>
      </c>
      <c r="K380" s="16">
        <v>55.338000000000001</v>
      </c>
      <c r="L380" s="16">
        <v>0.255</v>
      </c>
      <c r="M380" s="23">
        <v>417.88</v>
      </c>
      <c r="N380" s="16">
        <v>3.5680000000000001</v>
      </c>
      <c r="O380" s="17">
        <v>7.3310000000000004</v>
      </c>
      <c r="P380" s="18">
        <v>57</v>
      </c>
      <c r="Q380" s="18">
        <v>20.721</v>
      </c>
      <c r="R380" s="18">
        <v>221.07400000000001</v>
      </c>
      <c r="S380" s="18">
        <v>196.80600000000001</v>
      </c>
      <c r="T380" s="14" t="b">
        <f t="shared" si="67"/>
        <v>1</v>
      </c>
      <c r="U380" s="14" t="b">
        <f t="shared" si="68"/>
        <v>1</v>
      </c>
      <c r="V380" s="15">
        <f>VLOOKUP(IF(J380&lt;10, 10, IF(J380&gt;50,50,J380)),'Over to underbark'!$A$3:$C$43,IF(A380="Scots pine",3,IF(A380="Sitka spruce",2, "error")),TRUE)/100</f>
        <v>0.9</v>
      </c>
      <c r="W380">
        <f t="shared" si="69"/>
        <v>179.06994000000003</v>
      </c>
      <c r="X380">
        <f t="shared" si="70"/>
        <v>159.41286000000002</v>
      </c>
      <c r="Y380">
        <f t="shared" si="71"/>
        <v>37.609199999999987</v>
      </c>
      <c r="Z380">
        <f t="shared" si="72"/>
        <v>163.5909948</v>
      </c>
      <c r="AA380">
        <f t="shared" si="73"/>
        <v>116.85328920000002</v>
      </c>
      <c r="AB380">
        <f t="shared" si="74"/>
        <v>95.647716000000017</v>
      </c>
      <c r="AC380" t="b">
        <f t="shared" si="75"/>
        <v>1</v>
      </c>
      <c r="AD380" t="b">
        <f t="shared" si="76"/>
        <v>1</v>
      </c>
    </row>
    <row r="381" spans="1:30" x14ac:dyDescent="0.35">
      <c r="A381" t="s">
        <v>33</v>
      </c>
      <c r="B381">
        <v>8</v>
      </c>
      <c r="C381">
        <v>2</v>
      </c>
      <c r="D381" t="s">
        <v>32</v>
      </c>
      <c r="E381">
        <v>2</v>
      </c>
      <c r="F381">
        <v>1</v>
      </c>
      <c r="G381" s="16">
        <v>58</v>
      </c>
      <c r="H381" s="16">
        <v>18.184000000000001</v>
      </c>
      <c r="I381" s="16">
        <v>1621</v>
      </c>
      <c r="J381" s="16">
        <v>20.920999999999999</v>
      </c>
      <c r="K381" s="16">
        <v>55.722999999999999</v>
      </c>
      <c r="L381" s="16">
        <v>0.26300000000000001</v>
      </c>
      <c r="M381" s="23">
        <v>426.42</v>
      </c>
      <c r="N381" s="16">
        <v>3.7770000000000001</v>
      </c>
      <c r="O381" s="17">
        <v>7.3520000000000003</v>
      </c>
      <c r="P381" s="18">
        <v>58</v>
      </c>
      <c r="Q381" s="18">
        <v>20.920999999999999</v>
      </c>
      <c r="R381" s="18">
        <v>221.131</v>
      </c>
      <c r="S381" s="18">
        <v>205.28899999999999</v>
      </c>
      <c r="T381" s="14" t="b">
        <f t="shared" si="67"/>
        <v>1</v>
      </c>
      <c r="U381" s="14" t="b">
        <f t="shared" si="68"/>
        <v>1</v>
      </c>
      <c r="V381" s="15">
        <f>VLOOKUP(IF(J381&lt;10, 10, IF(J381&gt;50,50,J381)),'Over to underbark'!$A$3:$C$43,IF(A381="Scots pine",3,IF(A381="Sitka spruce",2, "error")),TRUE)/100</f>
        <v>0.9</v>
      </c>
      <c r="W381">
        <f t="shared" si="69"/>
        <v>179.11610999999999</v>
      </c>
      <c r="X381">
        <f t="shared" si="70"/>
        <v>166.28408999999999</v>
      </c>
      <c r="Y381">
        <f t="shared" si="71"/>
        <v>38.377799999999986</v>
      </c>
      <c r="Z381">
        <f t="shared" si="72"/>
        <v>165.41659619999996</v>
      </c>
      <c r="AA381">
        <f t="shared" si="73"/>
        <v>118.59094979999999</v>
      </c>
      <c r="AB381">
        <f t="shared" si="74"/>
        <v>99.770453999999987</v>
      </c>
      <c r="AC381" t="b">
        <f t="shared" si="75"/>
        <v>1</v>
      </c>
      <c r="AD381" t="b">
        <f t="shared" si="76"/>
        <v>1</v>
      </c>
    </row>
    <row r="382" spans="1:30" x14ac:dyDescent="0.35">
      <c r="A382" t="s">
        <v>33</v>
      </c>
      <c r="B382">
        <v>8</v>
      </c>
      <c r="C382">
        <v>2</v>
      </c>
      <c r="D382" t="s">
        <v>32</v>
      </c>
      <c r="E382">
        <v>2</v>
      </c>
      <c r="F382">
        <v>1</v>
      </c>
      <c r="G382" s="16">
        <v>59</v>
      </c>
      <c r="H382" s="16">
        <v>18.411999999999999</v>
      </c>
      <c r="I382" s="16">
        <v>1601</v>
      </c>
      <c r="J382" s="16">
        <v>21.123999999999999</v>
      </c>
      <c r="K382" s="16">
        <v>56.109000000000002</v>
      </c>
      <c r="L382" s="16">
        <v>0.27200000000000002</v>
      </c>
      <c r="M382" s="23">
        <v>434.96</v>
      </c>
      <c r="N382" s="16">
        <v>3.9780000000000002</v>
      </c>
      <c r="O382" s="17">
        <v>7.3719999999999999</v>
      </c>
      <c r="P382" s="18">
        <v>59</v>
      </c>
      <c r="Q382" s="18">
        <v>21.123999999999999</v>
      </c>
      <c r="R382" s="18">
        <v>220.999</v>
      </c>
      <c r="S382" s="18">
        <v>213.96100000000001</v>
      </c>
      <c r="T382" s="14" t="b">
        <f t="shared" si="67"/>
        <v>1</v>
      </c>
      <c r="U382" s="14" t="b">
        <f t="shared" si="68"/>
        <v>1</v>
      </c>
      <c r="V382" s="15">
        <f>VLOOKUP(IF(J382&lt;10, 10, IF(J382&gt;50,50,J382)),'Over to underbark'!$A$3:$C$43,IF(A382="Scots pine",3,IF(A382="Sitka spruce",2, "error")),TRUE)/100</f>
        <v>0.9</v>
      </c>
      <c r="W382">
        <f t="shared" si="69"/>
        <v>179.00919000000002</v>
      </c>
      <c r="X382">
        <f t="shared" si="70"/>
        <v>173.30841000000004</v>
      </c>
      <c r="Y382">
        <f t="shared" si="71"/>
        <v>39.1464</v>
      </c>
      <c r="Z382">
        <f t="shared" si="72"/>
        <v>167.17789980000001</v>
      </c>
      <c r="AA382">
        <f t="shared" si="73"/>
        <v>120.30105420000001</v>
      </c>
      <c r="AB382">
        <f t="shared" si="74"/>
        <v>103.98504600000003</v>
      </c>
      <c r="AC382" t="b">
        <f t="shared" si="75"/>
        <v>1</v>
      </c>
      <c r="AD382" t="b">
        <f t="shared" si="76"/>
        <v>1</v>
      </c>
    </row>
    <row r="383" spans="1:30" x14ac:dyDescent="0.35">
      <c r="A383" t="s">
        <v>33</v>
      </c>
      <c r="B383">
        <v>8</v>
      </c>
      <c r="C383">
        <v>2</v>
      </c>
      <c r="D383" t="s">
        <v>32</v>
      </c>
      <c r="E383">
        <v>2</v>
      </c>
      <c r="F383">
        <v>1</v>
      </c>
      <c r="G383" s="16">
        <v>60</v>
      </c>
      <c r="H383" s="16">
        <v>18.64</v>
      </c>
      <c r="I383" s="16">
        <v>1581</v>
      </c>
      <c r="J383" s="16">
        <v>21.33</v>
      </c>
      <c r="K383" s="16">
        <v>56.494</v>
      </c>
      <c r="L383" s="16">
        <v>0.28100000000000003</v>
      </c>
      <c r="M383" s="23">
        <v>443.5</v>
      </c>
      <c r="N383" s="16">
        <v>4.17</v>
      </c>
      <c r="O383" s="17">
        <v>7.3920000000000003</v>
      </c>
      <c r="P383" s="18">
        <v>60</v>
      </c>
      <c r="Q383" s="18">
        <v>21.33</v>
      </c>
      <c r="R383" s="18">
        <v>220.68</v>
      </c>
      <c r="S383" s="18">
        <v>222.82</v>
      </c>
      <c r="T383" s="14" t="b">
        <f t="shared" si="67"/>
        <v>1</v>
      </c>
      <c r="U383" s="14" t="b">
        <f t="shared" si="68"/>
        <v>1</v>
      </c>
      <c r="V383" s="15">
        <f>VLOOKUP(IF(J383&lt;10, 10, IF(J383&gt;50,50,J383)),'Over to underbark'!$A$3:$C$43,IF(A383="Scots pine",3,IF(A383="Sitka spruce",2, "error")),TRUE)/100</f>
        <v>0.9</v>
      </c>
      <c r="W383">
        <f t="shared" si="69"/>
        <v>178.75080000000003</v>
      </c>
      <c r="X383">
        <f t="shared" si="70"/>
        <v>180.48420000000002</v>
      </c>
      <c r="Y383">
        <f t="shared" si="71"/>
        <v>39.914999999999992</v>
      </c>
      <c r="Z383">
        <f t="shared" si="72"/>
        <v>168.875586</v>
      </c>
      <c r="AA383">
        <f t="shared" si="73"/>
        <v>121.98389400000002</v>
      </c>
      <c r="AB383">
        <f t="shared" si="74"/>
        <v>108.29052</v>
      </c>
      <c r="AC383" t="b">
        <f t="shared" si="75"/>
        <v>1</v>
      </c>
      <c r="AD383" t="b">
        <f t="shared" si="76"/>
        <v>1</v>
      </c>
    </row>
    <row r="384" spans="1:30" x14ac:dyDescent="0.35">
      <c r="A384" t="s">
        <v>33</v>
      </c>
      <c r="B384">
        <v>8</v>
      </c>
      <c r="C384">
        <v>2</v>
      </c>
      <c r="D384" t="s">
        <v>32</v>
      </c>
      <c r="E384">
        <v>2</v>
      </c>
      <c r="F384">
        <v>1</v>
      </c>
      <c r="G384" s="16">
        <v>61</v>
      </c>
      <c r="H384" s="16">
        <v>18.827999999999999</v>
      </c>
      <c r="I384" s="16">
        <v>1564</v>
      </c>
      <c r="J384" s="16">
        <v>21.507000000000001</v>
      </c>
      <c r="K384" s="16">
        <v>56.816000000000003</v>
      </c>
      <c r="L384" s="16">
        <v>0.28799999999999998</v>
      </c>
      <c r="M384" s="23">
        <v>450.56</v>
      </c>
      <c r="N384" s="16">
        <v>4.4050000000000002</v>
      </c>
      <c r="O384" s="17">
        <v>7.3860000000000001</v>
      </c>
      <c r="P384" s="18">
        <v>61</v>
      </c>
      <c r="Q384" s="18">
        <v>21.507000000000001</v>
      </c>
      <c r="R384" s="18">
        <v>220.178</v>
      </c>
      <c r="S384" s="18">
        <v>230.38200000000001</v>
      </c>
      <c r="T384" s="14" t="b">
        <f t="shared" si="67"/>
        <v>1</v>
      </c>
      <c r="U384" s="14" t="b">
        <f t="shared" si="68"/>
        <v>1</v>
      </c>
      <c r="V384" s="15">
        <f>VLOOKUP(IF(J384&lt;10, 10, IF(J384&gt;50,50,J384)),'Over to underbark'!$A$3:$C$43,IF(A384="Scots pine",3,IF(A384="Sitka spruce",2, "error")),TRUE)/100</f>
        <v>0.9</v>
      </c>
      <c r="W384">
        <f t="shared" si="69"/>
        <v>178.34417999999999</v>
      </c>
      <c r="X384">
        <f t="shared" si="70"/>
        <v>186.60942000000003</v>
      </c>
      <c r="Y384">
        <f t="shared" si="71"/>
        <v>40.550399999999996</v>
      </c>
      <c r="Z384">
        <f t="shared" si="72"/>
        <v>170.19799559999998</v>
      </c>
      <c r="AA384">
        <f t="shared" si="73"/>
        <v>123.3403524</v>
      </c>
      <c r="AB384">
        <f t="shared" si="74"/>
        <v>111.96565200000002</v>
      </c>
      <c r="AC384" t="b">
        <f t="shared" si="75"/>
        <v>1</v>
      </c>
      <c r="AD384" t="b">
        <f t="shared" si="76"/>
        <v>1</v>
      </c>
    </row>
    <row r="385" spans="1:30" x14ac:dyDescent="0.35">
      <c r="A385" t="s">
        <v>33</v>
      </c>
      <c r="B385">
        <v>8</v>
      </c>
      <c r="C385">
        <v>2</v>
      </c>
      <c r="D385" t="s">
        <v>32</v>
      </c>
      <c r="E385">
        <v>2</v>
      </c>
      <c r="F385">
        <v>1</v>
      </c>
      <c r="G385" s="16">
        <v>62</v>
      </c>
      <c r="H385" s="16">
        <v>19.015999999999998</v>
      </c>
      <c r="I385" s="16">
        <v>1547</v>
      </c>
      <c r="J385" s="16">
        <v>21.686</v>
      </c>
      <c r="K385" s="16">
        <v>57.137</v>
      </c>
      <c r="L385" s="16">
        <v>0.29599999999999999</v>
      </c>
      <c r="M385" s="23">
        <v>457.62</v>
      </c>
      <c r="N385" s="16">
        <v>4.6310000000000002</v>
      </c>
      <c r="O385" s="17">
        <v>7.3810000000000002</v>
      </c>
      <c r="P385" s="18">
        <v>62</v>
      </c>
      <c r="Q385" s="18">
        <v>21.686</v>
      </c>
      <c r="R385" s="18">
        <v>219.554</v>
      </c>
      <c r="S385" s="18">
        <v>238.066</v>
      </c>
      <c r="T385" s="14" t="b">
        <f t="shared" si="67"/>
        <v>1</v>
      </c>
      <c r="U385" s="14" t="b">
        <f t="shared" si="68"/>
        <v>1</v>
      </c>
      <c r="V385" s="15">
        <f>VLOOKUP(IF(J385&lt;10, 10, IF(J385&gt;50,50,J385)),'Over to underbark'!$A$3:$C$43,IF(A385="Scots pine",3,IF(A385="Sitka spruce",2, "error")),TRUE)/100</f>
        <v>0.9</v>
      </c>
      <c r="W385">
        <f t="shared" si="69"/>
        <v>177.83874</v>
      </c>
      <c r="X385">
        <f t="shared" si="70"/>
        <v>192.83346</v>
      </c>
      <c r="Y385">
        <f t="shared" si="71"/>
        <v>41.185799999999993</v>
      </c>
      <c r="Z385">
        <f t="shared" si="72"/>
        <v>171.47890079999999</v>
      </c>
      <c r="AA385">
        <f t="shared" si="73"/>
        <v>124.6790232</v>
      </c>
      <c r="AB385">
        <f t="shared" si="74"/>
        <v>115.700076</v>
      </c>
      <c r="AC385" t="b">
        <f t="shared" si="75"/>
        <v>1</v>
      </c>
      <c r="AD385" t="b">
        <f t="shared" si="76"/>
        <v>1</v>
      </c>
    </row>
    <row r="386" spans="1:30" x14ac:dyDescent="0.35">
      <c r="A386" t="s">
        <v>33</v>
      </c>
      <c r="B386">
        <v>8</v>
      </c>
      <c r="C386">
        <v>2</v>
      </c>
      <c r="D386" t="s">
        <v>32</v>
      </c>
      <c r="E386">
        <v>2</v>
      </c>
      <c r="F386">
        <v>1</v>
      </c>
      <c r="G386" s="16">
        <v>63</v>
      </c>
      <c r="H386" s="16">
        <v>19.204000000000001</v>
      </c>
      <c r="I386" s="16">
        <v>1530</v>
      </c>
      <c r="J386" s="16">
        <v>21.867000000000001</v>
      </c>
      <c r="K386" s="16">
        <v>57.459000000000003</v>
      </c>
      <c r="L386" s="16">
        <v>0.30399999999999999</v>
      </c>
      <c r="M386" s="23">
        <v>464.68</v>
      </c>
      <c r="N386" s="16">
        <v>4.8490000000000002</v>
      </c>
      <c r="O386" s="17">
        <v>7.3760000000000003</v>
      </c>
      <c r="P386" s="18">
        <v>63</v>
      </c>
      <c r="Q386" s="18">
        <v>21.867000000000001</v>
      </c>
      <c r="R386" s="18">
        <v>218.809</v>
      </c>
      <c r="S386" s="18">
        <v>245.87100000000001</v>
      </c>
      <c r="T386" s="14" t="b">
        <f t="shared" si="67"/>
        <v>1</v>
      </c>
      <c r="U386" s="14" t="b">
        <f t="shared" si="68"/>
        <v>1</v>
      </c>
      <c r="V386" s="15">
        <f>VLOOKUP(IF(J386&lt;10, 10, IF(J386&gt;50,50,J386)),'Over to underbark'!$A$3:$C$43,IF(A386="Scots pine",3,IF(A386="Sitka spruce",2, "error")),TRUE)/100</f>
        <v>0.9</v>
      </c>
      <c r="W386">
        <f t="shared" si="69"/>
        <v>177.23528999999999</v>
      </c>
      <c r="X386">
        <f t="shared" si="70"/>
        <v>199.15551000000002</v>
      </c>
      <c r="Y386">
        <f t="shared" si="71"/>
        <v>41.82119999999999</v>
      </c>
      <c r="Z386">
        <f t="shared" si="72"/>
        <v>172.71864179999997</v>
      </c>
      <c r="AA386">
        <f t="shared" si="73"/>
        <v>126.0000522</v>
      </c>
      <c r="AB386">
        <f t="shared" si="74"/>
        <v>119.493306</v>
      </c>
      <c r="AC386" t="b">
        <f t="shared" si="75"/>
        <v>1</v>
      </c>
      <c r="AD386" t="b">
        <f t="shared" si="76"/>
        <v>1</v>
      </c>
    </row>
    <row r="387" spans="1:30" x14ac:dyDescent="0.35">
      <c r="A387" t="s">
        <v>33</v>
      </c>
      <c r="B387">
        <v>8</v>
      </c>
      <c r="C387">
        <v>2</v>
      </c>
      <c r="D387" t="s">
        <v>32</v>
      </c>
      <c r="E387">
        <v>2</v>
      </c>
      <c r="F387">
        <v>1</v>
      </c>
      <c r="G387" s="16">
        <v>64</v>
      </c>
      <c r="H387" s="16">
        <v>19.391999999999999</v>
      </c>
      <c r="I387" s="16">
        <v>1513</v>
      </c>
      <c r="J387" s="16">
        <v>22.050999999999998</v>
      </c>
      <c r="K387" s="16">
        <v>57.78</v>
      </c>
      <c r="L387" s="16">
        <v>0.312</v>
      </c>
      <c r="M387" s="23">
        <v>471.74</v>
      </c>
      <c r="N387" s="16">
        <v>5.0599999999999996</v>
      </c>
      <c r="O387" s="17">
        <v>7.3710000000000004</v>
      </c>
      <c r="P387" s="18">
        <v>64</v>
      </c>
      <c r="Q387" s="18">
        <v>22.050999999999998</v>
      </c>
      <c r="R387" s="18">
        <v>217.92400000000001</v>
      </c>
      <c r="S387" s="18">
        <v>253.816</v>
      </c>
      <c r="T387" s="14" t="b">
        <f t="shared" si="67"/>
        <v>1</v>
      </c>
      <c r="U387" s="14" t="b">
        <f t="shared" si="68"/>
        <v>1</v>
      </c>
      <c r="V387" s="15">
        <f>VLOOKUP(IF(J387&lt;10, 10, IF(J387&gt;50,50,J387)),'Over to underbark'!$A$3:$C$43,IF(A387="Scots pine",3,IF(A387="Sitka spruce",2, "error")),TRUE)/100</f>
        <v>0.9</v>
      </c>
      <c r="W387">
        <f t="shared" si="69"/>
        <v>176.51844000000003</v>
      </c>
      <c r="X387">
        <f t="shared" si="70"/>
        <v>205.59096000000002</v>
      </c>
      <c r="Y387">
        <f t="shared" si="71"/>
        <v>42.456599999999995</v>
      </c>
      <c r="Z387">
        <f t="shared" si="72"/>
        <v>173.91075480000001</v>
      </c>
      <c r="AA387">
        <f t="shared" si="73"/>
        <v>127.30066920000002</v>
      </c>
      <c r="AB387">
        <f t="shared" si="74"/>
        <v>123.35457600000001</v>
      </c>
      <c r="AC387" t="b">
        <f t="shared" si="75"/>
        <v>1</v>
      </c>
      <c r="AD387" t="b">
        <f t="shared" si="76"/>
        <v>1</v>
      </c>
    </row>
    <row r="388" spans="1:30" x14ac:dyDescent="0.35">
      <c r="A388" t="s">
        <v>33</v>
      </c>
      <c r="B388">
        <v>8</v>
      </c>
      <c r="C388">
        <v>2</v>
      </c>
      <c r="D388" t="s">
        <v>32</v>
      </c>
      <c r="E388">
        <v>2</v>
      </c>
      <c r="F388">
        <v>1</v>
      </c>
      <c r="G388" s="16">
        <v>65</v>
      </c>
      <c r="H388" s="16">
        <v>19.579999999999998</v>
      </c>
      <c r="I388" s="16">
        <v>1497</v>
      </c>
      <c r="J388" s="16">
        <v>22.23</v>
      </c>
      <c r="K388" s="16">
        <v>58.101999999999997</v>
      </c>
      <c r="L388" s="16">
        <v>0.32</v>
      </c>
      <c r="M388" s="23">
        <v>478.8</v>
      </c>
      <c r="N388" s="16">
        <v>5.2629999999999999</v>
      </c>
      <c r="O388" s="17">
        <v>7.3659999999999997</v>
      </c>
      <c r="P388" s="18">
        <v>65</v>
      </c>
      <c r="Q388" s="18">
        <v>22.23</v>
      </c>
      <c r="R388" s="18">
        <v>217.08199999999999</v>
      </c>
      <c r="S388" s="18">
        <v>261.71800000000002</v>
      </c>
      <c r="T388" s="14" t="b">
        <f t="shared" si="67"/>
        <v>1</v>
      </c>
      <c r="U388" s="14" t="b">
        <f t="shared" si="68"/>
        <v>1</v>
      </c>
      <c r="V388" s="15">
        <f>VLOOKUP(IF(J388&lt;10, 10, IF(J388&gt;50,50,J388)),'Over to underbark'!$A$3:$C$43,IF(A388="Scots pine",3,IF(A388="Sitka spruce",2, "error")),TRUE)/100</f>
        <v>0.9</v>
      </c>
      <c r="W388">
        <f t="shared" si="69"/>
        <v>175.83642</v>
      </c>
      <c r="X388">
        <f t="shared" si="70"/>
        <v>211.99158000000003</v>
      </c>
      <c r="Y388">
        <f t="shared" si="71"/>
        <v>43.091999999999992</v>
      </c>
      <c r="Z388">
        <f t="shared" si="72"/>
        <v>175.11749639999999</v>
      </c>
      <c r="AA388">
        <f t="shared" si="73"/>
        <v>128.60755560000001</v>
      </c>
      <c r="AB388">
        <f t="shared" si="74"/>
        <v>127.19494800000001</v>
      </c>
      <c r="AC388" t="b">
        <f t="shared" si="75"/>
        <v>1</v>
      </c>
      <c r="AD388" t="b">
        <f t="shared" si="76"/>
        <v>1</v>
      </c>
    </row>
    <row r="389" spans="1:30" x14ac:dyDescent="0.35">
      <c r="A389" t="s">
        <v>33</v>
      </c>
      <c r="B389">
        <v>8</v>
      </c>
      <c r="C389">
        <v>2</v>
      </c>
      <c r="D389" t="s">
        <v>32</v>
      </c>
      <c r="E389">
        <v>2</v>
      </c>
      <c r="F389">
        <v>1</v>
      </c>
      <c r="G389" s="16">
        <v>66</v>
      </c>
      <c r="H389" s="16">
        <v>19.736000000000001</v>
      </c>
      <c r="I389" s="16">
        <v>1483</v>
      </c>
      <c r="J389" s="16">
        <v>22.382000000000001</v>
      </c>
      <c r="K389" s="16">
        <v>58.35</v>
      </c>
      <c r="L389" s="16">
        <v>0.32700000000000001</v>
      </c>
      <c r="M389" s="23">
        <v>484.54</v>
      </c>
      <c r="N389" s="16">
        <v>5.4960000000000004</v>
      </c>
      <c r="O389" s="17">
        <v>7.3419999999999996</v>
      </c>
      <c r="P389" s="18">
        <v>66</v>
      </c>
      <c r="Q389" s="18">
        <v>22.382000000000001</v>
      </c>
      <c r="R389" s="18">
        <v>216.202</v>
      </c>
      <c r="S389" s="18">
        <v>268.33800000000002</v>
      </c>
      <c r="T389" s="14" t="b">
        <f t="shared" si="67"/>
        <v>1</v>
      </c>
      <c r="U389" s="14" t="b">
        <f t="shared" si="68"/>
        <v>1</v>
      </c>
      <c r="V389" s="15">
        <f>VLOOKUP(IF(J389&lt;10, 10, IF(J389&gt;50,50,J389)),'Over to underbark'!$A$3:$C$43,IF(A389="Scots pine",3,IF(A389="Sitka spruce",2, "error")),TRUE)/100</f>
        <v>0.9</v>
      </c>
      <c r="W389">
        <f t="shared" si="69"/>
        <v>175.12362000000002</v>
      </c>
      <c r="X389">
        <f t="shared" si="70"/>
        <v>217.35378000000003</v>
      </c>
      <c r="Y389">
        <f t="shared" si="71"/>
        <v>43.608599999999988</v>
      </c>
      <c r="Z389">
        <f t="shared" si="72"/>
        <v>176.0321304</v>
      </c>
      <c r="AA389">
        <f t="shared" si="73"/>
        <v>129.6416016</v>
      </c>
      <c r="AB389">
        <f t="shared" si="74"/>
        <v>130.41226800000001</v>
      </c>
      <c r="AC389" t="b">
        <f t="shared" si="75"/>
        <v>1</v>
      </c>
      <c r="AD389" t="b">
        <f t="shared" si="76"/>
        <v>1</v>
      </c>
    </row>
    <row r="390" spans="1:30" x14ac:dyDescent="0.35">
      <c r="A390" t="s">
        <v>33</v>
      </c>
      <c r="B390">
        <v>8</v>
      </c>
      <c r="C390">
        <v>2</v>
      </c>
      <c r="D390" t="s">
        <v>32</v>
      </c>
      <c r="E390">
        <v>2</v>
      </c>
      <c r="F390">
        <v>1</v>
      </c>
      <c r="G390" s="16">
        <v>67</v>
      </c>
      <c r="H390" s="16">
        <v>19.891999999999999</v>
      </c>
      <c r="I390" s="16">
        <v>1469</v>
      </c>
      <c r="J390" s="16">
        <v>22.536000000000001</v>
      </c>
      <c r="K390" s="16">
        <v>58.597000000000001</v>
      </c>
      <c r="L390" s="16">
        <v>0.33400000000000002</v>
      </c>
      <c r="M390" s="23">
        <v>490.28</v>
      </c>
      <c r="N390" s="16">
        <v>5.7229999999999999</v>
      </c>
      <c r="O390" s="17">
        <v>7.3179999999999996</v>
      </c>
      <c r="P390" s="18">
        <v>67</v>
      </c>
      <c r="Q390" s="18">
        <v>22.536000000000001</v>
      </c>
      <c r="R390" s="18">
        <v>215.233</v>
      </c>
      <c r="S390" s="18">
        <v>275.04700000000003</v>
      </c>
      <c r="T390" s="14" t="b">
        <f t="shared" si="67"/>
        <v>1</v>
      </c>
      <c r="U390" s="14" t="b">
        <f t="shared" si="68"/>
        <v>1</v>
      </c>
      <c r="V390" s="15">
        <f>VLOOKUP(IF(J390&lt;10, 10, IF(J390&gt;50,50,J390)),'Over to underbark'!$A$3:$C$43,IF(A390="Scots pine",3,IF(A390="Sitka spruce",2, "error")),TRUE)/100</f>
        <v>0.9</v>
      </c>
      <c r="W390">
        <f t="shared" si="69"/>
        <v>174.33873</v>
      </c>
      <c r="X390">
        <f t="shared" si="70"/>
        <v>222.78807000000003</v>
      </c>
      <c r="Y390">
        <f t="shared" si="71"/>
        <v>44.125199999999992</v>
      </c>
      <c r="Z390">
        <f t="shared" si="72"/>
        <v>176.91648659999998</v>
      </c>
      <c r="AA390">
        <f t="shared" si="73"/>
        <v>130.66267139999999</v>
      </c>
      <c r="AB390">
        <f t="shared" si="74"/>
        <v>133.672842</v>
      </c>
      <c r="AC390" t="b">
        <f t="shared" si="75"/>
        <v>1</v>
      </c>
      <c r="AD390" t="b">
        <f t="shared" si="76"/>
        <v>1</v>
      </c>
    </row>
    <row r="391" spans="1:30" x14ac:dyDescent="0.35">
      <c r="A391" t="s">
        <v>33</v>
      </c>
      <c r="B391">
        <v>8</v>
      </c>
      <c r="C391">
        <v>2</v>
      </c>
      <c r="D391" t="s">
        <v>32</v>
      </c>
      <c r="E391">
        <v>2</v>
      </c>
      <c r="F391">
        <v>1</v>
      </c>
      <c r="G391" s="16">
        <v>68</v>
      </c>
      <c r="H391" s="16">
        <v>20.047999999999998</v>
      </c>
      <c r="I391" s="16">
        <v>1455</v>
      </c>
      <c r="J391" s="16">
        <v>22.692</v>
      </c>
      <c r="K391" s="16">
        <v>58.844999999999999</v>
      </c>
      <c r="L391" s="16">
        <v>0.34100000000000003</v>
      </c>
      <c r="M391" s="23">
        <v>496.02</v>
      </c>
      <c r="N391" s="16">
        <v>5.9429999999999996</v>
      </c>
      <c r="O391" s="17">
        <v>7.2939999999999996</v>
      </c>
      <c r="P391" s="18">
        <v>68</v>
      </c>
      <c r="Q391" s="18">
        <v>22.692</v>
      </c>
      <c r="R391" s="18">
        <v>214.17699999999999</v>
      </c>
      <c r="S391" s="18">
        <v>281.84300000000002</v>
      </c>
      <c r="T391" s="14" t="b">
        <f t="shared" si="67"/>
        <v>1</v>
      </c>
      <c r="U391" s="14" t="b">
        <f t="shared" si="68"/>
        <v>1</v>
      </c>
      <c r="V391" s="15">
        <f>VLOOKUP(IF(J391&lt;10, 10, IF(J391&gt;50,50,J391)),'Over to underbark'!$A$3:$C$43,IF(A391="Scots pine",3,IF(A391="Sitka spruce",2, "error")),TRUE)/100</f>
        <v>0.9</v>
      </c>
      <c r="W391">
        <f t="shared" si="69"/>
        <v>173.48337000000001</v>
      </c>
      <c r="X391">
        <f t="shared" si="70"/>
        <v>228.29283000000001</v>
      </c>
      <c r="Y391">
        <f t="shared" si="71"/>
        <v>44.641799999999989</v>
      </c>
      <c r="Z391">
        <f t="shared" si="72"/>
        <v>177.7712454</v>
      </c>
      <c r="AA391">
        <f t="shared" si="73"/>
        <v>131.67105660000001</v>
      </c>
      <c r="AB391">
        <f t="shared" si="74"/>
        <v>136.97569799999999</v>
      </c>
      <c r="AC391" t="b">
        <f t="shared" si="75"/>
        <v>1</v>
      </c>
      <c r="AD391" t="b">
        <f t="shared" si="76"/>
        <v>1</v>
      </c>
    </row>
    <row r="392" spans="1:30" x14ac:dyDescent="0.35">
      <c r="A392" t="s">
        <v>33</v>
      </c>
      <c r="B392">
        <v>8</v>
      </c>
      <c r="C392">
        <v>2</v>
      </c>
      <c r="D392" t="s">
        <v>32</v>
      </c>
      <c r="E392">
        <v>2</v>
      </c>
      <c r="F392">
        <v>1</v>
      </c>
      <c r="G392" s="16">
        <v>69</v>
      </c>
      <c r="H392" s="16">
        <v>20.204000000000001</v>
      </c>
      <c r="I392" s="16">
        <v>1441</v>
      </c>
      <c r="J392" s="16">
        <v>22.85</v>
      </c>
      <c r="K392" s="16">
        <v>59.091999999999999</v>
      </c>
      <c r="L392" s="16">
        <v>0.34799999999999998</v>
      </c>
      <c r="M392" s="23">
        <v>501.76</v>
      </c>
      <c r="N392" s="16">
        <v>6.157</v>
      </c>
      <c r="O392" s="17">
        <v>7.2720000000000002</v>
      </c>
      <c r="P392" s="18">
        <v>69</v>
      </c>
      <c r="Q392" s="18">
        <v>22.85</v>
      </c>
      <c r="R392" s="18">
        <v>213.036</v>
      </c>
      <c r="S392" s="18">
        <v>288.72399999999999</v>
      </c>
      <c r="T392" s="14" t="b">
        <f t="shared" si="67"/>
        <v>1</v>
      </c>
      <c r="U392" s="14" t="b">
        <f t="shared" si="68"/>
        <v>1</v>
      </c>
      <c r="V392" s="15">
        <f>VLOOKUP(IF(J392&lt;10, 10, IF(J392&gt;50,50,J392)),'Over to underbark'!$A$3:$C$43,IF(A392="Scots pine",3,IF(A392="Sitka spruce",2, "error")),TRUE)/100</f>
        <v>0.9</v>
      </c>
      <c r="W392">
        <f t="shared" si="69"/>
        <v>172.55916000000002</v>
      </c>
      <c r="X392">
        <f t="shared" si="70"/>
        <v>233.86644000000001</v>
      </c>
      <c r="Y392">
        <f t="shared" si="71"/>
        <v>45.158399999999993</v>
      </c>
      <c r="Z392">
        <f t="shared" si="72"/>
        <v>178.59708719999998</v>
      </c>
      <c r="AA392">
        <f t="shared" si="73"/>
        <v>132.6670488</v>
      </c>
      <c r="AB392">
        <f t="shared" si="74"/>
        <v>140.319864</v>
      </c>
      <c r="AC392" t="b">
        <f t="shared" si="75"/>
        <v>1</v>
      </c>
      <c r="AD392" t="b">
        <f t="shared" si="76"/>
        <v>1</v>
      </c>
    </row>
    <row r="393" spans="1:30" x14ac:dyDescent="0.35">
      <c r="A393" t="s">
        <v>33</v>
      </c>
      <c r="B393">
        <v>8</v>
      </c>
      <c r="C393">
        <v>2</v>
      </c>
      <c r="D393" t="s">
        <v>32</v>
      </c>
      <c r="E393">
        <v>2</v>
      </c>
      <c r="F393">
        <v>1</v>
      </c>
      <c r="G393" s="16">
        <v>70</v>
      </c>
      <c r="H393" s="16">
        <v>20.36</v>
      </c>
      <c r="I393" s="16">
        <v>1427</v>
      </c>
      <c r="J393" s="16">
        <v>23.01</v>
      </c>
      <c r="K393" s="16">
        <v>59.34</v>
      </c>
      <c r="L393" s="16">
        <v>0.35599999999999998</v>
      </c>
      <c r="M393" s="23">
        <v>507.5</v>
      </c>
      <c r="N393" s="16">
        <v>6.3650000000000002</v>
      </c>
      <c r="O393" s="17">
        <v>7.25</v>
      </c>
      <c r="P393" s="18">
        <v>70</v>
      </c>
      <c r="Q393" s="18">
        <v>23.01</v>
      </c>
      <c r="R393" s="18">
        <v>211.81100000000001</v>
      </c>
      <c r="S393" s="18">
        <v>295.68900000000002</v>
      </c>
      <c r="T393" s="14" t="b">
        <f t="shared" si="67"/>
        <v>1</v>
      </c>
      <c r="U393" s="14" t="b">
        <f t="shared" si="68"/>
        <v>1</v>
      </c>
      <c r="V393" s="15">
        <f>VLOOKUP(IF(J393&lt;10, 10, IF(J393&gt;50,50,J393)),'Over to underbark'!$A$3:$C$43,IF(A393="Scots pine",3,IF(A393="Sitka spruce",2, "error")),TRUE)/100</f>
        <v>0.9</v>
      </c>
      <c r="W393">
        <f t="shared" si="69"/>
        <v>171.56691000000004</v>
      </c>
      <c r="X393">
        <f t="shared" si="70"/>
        <v>239.50809000000004</v>
      </c>
      <c r="Y393">
        <f t="shared" si="71"/>
        <v>45.67499999999999</v>
      </c>
      <c r="Z393">
        <f t="shared" si="72"/>
        <v>179.39435220000001</v>
      </c>
      <c r="AA393">
        <f t="shared" si="73"/>
        <v>133.65079380000003</v>
      </c>
      <c r="AB393">
        <f t="shared" si="74"/>
        <v>143.70485400000001</v>
      </c>
      <c r="AC393" t="b">
        <f t="shared" si="75"/>
        <v>1</v>
      </c>
      <c r="AD393" t="b">
        <f t="shared" si="76"/>
        <v>1</v>
      </c>
    </row>
    <row r="394" spans="1:30" x14ac:dyDescent="0.35">
      <c r="A394" t="s">
        <v>33</v>
      </c>
      <c r="B394">
        <v>8</v>
      </c>
      <c r="C394">
        <v>2</v>
      </c>
      <c r="D394" t="s">
        <v>32</v>
      </c>
      <c r="E394">
        <v>2</v>
      </c>
      <c r="F394">
        <v>1</v>
      </c>
      <c r="G394" s="16">
        <v>71</v>
      </c>
      <c r="H394" s="16">
        <v>20.501999999999999</v>
      </c>
      <c r="I394" s="16">
        <v>1414</v>
      </c>
      <c r="J394" s="16">
        <v>23.15</v>
      </c>
      <c r="K394" s="16">
        <v>59.518999999999998</v>
      </c>
      <c r="L394" s="16">
        <v>0.36199999999999999</v>
      </c>
      <c r="M394" s="23">
        <v>512.34</v>
      </c>
      <c r="N394" s="16">
        <v>6.5960000000000001</v>
      </c>
      <c r="O394" s="17">
        <v>7.2160000000000002</v>
      </c>
      <c r="P394" s="18">
        <v>71</v>
      </c>
      <c r="Q394" s="18">
        <v>23.15</v>
      </c>
      <c r="R394" s="18">
        <v>210.63499999999999</v>
      </c>
      <c r="S394" s="18">
        <v>301.70499999999998</v>
      </c>
      <c r="T394" s="14" t="b">
        <f t="shared" si="67"/>
        <v>1</v>
      </c>
      <c r="U394" s="14" t="b">
        <f t="shared" si="68"/>
        <v>1</v>
      </c>
      <c r="V394" s="15">
        <f>VLOOKUP(IF(J394&lt;10, 10, IF(J394&gt;50,50,J394)),'Over to underbark'!$A$3:$C$43,IF(A394="Scots pine",3,IF(A394="Sitka spruce",2, "error")),TRUE)/100</f>
        <v>0.9</v>
      </c>
      <c r="W394">
        <f t="shared" si="69"/>
        <v>170.61435</v>
      </c>
      <c r="X394">
        <f t="shared" si="70"/>
        <v>244.38104999999999</v>
      </c>
      <c r="Y394">
        <f t="shared" si="71"/>
        <v>46.110599999999984</v>
      </c>
      <c r="Z394">
        <f t="shared" si="72"/>
        <v>180.01793699999996</v>
      </c>
      <c r="AA394">
        <f t="shared" si="73"/>
        <v>134.45943299999999</v>
      </c>
      <c r="AB394">
        <f t="shared" si="74"/>
        <v>146.62862999999999</v>
      </c>
      <c r="AC394" t="b">
        <f t="shared" si="75"/>
        <v>1</v>
      </c>
      <c r="AD394" t="b">
        <f t="shared" si="76"/>
        <v>1</v>
      </c>
    </row>
    <row r="395" spans="1:30" x14ac:dyDescent="0.35">
      <c r="A395" t="s">
        <v>33</v>
      </c>
      <c r="B395">
        <v>8</v>
      </c>
      <c r="C395">
        <v>2</v>
      </c>
      <c r="D395" t="s">
        <v>32</v>
      </c>
      <c r="E395">
        <v>2</v>
      </c>
      <c r="F395">
        <v>1</v>
      </c>
      <c r="G395" s="16">
        <v>72</v>
      </c>
      <c r="H395" s="16">
        <v>20.643999999999998</v>
      </c>
      <c r="I395" s="16">
        <v>1401</v>
      </c>
      <c r="J395" s="16">
        <v>23.292999999999999</v>
      </c>
      <c r="K395" s="16">
        <v>59.698999999999998</v>
      </c>
      <c r="L395" s="16">
        <v>0.36899999999999999</v>
      </c>
      <c r="M395" s="23">
        <v>517.17999999999995</v>
      </c>
      <c r="N395" s="16">
        <v>6.8209999999999997</v>
      </c>
      <c r="O395" s="17">
        <v>7.1829999999999998</v>
      </c>
      <c r="P395" s="18">
        <v>72</v>
      </c>
      <c r="Q395" s="18">
        <v>23.292999999999999</v>
      </c>
      <c r="R395" s="18">
        <v>209.36600000000001</v>
      </c>
      <c r="S395" s="18">
        <v>307.81400000000002</v>
      </c>
      <c r="T395" s="14" t="b">
        <f t="shared" si="67"/>
        <v>1</v>
      </c>
      <c r="U395" s="14" t="b">
        <f t="shared" si="68"/>
        <v>1</v>
      </c>
      <c r="V395" s="15">
        <f>VLOOKUP(IF(J395&lt;10, 10, IF(J395&gt;50,50,J395)),'Over to underbark'!$A$3:$C$43,IF(A395="Scots pine",3,IF(A395="Sitka spruce",2, "error")),TRUE)/100</f>
        <v>0.9</v>
      </c>
      <c r="W395">
        <f t="shared" si="69"/>
        <v>169.58646000000002</v>
      </c>
      <c r="X395">
        <f t="shared" si="70"/>
        <v>249.32934</v>
      </c>
      <c r="Y395">
        <f t="shared" si="71"/>
        <v>46.546199999999992</v>
      </c>
      <c r="Z395">
        <f t="shared" si="72"/>
        <v>180.60988320000001</v>
      </c>
      <c r="AA395">
        <f t="shared" si="73"/>
        <v>135.25451279999999</v>
      </c>
      <c r="AB395">
        <f t="shared" si="74"/>
        <v>149.59760399999999</v>
      </c>
      <c r="AC395" t="b">
        <f t="shared" si="75"/>
        <v>1</v>
      </c>
      <c r="AD395" t="b">
        <f t="shared" si="76"/>
        <v>1</v>
      </c>
    </row>
    <row r="396" spans="1:30" x14ac:dyDescent="0.35">
      <c r="A396" t="s">
        <v>33</v>
      </c>
      <c r="B396">
        <v>8</v>
      </c>
      <c r="C396">
        <v>2</v>
      </c>
      <c r="D396" t="s">
        <v>32</v>
      </c>
      <c r="E396">
        <v>2</v>
      </c>
      <c r="F396">
        <v>1</v>
      </c>
      <c r="G396" s="16">
        <v>73</v>
      </c>
      <c r="H396" s="16">
        <v>20.786000000000001</v>
      </c>
      <c r="I396" s="16">
        <v>1388</v>
      </c>
      <c r="J396" s="16">
        <v>23.437000000000001</v>
      </c>
      <c r="K396" s="16">
        <v>59.878</v>
      </c>
      <c r="L396" s="16">
        <v>0.376</v>
      </c>
      <c r="M396" s="23">
        <v>522.02</v>
      </c>
      <c r="N396" s="16">
        <v>7.0410000000000004</v>
      </c>
      <c r="O396" s="17">
        <v>7.1509999999999998</v>
      </c>
      <c r="P396" s="18">
        <v>73</v>
      </c>
      <c r="Q396" s="18">
        <v>23.437000000000001</v>
      </c>
      <c r="R396" s="18">
        <v>208.05199999999999</v>
      </c>
      <c r="S396" s="18">
        <v>313.96800000000002</v>
      </c>
      <c r="T396" s="14" t="b">
        <f t="shared" si="67"/>
        <v>1</v>
      </c>
      <c r="U396" s="14" t="b">
        <f t="shared" si="68"/>
        <v>1</v>
      </c>
      <c r="V396" s="15">
        <f>VLOOKUP(IF(J396&lt;10, 10, IF(J396&gt;50,50,J396)),'Over to underbark'!$A$3:$C$43,IF(A396="Scots pine",3,IF(A396="Sitka spruce",2, "error")),TRUE)/100</f>
        <v>0.9</v>
      </c>
      <c r="W396">
        <f t="shared" si="69"/>
        <v>168.52212</v>
      </c>
      <c r="X396">
        <f t="shared" si="70"/>
        <v>254.31408000000005</v>
      </c>
      <c r="Y396">
        <f t="shared" si="71"/>
        <v>46.981799999999986</v>
      </c>
      <c r="Z396">
        <f t="shared" si="72"/>
        <v>181.18652040000001</v>
      </c>
      <c r="AA396">
        <f t="shared" si="73"/>
        <v>136.04303160000001</v>
      </c>
      <c r="AB396">
        <f t="shared" si="74"/>
        <v>152.58844800000003</v>
      </c>
      <c r="AC396" t="b">
        <f t="shared" si="75"/>
        <v>1</v>
      </c>
      <c r="AD396" t="b">
        <f t="shared" si="76"/>
        <v>1</v>
      </c>
    </row>
    <row r="397" spans="1:30" x14ac:dyDescent="0.35">
      <c r="A397" t="s">
        <v>33</v>
      </c>
      <c r="B397">
        <v>8</v>
      </c>
      <c r="C397">
        <v>2</v>
      </c>
      <c r="D397" t="s">
        <v>32</v>
      </c>
      <c r="E397">
        <v>2</v>
      </c>
      <c r="F397">
        <v>1</v>
      </c>
      <c r="G397" s="16">
        <v>74</v>
      </c>
      <c r="H397" s="16">
        <v>20.928000000000001</v>
      </c>
      <c r="I397" s="16">
        <v>1375</v>
      </c>
      <c r="J397" s="16">
        <v>23.582000000000001</v>
      </c>
      <c r="K397" s="16">
        <v>60.057000000000002</v>
      </c>
      <c r="L397" s="16">
        <v>0.38300000000000001</v>
      </c>
      <c r="M397" s="23">
        <v>526.86</v>
      </c>
      <c r="N397" s="16">
        <v>7.2560000000000002</v>
      </c>
      <c r="O397" s="17">
        <v>7.12</v>
      </c>
      <c r="P397" s="18">
        <v>74</v>
      </c>
      <c r="Q397" s="18">
        <v>23.582000000000001</v>
      </c>
      <c r="R397" s="18">
        <v>206.69300000000001</v>
      </c>
      <c r="S397" s="18">
        <v>320.16699999999997</v>
      </c>
      <c r="T397" s="14" t="b">
        <f t="shared" si="67"/>
        <v>1</v>
      </c>
      <c r="U397" s="14" t="b">
        <f t="shared" si="68"/>
        <v>1</v>
      </c>
      <c r="V397" s="15">
        <f>VLOOKUP(IF(J397&lt;10, 10, IF(J397&gt;50,50,J397)),'Over to underbark'!$A$3:$C$43,IF(A397="Scots pine",3,IF(A397="Sitka spruce",2, "error")),TRUE)/100</f>
        <v>0.9</v>
      </c>
      <c r="W397">
        <f t="shared" si="69"/>
        <v>167.42133000000001</v>
      </c>
      <c r="X397">
        <f t="shared" si="70"/>
        <v>259.33526999999998</v>
      </c>
      <c r="Y397">
        <f t="shared" si="71"/>
        <v>47.417399999999994</v>
      </c>
      <c r="Z397">
        <f t="shared" si="72"/>
        <v>181.7478486</v>
      </c>
      <c r="AA397">
        <f t="shared" si="73"/>
        <v>136.82498939999999</v>
      </c>
      <c r="AB397">
        <f t="shared" si="74"/>
        <v>155.60116199999999</v>
      </c>
      <c r="AC397" t="b">
        <f t="shared" si="75"/>
        <v>1</v>
      </c>
      <c r="AD397" t="b">
        <f t="shared" si="76"/>
        <v>1</v>
      </c>
    </row>
    <row r="398" spans="1:30" x14ac:dyDescent="0.35">
      <c r="A398" t="s">
        <v>33</v>
      </c>
      <c r="B398">
        <v>8</v>
      </c>
      <c r="C398">
        <v>2</v>
      </c>
      <c r="D398" t="s">
        <v>32</v>
      </c>
      <c r="E398">
        <v>2</v>
      </c>
      <c r="F398">
        <v>1</v>
      </c>
      <c r="G398" s="16">
        <v>75</v>
      </c>
      <c r="H398" s="16">
        <v>21.07</v>
      </c>
      <c r="I398" s="16">
        <v>1362</v>
      </c>
      <c r="J398" s="16">
        <v>23.73</v>
      </c>
      <c r="K398" s="16">
        <v>60.237000000000002</v>
      </c>
      <c r="L398" s="16">
        <v>0.39</v>
      </c>
      <c r="M398" s="23">
        <v>531.70000000000005</v>
      </c>
      <c r="N398" s="16">
        <v>7.4660000000000002</v>
      </c>
      <c r="O398" s="17">
        <v>7.0890000000000004</v>
      </c>
      <c r="P398" s="18">
        <v>75</v>
      </c>
      <c r="Q398" s="18">
        <v>23.73</v>
      </c>
      <c r="R398" s="18">
        <v>205.24700000000001</v>
      </c>
      <c r="S398" s="18">
        <v>326.45299999999997</v>
      </c>
      <c r="T398" s="14" t="b">
        <f t="shared" si="67"/>
        <v>1</v>
      </c>
      <c r="U398" s="14" t="b">
        <f t="shared" si="68"/>
        <v>1</v>
      </c>
      <c r="V398" s="15">
        <f>VLOOKUP(IF(J398&lt;10, 10, IF(J398&gt;50,50,J398)),'Over to underbark'!$A$3:$C$43,IF(A398="Scots pine",3,IF(A398="Sitka spruce",2, "error")),TRUE)/100</f>
        <v>0.9</v>
      </c>
      <c r="W398">
        <f t="shared" si="69"/>
        <v>166.25007000000002</v>
      </c>
      <c r="X398">
        <f t="shared" si="70"/>
        <v>264.42693000000003</v>
      </c>
      <c r="Y398">
        <f t="shared" si="71"/>
        <v>47.852999999999994</v>
      </c>
      <c r="Z398">
        <f t="shared" si="72"/>
        <v>182.27957939999999</v>
      </c>
      <c r="AA398">
        <f t="shared" si="73"/>
        <v>137.59426260000004</v>
      </c>
      <c r="AB398">
        <f t="shared" si="74"/>
        <v>158.656158</v>
      </c>
      <c r="AC398" t="b">
        <f t="shared" si="75"/>
        <v>1</v>
      </c>
      <c r="AD398" t="b">
        <f t="shared" si="76"/>
        <v>1</v>
      </c>
    </row>
    <row r="399" spans="1:30" x14ac:dyDescent="0.35">
      <c r="A399" t="s">
        <v>33</v>
      </c>
      <c r="B399">
        <v>8</v>
      </c>
      <c r="C399">
        <v>2</v>
      </c>
      <c r="D399" t="s">
        <v>32</v>
      </c>
      <c r="E399">
        <v>2</v>
      </c>
      <c r="F399">
        <v>1</v>
      </c>
      <c r="G399" s="16">
        <v>76</v>
      </c>
      <c r="H399" s="16">
        <v>21.19</v>
      </c>
      <c r="I399" s="16">
        <v>1351</v>
      </c>
      <c r="J399" s="16">
        <v>23.864999999999998</v>
      </c>
      <c r="K399" s="16">
        <v>60.43</v>
      </c>
      <c r="L399" s="16">
        <v>0.39600000000000002</v>
      </c>
      <c r="M399" s="23">
        <v>535.62</v>
      </c>
      <c r="N399" s="16">
        <v>7.6989999999999998</v>
      </c>
      <c r="O399" s="17">
        <v>7.048</v>
      </c>
      <c r="P399" s="18">
        <v>76</v>
      </c>
      <c r="Q399" s="18">
        <v>23.864999999999998</v>
      </c>
      <c r="R399" s="18">
        <v>203.72200000000001</v>
      </c>
      <c r="S399" s="18">
        <v>331.89800000000002</v>
      </c>
      <c r="T399" s="14" t="b">
        <f t="shared" si="67"/>
        <v>1</v>
      </c>
      <c r="U399" s="14" t="b">
        <f t="shared" si="68"/>
        <v>1</v>
      </c>
      <c r="V399" s="15">
        <f>VLOOKUP(IF(J399&lt;10, 10, IF(J399&gt;50,50,J399)),'Over to underbark'!$A$3:$C$43,IF(A399="Scots pine",3,IF(A399="Sitka spruce",2, "error")),TRUE)/100</f>
        <v>0.9</v>
      </c>
      <c r="W399">
        <f t="shared" si="69"/>
        <v>165.01482000000001</v>
      </c>
      <c r="X399">
        <f t="shared" si="70"/>
        <v>268.83738000000005</v>
      </c>
      <c r="Y399">
        <f t="shared" si="71"/>
        <v>48.205799999999989</v>
      </c>
      <c r="Z399">
        <f t="shared" si="72"/>
        <v>182.58985439999998</v>
      </c>
      <c r="AA399">
        <f t="shared" si="73"/>
        <v>138.16571760000002</v>
      </c>
      <c r="AB399">
        <f t="shared" si="74"/>
        <v>161.30242800000002</v>
      </c>
      <c r="AC399" t="b">
        <f t="shared" si="75"/>
        <v>1</v>
      </c>
      <c r="AD399" t="b">
        <f t="shared" si="76"/>
        <v>1</v>
      </c>
    </row>
    <row r="400" spans="1:30" x14ac:dyDescent="0.35">
      <c r="A400" t="s">
        <v>33</v>
      </c>
      <c r="B400">
        <v>8</v>
      </c>
      <c r="C400">
        <v>2</v>
      </c>
      <c r="D400" t="s">
        <v>32</v>
      </c>
      <c r="E400">
        <v>2</v>
      </c>
      <c r="F400">
        <v>1</v>
      </c>
      <c r="G400" s="16">
        <v>77</v>
      </c>
      <c r="H400" s="16">
        <v>21.31</v>
      </c>
      <c r="I400" s="16">
        <v>1341</v>
      </c>
      <c r="J400" s="16">
        <v>23.992000000000001</v>
      </c>
      <c r="K400" s="16">
        <v>60.624000000000002</v>
      </c>
      <c r="L400" s="16">
        <v>0.40200000000000002</v>
      </c>
      <c r="M400" s="23">
        <v>539.54</v>
      </c>
      <c r="N400" s="16">
        <v>7.9279999999999999</v>
      </c>
      <c r="O400" s="17">
        <v>7.0069999999999997</v>
      </c>
      <c r="P400" s="18">
        <v>77</v>
      </c>
      <c r="Q400" s="18">
        <v>23.992000000000001</v>
      </c>
      <c r="R400" s="18">
        <v>202.36600000000001</v>
      </c>
      <c r="S400" s="18">
        <v>337.17399999999998</v>
      </c>
      <c r="T400" s="14" t="b">
        <f t="shared" si="67"/>
        <v>1</v>
      </c>
      <c r="U400" s="14" t="b">
        <f t="shared" si="68"/>
        <v>1</v>
      </c>
      <c r="V400" s="15">
        <f>VLOOKUP(IF(J400&lt;10, 10, IF(J400&gt;50,50,J400)),'Over to underbark'!$A$3:$C$43,IF(A400="Scots pine",3,IF(A400="Sitka spruce",2, "error")),TRUE)/100</f>
        <v>0.9</v>
      </c>
      <c r="W400">
        <f t="shared" si="69"/>
        <v>163.91646</v>
      </c>
      <c r="X400">
        <f t="shared" si="70"/>
        <v>273.11093999999997</v>
      </c>
      <c r="Y400">
        <f t="shared" si="71"/>
        <v>48.558599999999984</v>
      </c>
      <c r="Z400">
        <f t="shared" si="72"/>
        <v>182.95762319999994</v>
      </c>
      <c r="AA400">
        <f t="shared" si="73"/>
        <v>138.76181279999997</v>
      </c>
      <c r="AB400">
        <f t="shared" si="74"/>
        <v>163.86656399999998</v>
      </c>
      <c r="AC400" t="b">
        <f t="shared" si="75"/>
        <v>1</v>
      </c>
      <c r="AD400" t="b">
        <f t="shared" si="76"/>
        <v>1</v>
      </c>
    </row>
    <row r="401" spans="1:30" x14ac:dyDescent="0.35">
      <c r="A401" t="s">
        <v>33</v>
      </c>
      <c r="B401">
        <v>8</v>
      </c>
      <c r="C401">
        <v>2</v>
      </c>
      <c r="D401" t="s">
        <v>32</v>
      </c>
      <c r="E401">
        <v>2</v>
      </c>
      <c r="F401">
        <v>1</v>
      </c>
      <c r="G401" s="16">
        <v>78</v>
      </c>
      <c r="H401" s="16">
        <v>21.43</v>
      </c>
      <c r="I401" s="16">
        <v>1330</v>
      </c>
      <c r="J401" s="16">
        <v>24.129000000000001</v>
      </c>
      <c r="K401" s="16">
        <v>60.817999999999998</v>
      </c>
      <c r="L401" s="16">
        <v>0.40899999999999997</v>
      </c>
      <c r="M401" s="23">
        <v>543.46</v>
      </c>
      <c r="N401" s="16">
        <v>8.1530000000000005</v>
      </c>
      <c r="O401" s="17">
        <v>6.9669999999999996</v>
      </c>
      <c r="P401" s="18">
        <v>78</v>
      </c>
      <c r="Q401" s="18">
        <v>24.129000000000001</v>
      </c>
      <c r="R401" s="18">
        <v>200.77699999999999</v>
      </c>
      <c r="S401" s="18">
        <v>342.68299999999999</v>
      </c>
      <c r="T401" s="14" t="b">
        <f t="shared" si="67"/>
        <v>1</v>
      </c>
      <c r="U401" s="14" t="b">
        <f t="shared" si="68"/>
        <v>1</v>
      </c>
      <c r="V401" s="15">
        <f>VLOOKUP(IF(J401&lt;10, 10, IF(J401&gt;50,50,J401)),'Over to underbark'!$A$3:$C$43,IF(A401="Scots pine",3,IF(A401="Sitka spruce",2, "error")),TRUE)/100</f>
        <v>0.9</v>
      </c>
      <c r="W401">
        <f t="shared" si="69"/>
        <v>162.62936999999999</v>
      </c>
      <c r="X401">
        <f t="shared" si="70"/>
        <v>277.57322999999997</v>
      </c>
      <c r="Y401">
        <f t="shared" si="71"/>
        <v>48.911399999999993</v>
      </c>
      <c r="Z401">
        <f t="shared" si="72"/>
        <v>183.24612539999998</v>
      </c>
      <c r="AA401">
        <f t="shared" si="73"/>
        <v>139.32393659999997</v>
      </c>
      <c r="AB401">
        <f t="shared" si="74"/>
        <v>166.54393799999997</v>
      </c>
      <c r="AC401" t="b">
        <f t="shared" si="75"/>
        <v>1</v>
      </c>
      <c r="AD401" t="b">
        <f t="shared" si="76"/>
        <v>1</v>
      </c>
    </row>
    <row r="402" spans="1:30" x14ac:dyDescent="0.35">
      <c r="A402" t="s">
        <v>33</v>
      </c>
      <c r="B402">
        <v>8</v>
      </c>
      <c r="C402">
        <v>2</v>
      </c>
      <c r="D402" t="s">
        <v>32</v>
      </c>
      <c r="E402">
        <v>2</v>
      </c>
      <c r="F402">
        <v>1</v>
      </c>
      <c r="G402" s="16">
        <v>79</v>
      </c>
      <c r="H402" s="16">
        <v>21.55</v>
      </c>
      <c r="I402" s="16">
        <v>1320</v>
      </c>
      <c r="J402" s="16">
        <v>24.259</v>
      </c>
      <c r="K402" s="16">
        <v>61.011000000000003</v>
      </c>
      <c r="L402" s="16">
        <v>0.41499999999999998</v>
      </c>
      <c r="M402" s="23">
        <v>547.38</v>
      </c>
      <c r="N402" s="16">
        <v>8.3729999999999993</v>
      </c>
      <c r="O402" s="17">
        <v>6.9290000000000003</v>
      </c>
      <c r="P402" s="18">
        <v>79</v>
      </c>
      <c r="Q402" s="18">
        <v>24.259</v>
      </c>
      <c r="R402" s="18">
        <v>199.33500000000001</v>
      </c>
      <c r="S402" s="18">
        <v>348.04500000000002</v>
      </c>
      <c r="T402" s="14" t="b">
        <f t="shared" si="67"/>
        <v>1</v>
      </c>
      <c r="U402" s="14" t="b">
        <f t="shared" si="68"/>
        <v>1</v>
      </c>
      <c r="V402" s="15">
        <f>VLOOKUP(IF(J402&lt;10, 10, IF(J402&gt;50,50,J402)),'Over to underbark'!$A$3:$C$43,IF(A402="Scots pine",3,IF(A402="Sitka spruce",2, "error")),TRUE)/100</f>
        <v>0.9</v>
      </c>
      <c r="W402">
        <f t="shared" si="69"/>
        <v>161.46135000000001</v>
      </c>
      <c r="X402">
        <f t="shared" si="70"/>
        <v>281.91645</v>
      </c>
      <c r="Y402">
        <f t="shared" si="71"/>
        <v>49.264199999999988</v>
      </c>
      <c r="Z402">
        <f t="shared" si="72"/>
        <v>183.58463699999999</v>
      </c>
      <c r="AA402">
        <f t="shared" si="73"/>
        <v>139.90749299999999</v>
      </c>
      <c r="AB402">
        <f t="shared" si="74"/>
        <v>169.14986999999999</v>
      </c>
      <c r="AC402" t="b">
        <f t="shared" si="75"/>
        <v>1</v>
      </c>
      <c r="AD402" t="b">
        <f t="shared" si="76"/>
        <v>1</v>
      </c>
    </row>
    <row r="403" spans="1:30" x14ac:dyDescent="0.35">
      <c r="A403" t="s">
        <v>33</v>
      </c>
      <c r="B403">
        <v>8</v>
      </c>
      <c r="C403">
        <v>2</v>
      </c>
      <c r="D403" t="s">
        <v>32</v>
      </c>
      <c r="E403">
        <v>2</v>
      </c>
      <c r="F403">
        <v>1</v>
      </c>
      <c r="G403" s="16">
        <v>80</v>
      </c>
      <c r="H403" s="16">
        <v>21.67</v>
      </c>
      <c r="I403" s="16">
        <v>1310</v>
      </c>
      <c r="J403" s="16">
        <v>24.39</v>
      </c>
      <c r="K403" s="16">
        <v>61.204999999999998</v>
      </c>
      <c r="L403" s="16">
        <v>0.42099999999999999</v>
      </c>
      <c r="M403" s="23">
        <v>551.29999999999995</v>
      </c>
      <c r="N403" s="16">
        <v>8.5890000000000004</v>
      </c>
      <c r="O403" s="17">
        <v>6.891</v>
      </c>
      <c r="P403" s="18">
        <v>80</v>
      </c>
      <c r="Q403" s="18">
        <v>24.39</v>
      </c>
      <c r="R403" s="18">
        <v>197.863</v>
      </c>
      <c r="S403" s="18">
        <v>353.43700000000001</v>
      </c>
      <c r="T403" s="14" t="b">
        <f t="shared" si="67"/>
        <v>1</v>
      </c>
      <c r="U403" s="14" t="b">
        <f t="shared" si="68"/>
        <v>1</v>
      </c>
      <c r="V403" s="15">
        <f>VLOOKUP(IF(J403&lt;10, 10, IF(J403&gt;50,50,J403)),'Over to underbark'!$A$3:$C$43,IF(A403="Scots pine",3,IF(A403="Sitka spruce",2, "error")),TRUE)/100</f>
        <v>0.9</v>
      </c>
      <c r="W403">
        <f t="shared" si="69"/>
        <v>160.26903000000001</v>
      </c>
      <c r="X403">
        <f t="shared" si="70"/>
        <v>286.28397000000001</v>
      </c>
      <c r="Y403">
        <f t="shared" si="71"/>
        <v>49.616999999999983</v>
      </c>
      <c r="Z403">
        <f t="shared" si="72"/>
        <v>183.91294260000001</v>
      </c>
      <c r="AA403">
        <f t="shared" si="73"/>
        <v>140.48667540000002</v>
      </c>
      <c r="AB403">
        <f t="shared" si="74"/>
        <v>171.77038200000001</v>
      </c>
      <c r="AC403" t="b">
        <f t="shared" si="75"/>
        <v>1</v>
      </c>
      <c r="AD403" t="b">
        <f t="shared" si="76"/>
        <v>1</v>
      </c>
    </row>
    <row r="404" spans="1:30" x14ac:dyDescent="0.35">
      <c r="A404" t="s">
        <v>33</v>
      </c>
      <c r="B404">
        <v>10</v>
      </c>
      <c r="C404">
        <v>2</v>
      </c>
      <c r="D404" t="s">
        <v>32</v>
      </c>
      <c r="E404">
        <v>2</v>
      </c>
      <c r="F404">
        <v>1</v>
      </c>
      <c r="G404" s="16">
        <v>22</v>
      </c>
      <c r="H404" s="16">
        <v>7.1</v>
      </c>
      <c r="I404" s="16">
        <v>2315</v>
      </c>
      <c r="J404" s="16">
        <v>11.15</v>
      </c>
      <c r="K404" s="16">
        <v>22.603999999999999</v>
      </c>
      <c r="L404" s="16">
        <v>2.5999999999999999E-2</v>
      </c>
      <c r="M404" s="23">
        <v>60.8</v>
      </c>
      <c r="N404" s="16">
        <v>0</v>
      </c>
      <c r="O404" s="17">
        <v>2.7639999999999998</v>
      </c>
      <c r="P404" s="18">
        <v>22</v>
      </c>
      <c r="Q404" s="18">
        <v>11.15</v>
      </c>
      <c r="R404" s="18">
        <v>60.8</v>
      </c>
      <c r="S404" s="18">
        <v>0</v>
      </c>
      <c r="T404" s="14" t="b">
        <f t="shared" si="67"/>
        <v>1</v>
      </c>
      <c r="U404" s="14" t="b">
        <f t="shared" si="68"/>
        <v>1</v>
      </c>
      <c r="V404" s="15">
        <f>VLOOKUP(IF(J404&lt;10, 10, IF(J404&gt;50,50,J404)),'Over to underbark'!$A$3:$C$43,IF(A404="Scots pine",3,IF(A404="Sitka spruce",2, "error")),TRUE)/100</f>
        <v>0.82</v>
      </c>
      <c r="W404">
        <f t="shared" si="69"/>
        <v>44.870399999999997</v>
      </c>
      <c r="X404">
        <f t="shared" si="70"/>
        <v>0</v>
      </c>
      <c r="Y404">
        <f t="shared" si="71"/>
        <v>9.8496000000000024</v>
      </c>
      <c r="Z404">
        <f t="shared" si="72"/>
        <v>35.425727999999999</v>
      </c>
      <c r="AA404">
        <f t="shared" si="73"/>
        <v>19.294271999999999</v>
      </c>
      <c r="AB404">
        <f t="shared" si="74"/>
        <v>0</v>
      </c>
      <c r="AC404" t="b">
        <f t="shared" si="75"/>
        <v>1</v>
      </c>
      <c r="AD404" t="b">
        <f t="shared" si="76"/>
        <v>1</v>
      </c>
    </row>
    <row r="405" spans="1:30" x14ac:dyDescent="0.35">
      <c r="A405" t="s">
        <v>33</v>
      </c>
      <c r="B405">
        <v>10</v>
      </c>
      <c r="C405">
        <v>2</v>
      </c>
      <c r="D405" t="s">
        <v>32</v>
      </c>
      <c r="E405">
        <v>2</v>
      </c>
      <c r="F405">
        <v>1</v>
      </c>
      <c r="G405" s="16">
        <v>23</v>
      </c>
      <c r="H405" s="16">
        <v>7.5819999999999999</v>
      </c>
      <c r="I405" s="16">
        <v>2304</v>
      </c>
      <c r="J405" s="16">
        <v>11.661</v>
      </c>
      <c r="K405" s="16">
        <v>24.603999999999999</v>
      </c>
      <c r="L405" s="16">
        <v>3.2000000000000001E-2</v>
      </c>
      <c r="M405" s="23">
        <v>72.599999999999994</v>
      </c>
      <c r="N405" s="16">
        <v>0</v>
      </c>
      <c r="O405" s="17">
        <v>3.157</v>
      </c>
      <c r="P405" s="18">
        <v>23</v>
      </c>
      <c r="Q405" s="18">
        <v>11.661</v>
      </c>
      <c r="R405" s="18">
        <v>72.599999999999994</v>
      </c>
      <c r="S405" s="18">
        <v>0</v>
      </c>
      <c r="T405" s="14" t="b">
        <f t="shared" si="67"/>
        <v>1</v>
      </c>
      <c r="U405" s="14" t="b">
        <f t="shared" si="68"/>
        <v>1</v>
      </c>
      <c r="V405" s="15">
        <f>VLOOKUP(IF(J405&lt;10, 10, IF(J405&gt;50,50,J405)),'Over to underbark'!$A$3:$C$43,IF(A405="Scots pine",3,IF(A405="Sitka spruce",2, "error")),TRUE)/100</f>
        <v>0.82</v>
      </c>
      <c r="W405">
        <f t="shared" si="69"/>
        <v>53.578800000000001</v>
      </c>
      <c r="X405">
        <f t="shared" si="70"/>
        <v>0</v>
      </c>
      <c r="Y405">
        <f t="shared" si="71"/>
        <v>11.761200000000004</v>
      </c>
      <c r="Z405">
        <f t="shared" si="72"/>
        <v>42.301116</v>
      </c>
      <c r="AA405">
        <f t="shared" si="73"/>
        <v>23.038883999999999</v>
      </c>
      <c r="AB405">
        <f t="shared" si="74"/>
        <v>0</v>
      </c>
      <c r="AC405" t="b">
        <f t="shared" si="75"/>
        <v>1</v>
      </c>
      <c r="AD405" t="b">
        <f t="shared" si="76"/>
        <v>1</v>
      </c>
    </row>
    <row r="406" spans="1:30" x14ac:dyDescent="0.35">
      <c r="A406" t="s">
        <v>33</v>
      </c>
      <c r="B406">
        <v>10</v>
      </c>
      <c r="C406">
        <v>2</v>
      </c>
      <c r="D406" t="s">
        <v>32</v>
      </c>
      <c r="E406">
        <v>2</v>
      </c>
      <c r="F406">
        <v>1</v>
      </c>
      <c r="G406" s="16">
        <v>24</v>
      </c>
      <c r="H406" s="16">
        <v>8.0640000000000001</v>
      </c>
      <c r="I406" s="16">
        <v>2293</v>
      </c>
      <c r="J406" s="16">
        <v>12.154</v>
      </c>
      <c r="K406" s="16">
        <v>26.603999999999999</v>
      </c>
      <c r="L406" s="16">
        <v>3.6999999999999998E-2</v>
      </c>
      <c r="M406" s="23">
        <v>84.4</v>
      </c>
      <c r="N406" s="16">
        <v>0</v>
      </c>
      <c r="O406" s="17">
        <v>3.5169999999999999</v>
      </c>
      <c r="P406" s="18">
        <v>24</v>
      </c>
      <c r="Q406" s="18">
        <v>12.154</v>
      </c>
      <c r="R406" s="18">
        <v>84.4</v>
      </c>
      <c r="S406" s="18">
        <v>0</v>
      </c>
      <c r="T406" s="14" t="b">
        <f t="shared" si="67"/>
        <v>1</v>
      </c>
      <c r="U406" s="14" t="b">
        <f t="shared" si="68"/>
        <v>1</v>
      </c>
      <c r="V406" s="15">
        <f>VLOOKUP(IF(J406&lt;10, 10, IF(J406&gt;50,50,J406)),'Over to underbark'!$A$3:$C$43,IF(A406="Scots pine",3,IF(A406="Sitka spruce",2, "error")),TRUE)/100</f>
        <v>0.87</v>
      </c>
      <c r="W406">
        <f t="shared" si="69"/>
        <v>66.0852</v>
      </c>
      <c r="X406">
        <f t="shared" si="70"/>
        <v>0</v>
      </c>
      <c r="Y406">
        <f t="shared" si="71"/>
        <v>9.8748000000000022</v>
      </c>
      <c r="Z406">
        <f t="shared" si="72"/>
        <v>47.543363999999997</v>
      </c>
      <c r="AA406">
        <f t="shared" si="73"/>
        <v>28.416636</v>
      </c>
      <c r="AB406">
        <f t="shared" si="74"/>
        <v>0</v>
      </c>
      <c r="AC406" t="b">
        <f t="shared" si="75"/>
        <v>1</v>
      </c>
      <c r="AD406" t="b">
        <f t="shared" si="76"/>
        <v>1</v>
      </c>
    </row>
    <row r="407" spans="1:30" x14ac:dyDescent="0.35">
      <c r="A407" t="s">
        <v>33</v>
      </c>
      <c r="B407">
        <v>10</v>
      </c>
      <c r="C407">
        <v>2</v>
      </c>
      <c r="D407" t="s">
        <v>32</v>
      </c>
      <c r="E407">
        <v>2</v>
      </c>
      <c r="F407">
        <v>1</v>
      </c>
      <c r="G407" s="16">
        <v>25</v>
      </c>
      <c r="H407" s="16">
        <v>8.5459999999999994</v>
      </c>
      <c r="I407" s="16">
        <v>2282</v>
      </c>
      <c r="J407" s="16">
        <v>12.632999999999999</v>
      </c>
      <c r="K407" s="16">
        <v>28.603999999999999</v>
      </c>
      <c r="L407" s="16">
        <v>4.2000000000000003E-2</v>
      </c>
      <c r="M407" s="23">
        <v>96.2</v>
      </c>
      <c r="N407" s="16">
        <v>0</v>
      </c>
      <c r="O407" s="17">
        <v>3.8479999999999999</v>
      </c>
      <c r="P407" s="18">
        <v>25</v>
      </c>
      <c r="Q407" s="18">
        <v>12.632999999999999</v>
      </c>
      <c r="R407" s="18">
        <v>96.2</v>
      </c>
      <c r="S407" s="18">
        <v>0</v>
      </c>
      <c r="T407" s="14" t="b">
        <f t="shared" si="67"/>
        <v>1</v>
      </c>
      <c r="U407" s="14" t="b">
        <f t="shared" si="68"/>
        <v>1</v>
      </c>
      <c r="V407" s="15">
        <f>VLOOKUP(IF(J407&lt;10, 10, IF(J407&gt;50,50,J407)),'Over to underbark'!$A$3:$C$43,IF(A407="Scots pine",3,IF(A407="Sitka spruce",2, "error")),TRUE)/100</f>
        <v>0.87</v>
      </c>
      <c r="W407">
        <f t="shared" si="69"/>
        <v>75.324600000000004</v>
      </c>
      <c r="X407">
        <f t="shared" si="70"/>
        <v>0</v>
      </c>
      <c r="Y407">
        <f t="shared" si="71"/>
        <v>11.2554</v>
      </c>
      <c r="Z407">
        <f t="shared" si="72"/>
        <v>54.190421999999998</v>
      </c>
      <c r="AA407">
        <f t="shared" si="73"/>
        <v>32.389578</v>
      </c>
      <c r="AB407">
        <f t="shared" si="74"/>
        <v>0</v>
      </c>
      <c r="AC407" t="b">
        <f t="shared" si="75"/>
        <v>1</v>
      </c>
      <c r="AD407" t="b">
        <f t="shared" si="76"/>
        <v>1</v>
      </c>
    </row>
    <row r="408" spans="1:30" x14ac:dyDescent="0.35">
      <c r="A408" t="s">
        <v>33</v>
      </c>
      <c r="B408">
        <v>10</v>
      </c>
      <c r="C408">
        <v>2</v>
      </c>
      <c r="D408" t="s">
        <v>32</v>
      </c>
      <c r="E408">
        <v>2</v>
      </c>
      <c r="F408">
        <v>1</v>
      </c>
      <c r="G408" s="16">
        <v>26</v>
      </c>
      <c r="H408" s="16">
        <v>9.0280000000000005</v>
      </c>
      <c r="I408" s="16">
        <v>2271</v>
      </c>
      <c r="J408" s="16">
        <v>13.099</v>
      </c>
      <c r="K408" s="16">
        <v>30.603999999999999</v>
      </c>
      <c r="L408" s="16">
        <v>4.8000000000000001E-2</v>
      </c>
      <c r="M408" s="23">
        <v>108</v>
      </c>
      <c r="N408" s="16">
        <v>0</v>
      </c>
      <c r="O408" s="17">
        <v>4.1539999999999999</v>
      </c>
      <c r="P408" s="18">
        <v>26</v>
      </c>
      <c r="Q408" s="18">
        <v>13.099</v>
      </c>
      <c r="R408" s="18">
        <v>105.545</v>
      </c>
      <c r="S408" s="18">
        <v>2.4550000000000001</v>
      </c>
      <c r="T408" s="14" t="b">
        <f t="shared" si="67"/>
        <v>1</v>
      </c>
      <c r="U408" s="14" t="b">
        <f t="shared" si="68"/>
        <v>1</v>
      </c>
      <c r="V408" s="15">
        <f>VLOOKUP(IF(J408&lt;10, 10, IF(J408&gt;50,50,J408)),'Over to underbark'!$A$3:$C$43,IF(A408="Scots pine",3,IF(A408="Sitka spruce",2, "error")),TRUE)/100</f>
        <v>0.89</v>
      </c>
      <c r="W408">
        <f t="shared" si="69"/>
        <v>84.541544999999999</v>
      </c>
      <c r="X408">
        <f t="shared" si="70"/>
        <v>1.9664550000000003</v>
      </c>
      <c r="Y408">
        <f t="shared" si="71"/>
        <v>10.691999999999998</v>
      </c>
      <c r="Z408">
        <f t="shared" si="72"/>
        <v>59.175648899999992</v>
      </c>
      <c r="AA408">
        <f t="shared" si="73"/>
        <v>36.844478099999996</v>
      </c>
      <c r="AB408">
        <f t="shared" si="74"/>
        <v>1.1798730000000002</v>
      </c>
      <c r="AC408" t="b">
        <f t="shared" si="75"/>
        <v>1</v>
      </c>
      <c r="AD408" t="b">
        <f t="shared" si="76"/>
        <v>1</v>
      </c>
    </row>
    <row r="409" spans="1:30" x14ac:dyDescent="0.35">
      <c r="A409" t="s">
        <v>33</v>
      </c>
      <c r="B409">
        <v>10</v>
      </c>
      <c r="C409">
        <v>2</v>
      </c>
      <c r="D409" t="s">
        <v>32</v>
      </c>
      <c r="E409">
        <v>2</v>
      </c>
      <c r="F409">
        <v>1</v>
      </c>
      <c r="G409" s="16">
        <v>27</v>
      </c>
      <c r="H409" s="16">
        <v>9.51</v>
      </c>
      <c r="I409" s="16">
        <v>2261</v>
      </c>
      <c r="J409" s="16">
        <v>13.55</v>
      </c>
      <c r="K409" s="16">
        <v>32.603999999999999</v>
      </c>
      <c r="L409" s="16">
        <v>5.2999999999999999E-2</v>
      </c>
      <c r="M409" s="23">
        <v>119.8</v>
      </c>
      <c r="N409" s="16">
        <v>0</v>
      </c>
      <c r="O409" s="17">
        <v>4.4370000000000003</v>
      </c>
      <c r="P409" s="18">
        <v>27</v>
      </c>
      <c r="Q409" s="18">
        <v>13.55</v>
      </c>
      <c r="R409" s="18">
        <v>114.001</v>
      </c>
      <c r="S409" s="18">
        <v>5.7990000000000004</v>
      </c>
      <c r="T409" s="14" t="b">
        <f t="shared" si="67"/>
        <v>1</v>
      </c>
      <c r="U409" s="14" t="b">
        <f t="shared" si="68"/>
        <v>1</v>
      </c>
      <c r="V409" s="15">
        <f>VLOOKUP(IF(J409&lt;10, 10, IF(J409&gt;50,50,J409)),'Over to underbark'!$A$3:$C$43,IF(A409="Scots pine",3,IF(A409="Sitka spruce",2, "error")),TRUE)/100</f>
        <v>0.89</v>
      </c>
      <c r="W409">
        <f t="shared" si="69"/>
        <v>91.314801000000017</v>
      </c>
      <c r="X409">
        <f t="shared" si="70"/>
        <v>4.6449990000000003</v>
      </c>
      <c r="Y409">
        <f t="shared" si="71"/>
        <v>11.860199999999999</v>
      </c>
      <c r="Z409">
        <f t="shared" si="72"/>
        <v>64.606386420000007</v>
      </c>
      <c r="AA409">
        <f t="shared" si="73"/>
        <v>40.426614180000009</v>
      </c>
      <c r="AB409">
        <f t="shared" si="74"/>
        <v>2.7869994</v>
      </c>
      <c r="AC409" t="b">
        <f t="shared" si="75"/>
        <v>1</v>
      </c>
      <c r="AD409" t="b">
        <f t="shared" si="76"/>
        <v>1</v>
      </c>
    </row>
    <row r="410" spans="1:30" x14ac:dyDescent="0.35">
      <c r="A410" t="s">
        <v>33</v>
      </c>
      <c r="B410">
        <v>10</v>
      </c>
      <c r="C410">
        <v>2</v>
      </c>
      <c r="D410" t="s">
        <v>32</v>
      </c>
      <c r="E410">
        <v>2</v>
      </c>
      <c r="F410">
        <v>1</v>
      </c>
      <c r="G410" s="16">
        <v>28</v>
      </c>
      <c r="H410" s="16">
        <v>9.968</v>
      </c>
      <c r="I410" s="16">
        <v>2243</v>
      </c>
      <c r="J410" s="16">
        <v>13.941000000000001</v>
      </c>
      <c r="K410" s="16">
        <v>34.238</v>
      </c>
      <c r="L410" s="16">
        <v>0.06</v>
      </c>
      <c r="M410" s="23">
        <v>133.80000000000001</v>
      </c>
      <c r="N410" s="16">
        <v>0.13400000000000001</v>
      </c>
      <c r="O410" s="17">
        <v>4.7789999999999999</v>
      </c>
      <c r="P410" s="18">
        <v>28</v>
      </c>
      <c r="Q410" s="18">
        <v>13.941000000000001</v>
      </c>
      <c r="R410" s="18">
        <v>124.27800000000001</v>
      </c>
      <c r="S410" s="18">
        <v>9.5220000000000002</v>
      </c>
      <c r="T410" s="14" t="b">
        <f t="shared" si="67"/>
        <v>1</v>
      </c>
      <c r="U410" s="14" t="b">
        <f t="shared" si="68"/>
        <v>1</v>
      </c>
      <c r="V410" s="15">
        <f>VLOOKUP(IF(J410&lt;10, 10, IF(J410&gt;50,50,J410)),'Over to underbark'!$A$3:$C$43,IF(A410="Scots pine",3,IF(A410="Sitka spruce",2, "error")),TRUE)/100</f>
        <v>0.89</v>
      </c>
      <c r="W410">
        <f t="shared" si="69"/>
        <v>99.546678</v>
      </c>
      <c r="X410">
        <f t="shared" si="70"/>
        <v>7.6271220000000008</v>
      </c>
      <c r="Y410">
        <f t="shared" si="71"/>
        <v>13.2462</v>
      </c>
      <c r="Z410">
        <f t="shared" si="72"/>
        <v>71.131874759999988</v>
      </c>
      <c r="AA410">
        <f t="shared" si="73"/>
        <v>44.711852040000004</v>
      </c>
      <c r="AB410">
        <f t="shared" si="74"/>
        <v>4.5762732000000002</v>
      </c>
      <c r="AC410" t="b">
        <f t="shared" si="75"/>
        <v>1</v>
      </c>
      <c r="AD410" t="b">
        <f t="shared" si="76"/>
        <v>1</v>
      </c>
    </row>
    <row r="411" spans="1:30" x14ac:dyDescent="0.35">
      <c r="A411" t="s">
        <v>33</v>
      </c>
      <c r="B411">
        <v>10</v>
      </c>
      <c r="C411">
        <v>2</v>
      </c>
      <c r="D411" t="s">
        <v>32</v>
      </c>
      <c r="E411">
        <v>2</v>
      </c>
      <c r="F411">
        <v>1</v>
      </c>
      <c r="G411" s="16">
        <v>29</v>
      </c>
      <c r="H411" s="16">
        <v>10.426</v>
      </c>
      <c r="I411" s="16">
        <v>2226</v>
      </c>
      <c r="J411" s="16">
        <v>14.324</v>
      </c>
      <c r="K411" s="16">
        <v>35.872999999999998</v>
      </c>
      <c r="L411" s="16">
        <v>6.6000000000000003E-2</v>
      </c>
      <c r="M411" s="23">
        <v>147.80000000000001</v>
      </c>
      <c r="N411" s="16">
        <v>0.24299999999999999</v>
      </c>
      <c r="O411" s="17">
        <v>5.0970000000000004</v>
      </c>
      <c r="P411" s="18">
        <v>29</v>
      </c>
      <c r="Q411" s="18">
        <v>14.324</v>
      </c>
      <c r="R411" s="18">
        <v>133.93</v>
      </c>
      <c r="S411" s="18">
        <v>13.87</v>
      </c>
      <c r="T411" s="14" t="b">
        <f t="shared" si="67"/>
        <v>1</v>
      </c>
      <c r="U411" s="14" t="b">
        <f t="shared" si="68"/>
        <v>1</v>
      </c>
      <c r="V411" s="15">
        <f>VLOOKUP(IF(J411&lt;10, 10, IF(J411&gt;50,50,J411)),'Over to underbark'!$A$3:$C$43,IF(A411="Scots pine",3,IF(A411="Sitka spruce",2, "error")),TRUE)/100</f>
        <v>0.9</v>
      </c>
      <c r="W411">
        <f t="shared" si="69"/>
        <v>108.48330000000001</v>
      </c>
      <c r="X411">
        <f t="shared" si="70"/>
        <v>11.234699999999998</v>
      </c>
      <c r="Y411">
        <f t="shared" si="71"/>
        <v>13.301999999999998</v>
      </c>
      <c r="Z411">
        <f t="shared" si="72"/>
        <v>76.82268599999999</v>
      </c>
      <c r="AA411">
        <f t="shared" si="73"/>
        <v>49.456494000000006</v>
      </c>
      <c r="AB411">
        <f t="shared" si="74"/>
        <v>6.7408199999999985</v>
      </c>
      <c r="AC411" t="b">
        <f t="shared" si="75"/>
        <v>1</v>
      </c>
      <c r="AD411" t="b">
        <f t="shared" si="76"/>
        <v>1</v>
      </c>
    </row>
    <row r="412" spans="1:30" x14ac:dyDescent="0.35">
      <c r="A412" t="s">
        <v>33</v>
      </c>
      <c r="B412">
        <v>10</v>
      </c>
      <c r="C412">
        <v>2</v>
      </c>
      <c r="D412" t="s">
        <v>32</v>
      </c>
      <c r="E412">
        <v>2</v>
      </c>
      <c r="F412">
        <v>1</v>
      </c>
      <c r="G412" s="16">
        <v>30</v>
      </c>
      <c r="H412" s="16">
        <v>10.884</v>
      </c>
      <c r="I412" s="16">
        <v>2209</v>
      </c>
      <c r="J412" s="16">
        <v>14.702999999999999</v>
      </c>
      <c r="K412" s="16">
        <v>37.506999999999998</v>
      </c>
      <c r="L412" s="16">
        <v>7.2999999999999995E-2</v>
      </c>
      <c r="M412" s="23">
        <v>161.80000000000001</v>
      </c>
      <c r="N412" s="16">
        <v>0.33300000000000002</v>
      </c>
      <c r="O412" s="17">
        <v>5.3929999999999998</v>
      </c>
      <c r="P412" s="18">
        <v>30</v>
      </c>
      <c r="Q412" s="18">
        <v>14.702999999999999</v>
      </c>
      <c r="R412" s="18">
        <v>142.93799999999999</v>
      </c>
      <c r="S412" s="18">
        <v>18.861999999999998</v>
      </c>
      <c r="T412" s="14" t="b">
        <f t="shared" si="67"/>
        <v>1</v>
      </c>
      <c r="U412" s="14" t="b">
        <f t="shared" si="68"/>
        <v>1</v>
      </c>
      <c r="V412" s="15">
        <f>VLOOKUP(IF(J412&lt;10, 10, IF(J412&gt;50,50,J412)),'Over to underbark'!$A$3:$C$43,IF(A412="Scots pine",3,IF(A412="Sitka spruce",2, "error")),TRUE)/100</f>
        <v>0.9</v>
      </c>
      <c r="W412">
        <f t="shared" si="69"/>
        <v>115.77977999999999</v>
      </c>
      <c r="X412">
        <f t="shared" si="70"/>
        <v>15.278219999999999</v>
      </c>
      <c r="Y412">
        <f t="shared" si="71"/>
        <v>14.561999999999994</v>
      </c>
      <c r="Z412">
        <f t="shared" si="72"/>
        <v>82.848207599999981</v>
      </c>
      <c r="AA412">
        <f t="shared" si="73"/>
        <v>53.604860399999993</v>
      </c>
      <c r="AB412">
        <f t="shared" si="74"/>
        <v>9.1669319999999992</v>
      </c>
      <c r="AC412" t="b">
        <f t="shared" si="75"/>
        <v>1</v>
      </c>
      <c r="AD412" t="b">
        <f t="shared" si="76"/>
        <v>1</v>
      </c>
    </row>
    <row r="413" spans="1:30" x14ac:dyDescent="0.35">
      <c r="A413" t="s">
        <v>33</v>
      </c>
      <c r="B413">
        <v>10</v>
      </c>
      <c r="C413">
        <v>2</v>
      </c>
      <c r="D413" t="s">
        <v>32</v>
      </c>
      <c r="E413">
        <v>2</v>
      </c>
      <c r="F413">
        <v>1</v>
      </c>
      <c r="G413" s="16">
        <v>31</v>
      </c>
      <c r="H413" s="16">
        <v>11.342000000000001</v>
      </c>
      <c r="I413" s="16">
        <v>2192</v>
      </c>
      <c r="J413" s="16">
        <v>15.077999999999999</v>
      </c>
      <c r="K413" s="16">
        <v>39.142000000000003</v>
      </c>
      <c r="L413" s="16">
        <v>0.08</v>
      </c>
      <c r="M413" s="23">
        <v>175.8</v>
      </c>
      <c r="N413" s="16">
        <v>0.40799999999999997</v>
      </c>
      <c r="O413" s="17">
        <v>5.6710000000000003</v>
      </c>
      <c r="P413" s="18">
        <v>31</v>
      </c>
      <c r="Q413" s="18">
        <v>15.077999999999999</v>
      </c>
      <c r="R413" s="18">
        <v>151.31100000000001</v>
      </c>
      <c r="S413" s="18">
        <v>24.489000000000001</v>
      </c>
      <c r="T413" s="14" t="b">
        <f t="shared" si="67"/>
        <v>1</v>
      </c>
      <c r="U413" s="14" t="b">
        <f t="shared" si="68"/>
        <v>1</v>
      </c>
      <c r="V413" s="15">
        <f>VLOOKUP(IF(J413&lt;10, 10, IF(J413&gt;50,50,J413)),'Over to underbark'!$A$3:$C$43,IF(A413="Scots pine",3,IF(A413="Sitka spruce",2, "error")),TRUE)/100</f>
        <v>0.9</v>
      </c>
      <c r="W413">
        <f t="shared" si="69"/>
        <v>122.56191000000001</v>
      </c>
      <c r="X413">
        <f t="shared" si="70"/>
        <v>19.836090000000002</v>
      </c>
      <c r="Y413">
        <f t="shared" si="71"/>
        <v>15.821999999999999</v>
      </c>
      <c r="Z413">
        <f t="shared" si="72"/>
        <v>88.657702200000003</v>
      </c>
      <c r="AA413">
        <f t="shared" si="73"/>
        <v>57.66064380000001</v>
      </c>
      <c r="AB413">
        <f t="shared" si="74"/>
        <v>11.901654000000001</v>
      </c>
      <c r="AC413" t="b">
        <f t="shared" si="75"/>
        <v>1</v>
      </c>
      <c r="AD413" t="b">
        <f t="shared" si="76"/>
        <v>1</v>
      </c>
    </row>
    <row r="414" spans="1:30" x14ac:dyDescent="0.35">
      <c r="A414" t="s">
        <v>33</v>
      </c>
      <c r="B414">
        <v>10</v>
      </c>
      <c r="C414">
        <v>2</v>
      </c>
      <c r="D414" t="s">
        <v>32</v>
      </c>
      <c r="E414">
        <v>2</v>
      </c>
      <c r="F414">
        <v>1</v>
      </c>
      <c r="G414" s="16">
        <v>32</v>
      </c>
      <c r="H414" s="16">
        <v>11.8</v>
      </c>
      <c r="I414" s="16">
        <v>2175</v>
      </c>
      <c r="J414" s="16">
        <v>15.45</v>
      </c>
      <c r="K414" s="16">
        <v>40.776000000000003</v>
      </c>
      <c r="L414" s="16">
        <v>8.6999999999999994E-2</v>
      </c>
      <c r="M414" s="23">
        <v>189.8</v>
      </c>
      <c r="N414" s="16">
        <v>0.47199999999999998</v>
      </c>
      <c r="O414" s="17">
        <v>5.931</v>
      </c>
      <c r="P414" s="18">
        <v>32</v>
      </c>
      <c r="Q414" s="18">
        <v>15.45</v>
      </c>
      <c r="R414" s="18">
        <v>159.053</v>
      </c>
      <c r="S414" s="18">
        <v>30.747</v>
      </c>
      <c r="T414" s="14" t="b">
        <f t="shared" si="67"/>
        <v>1</v>
      </c>
      <c r="U414" s="14" t="b">
        <f t="shared" si="68"/>
        <v>1</v>
      </c>
      <c r="V414" s="15">
        <f>VLOOKUP(IF(J414&lt;10, 10, IF(J414&gt;50,50,J414)),'Over to underbark'!$A$3:$C$43,IF(A414="Scots pine",3,IF(A414="Sitka spruce",2, "error")),TRUE)/100</f>
        <v>0.9</v>
      </c>
      <c r="W414">
        <f t="shared" si="69"/>
        <v>128.83293</v>
      </c>
      <c r="X414">
        <f t="shared" si="70"/>
        <v>24.905070000000002</v>
      </c>
      <c r="Y414">
        <f t="shared" si="71"/>
        <v>17.081999999999997</v>
      </c>
      <c r="Z414">
        <f t="shared" si="72"/>
        <v>94.252530599999986</v>
      </c>
      <c r="AA414">
        <f t="shared" si="73"/>
        <v>61.624427400000002</v>
      </c>
      <c r="AB414">
        <f t="shared" si="74"/>
        <v>14.943042</v>
      </c>
      <c r="AC414" t="b">
        <f t="shared" si="75"/>
        <v>1</v>
      </c>
      <c r="AD414" t="b">
        <f t="shared" si="76"/>
        <v>1</v>
      </c>
    </row>
    <row r="415" spans="1:30" x14ac:dyDescent="0.35">
      <c r="A415" t="s">
        <v>33</v>
      </c>
      <c r="B415">
        <v>10</v>
      </c>
      <c r="C415">
        <v>2</v>
      </c>
      <c r="D415" t="s">
        <v>32</v>
      </c>
      <c r="E415">
        <v>2</v>
      </c>
      <c r="F415">
        <v>1</v>
      </c>
      <c r="G415" s="16">
        <v>33</v>
      </c>
      <c r="H415" s="16">
        <v>12.224</v>
      </c>
      <c r="I415" s="16">
        <v>2142</v>
      </c>
      <c r="J415" s="16">
        <v>15.803000000000001</v>
      </c>
      <c r="K415" s="16">
        <v>42.012999999999998</v>
      </c>
      <c r="L415" s="16">
        <v>9.6000000000000002E-2</v>
      </c>
      <c r="M415" s="23">
        <v>204.74</v>
      </c>
      <c r="N415" s="16">
        <v>0.66</v>
      </c>
      <c r="O415" s="17">
        <v>6.2039999999999997</v>
      </c>
      <c r="P415" s="18">
        <v>33</v>
      </c>
      <c r="Q415" s="18">
        <v>15.803000000000001</v>
      </c>
      <c r="R415" s="18">
        <v>167.14400000000001</v>
      </c>
      <c r="S415" s="18">
        <v>37.595999999999997</v>
      </c>
      <c r="T415" s="14" t="b">
        <f t="shared" si="67"/>
        <v>1</v>
      </c>
      <c r="U415" s="14" t="b">
        <f t="shared" si="68"/>
        <v>1</v>
      </c>
      <c r="V415" s="15">
        <f>VLOOKUP(IF(J415&lt;10, 10, IF(J415&gt;50,50,J415)),'Over to underbark'!$A$3:$C$43,IF(A415="Scots pine",3,IF(A415="Sitka spruce",2, "error")),TRUE)/100</f>
        <v>0.9</v>
      </c>
      <c r="W415">
        <f t="shared" si="69"/>
        <v>135.38664000000003</v>
      </c>
      <c r="X415">
        <f t="shared" si="70"/>
        <v>30.452759999999998</v>
      </c>
      <c r="Y415">
        <f t="shared" si="71"/>
        <v>18.426599999999997</v>
      </c>
      <c r="Z415">
        <f t="shared" si="72"/>
        <v>100.1648988</v>
      </c>
      <c r="AA415">
        <f t="shared" si="73"/>
        <v>65.829445200000009</v>
      </c>
      <c r="AB415">
        <f t="shared" si="74"/>
        <v>18.271655999999997</v>
      </c>
      <c r="AC415" t="b">
        <f t="shared" si="75"/>
        <v>1</v>
      </c>
      <c r="AD415" t="b">
        <f t="shared" si="76"/>
        <v>1</v>
      </c>
    </row>
    <row r="416" spans="1:30" x14ac:dyDescent="0.35">
      <c r="A416" t="s">
        <v>33</v>
      </c>
      <c r="B416">
        <v>10</v>
      </c>
      <c r="C416">
        <v>2</v>
      </c>
      <c r="D416" t="s">
        <v>32</v>
      </c>
      <c r="E416">
        <v>2</v>
      </c>
      <c r="F416">
        <v>1</v>
      </c>
      <c r="G416" s="16">
        <v>34</v>
      </c>
      <c r="H416" s="16">
        <v>12.648</v>
      </c>
      <c r="I416" s="16">
        <v>2110</v>
      </c>
      <c r="J416" s="16">
        <v>16.155000000000001</v>
      </c>
      <c r="K416" s="16">
        <v>43.249000000000002</v>
      </c>
      <c r="L416" s="16">
        <v>0.104</v>
      </c>
      <c r="M416" s="23">
        <v>219.68</v>
      </c>
      <c r="N416" s="16">
        <v>0.82199999999999995</v>
      </c>
      <c r="O416" s="17">
        <v>6.4610000000000003</v>
      </c>
      <c r="P416" s="18">
        <v>34</v>
      </c>
      <c r="Q416" s="18">
        <v>16.155000000000001</v>
      </c>
      <c r="R416" s="18">
        <v>174.59299999999999</v>
      </c>
      <c r="S416" s="18">
        <v>45.087000000000003</v>
      </c>
      <c r="T416" s="14" t="b">
        <f t="shared" si="67"/>
        <v>1</v>
      </c>
      <c r="U416" s="14" t="b">
        <f t="shared" si="68"/>
        <v>1</v>
      </c>
      <c r="V416" s="15">
        <f>VLOOKUP(IF(J416&lt;10, 10, IF(J416&gt;50,50,J416)),'Over to underbark'!$A$3:$C$43,IF(A416="Scots pine",3,IF(A416="Sitka spruce",2, "error")),TRUE)/100</f>
        <v>0.89</v>
      </c>
      <c r="W416">
        <f t="shared" si="69"/>
        <v>139.84899300000001</v>
      </c>
      <c r="X416">
        <f t="shared" si="70"/>
        <v>36.114687000000004</v>
      </c>
      <c r="Y416">
        <f t="shared" si="71"/>
        <v>21.74832</v>
      </c>
      <c r="Z416">
        <f t="shared" si="72"/>
        <v>106.87944906</v>
      </c>
      <c r="AA416">
        <f t="shared" si="73"/>
        <v>69.163738740000014</v>
      </c>
      <c r="AB416">
        <f t="shared" si="74"/>
        <v>21.668812200000001</v>
      </c>
      <c r="AC416" t="b">
        <f t="shared" si="75"/>
        <v>1</v>
      </c>
      <c r="AD416" t="b">
        <f t="shared" si="76"/>
        <v>1</v>
      </c>
    </row>
    <row r="417" spans="1:30" x14ac:dyDescent="0.35">
      <c r="A417" t="s">
        <v>33</v>
      </c>
      <c r="B417">
        <v>10</v>
      </c>
      <c r="C417">
        <v>2</v>
      </c>
      <c r="D417" t="s">
        <v>32</v>
      </c>
      <c r="E417">
        <v>2</v>
      </c>
      <c r="F417">
        <v>1</v>
      </c>
      <c r="G417" s="16">
        <v>35</v>
      </c>
      <c r="H417" s="16">
        <v>13.071999999999999</v>
      </c>
      <c r="I417" s="16">
        <v>2078</v>
      </c>
      <c r="J417" s="16">
        <v>16.510000000000002</v>
      </c>
      <c r="K417" s="16">
        <v>44.485999999999997</v>
      </c>
      <c r="L417" s="16">
        <v>0.113</v>
      </c>
      <c r="M417" s="23">
        <v>234.62</v>
      </c>
      <c r="N417" s="16">
        <v>0.96199999999999997</v>
      </c>
      <c r="O417" s="17">
        <v>6.7030000000000003</v>
      </c>
      <c r="P417" s="18">
        <v>35</v>
      </c>
      <c r="Q417" s="18">
        <v>16.510000000000002</v>
      </c>
      <c r="R417" s="18">
        <v>181.35499999999999</v>
      </c>
      <c r="S417" s="18">
        <v>53.265000000000001</v>
      </c>
      <c r="T417" s="14" t="b">
        <f t="shared" si="67"/>
        <v>1</v>
      </c>
      <c r="U417" s="14" t="b">
        <f t="shared" si="68"/>
        <v>1</v>
      </c>
      <c r="V417" s="15">
        <f>VLOOKUP(IF(J417&lt;10, 10, IF(J417&gt;50,50,J417)),'Over to underbark'!$A$3:$C$43,IF(A417="Scots pine",3,IF(A417="Sitka spruce",2, "error")),TRUE)/100</f>
        <v>0.89</v>
      </c>
      <c r="W417">
        <f t="shared" si="69"/>
        <v>145.265355</v>
      </c>
      <c r="X417">
        <f t="shared" si="70"/>
        <v>42.665265000000005</v>
      </c>
      <c r="Y417">
        <f t="shared" si="71"/>
        <v>23.22738</v>
      </c>
      <c r="Z417">
        <f t="shared" si="72"/>
        <v>112.42842209999999</v>
      </c>
      <c r="AA417">
        <f t="shared" si="73"/>
        <v>73.130418899999995</v>
      </c>
      <c r="AB417">
        <f t="shared" si="74"/>
        <v>25.599159000000004</v>
      </c>
      <c r="AC417" t="b">
        <f t="shared" si="75"/>
        <v>1</v>
      </c>
      <c r="AD417" t="b">
        <f t="shared" si="76"/>
        <v>1</v>
      </c>
    </row>
    <row r="418" spans="1:30" x14ac:dyDescent="0.35">
      <c r="A418" t="s">
        <v>33</v>
      </c>
      <c r="B418">
        <v>10</v>
      </c>
      <c r="C418">
        <v>2</v>
      </c>
      <c r="D418" t="s">
        <v>32</v>
      </c>
      <c r="E418">
        <v>2</v>
      </c>
      <c r="F418">
        <v>1</v>
      </c>
      <c r="G418" s="16">
        <v>36</v>
      </c>
      <c r="H418" s="16">
        <v>13.496</v>
      </c>
      <c r="I418" s="16">
        <v>2046</v>
      </c>
      <c r="J418" s="16">
        <v>16.867999999999999</v>
      </c>
      <c r="K418" s="16">
        <v>45.722999999999999</v>
      </c>
      <c r="L418" s="16">
        <v>0.122</v>
      </c>
      <c r="M418" s="23">
        <v>249.56</v>
      </c>
      <c r="N418" s="16">
        <v>1.0860000000000001</v>
      </c>
      <c r="O418" s="17">
        <v>6.9320000000000004</v>
      </c>
      <c r="P418" s="18">
        <v>36</v>
      </c>
      <c r="Q418" s="18">
        <v>16.867999999999999</v>
      </c>
      <c r="R418" s="18">
        <v>187.435</v>
      </c>
      <c r="S418" s="18">
        <v>62.125</v>
      </c>
      <c r="T418" s="14" t="b">
        <f t="shared" si="67"/>
        <v>1</v>
      </c>
      <c r="U418" s="14" t="b">
        <f t="shared" si="68"/>
        <v>1</v>
      </c>
      <c r="V418" s="15">
        <f>VLOOKUP(IF(J418&lt;10, 10, IF(J418&gt;50,50,J418)),'Over to underbark'!$A$3:$C$43,IF(A418="Scots pine",3,IF(A418="Sitka spruce",2, "error")),TRUE)/100</f>
        <v>0.89</v>
      </c>
      <c r="W418">
        <f t="shared" si="69"/>
        <v>150.13543500000003</v>
      </c>
      <c r="X418">
        <f t="shared" si="70"/>
        <v>49.762125000000005</v>
      </c>
      <c r="Y418">
        <f t="shared" si="71"/>
        <v>24.706439999999997</v>
      </c>
      <c r="Z418">
        <f t="shared" si="72"/>
        <v>117.74795670000002</v>
      </c>
      <c r="AA418">
        <f t="shared" si="73"/>
        <v>76.998768300000023</v>
      </c>
      <c r="AB418">
        <f t="shared" si="74"/>
        <v>29.857275000000001</v>
      </c>
      <c r="AC418" t="b">
        <f t="shared" si="75"/>
        <v>1</v>
      </c>
      <c r="AD418" t="b">
        <f t="shared" si="76"/>
        <v>1</v>
      </c>
    </row>
    <row r="419" spans="1:30" x14ac:dyDescent="0.35">
      <c r="A419" t="s">
        <v>33</v>
      </c>
      <c r="B419">
        <v>10</v>
      </c>
      <c r="C419">
        <v>2</v>
      </c>
      <c r="D419" t="s">
        <v>32</v>
      </c>
      <c r="E419">
        <v>2</v>
      </c>
      <c r="F419">
        <v>1</v>
      </c>
      <c r="G419" s="16">
        <v>37</v>
      </c>
      <c r="H419" s="16">
        <v>13.92</v>
      </c>
      <c r="I419" s="16">
        <v>2014</v>
      </c>
      <c r="J419" s="16">
        <v>17.23</v>
      </c>
      <c r="K419" s="16">
        <v>46.959000000000003</v>
      </c>
      <c r="L419" s="16">
        <v>0.13100000000000001</v>
      </c>
      <c r="M419" s="23">
        <v>264.5</v>
      </c>
      <c r="N419" s="16">
        <v>1.1950000000000001</v>
      </c>
      <c r="O419" s="17">
        <v>7.149</v>
      </c>
      <c r="P419" s="18">
        <v>37</v>
      </c>
      <c r="Q419" s="18">
        <v>17.23</v>
      </c>
      <c r="R419" s="18">
        <v>192.822</v>
      </c>
      <c r="S419" s="18">
        <v>71.677999999999997</v>
      </c>
      <c r="T419" s="14" t="b">
        <f t="shared" si="67"/>
        <v>1</v>
      </c>
      <c r="U419" s="14" t="b">
        <f t="shared" si="68"/>
        <v>1</v>
      </c>
      <c r="V419" s="15">
        <f>VLOOKUP(IF(J419&lt;10, 10, IF(J419&gt;50,50,J419)),'Over to underbark'!$A$3:$C$43,IF(A419="Scots pine",3,IF(A419="Sitka spruce",2, "error")),TRUE)/100</f>
        <v>0.9</v>
      </c>
      <c r="W419">
        <f t="shared" si="69"/>
        <v>156.18582000000001</v>
      </c>
      <c r="X419">
        <f t="shared" si="70"/>
        <v>58.059179999999998</v>
      </c>
      <c r="Y419">
        <f t="shared" si="71"/>
        <v>23.804999999999996</v>
      </c>
      <c r="Z419">
        <f t="shared" si="72"/>
        <v>121.53979439999999</v>
      </c>
      <c r="AA419">
        <f t="shared" si="73"/>
        <v>81.674697600000002</v>
      </c>
      <c r="AB419">
        <f t="shared" si="74"/>
        <v>34.835507999999997</v>
      </c>
      <c r="AC419" t="b">
        <f t="shared" si="75"/>
        <v>1</v>
      </c>
      <c r="AD419" t="b">
        <f t="shared" si="76"/>
        <v>1</v>
      </c>
    </row>
    <row r="420" spans="1:30" x14ac:dyDescent="0.35">
      <c r="A420" t="s">
        <v>33</v>
      </c>
      <c r="B420">
        <v>10</v>
      </c>
      <c r="C420">
        <v>2</v>
      </c>
      <c r="D420" t="s">
        <v>32</v>
      </c>
      <c r="E420">
        <v>2</v>
      </c>
      <c r="F420">
        <v>1</v>
      </c>
      <c r="G420" s="16">
        <v>38</v>
      </c>
      <c r="H420" s="16">
        <v>14.308</v>
      </c>
      <c r="I420" s="16">
        <v>1979</v>
      </c>
      <c r="J420" s="16">
        <v>17.555</v>
      </c>
      <c r="K420" s="16">
        <v>47.902999999999999</v>
      </c>
      <c r="L420" s="16">
        <v>0.14099999999999999</v>
      </c>
      <c r="M420" s="23">
        <v>279.32</v>
      </c>
      <c r="N420" s="16">
        <v>1.4330000000000001</v>
      </c>
      <c r="O420" s="17">
        <v>7.351</v>
      </c>
      <c r="P420" s="18">
        <v>38</v>
      </c>
      <c r="Q420" s="18">
        <v>17.555</v>
      </c>
      <c r="R420" s="18">
        <v>198.13</v>
      </c>
      <c r="S420" s="18">
        <v>81.19</v>
      </c>
      <c r="T420" s="14" t="b">
        <f t="shared" si="67"/>
        <v>1</v>
      </c>
      <c r="U420" s="14" t="b">
        <f t="shared" si="68"/>
        <v>1</v>
      </c>
      <c r="V420" s="15">
        <f>VLOOKUP(IF(J420&lt;10, 10, IF(J420&gt;50,50,J420)),'Over to underbark'!$A$3:$C$43,IF(A420="Scots pine",3,IF(A420="Sitka spruce",2, "error")),TRUE)/100</f>
        <v>0.9</v>
      </c>
      <c r="W420">
        <f t="shared" si="69"/>
        <v>160.48530000000002</v>
      </c>
      <c r="X420">
        <f t="shared" si="70"/>
        <v>65.763900000000007</v>
      </c>
      <c r="Y420">
        <f t="shared" si="71"/>
        <v>25.138799999999996</v>
      </c>
      <c r="Z420">
        <f t="shared" si="72"/>
        <v>126.480006</v>
      </c>
      <c r="AA420">
        <f t="shared" si="73"/>
        <v>85.44965400000001</v>
      </c>
      <c r="AB420">
        <f t="shared" si="74"/>
        <v>39.45834</v>
      </c>
      <c r="AC420" t="b">
        <f t="shared" si="75"/>
        <v>1</v>
      </c>
      <c r="AD420" t="b">
        <f t="shared" si="76"/>
        <v>1</v>
      </c>
    </row>
    <row r="421" spans="1:30" x14ac:dyDescent="0.35">
      <c r="A421" t="s">
        <v>33</v>
      </c>
      <c r="B421">
        <v>10</v>
      </c>
      <c r="C421">
        <v>2</v>
      </c>
      <c r="D421" t="s">
        <v>32</v>
      </c>
      <c r="E421">
        <v>2</v>
      </c>
      <c r="F421">
        <v>1</v>
      </c>
      <c r="G421" s="16">
        <v>39</v>
      </c>
      <c r="H421" s="16">
        <v>14.696</v>
      </c>
      <c r="I421" s="16">
        <v>1944</v>
      </c>
      <c r="J421" s="16">
        <v>17.885999999999999</v>
      </c>
      <c r="K421" s="16">
        <v>48.845999999999997</v>
      </c>
      <c r="L421" s="16">
        <v>0.151</v>
      </c>
      <c r="M421" s="23">
        <v>294.14</v>
      </c>
      <c r="N421" s="16">
        <v>1.645</v>
      </c>
      <c r="O421" s="17">
        <v>7.5419999999999998</v>
      </c>
      <c r="P421" s="18">
        <v>39</v>
      </c>
      <c r="Q421" s="18">
        <v>17.885999999999999</v>
      </c>
      <c r="R421" s="18">
        <v>202.79300000000001</v>
      </c>
      <c r="S421" s="18">
        <v>91.346999999999994</v>
      </c>
      <c r="T421" s="14" t="b">
        <f t="shared" si="67"/>
        <v>1</v>
      </c>
      <c r="U421" s="14" t="b">
        <f t="shared" si="68"/>
        <v>1</v>
      </c>
      <c r="V421" s="15">
        <f>VLOOKUP(IF(J421&lt;10, 10, IF(J421&gt;50,50,J421)),'Over to underbark'!$A$3:$C$43,IF(A421="Scots pine",3,IF(A421="Sitka spruce",2, "error")),TRUE)/100</f>
        <v>0.9</v>
      </c>
      <c r="W421">
        <f t="shared" si="69"/>
        <v>164.26232999999999</v>
      </c>
      <c r="X421">
        <f t="shared" si="70"/>
        <v>73.991070000000008</v>
      </c>
      <c r="Y421">
        <f t="shared" si="71"/>
        <v>26.472599999999993</v>
      </c>
      <c r="Z421">
        <f t="shared" si="72"/>
        <v>131.20078859999998</v>
      </c>
      <c r="AA421">
        <f t="shared" si="73"/>
        <v>89.130569399999985</v>
      </c>
      <c r="AB421">
        <f t="shared" si="74"/>
        <v>44.394642000000005</v>
      </c>
      <c r="AC421" t="b">
        <f t="shared" si="75"/>
        <v>1</v>
      </c>
      <c r="AD421" t="b">
        <f t="shared" si="76"/>
        <v>1</v>
      </c>
    </row>
    <row r="422" spans="1:30" x14ac:dyDescent="0.35">
      <c r="A422" t="s">
        <v>33</v>
      </c>
      <c r="B422">
        <v>10</v>
      </c>
      <c r="C422">
        <v>2</v>
      </c>
      <c r="D422" t="s">
        <v>32</v>
      </c>
      <c r="E422">
        <v>2</v>
      </c>
      <c r="F422">
        <v>1</v>
      </c>
      <c r="G422" s="16">
        <v>40</v>
      </c>
      <c r="H422" s="16">
        <v>15.084</v>
      </c>
      <c r="I422" s="16">
        <v>1909</v>
      </c>
      <c r="J422" s="16">
        <v>18.222999999999999</v>
      </c>
      <c r="K422" s="16">
        <v>49.789000000000001</v>
      </c>
      <c r="L422" s="16">
        <v>0.16200000000000001</v>
      </c>
      <c r="M422" s="23">
        <v>308.95999999999998</v>
      </c>
      <c r="N422" s="16">
        <v>1.8360000000000001</v>
      </c>
      <c r="O422" s="17">
        <v>7.7240000000000002</v>
      </c>
      <c r="P422" s="18">
        <v>40</v>
      </c>
      <c r="Q422" s="18">
        <v>18.222999999999999</v>
      </c>
      <c r="R422" s="18">
        <v>206.81200000000001</v>
      </c>
      <c r="S422" s="18">
        <v>102.148</v>
      </c>
      <c r="T422" s="14" t="b">
        <f t="shared" si="67"/>
        <v>1</v>
      </c>
      <c r="U422" s="14" t="b">
        <f t="shared" si="68"/>
        <v>1</v>
      </c>
      <c r="V422" s="15">
        <f>VLOOKUP(IF(J422&lt;10, 10, IF(J422&gt;50,50,J422)),'Over to underbark'!$A$3:$C$43,IF(A422="Scots pine",3,IF(A422="Sitka spruce",2, "error")),TRUE)/100</f>
        <v>0.9</v>
      </c>
      <c r="W422">
        <f t="shared" si="69"/>
        <v>167.51772000000003</v>
      </c>
      <c r="X422">
        <f t="shared" si="70"/>
        <v>82.739879999999999</v>
      </c>
      <c r="Y422">
        <f t="shared" si="71"/>
        <v>27.806399999999996</v>
      </c>
      <c r="Z422">
        <f t="shared" si="72"/>
        <v>135.70248240000001</v>
      </c>
      <c r="AA422">
        <f t="shared" si="73"/>
        <v>92.717589599999997</v>
      </c>
      <c r="AB422">
        <f t="shared" si="74"/>
        <v>49.643927999999995</v>
      </c>
      <c r="AC422" t="b">
        <f t="shared" si="75"/>
        <v>1</v>
      </c>
      <c r="AD422" t="b">
        <f t="shared" si="76"/>
        <v>1</v>
      </c>
    </row>
    <row r="423" spans="1:30" x14ac:dyDescent="0.35">
      <c r="A423" t="s">
        <v>33</v>
      </c>
      <c r="B423">
        <v>10</v>
      </c>
      <c r="C423">
        <v>2</v>
      </c>
      <c r="D423" t="s">
        <v>32</v>
      </c>
      <c r="E423">
        <v>2</v>
      </c>
      <c r="F423">
        <v>1</v>
      </c>
      <c r="G423" s="16">
        <v>41</v>
      </c>
      <c r="H423" s="16">
        <v>15.472</v>
      </c>
      <c r="I423" s="16">
        <v>1874</v>
      </c>
      <c r="J423" s="16">
        <v>18.565999999999999</v>
      </c>
      <c r="K423" s="16">
        <v>50.732999999999997</v>
      </c>
      <c r="L423" s="16">
        <v>0.17299999999999999</v>
      </c>
      <c r="M423" s="23">
        <v>323.77999999999997</v>
      </c>
      <c r="N423" s="16">
        <v>2.0099999999999998</v>
      </c>
      <c r="O423" s="17">
        <v>7.8970000000000002</v>
      </c>
      <c r="P423" s="18">
        <v>41</v>
      </c>
      <c r="Q423" s="18">
        <v>18.565999999999999</v>
      </c>
      <c r="R423" s="18">
        <v>210.19499999999999</v>
      </c>
      <c r="S423" s="18">
        <v>113.58499999999999</v>
      </c>
      <c r="T423" s="14" t="b">
        <f t="shared" si="67"/>
        <v>1</v>
      </c>
      <c r="U423" s="14" t="b">
        <f t="shared" si="68"/>
        <v>1</v>
      </c>
      <c r="V423" s="15">
        <f>VLOOKUP(IF(J423&lt;10, 10, IF(J423&gt;50,50,J423)),'Over to underbark'!$A$3:$C$43,IF(A423="Scots pine",3,IF(A423="Sitka spruce",2, "error")),TRUE)/100</f>
        <v>0.9</v>
      </c>
      <c r="W423">
        <f t="shared" si="69"/>
        <v>170.25794999999999</v>
      </c>
      <c r="X423">
        <f t="shared" si="70"/>
        <v>92.00385</v>
      </c>
      <c r="Y423">
        <f t="shared" si="71"/>
        <v>29.140199999999993</v>
      </c>
      <c r="Z423">
        <f t="shared" si="72"/>
        <v>139.98780899999997</v>
      </c>
      <c r="AA423">
        <f t="shared" si="73"/>
        <v>96.211880999999991</v>
      </c>
      <c r="AB423">
        <f t="shared" si="74"/>
        <v>55.202309999999997</v>
      </c>
      <c r="AC423" t="b">
        <f t="shared" si="75"/>
        <v>1</v>
      </c>
      <c r="AD423" t="b">
        <f t="shared" si="76"/>
        <v>1</v>
      </c>
    </row>
    <row r="424" spans="1:30" x14ac:dyDescent="0.35">
      <c r="A424" t="s">
        <v>33</v>
      </c>
      <c r="B424">
        <v>10</v>
      </c>
      <c r="C424">
        <v>2</v>
      </c>
      <c r="D424" t="s">
        <v>32</v>
      </c>
      <c r="E424">
        <v>2</v>
      </c>
      <c r="F424">
        <v>1</v>
      </c>
      <c r="G424" s="16">
        <v>42</v>
      </c>
      <c r="H424" s="16">
        <v>15.86</v>
      </c>
      <c r="I424" s="16">
        <v>1840</v>
      </c>
      <c r="J424" s="16">
        <v>18.91</v>
      </c>
      <c r="K424" s="16">
        <v>51.676000000000002</v>
      </c>
      <c r="L424" s="16">
        <v>0.184</v>
      </c>
      <c r="M424" s="23">
        <v>338.6</v>
      </c>
      <c r="N424" s="16">
        <v>2.1669999999999998</v>
      </c>
      <c r="O424" s="17">
        <v>8.0619999999999994</v>
      </c>
      <c r="P424" s="18">
        <v>42</v>
      </c>
      <c r="Q424" s="18">
        <v>18.91</v>
      </c>
      <c r="R424" s="18">
        <v>213.04400000000001</v>
      </c>
      <c r="S424" s="18">
        <v>125.556</v>
      </c>
      <c r="T424" s="14" t="b">
        <f t="shared" si="67"/>
        <v>1</v>
      </c>
      <c r="U424" s="14" t="b">
        <f t="shared" si="68"/>
        <v>1</v>
      </c>
      <c r="V424" s="15">
        <f>VLOOKUP(IF(J424&lt;10, 10, IF(J424&gt;50,50,J424)),'Over to underbark'!$A$3:$C$43,IF(A424="Scots pine",3,IF(A424="Sitka spruce",2, "error")),TRUE)/100</f>
        <v>0.9</v>
      </c>
      <c r="W424">
        <f t="shared" si="69"/>
        <v>172.56564000000003</v>
      </c>
      <c r="X424">
        <f t="shared" si="70"/>
        <v>101.70036</v>
      </c>
      <c r="Y424">
        <f t="shared" si="71"/>
        <v>30.473999999999993</v>
      </c>
      <c r="Z424">
        <f t="shared" si="72"/>
        <v>144.0914688</v>
      </c>
      <c r="AA424">
        <f t="shared" si="73"/>
        <v>99.628315200000003</v>
      </c>
      <c r="AB424">
        <f t="shared" si="74"/>
        <v>61.020215999999998</v>
      </c>
      <c r="AC424" t="b">
        <f t="shared" si="75"/>
        <v>1</v>
      </c>
      <c r="AD424" t="b">
        <f t="shared" si="76"/>
        <v>1</v>
      </c>
    </row>
    <row r="425" spans="1:30" x14ac:dyDescent="0.35">
      <c r="A425" t="s">
        <v>33</v>
      </c>
      <c r="B425">
        <v>10</v>
      </c>
      <c r="C425">
        <v>2</v>
      </c>
      <c r="D425" t="s">
        <v>32</v>
      </c>
      <c r="E425">
        <v>2</v>
      </c>
      <c r="F425">
        <v>1</v>
      </c>
      <c r="G425" s="16">
        <v>43</v>
      </c>
      <c r="H425" s="16">
        <v>16.213999999999999</v>
      </c>
      <c r="I425" s="16">
        <v>1809</v>
      </c>
      <c r="J425" s="16">
        <v>19.207000000000001</v>
      </c>
      <c r="K425" s="16">
        <v>52.411999999999999</v>
      </c>
      <c r="L425" s="16">
        <v>0.19500000000000001</v>
      </c>
      <c r="M425" s="23">
        <v>352.38</v>
      </c>
      <c r="N425" s="16">
        <v>2.4470000000000001</v>
      </c>
      <c r="O425" s="17">
        <v>8.1950000000000003</v>
      </c>
      <c r="P425" s="18">
        <v>43</v>
      </c>
      <c r="Q425" s="18">
        <v>19.207000000000001</v>
      </c>
      <c r="R425" s="18">
        <v>215.71</v>
      </c>
      <c r="S425" s="18">
        <v>136.66999999999999</v>
      </c>
      <c r="T425" s="14" t="b">
        <f t="shared" ref="T425:T459" si="77">G425=P425</f>
        <v>1</v>
      </c>
      <c r="U425" s="14" t="b">
        <f t="shared" ref="U425:U459" si="78">J425=Q425</f>
        <v>1</v>
      </c>
      <c r="V425" s="15">
        <f>VLOOKUP(IF(J425&lt;10, 10, IF(J425&gt;50,50,J425)),'Over to underbark'!$A$3:$C$43,IF(A425="Scots pine",3,IF(A425="Sitka spruce",2, "error")),TRUE)/100</f>
        <v>0.9</v>
      </c>
      <c r="W425">
        <f t="shared" ref="W425:W459" si="79">R425*0.9*V425</f>
        <v>174.72510000000003</v>
      </c>
      <c r="X425">
        <f t="shared" ref="X425:X459" si="80">S425*0.9*V425</f>
        <v>110.70269999999999</v>
      </c>
      <c r="Y425">
        <f t="shared" ref="Y425:Y459" si="81">(R425+S425)*0.9*(100%-V425)</f>
        <v>31.714199999999991</v>
      </c>
      <c r="Z425">
        <f t="shared" ref="Z425:Z459" si="82">Y425+(57%*W425)+(15%*X425)</f>
        <v>147.91291199999998</v>
      </c>
      <c r="AA425">
        <f t="shared" ref="AA425:AA459" si="83">(43%*W425)+(25%*X425)</f>
        <v>102.80746800000001</v>
      </c>
      <c r="AB425">
        <f t="shared" ref="AB425:AB459" si="84">60%*X425</f>
        <v>66.42161999999999</v>
      </c>
      <c r="AC425" t="b">
        <f t="shared" ref="AC425:AC459" si="85">SUM(W425:Y425)=SUM(Z425:AB425)</f>
        <v>1</v>
      </c>
      <c r="AD425" t="b">
        <f t="shared" ref="AD425:AD459" si="86">SUM(R425:S425)*0.9 = SUM(W425:Y425)</f>
        <v>1</v>
      </c>
    </row>
    <row r="426" spans="1:30" x14ac:dyDescent="0.35">
      <c r="A426" t="s">
        <v>33</v>
      </c>
      <c r="B426">
        <v>10</v>
      </c>
      <c r="C426">
        <v>2</v>
      </c>
      <c r="D426" t="s">
        <v>32</v>
      </c>
      <c r="E426">
        <v>2</v>
      </c>
      <c r="F426">
        <v>1</v>
      </c>
      <c r="G426" s="16">
        <v>44</v>
      </c>
      <c r="H426" s="16">
        <v>16.568000000000001</v>
      </c>
      <c r="I426" s="16">
        <v>1778</v>
      </c>
      <c r="J426" s="16">
        <v>19.509</v>
      </c>
      <c r="K426" s="16">
        <v>53.148000000000003</v>
      </c>
      <c r="L426" s="16">
        <v>0.20599999999999999</v>
      </c>
      <c r="M426" s="23">
        <v>366.16</v>
      </c>
      <c r="N426" s="16">
        <v>2.7050000000000001</v>
      </c>
      <c r="O426" s="17">
        <v>8.3219999999999992</v>
      </c>
      <c r="P426" s="18">
        <v>44</v>
      </c>
      <c r="Q426" s="18">
        <v>19.509</v>
      </c>
      <c r="R426" s="18">
        <v>217.88499999999999</v>
      </c>
      <c r="S426" s="18">
        <v>148.27500000000001</v>
      </c>
      <c r="T426" s="14" t="b">
        <f t="shared" si="77"/>
        <v>1</v>
      </c>
      <c r="U426" s="14" t="b">
        <f t="shared" si="78"/>
        <v>1</v>
      </c>
      <c r="V426" s="15">
        <f>VLOOKUP(IF(J426&lt;10, 10, IF(J426&gt;50,50,J426)),'Over to underbark'!$A$3:$C$43,IF(A426="Scots pine",3,IF(A426="Sitka spruce",2, "error")),TRUE)/100</f>
        <v>0.9</v>
      </c>
      <c r="W426">
        <f t="shared" si="79"/>
        <v>176.48685</v>
      </c>
      <c r="X426">
        <f t="shared" si="80"/>
        <v>120.10275000000001</v>
      </c>
      <c r="Y426">
        <f t="shared" si="81"/>
        <v>32.954399999999993</v>
      </c>
      <c r="Z426">
        <f t="shared" si="82"/>
        <v>151.56731699999997</v>
      </c>
      <c r="AA426">
        <f t="shared" si="83"/>
        <v>105.91503300000001</v>
      </c>
      <c r="AB426">
        <f t="shared" si="84"/>
        <v>72.06165</v>
      </c>
      <c r="AC426" t="b">
        <f t="shared" si="85"/>
        <v>1</v>
      </c>
      <c r="AD426" t="b">
        <f t="shared" si="86"/>
        <v>1</v>
      </c>
    </row>
    <row r="427" spans="1:30" x14ac:dyDescent="0.35">
      <c r="A427" t="s">
        <v>33</v>
      </c>
      <c r="B427">
        <v>10</v>
      </c>
      <c r="C427">
        <v>2</v>
      </c>
      <c r="D427" t="s">
        <v>32</v>
      </c>
      <c r="E427">
        <v>2</v>
      </c>
      <c r="F427">
        <v>1</v>
      </c>
      <c r="G427" s="16">
        <v>45</v>
      </c>
      <c r="H427" s="16">
        <v>16.922000000000001</v>
      </c>
      <c r="I427" s="16">
        <v>1748</v>
      </c>
      <c r="J427" s="16">
        <v>19.811</v>
      </c>
      <c r="K427" s="16">
        <v>53.884</v>
      </c>
      <c r="L427" s="16">
        <v>0.217</v>
      </c>
      <c r="M427" s="23">
        <v>379.94</v>
      </c>
      <c r="N427" s="16">
        <v>2.9430000000000001</v>
      </c>
      <c r="O427" s="17">
        <v>8.4429999999999996</v>
      </c>
      <c r="P427" s="18">
        <v>45</v>
      </c>
      <c r="Q427" s="18">
        <v>19.811</v>
      </c>
      <c r="R427" s="18">
        <v>219.68199999999999</v>
      </c>
      <c r="S427" s="18">
        <v>160.25800000000001</v>
      </c>
      <c r="T427" s="14" t="b">
        <f t="shared" si="77"/>
        <v>1</v>
      </c>
      <c r="U427" s="14" t="b">
        <f t="shared" si="78"/>
        <v>1</v>
      </c>
      <c r="V427" s="15">
        <f>VLOOKUP(IF(J427&lt;10, 10, IF(J427&gt;50,50,J427)),'Over to underbark'!$A$3:$C$43,IF(A427="Scots pine",3,IF(A427="Sitka spruce",2, "error")),TRUE)/100</f>
        <v>0.9</v>
      </c>
      <c r="W427">
        <f t="shared" si="79"/>
        <v>177.94242</v>
      </c>
      <c r="X427">
        <f t="shared" si="80"/>
        <v>129.80898000000002</v>
      </c>
      <c r="Y427">
        <f t="shared" si="81"/>
        <v>34.194599999999994</v>
      </c>
      <c r="Z427">
        <f t="shared" si="82"/>
        <v>155.09312639999999</v>
      </c>
      <c r="AA427">
        <f t="shared" si="83"/>
        <v>108.9674856</v>
      </c>
      <c r="AB427">
        <f t="shared" si="84"/>
        <v>77.885388000000006</v>
      </c>
      <c r="AC427" t="b">
        <f t="shared" si="85"/>
        <v>1</v>
      </c>
      <c r="AD427" t="b">
        <f t="shared" si="86"/>
        <v>1</v>
      </c>
    </row>
    <row r="428" spans="1:30" x14ac:dyDescent="0.35">
      <c r="A428" t="s">
        <v>33</v>
      </c>
      <c r="B428">
        <v>10</v>
      </c>
      <c r="C428">
        <v>2</v>
      </c>
      <c r="D428" t="s">
        <v>32</v>
      </c>
      <c r="E428">
        <v>2</v>
      </c>
      <c r="F428">
        <v>1</v>
      </c>
      <c r="G428" s="16">
        <v>46</v>
      </c>
      <c r="H428" s="16">
        <v>17.276</v>
      </c>
      <c r="I428" s="16">
        <v>1717</v>
      </c>
      <c r="J428" s="16">
        <v>20.126000000000001</v>
      </c>
      <c r="K428" s="16">
        <v>54.62</v>
      </c>
      <c r="L428" s="16">
        <v>0.22900000000000001</v>
      </c>
      <c r="M428" s="23">
        <v>393.72</v>
      </c>
      <c r="N428" s="16">
        <v>3.1629999999999998</v>
      </c>
      <c r="O428" s="17">
        <v>8.5589999999999993</v>
      </c>
      <c r="P428" s="18">
        <v>46</v>
      </c>
      <c r="Q428" s="18">
        <v>20.126000000000001</v>
      </c>
      <c r="R428" s="18">
        <v>220.83799999999999</v>
      </c>
      <c r="S428" s="18">
        <v>172.88200000000001</v>
      </c>
      <c r="T428" s="14" t="b">
        <f t="shared" si="77"/>
        <v>1</v>
      </c>
      <c r="U428" s="14" t="b">
        <f t="shared" si="78"/>
        <v>1</v>
      </c>
      <c r="V428" s="15">
        <f>VLOOKUP(IF(J428&lt;10, 10, IF(J428&gt;50,50,J428)),'Over to underbark'!$A$3:$C$43,IF(A428="Scots pine",3,IF(A428="Sitka spruce",2, "error")),TRUE)/100</f>
        <v>0.9</v>
      </c>
      <c r="W428">
        <f t="shared" si="79"/>
        <v>178.87878000000001</v>
      </c>
      <c r="X428">
        <f t="shared" si="80"/>
        <v>140.03442000000001</v>
      </c>
      <c r="Y428">
        <f t="shared" si="81"/>
        <v>35.434799999999996</v>
      </c>
      <c r="Z428">
        <f t="shared" si="82"/>
        <v>158.4008676</v>
      </c>
      <c r="AA428">
        <f t="shared" si="83"/>
        <v>111.9264804</v>
      </c>
      <c r="AB428">
        <f t="shared" si="84"/>
        <v>84.020651999999998</v>
      </c>
      <c r="AC428" t="b">
        <f t="shared" si="85"/>
        <v>1</v>
      </c>
      <c r="AD428" t="b">
        <f t="shared" si="86"/>
        <v>1</v>
      </c>
    </row>
    <row r="429" spans="1:30" x14ac:dyDescent="0.35">
      <c r="A429" t="s">
        <v>33</v>
      </c>
      <c r="B429">
        <v>10</v>
      </c>
      <c r="C429">
        <v>2</v>
      </c>
      <c r="D429" t="s">
        <v>32</v>
      </c>
      <c r="E429">
        <v>2</v>
      </c>
      <c r="F429">
        <v>1</v>
      </c>
      <c r="G429" s="16">
        <v>47</v>
      </c>
      <c r="H429" s="16">
        <v>17.63</v>
      </c>
      <c r="I429" s="16">
        <v>1687</v>
      </c>
      <c r="J429" s="16">
        <v>20.440000000000001</v>
      </c>
      <c r="K429" s="16">
        <v>55.356000000000002</v>
      </c>
      <c r="L429" s="16">
        <v>0.24199999999999999</v>
      </c>
      <c r="M429" s="23">
        <v>407.5</v>
      </c>
      <c r="N429" s="16">
        <v>3.367</v>
      </c>
      <c r="O429" s="17">
        <v>8.67</v>
      </c>
      <c r="P429" s="18">
        <v>47</v>
      </c>
      <c r="Q429" s="18">
        <v>20.440000000000001</v>
      </c>
      <c r="R429" s="18">
        <v>221.66</v>
      </c>
      <c r="S429" s="18">
        <v>185.84</v>
      </c>
      <c r="T429" s="14" t="b">
        <f t="shared" si="77"/>
        <v>1</v>
      </c>
      <c r="U429" s="14" t="b">
        <f t="shared" si="78"/>
        <v>1</v>
      </c>
      <c r="V429" s="15">
        <f>VLOOKUP(IF(J429&lt;10, 10, IF(J429&gt;50,50,J429)),'Over to underbark'!$A$3:$C$43,IF(A429="Scots pine",3,IF(A429="Sitka spruce",2, "error")),TRUE)/100</f>
        <v>0.9</v>
      </c>
      <c r="W429">
        <f t="shared" si="79"/>
        <v>179.5446</v>
      </c>
      <c r="X429">
        <f t="shared" si="80"/>
        <v>150.53040000000001</v>
      </c>
      <c r="Y429">
        <f t="shared" si="81"/>
        <v>36.67499999999999</v>
      </c>
      <c r="Z429">
        <f t="shared" si="82"/>
        <v>161.59498199999996</v>
      </c>
      <c r="AA429">
        <f t="shared" si="83"/>
        <v>114.83677800000001</v>
      </c>
      <c r="AB429">
        <f t="shared" si="84"/>
        <v>90.318240000000003</v>
      </c>
      <c r="AC429" t="b">
        <f t="shared" si="85"/>
        <v>1</v>
      </c>
      <c r="AD429" t="b">
        <f t="shared" si="86"/>
        <v>1</v>
      </c>
    </row>
    <row r="430" spans="1:30" x14ac:dyDescent="0.35">
      <c r="A430" t="s">
        <v>33</v>
      </c>
      <c r="B430">
        <v>10</v>
      </c>
      <c r="C430">
        <v>2</v>
      </c>
      <c r="D430" t="s">
        <v>32</v>
      </c>
      <c r="E430">
        <v>2</v>
      </c>
      <c r="F430">
        <v>1</v>
      </c>
      <c r="G430" s="16">
        <v>48</v>
      </c>
      <c r="H430" s="16">
        <v>17.948</v>
      </c>
      <c r="I430" s="16">
        <v>1659</v>
      </c>
      <c r="J430" s="16">
        <v>20.712</v>
      </c>
      <c r="K430" s="16">
        <v>55.895000000000003</v>
      </c>
      <c r="L430" s="16">
        <v>0.253</v>
      </c>
      <c r="M430" s="23">
        <v>419.6</v>
      </c>
      <c r="N430" s="16">
        <v>3.66</v>
      </c>
      <c r="O430" s="17">
        <v>8.7420000000000009</v>
      </c>
      <c r="P430" s="18">
        <v>48</v>
      </c>
      <c r="Q430" s="18">
        <v>20.712</v>
      </c>
      <c r="R430" s="18">
        <v>222.18299999999999</v>
      </c>
      <c r="S430" s="18">
        <v>197.417</v>
      </c>
      <c r="T430" s="14" t="b">
        <f t="shared" si="77"/>
        <v>1</v>
      </c>
      <c r="U430" s="14" t="b">
        <f t="shared" si="78"/>
        <v>1</v>
      </c>
      <c r="V430" s="15">
        <f>VLOOKUP(IF(J430&lt;10, 10, IF(J430&gt;50,50,J430)),'Over to underbark'!$A$3:$C$43,IF(A430="Scots pine",3,IF(A430="Sitka spruce",2, "error")),TRUE)/100</f>
        <v>0.9</v>
      </c>
      <c r="W430">
        <f t="shared" si="79"/>
        <v>179.96823000000001</v>
      </c>
      <c r="X430">
        <f t="shared" si="80"/>
        <v>159.90777</v>
      </c>
      <c r="Y430">
        <f t="shared" si="81"/>
        <v>37.763999999999996</v>
      </c>
      <c r="Z430">
        <f t="shared" si="82"/>
        <v>164.33205659999999</v>
      </c>
      <c r="AA430">
        <f t="shared" si="83"/>
        <v>117.36328140000001</v>
      </c>
      <c r="AB430">
        <f t="shared" si="84"/>
        <v>95.944661999999994</v>
      </c>
      <c r="AC430" t="b">
        <f t="shared" si="85"/>
        <v>1</v>
      </c>
      <c r="AD430" t="b">
        <f t="shared" si="86"/>
        <v>1</v>
      </c>
    </row>
    <row r="431" spans="1:30" x14ac:dyDescent="0.35">
      <c r="A431" t="s">
        <v>33</v>
      </c>
      <c r="B431">
        <v>10</v>
      </c>
      <c r="C431">
        <v>2</v>
      </c>
      <c r="D431" t="s">
        <v>32</v>
      </c>
      <c r="E431">
        <v>2</v>
      </c>
      <c r="F431">
        <v>1</v>
      </c>
      <c r="G431" s="16">
        <v>49</v>
      </c>
      <c r="H431" s="16">
        <v>18.265999999999998</v>
      </c>
      <c r="I431" s="16">
        <v>1632</v>
      </c>
      <c r="J431" s="16">
        <v>20.983000000000001</v>
      </c>
      <c r="K431" s="16">
        <v>56.433999999999997</v>
      </c>
      <c r="L431" s="16">
        <v>0.26500000000000001</v>
      </c>
      <c r="M431" s="23">
        <v>431.7</v>
      </c>
      <c r="N431" s="16">
        <v>3.9340000000000002</v>
      </c>
      <c r="O431" s="17">
        <v>8.81</v>
      </c>
      <c r="P431" s="18">
        <v>49</v>
      </c>
      <c r="Q431" s="18">
        <v>20.983000000000001</v>
      </c>
      <c r="R431" s="18">
        <v>222.48</v>
      </c>
      <c r="S431" s="18">
        <v>209.22</v>
      </c>
      <c r="T431" s="14" t="b">
        <f t="shared" si="77"/>
        <v>1</v>
      </c>
      <c r="U431" s="14" t="b">
        <f t="shared" si="78"/>
        <v>1</v>
      </c>
      <c r="V431" s="15">
        <f>VLOOKUP(IF(J431&lt;10, 10, IF(J431&gt;50,50,J431)),'Over to underbark'!$A$3:$C$43,IF(A431="Scots pine",3,IF(A431="Sitka spruce",2, "error")),TRUE)/100</f>
        <v>0.9</v>
      </c>
      <c r="W431">
        <f t="shared" si="79"/>
        <v>180.2088</v>
      </c>
      <c r="X431">
        <f t="shared" si="80"/>
        <v>169.4682</v>
      </c>
      <c r="Y431">
        <f t="shared" si="81"/>
        <v>38.852999999999987</v>
      </c>
      <c r="Z431">
        <f t="shared" si="82"/>
        <v>166.99224599999999</v>
      </c>
      <c r="AA431">
        <f t="shared" si="83"/>
        <v>119.85683399999999</v>
      </c>
      <c r="AB431">
        <f t="shared" si="84"/>
        <v>101.68092</v>
      </c>
      <c r="AC431" t="b">
        <f t="shared" si="85"/>
        <v>1</v>
      </c>
      <c r="AD431" t="b">
        <f t="shared" si="86"/>
        <v>1</v>
      </c>
    </row>
    <row r="432" spans="1:30" x14ac:dyDescent="0.35">
      <c r="A432" t="s">
        <v>33</v>
      </c>
      <c r="B432">
        <v>10</v>
      </c>
      <c r="C432">
        <v>2</v>
      </c>
      <c r="D432" t="s">
        <v>32</v>
      </c>
      <c r="E432">
        <v>2</v>
      </c>
      <c r="F432">
        <v>1</v>
      </c>
      <c r="G432" s="16">
        <v>50</v>
      </c>
      <c r="H432" s="16">
        <v>18.584</v>
      </c>
      <c r="I432" s="16">
        <v>1605</v>
      </c>
      <c r="J432" s="16">
        <v>21.259</v>
      </c>
      <c r="K432" s="16">
        <v>56.972999999999999</v>
      </c>
      <c r="L432" s="16">
        <v>0.27700000000000002</v>
      </c>
      <c r="M432" s="23">
        <v>443.8</v>
      </c>
      <c r="N432" s="16">
        <v>4.1920000000000002</v>
      </c>
      <c r="O432" s="17">
        <v>8.8759999999999994</v>
      </c>
      <c r="P432" s="18">
        <v>50</v>
      </c>
      <c r="Q432" s="18">
        <v>21.259</v>
      </c>
      <c r="R432" s="18">
        <v>222.429</v>
      </c>
      <c r="S432" s="18">
        <v>221.37100000000001</v>
      </c>
      <c r="T432" s="14" t="b">
        <f t="shared" si="77"/>
        <v>1</v>
      </c>
      <c r="U432" s="14" t="b">
        <f t="shared" si="78"/>
        <v>1</v>
      </c>
      <c r="V432" s="15">
        <f>VLOOKUP(IF(J432&lt;10, 10, IF(J432&gt;50,50,J432)),'Over to underbark'!$A$3:$C$43,IF(A432="Scots pine",3,IF(A432="Sitka spruce",2, "error")),TRUE)/100</f>
        <v>0.9</v>
      </c>
      <c r="W432">
        <f t="shared" si="79"/>
        <v>180.16749000000002</v>
      </c>
      <c r="X432">
        <f t="shared" si="80"/>
        <v>179.31051000000002</v>
      </c>
      <c r="Y432">
        <f t="shared" si="81"/>
        <v>39.941999999999993</v>
      </c>
      <c r="Z432">
        <f t="shared" si="82"/>
        <v>169.5340458</v>
      </c>
      <c r="AA432">
        <f t="shared" si="83"/>
        <v>122.29964820000001</v>
      </c>
      <c r="AB432">
        <f t="shared" si="84"/>
        <v>107.58630600000001</v>
      </c>
      <c r="AC432" t="b">
        <f t="shared" si="85"/>
        <v>1</v>
      </c>
      <c r="AD432" t="b">
        <f t="shared" si="86"/>
        <v>1</v>
      </c>
    </row>
    <row r="433" spans="1:30" x14ac:dyDescent="0.35">
      <c r="A433" t="s">
        <v>33</v>
      </c>
      <c r="B433">
        <v>10</v>
      </c>
      <c r="C433">
        <v>2</v>
      </c>
      <c r="D433" t="s">
        <v>32</v>
      </c>
      <c r="E433">
        <v>2</v>
      </c>
      <c r="F433">
        <v>1</v>
      </c>
      <c r="G433" s="16">
        <v>51</v>
      </c>
      <c r="H433" s="16">
        <v>18.902000000000001</v>
      </c>
      <c r="I433" s="16">
        <v>1578</v>
      </c>
      <c r="J433" s="16">
        <v>21.542000000000002</v>
      </c>
      <c r="K433" s="16">
        <v>57.512</v>
      </c>
      <c r="L433" s="16">
        <v>0.28899999999999998</v>
      </c>
      <c r="M433" s="23">
        <v>455.9</v>
      </c>
      <c r="N433" s="16">
        <v>4.4359999999999999</v>
      </c>
      <c r="O433" s="17">
        <v>8.9390000000000001</v>
      </c>
      <c r="P433" s="18">
        <v>51</v>
      </c>
      <c r="Q433" s="18">
        <v>21.542000000000002</v>
      </c>
      <c r="R433" s="18">
        <v>221.99</v>
      </c>
      <c r="S433" s="18">
        <v>233.91</v>
      </c>
      <c r="T433" s="14" t="b">
        <f t="shared" si="77"/>
        <v>1</v>
      </c>
      <c r="U433" s="14" t="b">
        <f t="shared" si="78"/>
        <v>1</v>
      </c>
      <c r="V433" s="15">
        <f>VLOOKUP(IF(J433&lt;10, 10, IF(J433&gt;50,50,J433)),'Over to underbark'!$A$3:$C$43,IF(A433="Scots pine",3,IF(A433="Sitka spruce",2, "error")),TRUE)/100</f>
        <v>0.9</v>
      </c>
      <c r="W433">
        <f t="shared" si="79"/>
        <v>179.81190000000004</v>
      </c>
      <c r="X433">
        <f t="shared" si="80"/>
        <v>189.46710000000002</v>
      </c>
      <c r="Y433">
        <f t="shared" si="81"/>
        <v>41.030999999999992</v>
      </c>
      <c r="Z433">
        <f t="shared" si="82"/>
        <v>171.943848</v>
      </c>
      <c r="AA433">
        <f t="shared" si="83"/>
        <v>124.68589200000002</v>
      </c>
      <c r="AB433">
        <f t="shared" si="84"/>
        <v>113.68026</v>
      </c>
      <c r="AC433" t="b">
        <f t="shared" si="85"/>
        <v>1</v>
      </c>
      <c r="AD433" t="b">
        <f t="shared" si="86"/>
        <v>1</v>
      </c>
    </row>
    <row r="434" spans="1:30" x14ac:dyDescent="0.35">
      <c r="A434" t="s">
        <v>33</v>
      </c>
      <c r="B434">
        <v>10</v>
      </c>
      <c r="C434">
        <v>2</v>
      </c>
      <c r="D434" t="s">
        <v>32</v>
      </c>
      <c r="E434">
        <v>2</v>
      </c>
      <c r="F434">
        <v>1</v>
      </c>
      <c r="G434" s="16">
        <v>52</v>
      </c>
      <c r="H434" s="16">
        <v>19.22</v>
      </c>
      <c r="I434" s="16">
        <v>1551</v>
      </c>
      <c r="J434" s="16">
        <v>21.83</v>
      </c>
      <c r="K434" s="16">
        <v>58.051000000000002</v>
      </c>
      <c r="L434" s="16">
        <v>0.30199999999999999</v>
      </c>
      <c r="M434" s="23">
        <v>468</v>
      </c>
      <c r="N434" s="16">
        <v>4.665</v>
      </c>
      <c r="O434" s="17">
        <v>9</v>
      </c>
      <c r="P434" s="18">
        <v>52</v>
      </c>
      <c r="Q434" s="18">
        <v>21.83</v>
      </c>
      <c r="R434" s="18">
        <v>221.21899999999999</v>
      </c>
      <c r="S434" s="18">
        <v>246.78100000000001</v>
      </c>
      <c r="T434" s="14" t="b">
        <f t="shared" si="77"/>
        <v>1</v>
      </c>
      <c r="U434" s="14" t="b">
        <f t="shared" si="78"/>
        <v>1</v>
      </c>
      <c r="V434" s="15">
        <f>VLOOKUP(IF(J434&lt;10, 10, IF(J434&gt;50,50,J434)),'Over to underbark'!$A$3:$C$43,IF(A434="Scots pine",3,IF(A434="Sitka spruce",2, "error")),TRUE)/100</f>
        <v>0.9</v>
      </c>
      <c r="W434">
        <f t="shared" si="79"/>
        <v>179.18739000000002</v>
      </c>
      <c r="X434">
        <f t="shared" si="80"/>
        <v>199.89261000000002</v>
      </c>
      <c r="Y434">
        <f t="shared" si="81"/>
        <v>42.11999999999999</v>
      </c>
      <c r="Z434">
        <f t="shared" si="82"/>
        <v>174.24070379999998</v>
      </c>
      <c r="AA434">
        <f t="shared" si="83"/>
        <v>127.02373020000002</v>
      </c>
      <c r="AB434">
        <f t="shared" si="84"/>
        <v>119.93556600000001</v>
      </c>
      <c r="AC434" t="b">
        <f t="shared" si="85"/>
        <v>1</v>
      </c>
      <c r="AD434" t="b">
        <f t="shared" si="86"/>
        <v>1</v>
      </c>
    </row>
    <row r="435" spans="1:30" x14ac:dyDescent="0.35">
      <c r="A435" t="s">
        <v>33</v>
      </c>
      <c r="B435">
        <v>10</v>
      </c>
      <c r="C435">
        <v>2</v>
      </c>
      <c r="D435" t="s">
        <v>32</v>
      </c>
      <c r="E435">
        <v>2</v>
      </c>
      <c r="F435">
        <v>1</v>
      </c>
      <c r="G435" s="16">
        <v>53</v>
      </c>
      <c r="H435" s="16">
        <v>19.492000000000001</v>
      </c>
      <c r="I435" s="16">
        <v>1528</v>
      </c>
      <c r="J435" s="16">
        <v>22.068000000000001</v>
      </c>
      <c r="K435" s="16">
        <v>58.445999999999998</v>
      </c>
      <c r="L435" s="16">
        <v>0.313</v>
      </c>
      <c r="M435" s="23">
        <v>478.2</v>
      </c>
      <c r="N435" s="16">
        <v>4.9489999999999998</v>
      </c>
      <c r="O435" s="17">
        <v>9.0229999999999997</v>
      </c>
      <c r="P435" s="18">
        <v>53</v>
      </c>
      <c r="Q435" s="18">
        <v>22.068000000000001</v>
      </c>
      <c r="R435" s="18">
        <v>220.51599999999999</v>
      </c>
      <c r="S435" s="18">
        <v>257.68400000000003</v>
      </c>
      <c r="T435" s="14" t="b">
        <f t="shared" si="77"/>
        <v>1</v>
      </c>
      <c r="U435" s="14" t="b">
        <f t="shared" si="78"/>
        <v>1</v>
      </c>
      <c r="V435" s="15">
        <f>VLOOKUP(IF(J435&lt;10, 10, IF(J435&gt;50,50,J435)),'Over to underbark'!$A$3:$C$43,IF(A435="Scots pine",3,IF(A435="Sitka spruce",2, "error")),TRUE)/100</f>
        <v>0.9</v>
      </c>
      <c r="W435">
        <f t="shared" si="79"/>
        <v>178.61795999999998</v>
      </c>
      <c r="X435">
        <f t="shared" si="80"/>
        <v>208.72404000000003</v>
      </c>
      <c r="Y435">
        <f t="shared" si="81"/>
        <v>43.037999999999997</v>
      </c>
      <c r="Z435">
        <f t="shared" si="82"/>
        <v>176.15884319999998</v>
      </c>
      <c r="AA435">
        <f t="shared" si="83"/>
        <v>128.9867328</v>
      </c>
      <c r="AB435">
        <f t="shared" si="84"/>
        <v>125.23442400000002</v>
      </c>
      <c r="AC435" t="b">
        <f t="shared" si="85"/>
        <v>1</v>
      </c>
      <c r="AD435" t="b">
        <f t="shared" si="86"/>
        <v>1</v>
      </c>
    </row>
    <row r="436" spans="1:30" x14ac:dyDescent="0.35">
      <c r="A436" t="s">
        <v>33</v>
      </c>
      <c r="B436">
        <v>10</v>
      </c>
      <c r="C436">
        <v>2</v>
      </c>
      <c r="D436" t="s">
        <v>32</v>
      </c>
      <c r="E436">
        <v>2</v>
      </c>
      <c r="F436">
        <v>1</v>
      </c>
      <c r="G436" s="16">
        <v>54</v>
      </c>
      <c r="H436" s="16">
        <v>19.763999999999999</v>
      </c>
      <c r="I436" s="16">
        <v>1505</v>
      </c>
      <c r="J436" s="16">
        <v>22.311</v>
      </c>
      <c r="K436" s="16">
        <v>58.841000000000001</v>
      </c>
      <c r="L436" s="16">
        <v>0.32500000000000001</v>
      </c>
      <c r="M436" s="23">
        <v>488.4</v>
      </c>
      <c r="N436" s="16">
        <v>5.22</v>
      </c>
      <c r="O436" s="17">
        <v>9.0440000000000005</v>
      </c>
      <c r="P436" s="18">
        <v>54</v>
      </c>
      <c r="Q436" s="18">
        <v>22.311</v>
      </c>
      <c r="R436" s="18">
        <v>219.559</v>
      </c>
      <c r="S436" s="18">
        <v>268.84100000000001</v>
      </c>
      <c r="T436" s="14" t="b">
        <f t="shared" si="77"/>
        <v>1</v>
      </c>
      <c r="U436" s="14" t="b">
        <f t="shared" si="78"/>
        <v>1</v>
      </c>
      <c r="V436" s="15">
        <f>VLOOKUP(IF(J436&lt;10, 10, IF(J436&gt;50,50,J436)),'Over to underbark'!$A$3:$C$43,IF(A436="Scots pine",3,IF(A436="Sitka spruce",2, "error")),TRUE)/100</f>
        <v>0.9</v>
      </c>
      <c r="W436">
        <f t="shared" si="79"/>
        <v>177.84279000000001</v>
      </c>
      <c r="X436">
        <f t="shared" si="80"/>
        <v>217.76121000000003</v>
      </c>
      <c r="Y436">
        <f t="shared" si="81"/>
        <v>43.955999999999989</v>
      </c>
      <c r="Z436">
        <f t="shared" si="82"/>
        <v>177.9905718</v>
      </c>
      <c r="AA436">
        <f t="shared" si="83"/>
        <v>130.91270220000001</v>
      </c>
      <c r="AB436">
        <f t="shared" si="84"/>
        <v>130.65672600000002</v>
      </c>
      <c r="AC436" t="b">
        <f t="shared" si="85"/>
        <v>1</v>
      </c>
      <c r="AD436" t="b">
        <f t="shared" si="86"/>
        <v>1</v>
      </c>
    </row>
    <row r="437" spans="1:30" x14ac:dyDescent="0.35">
      <c r="A437" t="s">
        <v>33</v>
      </c>
      <c r="B437">
        <v>10</v>
      </c>
      <c r="C437">
        <v>2</v>
      </c>
      <c r="D437" t="s">
        <v>32</v>
      </c>
      <c r="E437">
        <v>2</v>
      </c>
      <c r="F437">
        <v>1</v>
      </c>
      <c r="G437" s="16">
        <v>55</v>
      </c>
      <c r="H437" s="16">
        <v>20.036000000000001</v>
      </c>
      <c r="I437" s="16">
        <v>1482</v>
      </c>
      <c r="J437" s="16">
        <v>22.559000000000001</v>
      </c>
      <c r="K437" s="16">
        <v>59.235999999999997</v>
      </c>
      <c r="L437" s="16">
        <v>0.33600000000000002</v>
      </c>
      <c r="M437" s="23">
        <v>498.6</v>
      </c>
      <c r="N437" s="16">
        <v>5.4790000000000001</v>
      </c>
      <c r="O437" s="17">
        <v>9.0649999999999995</v>
      </c>
      <c r="P437" s="18">
        <v>55</v>
      </c>
      <c r="Q437" s="18">
        <v>22.559000000000001</v>
      </c>
      <c r="R437" s="18">
        <v>218.35300000000001</v>
      </c>
      <c r="S437" s="18">
        <v>280.24700000000001</v>
      </c>
      <c r="T437" s="14" t="b">
        <f t="shared" si="77"/>
        <v>1</v>
      </c>
      <c r="U437" s="14" t="b">
        <f t="shared" si="78"/>
        <v>1</v>
      </c>
      <c r="V437" s="15">
        <f>VLOOKUP(IF(J437&lt;10, 10, IF(J437&gt;50,50,J437)),'Over to underbark'!$A$3:$C$43,IF(A437="Scots pine",3,IF(A437="Sitka spruce",2, "error")),TRUE)/100</f>
        <v>0.9</v>
      </c>
      <c r="W437">
        <f t="shared" si="79"/>
        <v>176.86593000000002</v>
      </c>
      <c r="X437">
        <f t="shared" si="80"/>
        <v>227.00007000000002</v>
      </c>
      <c r="Y437">
        <f t="shared" si="81"/>
        <v>44.873999999999988</v>
      </c>
      <c r="Z437">
        <f t="shared" si="82"/>
        <v>179.73759059999998</v>
      </c>
      <c r="AA437">
        <f t="shared" si="83"/>
        <v>132.80236740000001</v>
      </c>
      <c r="AB437">
        <f t="shared" si="84"/>
        <v>136.200042</v>
      </c>
      <c r="AC437" t="b">
        <f t="shared" si="85"/>
        <v>1</v>
      </c>
      <c r="AD437" t="b">
        <f t="shared" si="86"/>
        <v>1</v>
      </c>
    </row>
    <row r="438" spans="1:30" x14ac:dyDescent="0.35">
      <c r="A438" t="s">
        <v>33</v>
      </c>
      <c r="B438">
        <v>10</v>
      </c>
      <c r="C438">
        <v>2</v>
      </c>
      <c r="D438" t="s">
        <v>32</v>
      </c>
      <c r="E438">
        <v>2</v>
      </c>
      <c r="F438">
        <v>1</v>
      </c>
      <c r="G438" s="16">
        <v>56</v>
      </c>
      <c r="H438" s="16">
        <v>20.308</v>
      </c>
      <c r="I438" s="16">
        <v>1459</v>
      </c>
      <c r="J438" s="16">
        <v>22.812000000000001</v>
      </c>
      <c r="K438" s="16">
        <v>59.631</v>
      </c>
      <c r="L438" s="16">
        <v>0.34899999999999998</v>
      </c>
      <c r="M438" s="23">
        <v>508.8</v>
      </c>
      <c r="N438" s="16">
        <v>5.7249999999999996</v>
      </c>
      <c r="O438" s="17">
        <v>9.0860000000000003</v>
      </c>
      <c r="P438" s="18">
        <v>56</v>
      </c>
      <c r="Q438" s="18">
        <v>22.812000000000001</v>
      </c>
      <c r="R438" s="18">
        <v>216.904</v>
      </c>
      <c r="S438" s="18">
        <v>291.89600000000002</v>
      </c>
      <c r="T438" s="14" t="b">
        <f t="shared" si="77"/>
        <v>1</v>
      </c>
      <c r="U438" s="14" t="b">
        <f t="shared" si="78"/>
        <v>1</v>
      </c>
      <c r="V438" s="15">
        <f>VLOOKUP(IF(J438&lt;10, 10, IF(J438&gt;50,50,J438)),'Over to underbark'!$A$3:$C$43,IF(A438="Scots pine",3,IF(A438="Sitka spruce",2, "error")),TRUE)/100</f>
        <v>0.9</v>
      </c>
      <c r="W438">
        <f t="shared" si="79"/>
        <v>175.69224000000003</v>
      </c>
      <c r="X438">
        <f t="shared" si="80"/>
        <v>236.43576000000004</v>
      </c>
      <c r="Y438">
        <f t="shared" si="81"/>
        <v>45.791999999999994</v>
      </c>
      <c r="Z438">
        <f t="shared" si="82"/>
        <v>181.40194080000003</v>
      </c>
      <c r="AA438">
        <f t="shared" si="83"/>
        <v>134.65660320000003</v>
      </c>
      <c r="AB438">
        <f t="shared" si="84"/>
        <v>141.86145600000003</v>
      </c>
      <c r="AC438" t="b">
        <f t="shared" si="85"/>
        <v>1</v>
      </c>
      <c r="AD438" t="b">
        <f t="shared" si="86"/>
        <v>1</v>
      </c>
    </row>
    <row r="439" spans="1:30" x14ac:dyDescent="0.35">
      <c r="A439" t="s">
        <v>33</v>
      </c>
      <c r="B439">
        <v>10</v>
      </c>
      <c r="C439">
        <v>2</v>
      </c>
      <c r="D439" t="s">
        <v>32</v>
      </c>
      <c r="E439">
        <v>2</v>
      </c>
      <c r="F439">
        <v>1</v>
      </c>
      <c r="G439" s="16">
        <v>57</v>
      </c>
      <c r="H439" s="16">
        <v>20.58</v>
      </c>
      <c r="I439" s="16">
        <v>1436</v>
      </c>
      <c r="J439" s="16">
        <v>23.07</v>
      </c>
      <c r="K439" s="16">
        <v>60.026000000000003</v>
      </c>
      <c r="L439" s="16">
        <v>0.36099999999999999</v>
      </c>
      <c r="M439" s="23">
        <v>519</v>
      </c>
      <c r="N439" s="16">
        <v>5.9610000000000003</v>
      </c>
      <c r="O439" s="17">
        <v>9.1050000000000004</v>
      </c>
      <c r="P439" s="18">
        <v>57</v>
      </c>
      <c r="Q439" s="18">
        <v>23.07</v>
      </c>
      <c r="R439" s="18">
        <v>215.21899999999999</v>
      </c>
      <c r="S439" s="18">
        <v>303.78100000000001</v>
      </c>
      <c r="T439" s="14" t="b">
        <f t="shared" si="77"/>
        <v>1</v>
      </c>
      <c r="U439" s="14" t="b">
        <f t="shared" si="78"/>
        <v>1</v>
      </c>
      <c r="V439" s="15">
        <f>VLOOKUP(IF(J439&lt;10, 10, IF(J439&gt;50,50,J439)),'Over to underbark'!$A$3:$C$43,IF(A439="Scots pine",3,IF(A439="Sitka spruce",2, "error")),TRUE)/100</f>
        <v>0.9</v>
      </c>
      <c r="W439">
        <f t="shared" si="79"/>
        <v>174.32739000000001</v>
      </c>
      <c r="X439">
        <f t="shared" si="80"/>
        <v>246.06261000000001</v>
      </c>
      <c r="Y439">
        <f t="shared" si="81"/>
        <v>46.709999999999994</v>
      </c>
      <c r="Z439">
        <f t="shared" si="82"/>
        <v>182.98600379999999</v>
      </c>
      <c r="AA439">
        <f t="shared" si="83"/>
        <v>136.47643020000001</v>
      </c>
      <c r="AB439">
        <f t="shared" si="84"/>
        <v>147.63756599999999</v>
      </c>
      <c r="AC439" t="b">
        <f t="shared" si="85"/>
        <v>1</v>
      </c>
      <c r="AD439" t="b">
        <f t="shared" si="86"/>
        <v>1</v>
      </c>
    </row>
    <row r="440" spans="1:30" x14ac:dyDescent="0.35">
      <c r="A440" t="s">
        <v>33</v>
      </c>
      <c r="B440">
        <v>10</v>
      </c>
      <c r="C440">
        <v>2</v>
      </c>
      <c r="D440" t="s">
        <v>32</v>
      </c>
      <c r="E440">
        <v>2</v>
      </c>
      <c r="F440">
        <v>1</v>
      </c>
      <c r="G440" s="16">
        <v>58</v>
      </c>
      <c r="H440" s="16">
        <v>20.803999999999998</v>
      </c>
      <c r="I440" s="16">
        <v>1418</v>
      </c>
      <c r="J440" s="16">
        <v>23.280999999999999</v>
      </c>
      <c r="K440" s="16">
        <v>60.362000000000002</v>
      </c>
      <c r="L440" s="16">
        <v>0.372</v>
      </c>
      <c r="M440" s="23">
        <v>527.36</v>
      </c>
      <c r="N440" s="16">
        <v>6.2370000000000001</v>
      </c>
      <c r="O440" s="17">
        <v>9.0920000000000005</v>
      </c>
      <c r="P440" s="18">
        <v>58</v>
      </c>
      <c r="Q440" s="18">
        <v>23.280999999999999</v>
      </c>
      <c r="R440" s="18">
        <v>213.76499999999999</v>
      </c>
      <c r="S440" s="18">
        <v>313.59500000000003</v>
      </c>
      <c r="T440" s="14" t="b">
        <f t="shared" si="77"/>
        <v>1</v>
      </c>
      <c r="U440" s="14" t="b">
        <f t="shared" si="78"/>
        <v>1</v>
      </c>
      <c r="V440" s="15">
        <f>VLOOKUP(IF(J440&lt;10, 10, IF(J440&gt;50,50,J440)),'Over to underbark'!$A$3:$C$43,IF(A440="Scots pine",3,IF(A440="Sitka spruce",2, "error")),TRUE)/100</f>
        <v>0.9</v>
      </c>
      <c r="W440">
        <f t="shared" si="79"/>
        <v>173.14965000000001</v>
      </c>
      <c r="X440">
        <f t="shared" si="80"/>
        <v>254.01195000000007</v>
      </c>
      <c r="Y440">
        <f t="shared" si="81"/>
        <v>47.462399999999995</v>
      </c>
      <c r="Z440">
        <f t="shared" si="82"/>
        <v>184.25949300000002</v>
      </c>
      <c r="AA440">
        <f t="shared" si="83"/>
        <v>137.95733700000002</v>
      </c>
      <c r="AB440">
        <f t="shared" si="84"/>
        <v>152.40717000000004</v>
      </c>
      <c r="AC440" t="b">
        <f t="shared" si="85"/>
        <v>1</v>
      </c>
      <c r="AD440" t="b">
        <f t="shared" si="86"/>
        <v>1</v>
      </c>
    </row>
    <row r="441" spans="1:30" x14ac:dyDescent="0.35">
      <c r="A441" t="s">
        <v>33</v>
      </c>
      <c r="B441">
        <v>10</v>
      </c>
      <c r="C441">
        <v>2</v>
      </c>
      <c r="D441" t="s">
        <v>32</v>
      </c>
      <c r="E441">
        <v>2</v>
      </c>
      <c r="F441">
        <v>1</v>
      </c>
      <c r="G441" s="16">
        <v>59</v>
      </c>
      <c r="H441" s="16">
        <v>21.027999999999999</v>
      </c>
      <c r="I441" s="16">
        <v>1400</v>
      </c>
      <c r="J441" s="16">
        <v>23.495000000000001</v>
      </c>
      <c r="K441" s="16">
        <v>60.698</v>
      </c>
      <c r="L441" s="16">
        <v>0.38300000000000001</v>
      </c>
      <c r="M441" s="23">
        <v>535.72</v>
      </c>
      <c r="N441" s="16">
        <v>6.5030000000000001</v>
      </c>
      <c r="O441" s="17">
        <v>9.08</v>
      </c>
      <c r="P441" s="18">
        <v>59</v>
      </c>
      <c r="Q441" s="18">
        <v>23.495000000000001</v>
      </c>
      <c r="R441" s="18">
        <v>212.17</v>
      </c>
      <c r="S441" s="18">
        <v>323.55</v>
      </c>
      <c r="T441" s="14" t="b">
        <f t="shared" si="77"/>
        <v>1</v>
      </c>
      <c r="U441" s="14" t="b">
        <f t="shared" si="78"/>
        <v>1</v>
      </c>
      <c r="V441" s="15">
        <f>VLOOKUP(IF(J441&lt;10, 10, IF(J441&gt;50,50,J441)),'Over to underbark'!$A$3:$C$43,IF(A441="Scots pine",3,IF(A441="Sitka spruce",2, "error")),TRUE)/100</f>
        <v>0.9</v>
      </c>
      <c r="W441">
        <f t="shared" si="79"/>
        <v>171.85769999999999</v>
      </c>
      <c r="X441">
        <f t="shared" si="80"/>
        <v>262.07549999999998</v>
      </c>
      <c r="Y441">
        <f t="shared" si="81"/>
        <v>48.21479999999999</v>
      </c>
      <c r="Z441">
        <f t="shared" si="82"/>
        <v>185.48501399999998</v>
      </c>
      <c r="AA441">
        <f t="shared" si="83"/>
        <v>139.417686</v>
      </c>
      <c r="AB441">
        <f t="shared" si="84"/>
        <v>157.24529999999999</v>
      </c>
      <c r="AC441" t="b">
        <f t="shared" si="85"/>
        <v>1</v>
      </c>
      <c r="AD441" t="b">
        <f t="shared" si="86"/>
        <v>1</v>
      </c>
    </row>
    <row r="442" spans="1:30" x14ac:dyDescent="0.35">
      <c r="A442" t="s">
        <v>33</v>
      </c>
      <c r="B442">
        <v>10</v>
      </c>
      <c r="C442">
        <v>2</v>
      </c>
      <c r="D442" t="s">
        <v>32</v>
      </c>
      <c r="E442">
        <v>2</v>
      </c>
      <c r="F442">
        <v>1</v>
      </c>
      <c r="G442" s="16">
        <v>60</v>
      </c>
      <c r="H442" s="16">
        <v>21.251999999999999</v>
      </c>
      <c r="I442" s="16">
        <v>1382</v>
      </c>
      <c r="J442" s="16">
        <v>23.713000000000001</v>
      </c>
      <c r="K442" s="16">
        <v>61.033999999999999</v>
      </c>
      <c r="L442" s="16">
        <v>0.39400000000000002</v>
      </c>
      <c r="M442" s="23">
        <v>544.08000000000004</v>
      </c>
      <c r="N442" s="16">
        <v>6.7590000000000003</v>
      </c>
      <c r="O442" s="17">
        <v>9.0679999999999996</v>
      </c>
      <c r="P442" s="18">
        <v>60</v>
      </c>
      <c r="Q442" s="18">
        <v>23.713000000000001</v>
      </c>
      <c r="R442" s="18">
        <v>210.417</v>
      </c>
      <c r="S442" s="18">
        <v>333.66300000000001</v>
      </c>
      <c r="T442" s="14" t="b">
        <f t="shared" si="77"/>
        <v>1</v>
      </c>
      <c r="U442" s="14" t="b">
        <f t="shared" si="78"/>
        <v>1</v>
      </c>
      <c r="V442" s="15">
        <f>VLOOKUP(IF(J442&lt;10, 10, IF(J442&gt;50,50,J442)),'Over to underbark'!$A$3:$C$43,IF(A442="Scots pine",3,IF(A442="Sitka spruce",2, "error")),TRUE)/100</f>
        <v>0.9</v>
      </c>
      <c r="W442">
        <f t="shared" si="79"/>
        <v>170.43777</v>
      </c>
      <c r="X442">
        <f t="shared" si="80"/>
        <v>270.26703000000003</v>
      </c>
      <c r="Y442">
        <f t="shared" si="81"/>
        <v>48.967199999999991</v>
      </c>
      <c r="Z442">
        <f t="shared" si="82"/>
        <v>186.65678339999999</v>
      </c>
      <c r="AA442">
        <f t="shared" si="83"/>
        <v>140.85499859999999</v>
      </c>
      <c r="AB442">
        <f t="shared" si="84"/>
        <v>162.16021800000001</v>
      </c>
      <c r="AC442" t="b">
        <f t="shared" si="85"/>
        <v>1</v>
      </c>
      <c r="AD442" t="b">
        <f t="shared" si="86"/>
        <v>1</v>
      </c>
    </row>
    <row r="443" spans="1:30" x14ac:dyDescent="0.35">
      <c r="A443" t="s">
        <v>33</v>
      </c>
      <c r="B443">
        <v>10</v>
      </c>
      <c r="C443">
        <v>2</v>
      </c>
      <c r="D443" t="s">
        <v>32</v>
      </c>
      <c r="E443">
        <v>2</v>
      </c>
      <c r="F443">
        <v>1</v>
      </c>
      <c r="G443" s="16">
        <v>61</v>
      </c>
      <c r="H443" s="16">
        <v>21.475999999999999</v>
      </c>
      <c r="I443" s="16">
        <v>1364</v>
      </c>
      <c r="J443" s="16">
        <v>23.934999999999999</v>
      </c>
      <c r="K443" s="16">
        <v>61.37</v>
      </c>
      <c r="L443" s="16">
        <v>0.40500000000000003</v>
      </c>
      <c r="M443" s="23">
        <v>552.44000000000005</v>
      </c>
      <c r="N443" s="16">
        <v>7.0060000000000002</v>
      </c>
      <c r="O443" s="17">
        <v>9.0559999999999992</v>
      </c>
      <c r="P443" s="18">
        <v>61</v>
      </c>
      <c r="Q443" s="18">
        <v>23.934999999999999</v>
      </c>
      <c r="R443" s="18">
        <v>208.50800000000001</v>
      </c>
      <c r="S443" s="18">
        <v>343.93200000000002</v>
      </c>
      <c r="T443" s="14" t="b">
        <f t="shared" si="77"/>
        <v>1</v>
      </c>
      <c r="U443" s="14" t="b">
        <f t="shared" si="78"/>
        <v>1</v>
      </c>
      <c r="V443" s="15">
        <f>VLOOKUP(IF(J443&lt;10, 10, IF(J443&gt;50,50,J443)),'Over to underbark'!$A$3:$C$43,IF(A443="Scots pine",3,IF(A443="Sitka spruce",2, "error")),TRUE)/100</f>
        <v>0.9</v>
      </c>
      <c r="W443">
        <f t="shared" si="79"/>
        <v>168.89148000000003</v>
      </c>
      <c r="X443">
        <f t="shared" si="80"/>
        <v>278.58492000000007</v>
      </c>
      <c r="Y443">
        <f t="shared" si="81"/>
        <v>49.7196</v>
      </c>
      <c r="Z443">
        <f t="shared" si="82"/>
        <v>187.77548160000001</v>
      </c>
      <c r="AA443">
        <f t="shared" si="83"/>
        <v>142.26956640000003</v>
      </c>
      <c r="AB443">
        <f t="shared" si="84"/>
        <v>167.15095200000005</v>
      </c>
      <c r="AC443" t="b">
        <f t="shared" si="85"/>
        <v>1</v>
      </c>
      <c r="AD443" t="b">
        <f t="shared" si="86"/>
        <v>1</v>
      </c>
    </row>
    <row r="444" spans="1:30" x14ac:dyDescent="0.35">
      <c r="A444" t="s">
        <v>33</v>
      </c>
      <c r="B444">
        <v>10</v>
      </c>
      <c r="C444">
        <v>2</v>
      </c>
      <c r="D444" t="s">
        <v>32</v>
      </c>
      <c r="E444">
        <v>2</v>
      </c>
      <c r="F444">
        <v>1</v>
      </c>
      <c r="G444" s="16">
        <v>62</v>
      </c>
      <c r="H444" s="16">
        <v>21.7</v>
      </c>
      <c r="I444" s="16">
        <v>1346</v>
      </c>
      <c r="J444" s="16">
        <v>24.16</v>
      </c>
      <c r="K444" s="16">
        <v>61.706000000000003</v>
      </c>
      <c r="L444" s="16">
        <v>0.41699999999999998</v>
      </c>
      <c r="M444" s="23">
        <v>560.79999999999995</v>
      </c>
      <c r="N444" s="16">
        <v>7.2439999999999998</v>
      </c>
      <c r="O444" s="17">
        <v>9.0449999999999999</v>
      </c>
      <c r="P444" s="18">
        <v>62</v>
      </c>
      <c r="Q444" s="18">
        <v>24.16</v>
      </c>
      <c r="R444" s="18">
        <v>206.47399999999999</v>
      </c>
      <c r="S444" s="18">
        <v>354.32600000000002</v>
      </c>
      <c r="T444" s="14" t="b">
        <f t="shared" si="77"/>
        <v>1</v>
      </c>
      <c r="U444" s="14" t="b">
        <f t="shared" si="78"/>
        <v>1</v>
      </c>
      <c r="V444" s="15">
        <f>VLOOKUP(IF(J444&lt;10, 10, IF(J444&gt;50,50,J444)),'Over to underbark'!$A$3:$C$43,IF(A444="Scots pine",3,IF(A444="Sitka spruce",2, "error")),TRUE)/100</f>
        <v>0.9</v>
      </c>
      <c r="W444">
        <f t="shared" si="79"/>
        <v>167.24393999999998</v>
      </c>
      <c r="X444">
        <f t="shared" si="80"/>
        <v>287.00406000000004</v>
      </c>
      <c r="Y444">
        <f t="shared" si="81"/>
        <v>50.471999999999987</v>
      </c>
      <c r="Z444">
        <f t="shared" si="82"/>
        <v>188.85165479999998</v>
      </c>
      <c r="AA444">
        <f t="shared" si="83"/>
        <v>143.66590919999999</v>
      </c>
      <c r="AB444">
        <f t="shared" si="84"/>
        <v>172.20243600000001</v>
      </c>
      <c r="AC444" t="b">
        <f t="shared" si="85"/>
        <v>1</v>
      </c>
      <c r="AD444" t="b">
        <f t="shared" si="86"/>
        <v>1</v>
      </c>
    </row>
    <row r="445" spans="1:30" x14ac:dyDescent="0.35">
      <c r="A445" t="s">
        <v>33</v>
      </c>
      <c r="B445">
        <v>10</v>
      </c>
      <c r="C445">
        <v>2</v>
      </c>
      <c r="D445" t="s">
        <v>32</v>
      </c>
      <c r="E445">
        <v>2</v>
      </c>
      <c r="F445">
        <v>1</v>
      </c>
      <c r="G445" s="16">
        <v>63</v>
      </c>
      <c r="H445" s="16">
        <v>21.884</v>
      </c>
      <c r="I445" s="16">
        <v>1331</v>
      </c>
      <c r="J445" s="16">
        <v>24.353999999999999</v>
      </c>
      <c r="K445" s="16">
        <v>62.003</v>
      </c>
      <c r="L445" s="16">
        <v>0.42699999999999999</v>
      </c>
      <c r="M445" s="23">
        <v>567.76</v>
      </c>
      <c r="N445" s="16">
        <v>7.5010000000000003</v>
      </c>
      <c r="O445" s="17">
        <v>9.0120000000000005</v>
      </c>
      <c r="P445" s="18">
        <v>63</v>
      </c>
      <c r="Q445" s="18">
        <v>24.353999999999999</v>
      </c>
      <c r="R445" s="18">
        <v>204.58799999999999</v>
      </c>
      <c r="S445" s="18">
        <v>363.17200000000003</v>
      </c>
      <c r="T445" s="14" t="b">
        <f t="shared" si="77"/>
        <v>1</v>
      </c>
      <c r="U445" s="14" t="b">
        <f t="shared" si="78"/>
        <v>1</v>
      </c>
      <c r="V445" s="15">
        <f>VLOOKUP(IF(J445&lt;10, 10, IF(J445&gt;50,50,J445)),'Over to underbark'!$A$3:$C$43,IF(A445="Scots pine",3,IF(A445="Sitka spruce",2, "error")),TRUE)/100</f>
        <v>0.9</v>
      </c>
      <c r="W445">
        <f t="shared" si="79"/>
        <v>165.71628000000001</v>
      </c>
      <c r="X445">
        <f t="shared" si="80"/>
        <v>294.16932000000003</v>
      </c>
      <c r="Y445">
        <f t="shared" si="81"/>
        <v>51.098399999999984</v>
      </c>
      <c r="Z445">
        <f t="shared" si="82"/>
        <v>189.68207760000001</v>
      </c>
      <c r="AA445">
        <f t="shared" si="83"/>
        <v>144.80033040000001</v>
      </c>
      <c r="AB445">
        <f t="shared" si="84"/>
        <v>176.50159200000002</v>
      </c>
      <c r="AC445" t="b">
        <f t="shared" si="85"/>
        <v>1</v>
      </c>
      <c r="AD445" t="b">
        <f t="shared" si="86"/>
        <v>1</v>
      </c>
    </row>
    <row r="446" spans="1:30" x14ac:dyDescent="0.35">
      <c r="A446" t="s">
        <v>33</v>
      </c>
      <c r="B446">
        <v>10</v>
      </c>
      <c r="C446">
        <v>2</v>
      </c>
      <c r="D446" t="s">
        <v>32</v>
      </c>
      <c r="E446">
        <v>2</v>
      </c>
      <c r="F446">
        <v>1</v>
      </c>
      <c r="G446" s="16">
        <v>64</v>
      </c>
      <c r="H446" s="16">
        <v>22.068000000000001</v>
      </c>
      <c r="I446" s="16">
        <v>1317</v>
      </c>
      <c r="J446" s="16">
        <v>24.542000000000002</v>
      </c>
      <c r="K446" s="16">
        <v>62.298999999999999</v>
      </c>
      <c r="L446" s="16">
        <v>0.436</v>
      </c>
      <c r="M446" s="23">
        <v>574.72</v>
      </c>
      <c r="N446" s="16">
        <v>7.75</v>
      </c>
      <c r="O446" s="17">
        <v>8.98</v>
      </c>
      <c r="P446" s="18">
        <v>64</v>
      </c>
      <c r="Q446" s="18">
        <v>24.542000000000002</v>
      </c>
      <c r="R446" s="18">
        <v>202.804</v>
      </c>
      <c r="S446" s="18">
        <v>371.916</v>
      </c>
      <c r="T446" s="14" t="b">
        <f t="shared" si="77"/>
        <v>1</v>
      </c>
      <c r="U446" s="14" t="b">
        <f t="shared" si="78"/>
        <v>1</v>
      </c>
      <c r="V446" s="15">
        <f>VLOOKUP(IF(J446&lt;10, 10, IF(J446&gt;50,50,J446)),'Over to underbark'!$A$3:$C$43,IF(A446="Scots pine",3,IF(A446="Sitka spruce",2, "error")),TRUE)/100</f>
        <v>0.9</v>
      </c>
      <c r="W446">
        <f t="shared" si="79"/>
        <v>164.27124000000001</v>
      </c>
      <c r="X446">
        <f t="shared" si="80"/>
        <v>301.25196</v>
      </c>
      <c r="Y446">
        <f t="shared" si="81"/>
        <v>51.724799999999995</v>
      </c>
      <c r="Z446">
        <f t="shared" si="82"/>
        <v>190.54720079999998</v>
      </c>
      <c r="AA446">
        <f t="shared" si="83"/>
        <v>145.94962320000002</v>
      </c>
      <c r="AB446">
        <f t="shared" si="84"/>
        <v>180.75117599999999</v>
      </c>
      <c r="AC446" t="b">
        <f t="shared" si="85"/>
        <v>1</v>
      </c>
      <c r="AD446" t="b">
        <f t="shared" si="86"/>
        <v>1</v>
      </c>
    </row>
    <row r="447" spans="1:30" x14ac:dyDescent="0.35">
      <c r="A447" t="s">
        <v>33</v>
      </c>
      <c r="B447">
        <v>10</v>
      </c>
      <c r="C447">
        <v>2</v>
      </c>
      <c r="D447" t="s">
        <v>32</v>
      </c>
      <c r="E447">
        <v>2</v>
      </c>
      <c r="F447">
        <v>1</v>
      </c>
      <c r="G447" s="16">
        <v>65</v>
      </c>
      <c r="H447" s="16">
        <v>22.251999999999999</v>
      </c>
      <c r="I447" s="16">
        <v>1303</v>
      </c>
      <c r="J447" s="16">
        <v>24.731999999999999</v>
      </c>
      <c r="K447" s="16">
        <v>62.595999999999997</v>
      </c>
      <c r="L447" s="16">
        <v>0.44600000000000001</v>
      </c>
      <c r="M447" s="23">
        <v>581.67999999999995</v>
      </c>
      <c r="N447" s="16">
        <v>7.9909999999999997</v>
      </c>
      <c r="O447" s="17">
        <v>8.9489999999999998</v>
      </c>
      <c r="P447" s="18">
        <v>65</v>
      </c>
      <c r="Q447" s="18">
        <v>24.731999999999999</v>
      </c>
      <c r="R447" s="18">
        <v>200.94300000000001</v>
      </c>
      <c r="S447" s="18">
        <v>380.73700000000002</v>
      </c>
      <c r="T447" s="14" t="b">
        <f t="shared" si="77"/>
        <v>1</v>
      </c>
      <c r="U447" s="14" t="b">
        <f t="shared" si="78"/>
        <v>1</v>
      </c>
      <c r="V447" s="15">
        <f>VLOOKUP(IF(J447&lt;10, 10, IF(J447&gt;50,50,J447)),'Over to underbark'!$A$3:$C$43,IF(A447="Scots pine",3,IF(A447="Sitka spruce",2, "error")),TRUE)/100</f>
        <v>0.9</v>
      </c>
      <c r="W447">
        <f t="shared" si="79"/>
        <v>162.76383000000001</v>
      </c>
      <c r="X447">
        <f t="shared" si="80"/>
        <v>308.39697000000007</v>
      </c>
      <c r="Y447">
        <f t="shared" si="81"/>
        <v>52.351199999999992</v>
      </c>
      <c r="Z447">
        <f t="shared" si="82"/>
        <v>191.38612860000001</v>
      </c>
      <c r="AA447">
        <f t="shared" si="83"/>
        <v>147.08768940000002</v>
      </c>
      <c r="AB447">
        <f t="shared" si="84"/>
        <v>185.03818200000003</v>
      </c>
      <c r="AC447" t="b">
        <f t="shared" si="85"/>
        <v>1</v>
      </c>
      <c r="AD447" t="b">
        <f t="shared" si="86"/>
        <v>1</v>
      </c>
    </row>
    <row r="448" spans="1:30" x14ac:dyDescent="0.35">
      <c r="A448" t="s">
        <v>33</v>
      </c>
      <c r="B448">
        <v>10</v>
      </c>
      <c r="C448">
        <v>2</v>
      </c>
      <c r="D448" t="s">
        <v>32</v>
      </c>
      <c r="E448">
        <v>2</v>
      </c>
      <c r="F448">
        <v>1</v>
      </c>
      <c r="G448" s="16">
        <v>66</v>
      </c>
      <c r="H448" s="16">
        <v>22.436</v>
      </c>
      <c r="I448" s="16">
        <v>1289</v>
      </c>
      <c r="J448" s="16">
        <v>24.925000000000001</v>
      </c>
      <c r="K448" s="16">
        <v>62.892000000000003</v>
      </c>
      <c r="L448" s="16">
        <v>0.45700000000000002</v>
      </c>
      <c r="M448" s="23">
        <v>588.64</v>
      </c>
      <c r="N448" s="16">
        <v>8.2260000000000009</v>
      </c>
      <c r="O448" s="17">
        <v>8.9190000000000005</v>
      </c>
      <c r="P448" s="18">
        <v>66</v>
      </c>
      <c r="Q448" s="18">
        <v>24.925000000000001</v>
      </c>
      <c r="R448" s="18">
        <v>198.98599999999999</v>
      </c>
      <c r="S448" s="18">
        <v>389.654</v>
      </c>
      <c r="T448" s="14" t="b">
        <f t="shared" si="77"/>
        <v>1</v>
      </c>
      <c r="U448" s="14" t="b">
        <f t="shared" si="78"/>
        <v>1</v>
      </c>
      <c r="V448" s="15">
        <f>VLOOKUP(IF(J448&lt;10, 10, IF(J448&gt;50,50,J448)),'Over to underbark'!$A$3:$C$43,IF(A448="Scots pine",3,IF(A448="Sitka spruce",2, "error")),TRUE)/100</f>
        <v>0.9</v>
      </c>
      <c r="W448">
        <f t="shared" si="79"/>
        <v>161.17866000000001</v>
      </c>
      <c r="X448">
        <f t="shared" si="80"/>
        <v>315.61974000000004</v>
      </c>
      <c r="Y448">
        <f t="shared" si="81"/>
        <v>52.977599999999981</v>
      </c>
      <c r="Z448">
        <f t="shared" si="82"/>
        <v>192.19239719999996</v>
      </c>
      <c r="AA448">
        <f t="shared" si="83"/>
        <v>148.21175880000001</v>
      </c>
      <c r="AB448">
        <f t="shared" si="84"/>
        <v>189.37184400000001</v>
      </c>
      <c r="AC448" t="b">
        <f t="shared" si="85"/>
        <v>1</v>
      </c>
      <c r="AD448" t="b">
        <f t="shared" si="86"/>
        <v>1</v>
      </c>
    </row>
    <row r="449" spans="1:30" x14ac:dyDescent="0.35">
      <c r="A449" t="s">
        <v>33</v>
      </c>
      <c r="B449">
        <v>10</v>
      </c>
      <c r="C449">
        <v>2</v>
      </c>
      <c r="D449" t="s">
        <v>32</v>
      </c>
      <c r="E449">
        <v>2</v>
      </c>
      <c r="F449">
        <v>1</v>
      </c>
      <c r="G449" s="16">
        <v>67</v>
      </c>
      <c r="H449" s="16">
        <v>22.62</v>
      </c>
      <c r="I449" s="16">
        <v>1275</v>
      </c>
      <c r="J449" s="16">
        <v>25.12</v>
      </c>
      <c r="K449" s="16">
        <v>63.189</v>
      </c>
      <c r="L449" s="16">
        <v>0.46700000000000003</v>
      </c>
      <c r="M449" s="23">
        <v>595.6</v>
      </c>
      <c r="N449" s="16">
        <v>8.4540000000000006</v>
      </c>
      <c r="O449" s="17">
        <v>8.89</v>
      </c>
      <c r="P449" s="18">
        <v>67</v>
      </c>
      <c r="Q449" s="18">
        <v>25.12</v>
      </c>
      <c r="R449" s="18">
        <v>196.958</v>
      </c>
      <c r="S449" s="18">
        <v>398.642</v>
      </c>
      <c r="T449" s="14" t="b">
        <f t="shared" si="77"/>
        <v>1</v>
      </c>
      <c r="U449" s="14" t="b">
        <f t="shared" si="78"/>
        <v>1</v>
      </c>
      <c r="V449" s="15">
        <f>VLOOKUP(IF(J449&lt;10, 10, IF(J449&gt;50,50,J449)),'Over to underbark'!$A$3:$C$43,IF(A449="Scots pine",3,IF(A449="Sitka spruce",2, "error")),TRUE)/100</f>
        <v>0.9</v>
      </c>
      <c r="W449">
        <f t="shared" si="79"/>
        <v>159.53598000000002</v>
      </c>
      <c r="X449">
        <f t="shared" si="80"/>
        <v>322.90002000000004</v>
      </c>
      <c r="Y449">
        <f t="shared" si="81"/>
        <v>53.603999999999999</v>
      </c>
      <c r="Z449">
        <f t="shared" si="82"/>
        <v>192.9745116</v>
      </c>
      <c r="AA449">
        <f t="shared" si="83"/>
        <v>149.32547640000001</v>
      </c>
      <c r="AB449">
        <f t="shared" si="84"/>
        <v>193.74001200000001</v>
      </c>
      <c r="AC449" t="b">
        <f t="shared" si="85"/>
        <v>1</v>
      </c>
      <c r="AD449" t="b">
        <f t="shared" si="86"/>
        <v>1</v>
      </c>
    </row>
    <row r="450" spans="1:30" x14ac:dyDescent="0.35">
      <c r="A450" t="s">
        <v>33</v>
      </c>
      <c r="B450">
        <v>10</v>
      </c>
      <c r="C450">
        <v>2</v>
      </c>
      <c r="D450" t="s">
        <v>32</v>
      </c>
      <c r="E450">
        <v>2</v>
      </c>
      <c r="F450">
        <v>1</v>
      </c>
      <c r="G450" s="16">
        <v>68</v>
      </c>
      <c r="H450" s="16">
        <v>22.782</v>
      </c>
      <c r="I450" s="16">
        <v>1262</v>
      </c>
      <c r="J450" s="16">
        <v>25.3</v>
      </c>
      <c r="K450" s="16">
        <v>63.442</v>
      </c>
      <c r="L450" s="16">
        <v>0.47699999999999998</v>
      </c>
      <c r="M450" s="23">
        <v>601.52</v>
      </c>
      <c r="N450" s="16">
        <v>8.6890000000000001</v>
      </c>
      <c r="O450" s="17">
        <v>8.8460000000000001</v>
      </c>
      <c r="P450" s="18">
        <v>68</v>
      </c>
      <c r="Q450" s="18">
        <v>25.3</v>
      </c>
      <c r="R450" s="18">
        <v>194.90100000000001</v>
      </c>
      <c r="S450" s="18">
        <v>406.61900000000003</v>
      </c>
      <c r="T450" s="14" t="b">
        <f t="shared" si="77"/>
        <v>1</v>
      </c>
      <c r="U450" s="14" t="b">
        <f t="shared" si="78"/>
        <v>1</v>
      </c>
      <c r="V450" s="15">
        <f>VLOOKUP(IF(J450&lt;10, 10, IF(J450&gt;50,50,J450)),'Over to underbark'!$A$3:$C$43,IF(A450="Scots pine",3,IF(A450="Sitka spruce",2, "error")),TRUE)/100</f>
        <v>0.9</v>
      </c>
      <c r="W450">
        <f t="shared" si="79"/>
        <v>157.86981000000003</v>
      </c>
      <c r="X450">
        <f t="shared" si="80"/>
        <v>329.36139000000003</v>
      </c>
      <c r="Y450">
        <f t="shared" si="81"/>
        <v>54.136799999999994</v>
      </c>
      <c r="Z450">
        <f t="shared" si="82"/>
        <v>193.5268002</v>
      </c>
      <c r="AA450">
        <f t="shared" si="83"/>
        <v>150.22436580000002</v>
      </c>
      <c r="AB450">
        <f t="shared" si="84"/>
        <v>197.61683400000001</v>
      </c>
      <c r="AC450" t="b">
        <f t="shared" si="85"/>
        <v>1</v>
      </c>
      <c r="AD450" t="b">
        <f t="shared" si="86"/>
        <v>1</v>
      </c>
    </row>
    <row r="451" spans="1:30" x14ac:dyDescent="0.35">
      <c r="A451" t="s">
        <v>33</v>
      </c>
      <c r="B451">
        <v>10</v>
      </c>
      <c r="C451">
        <v>2</v>
      </c>
      <c r="D451" t="s">
        <v>32</v>
      </c>
      <c r="E451">
        <v>2</v>
      </c>
      <c r="F451">
        <v>1</v>
      </c>
      <c r="G451" s="16">
        <v>69</v>
      </c>
      <c r="H451" s="16">
        <v>22.943999999999999</v>
      </c>
      <c r="I451" s="16">
        <v>1250</v>
      </c>
      <c r="J451" s="16">
        <v>25.471</v>
      </c>
      <c r="K451" s="16">
        <v>63.695</v>
      </c>
      <c r="L451" s="16">
        <v>0.48599999999999999</v>
      </c>
      <c r="M451" s="23">
        <v>607.44000000000005</v>
      </c>
      <c r="N451" s="16">
        <v>8.9190000000000005</v>
      </c>
      <c r="O451" s="17">
        <v>8.8030000000000008</v>
      </c>
      <c r="P451" s="18">
        <v>69</v>
      </c>
      <c r="Q451" s="18">
        <v>25.471</v>
      </c>
      <c r="R451" s="18">
        <v>193.03100000000001</v>
      </c>
      <c r="S451" s="18">
        <v>414.40899999999999</v>
      </c>
      <c r="T451" s="14" t="b">
        <f t="shared" si="77"/>
        <v>1</v>
      </c>
      <c r="U451" s="14" t="b">
        <f t="shared" si="78"/>
        <v>1</v>
      </c>
      <c r="V451" s="15">
        <f>VLOOKUP(IF(J451&lt;10, 10, IF(J451&gt;50,50,J451)),'Over to underbark'!$A$3:$C$43,IF(A451="Scots pine",3,IF(A451="Sitka spruce",2, "error")),TRUE)/100</f>
        <v>0.9</v>
      </c>
      <c r="W451">
        <f t="shared" si="79"/>
        <v>156.35511</v>
      </c>
      <c r="X451">
        <f t="shared" si="80"/>
        <v>335.67129</v>
      </c>
      <c r="Y451">
        <f t="shared" si="81"/>
        <v>54.669599999999988</v>
      </c>
      <c r="Z451">
        <f t="shared" si="82"/>
        <v>194.14270619999999</v>
      </c>
      <c r="AA451">
        <f t="shared" si="83"/>
        <v>151.15051979999998</v>
      </c>
      <c r="AB451">
        <f t="shared" si="84"/>
        <v>201.40277399999999</v>
      </c>
      <c r="AC451" t="b">
        <f t="shared" si="85"/>
        <v>1</v>
      </c>
      <c r="AD451" t="b">
        <f t="shared" si="86"/>
        <v>1</v>
      </c>
    </row>
    <row r="452" spans="1:30" x14ac:dyDescent="0.35">
      <c r="A452" t="s">
        <v>33</v>
      </c>
      <c r="B452">
        <v>10</v>
      </c>
      <c r="C452">
        <v>2</v>
      </c>
      <c r="D452" t="s">
        <v>32</v>
      </c>
      <c r="E452">
        <v>2</v>
      </c>
      <c r="F452">
        <v>1</v>
      </c>
      <c r="G452" s="16">
        <v>70</v>
      </c>
      <c r="H452" s="16">
        <v>23.106000000000002</v>
      </c>
      <c r="I452" s="16">
        <v>1238</v>
      </c>
      <c r="J452" s="16">
        <v>25.645</v>
      </c>
      <c r="K452" s="16">
        <v>63.948</v>
      </c>
      <c r="L452" s="16">
        <v>0.495</v>
      </c>
      <c r="M452" s="23">
        <v>613.36</v>
      </c>
      <c r="N452" s="16">
        <v>9.1430000000000007</v>
      </c>
      <c r="O452" s="17">
        <v>8.7620000000000005</v>
      </c>
      <c r="P452" s="18">
        <v>70</v>
      </c>
      <c r="Q452" s="18">
        <v>25.645</v>
      </c>
      <c r="R452" s="18">
        <v>191.08199999999999</v>
      </c>
      <c r="S452" s="18">
        <v>422.27800000000002</v>
      </c>
      <c r="T452" s="14" t="b">
        <f t="shared" si="77"/>
        <v>1</v>
      </c>
      <c r="U452" s="14" t="b">
        <f t="shared" si="78"/>
        <v>1</v>
      </c>
      <c r="V452" s="15">
        <f>VLOOKUP(IF(J452&lt;10, 10, IF(J452&gt;50,50,J452)),'Over to underbark'!$A$3:$C$43,IF(A452="Scots pine",3,IF(A452="Sitka spruce",2, "error")),TRUE)/100</f>
        <v>0.9</v>
      </c>
      <c r="W452">
        <f t="shared" si="79"/>
        <v>154.77642</v>
      </c>
      <c r="X452">
        <f t="shared" si="80"/>
        <v>342.04518000000002</v>
      </c>
      <c r="Y452">
        <f t="shared" si="81"/>
        <v>55.20239999999999</v>
      </c>
      <c r="Z452">
        <f t="shared" si="82"/>
        <v>194.73173639999999</v>
      </c>
      <c r="AA452">
        <f t="shared" si="83"/>
        <v>152.0651556</v>
      </c>
      <c r="AB452">
        <f t="shared" si="84"/>
        <v>205.22710800000002</v>
      </c>
      <c r="AC452" t="b">
        <f t="shared" si="85"/>
        <v>1</v>
      </c>
      <c r="AD452" t="b">
        <f t="shared" si="86"/>
        <v>1</v>
      </c>
    </row>
    <row r="453" spans="1:30" x14ac:dyDescent="0.35">
      <c r="A453" t="s">
        <v>33</v>
      </c>
      <c r="B453">
        <v>10</v>
      </c>
      <c r="C453">
        <v>2</v>
      </c>
      <c r="D453" t="s">
        <v>32</v>
      </c>
      <c r="E453">
        <v>2</v>
      </c>
      <c r="F453">
        <v>1</v>
      </c>
      <c r="G453" s="16">
        <v>71</v>
      </c>
      <c r="H453" s="16">
        <v>23.268000000000001</v>
      </c>
      <c r="I453" s="16">
        <v>1226</v>
      </c>
      <c r="J453" s="16">
        <v>25.821999999999999</v>
      </c>
      <c r="K453" s="16">
        <v>64.201999999999998</v>
      </c>
      <c r="L453" s="16">
        <v>0.505</v>
      </c>
      <c r="M453" s="23">
        <v>619.28</v>
      </c>
      <c r="N453" s="16">
        <v>9.3610000000000007</v>
      </c>
      <c r="O453" s="17">
        <v>8.7219999999999995</v>
      </c>
      <c r="P453" s="18">
        <v>71</v>
      </c>
      <c r="Q453" s="18">
        <v>25.821999999999999</v>
      </c>
      <c r="R453" s="18">
        <v>189.05699999999999</v>
      </c>
      <c r="S453" s="18">
        <v>430.22300000000001</v>
      </c>
      <c r="T453" s="14" t="b">
        <f t="shared" si="77"/>
        <v>1</v>
      </c>
      <c r="U453" s="14" t="b">
        <f t="shared" si="78"/>
        <v>1</v>
      </c>
      <c r="V453" s="15">
        <f>VLOOKUP(IF(J453&lt;10, 10, IF(J453&gt;50,50,J453)),'Over to underbark'!$A$3:$C$43,IF(A453="Scots pine",3,IF(A453="Sitka spruce",2, "error")),TRUE)/100</f>
        <v>0.9</v>
      </c>
      <c r="W453">
        <f t="shared" si="79"/>
        <v>153.13616999999999</v>
      </c>
      <c r="X453">
        <f t="shared" si="80"/>
        <v>348.48063000000002</v>
      </c>
      <c r="Y453">
        <f t="shared" si="81"/>
        <v>55.735199999999985</v>
      </c>
      <c r="Z453">
        <f t="shared" si="82"/>
        <v>195.29491139999999</v>
      </c>
      <c r="AA453">
        <f t="shared" si="83"/>
        <v>152.96871060000001</v>
      </c>
      <c r="AB453">
        <f t="shared" si="84"/>
        <v>209.08837800000001</v>
      </c>
      <c r="AC453" t="b">
        <f t="shared" si="85"/>
        <v>1</v>
      </c>
      <c r="AD453" t="b">
        <f t="shared" si="86"/>
        <v>1</v>
      </c>
    </row>
    <row r="454" spans="1:30" x14ac:dyDescent="0.35">
      <c r="A454" t="s">
        <v>33</v>
      </c>
      <c r="B454">
        <v>10</v>
      </c>
      <c r="C454">
        <v>2</v>
      </c>
      <c r="D454" t="s">
        <v>32</v>
      </c>
      <c r="E454">
        <v>2</v>
      </c>
      <c r="F454">
        <v>1</v>
      </c>
      <c r="G454" s="16">
        <v>72</v>
      </c>
      <c r="H454" s="16">
        <v>23.43</v>
      </c>
      <c r="I454" s="16">
        <v>1214</v>
      </c>
      <c r="J454" s="16">
        <v>26</v>
      </c>
      <c r="K454" s="16">
        <v>64.454999999999998</v>
      </c>
      <c r="L454" s="16">
        <v>0.51500000000000001</v>
      </c>
      <c r="M454" s="23">
        <v>625.20000000000005</v>
      </c>
      <c r="N454" s="16">
        <v>9.5749999999999993</v>
      </c>
      <c r="O454" s="17">
        <v>8.6829999999999998</v>
      </c>
      <c r="P454" s="18">
        <v>72</v>
      </c>
      <c r="Q454" s="18">
        <v>26</v>
      </c>
      <c r="R454" s="18">
        <v>187.00200000000001</v>
      </c>
      <c r="S454" s="18">
        <v>438.19799999999998</v>
      </c>
      <c r="T454" s="14" t="b">
        <f t="shared" si="77"/>
        <v>1</v>
      </c>
      <c r="U454" s="14" t="b">
        <f t="shared" si="78"/>
        <v>1</v>
      </c>
      <c r="V454" s="15">
        <f>VLOOKUP(IF(J454&lt;10, 10, IF(J454&gt;50,50,J454)),'Over to underbark'!$A$3:$C$43,IF(A454="Scots pine",3,IF(A454="Sitka spruce",2, "error")),TRUE)/100</f>
        <v>0.9</v>
      </c>
      <c r="W454">
        <f t="shared" si="79"/>
        <v>151.47162000000003</v>
      </c>
      <c r="X454">
        <f t="shared" si="80"/>
        <v>354.94038</v>
      </c>
      <c r="Y454">
        <f t="shared" si="81"/>
        <v>56.267999999999994</v>
      </c>
      <c r="Z454">
        <f t="shared" si="82"/>
        <v>195.84788040000001</v>
      </c>
      <c r="AA454">
        <f t="shared" si="83"/>
        <v>153.86789160000001</v>
      </c>
      <c r="AB454">
        <f t="shared" si="84"/>
        <v>212.96422799999999</v>
      </c>
      <c r="AC454" t="b">
        <f t="shared" si="85"/>
        <v>1</v>
      </c>
      <c r="AD454" t="b">
        <f t="shared" si="86"/>
        <v>1</v>
      </c>
    </row>
    <row r="455" spans="1:30" x14ac:dyDescent="0.35">
      <c r="A455" t="s">
        <v>33</v>
      </c>
      <c r="B455">
        <v>10</v>
      </c>
      <c r="C455">
        <v>2</v>
      </c>
      <c r="D455" t="s">
        <v>32</v>
      </c>
      <c r="E455">
        <v>2</v>
      </c>
      <c r="F455">
        <v>1</v>
      </c>
      <c r="G455" s="16">
        <v>73</v>
      </c>
      <c r="H455" s="16">
        <v>23.58</v>
      </c>
      <c r="I455" s="16">
        <v>1203</v>
      </c>
      <c r="J455" s="16">
        <v>26.15</v>
      </c>
      <c r="K455" s="16">
        <v>64.611000000000004</v>
      </c>
      <c r="L455" s="16">
        <v>0.52400000000000002</v>
      </c>
      <c r="M455" s="23">
        <v>630.16</v>
      </c>
      <c r="N455" s="16">
        <v>9.7919999999999998</v>
      </c>
      <c r="O455" s="17">
        <v>8.6319999999999997</v>
      </c>
      <c r="P455" s="18">
        <v>73</v>
      </c>
      <c r="Q455" s="18">
        <v>26.15</v>
      </c>
      <c r="R455" s="18">
        <v>185.25700000000001</v>
      </c>
      <c r="S455" s="18">
        <v>444.90300000000002</v>
      </c>
      <c r="T455" s="14" t="b">
        <f t="shared" si="77"/>
        <v>1</v>
      </c>
      <c r="U455" s="14" t="b">
        <f t="shared" si="78"/>
        <v>1</v>
      </c>
      <c r="V455" s="15">
        <f>VLOOKUP(IF(J455&lt;10, 10, IF(J455&gt;50,50,J455)),'Over to underbark'!$A$3:$C$43,IF(A455="Scots pine",3,IF(A455="Sitka spruce",2, "error")),TRUE)/100</f>
        <v>0.9</v>
      </c>
      <c r="W455">
        <f t="shared" si="79"/>
        <v>150.05817000000002</v>
      </c>
      <c r="X455">
        <f t="shared" si="80"/>
        <v>360.37143000000003</v>
      </c>
      <c r="Y455">
        <f t="shared" si="81"/>
        <v>56.714399999999998</v>
      </c>
      <c r="Z455">
        <f t="shared" si="82"/>
        <v>196.3032714</v>
      </c>
      <c r="AA455">
        <f t="shared" si="83"/>
        <v>154.6178706</v>
      </c>
      <c r="AB455">
        <f t="shared" si="84"/>
        <v>216.222858</v>
      </c>
      <c r="AC455" t="b">
        <f t="shared" si="85"/>
        <v>1</v>
      </c>
      <c r="AD455" t="b">
        <f t="shared" si="86"/>
        <v>1</v>
      </c>
    </row>
    <row r="456" spans="1:30" x14ac:dyDescent="0.35">
      <c r="A456" t="s">
        <v>33</v>
      </c>
      <c r="B456">
        <v>10</v>
      </c>
      <c r="C456">
        <v>2</v>
      </c>
      <c r="D456" t="s">
        <v>32</v>
      </c>
      <c r="E456">
        <v>2</v>
      </c>
      <c r="F456">
        <v>1</v>
      </c>
      <c r="G456" s="16">
        <v>74</v>
      </c>
      <c r="H456" s="16">
        <v>23.73</v>
      </c>
      <c r="I456" s="16">
        <v>1192</v>
      </c>
      <c r="J456" s="16">
        <v>26.302</v>
      </c>
      <c r="K456" s="16">
        <v>64.766000000000005</v>
      </c>
      <c r="L456" s="16">
        <v>0.53300000000000003</v>
      </c>
      <c r="M456" s="23">
        <v>635.12</v>
      </c>
      <c r="N456" s="16">
        <v>10.004</v>
      </c>
      <c r="O456" s="17">
        <v>8.5830000000000002</v>
      </c>
      <c r="P456" s="18">
        <v>74</v>
      </c>
      <c r="Q456" s="18">
        <v>26.302</v>
      </c>
      <c r="R456" s="18">
        <v>183.465</v>
      </c>
      <c r="S456" s="18">
        <v>451.65499999999997</v>
      </c>
      <c r="T456" s="14" t="b">
        <f t="shared" si="77"/>
        <v>1</v>
      </c>
      <c r="U456" s="14" t="b">
        <f t="shared" si="78"/>
        <v>1</v>
      </c>
      <c r="V456" s="15">
        <f>VLOOKUP(IF(J456&lt;10, 10, IF(J456&gt;50,50,J456)),'Over to underbark'!$A$3:$C$43,IF(A456="Scots pine",3,IF(A456="Sitka spruce",2, "error")),TRUE)/100</f>
        <v>0.9</v>
      </c>
      <c r="W456">
        <f t="shared" si="79"/>
        <v>148.60665</v>
      </c>
      <c r="X456">
        <f t="shared" si="80"/>
        <v>365.84054999999995</v>
      </c>
      <c r="Y456">
        <f t="shared" si="81"/>
        <v>57.160799999999995</v>
      </c>
      <c r="Z456">
        <f t="shared" si="82"/>
        <v>196.74267299999997</v>
      </c>
      <c r="AA456">
        <f t="shared" si="83"/>
        <v>155.360997</v>
      </c>
      <c r="AB456">
        <f t="shared" si="84"/>
        <v>219.50432999999995</v>
      </c>
      <c r="AC456" t="b">
        <f t="shared" si="85"/>
        <v>1</v>
      </c>
      <c r="AD456" t="b">
        <f t="shared" si="86"/>
        <v>1</v>
      </c>
    </row>
    <row r="457" spans="1:30" x14ac:dyDescent="0.35">
      <c r="A457" t="s">
        <v>33</v>
      </c>
      <c r="B457">
        <v>10</v>
      </c>
      <c r="C457">
        <v>2</v>
      </c>
      <c r="D457" t="s">
        <v>32</v>
      </c>
      <c r="E457">
        <v>2</v>
      </c>
      <c r="F457">
        <v>1</v>
      </c>
      <c r="G457" s="16">
        <v>75</v>
      </c>
      <c r="H457" s="16">
        <v>23.88</v>
      </c>
      <c r="I457" s="16">
        <v>1181</v>
      </c>
      <c r="J457" s="16">
        <v>26.456</v>
      </c>
      <c r="K457" s="16">
        <v>64.921999999999997</v>
      </c>
      <c r="L457" s="16">
        <v>0.54200000000000004</v>
      </c>
      <c r="M457" s="23">
        <v>640.08000000000004</v>
      </c>
      <c r="N457" s="16">
        <v>10.212</v>
      </c>
      <c r="O457" s="17">
        <v>8.5340000000000007</v>
      </c>
      <c r="P457" s="18">
        <v>75</v>
      </c>
      <c r="Q457" s="18">
        <v>26.456</v>
      </c>
      <c r="R457" s="18">
        <v>181.62899999999999</v>
      </c>
      <c r="S457" s="18">
        <v>458.45100000000002</v>
      </c>
      <c r="T457" s="14" t="b">
        <f t="shared" si="77"/>
        <v>1</v>
      </c>
      <c r="U457" s="14" t="b">
        <f t="shared" si="78"/>
        <v>1</v>
      </c>
      <c r="V457" s="15">
        <f>VLOOKUP(IF(J457&lt;10, 10, IF(J457&gt;50,50,J457)),'Over to underbark'!$A$3:$C$43,IF(A457="Scots pine",3,IF(A457="Sitka spruce",2, "error")),TRUE)/100</f>
        <v>0.9</v>
      </c>
      <c r="W457">
        <f t="shared" si="79"/>
        <v>147.11948999999998</v>
      </c>
      <c r="X457">
        <f t="shared" si="80"/>
        <v>371.34531000000004</v>
      </c>
      <c r="Y457">
        <f t="shared" si="81"/>
        <v>57.607199999999985</v>
      </c>
      <c r="Z457">
        <f t="shared" si="82"/>
        <v>197.16710579999997</v>
      </c>
      <c r="AA457">
        <f t="shared" si="83"/>
        <v>156.0977082</v>
      </c>
      <c r="AB457">
        <f t="shared" si="84"/>
        <v>222.80718600000003</v>
      </c>
      <c r="AC457" t="b">
        <f t="shared" si="85"/>
        <v>1</v>
      </c>
      <c r="AD457" t="b">
        <f t="shared" si="86"/>
        <v>1</v>
      </c>
    </row>
    <row r="458" spans="1:30" x14ac:dyDescent="0.35">
      <c r="A458" t="s">
        <v>33</v>
      </c>
      <c r="B458">
        <v>10</v>
      </c>
      <c r="C458">
        <v>2</v>
      </c>
      <c r="D458" t="s">
        <v>32</v>
      </c>
      <c r="E458">
        <v>2</v>
      </c>
      <c r="F458">
        <v>1</v>
      </c>
      <c r="G458" s="16">
        <v>76</v>
      </c>
      <c r="H458" s="16">
        <v>24.03</v>
      </c>
      <c r="I458" s="16">
        <v>1170</v>
      </c>
      <c r="J458" s="16">
        <v>26.611999999999998</v>
      </c>
      <c r="K458" s="16">
        <v>65.078000000000003</v>
      </c>
      <c r="L458" s="16">
        <v>0.55100000000000005</v>
      </c>
      <c r="M458" s="23">
        <v>645.04</v>
      </c>
      <c r="N458" s="16">
        <v>10.416</v>
      </c>
      <c r="O458" s="17">
        <v>8.4870000000000001</v>
      </c>
      <c r="P458" s="18">
        <v>76</v>
      </c>
      <c r="Q458" s="18">
        <v>26.611999999999998</v>
      </c>
      <c r="R458" s="18">
        <v>179.75</v>
      </c>
      <c r="S458" s="18">
        <v>465.29</v>
      </c>
      <c r="T458" s="14" t="b">
        <f t="shared" si="77"/>
        <v>1</v>
      </c>
      <c r="U458" s="14" t="b">
        <f t="shared" si="78"/>
        <v>1</v>
      </c>
      <c r="V458" s="15">
        <f>VLOOKUP(IF(J458&lt;10, 10, IF(J458&gt;50,50,J458)),'Over to underbark'!$A$3:$C$43,IF(A458="Scots pine",3,IF(A458="Sitka spruce",2, "error")),TRUE)/100</f>
        <v>0.9</v>
      </c>
      <c r="W458">
        <f t="shared" si="79"/>
        <v>145.5975</v>
      </c>
      <c r="X458">
        <f t="shared" si="80"/>
        <v>376.88490000000002</v>
      </c>
      <c r="Y458">
        <f t="shared" si="81"/>
        <v>58.053599999999982</v>
      </c>
      <c r="Z458">
        <f t="shared" si="82"/>
        <v>197.57690999999997</v>
      </c>
      <c r="AA458">
        <f t="shared" si="83"/>
        <v>156.82814999999999</v>
      </c>
      <c r="AB458">
        <f t="shared" si="84"/>
        <v>226.13094000000001</v>
      </c>
      <c r="AC458" t="b">
        <f t="shared" si="85"/>
        <v>1</v>
      </c>
      <c r="AD458" t="b">
        <f t="shared" si="86"/>
        <v>1</v>
      </c>
    </row>
    <row r="459" spans="1:30" x14ac:dyDescent="0.35">
      <c r="A459" t="s">
        <v>33</v>
      </c>
      <c r="B459">
        <v>10</v>
      </c>
      <c r="C459">
        <v>2</v>
      </c>
      <c r="D459" t="s">
        <v>32</v>
      </c>
      <c r="E459">
        <v>2</v>
      </c>
      <c r="F459">
        <v>1</v>
      </c>
      <c r="G459" s="16">
        <v>77</v>
      </c>
      <c r="H459" s="16">
        <v>24.18</v>
      </c>
      <c r="I459" s="16">
        <v>1159</v>
      </c>
      <c r="J459" s="16">
        <v>26.77</v>
      </c>
      <c r="K459" s="16">
        <v>65.233000000000004</v>
      </c>
      <c r="L459" s="16">
        <v>0.56100000000000005</v>
      </c>
      <c r="M459" s="23">
        <v>650</v>
      </c>
      <c r="N459" s="16">
        <v>10.616</v>
      </c>
      <c r="O459" s="17">
        <v>8.4420000000000002</v>
      </c>
      <c r="P459" s="18">
        <v>77</v>
      </c>
      <c r="Q459" s="18">
        <v>26.77</v>
      </c>
      <c r="R459" s="18">
        <v>177.82900000000001</v>
      </c>
      <c r="S459" s="18">
        <v>472.17099999999999</v>
      </c>
      <c r="T459" s="14" t="b">
        <f t="shared" si="77"/>
        <v>1</v>
      </c>
      <c r="U459" s="14" t="b">
        <f t="shared" si="78"/>
        <v>1</v>
      </c>
      <c r="V459" s="15">
        <f>VLOOKUP(IF(J459&lt;10, 10, IF(J459&gt;50,50,J459)),'Over to underbark'!$A$3:$C$43,IF(A459="Scots pine",3,IF(A459="Sitka spruce",2, "error")),TRUE)/100</f>
        <v>0.9</v>
      </c>
      <c r="W459">
        <f t="shared" si="79"/>
        <v>144.04149000000004</v>
      </c>
      <c r="X459">
        <f t="shared" si="80"/>
        <v>382.45850999999999</v>
      </c>
      <c r="Y459">
        <f t="shared" si="81"/>
        <v>58.499999999999986</v>
      </c>
      <c r="Z459">
        <f t="shared" si="82"/>
        <v>197.9724258</v>
      </c>
      <c r="AA459">
        <f t="shared" si="83"/>
        <v>157.55246820000002</v>
      </c>
      <c r="AB459">
        <f t="shared" si="84"/>
        <v>229.47510599999998</v>
      </c>
      <c r="AC459" t="b">
        <f t="shared" si="85"/>
        <v>1</v>
      </c>
      <c r="AD459" t="b">
        <f t="shared" si="86"/>
        <v>1</v>
      </c>
    </row>
    <row r="460" spans="1:30" x14ac:dyDescent="0.35">
      <c r="G460" s="10"/>
      <c r="H460" s="10"/>
      <c r="I460" s="10"/>
      <c r="J460" s="10"/>
      <c r="K460" s="10"/>
      <c r="L460" s="10"/>
      <c r="M460" s="24"/>
      <c r="N460" s="10"/>
      <c r="O460" s="9"/>
      <c r="P460" s="9"/>
      <c r="Q460" s="9"/>
      <c r="R460" s="11"/>
      <c r="S460" s="11"/>
      <c r="T460" s="11"/>
      <c r="U460" s="11"/>
      <c r="V460" s="4"/>
    </row>
    <row r="461" spans="1:30" x14ac:dyDescent="0.35">
      <c r="G461" s="10"/>
      <c r="H461" s="10"/>
      <c r="I461" s="10"/>
      <c r="J461" s="10"/>
      <c r="K461" s="10"/>
      <c r="L461" s="10"/>
      <c r="M461" s="24"/>
      <c r="N461" s="10"/>
      <c r="O461" s="9"/>
      <c r="P461" s="9"/>
      <c r="Q461" s="9"/>
      <c r="R461" s="11"/>
      <c r="S461" s="11"/>
      <c r="T461" s="11"/>
      <c r="U461" s="11"/>
      <c r="V461" s="4"/>
    </row>
    <row r="462" spans="1:30" x14ac:dyDescent="0.35">
      <c r="G462" s="10"/>
      <c r="H462" s="10"/>
      <c r="I462" s="10"/>
      <c r="J462" s="10"/>
      <c r="K462" s="10"/>
      <c r="L462" s="10"/>
      <c r="M462" s="24"/>
      <c r="N462" s="10"/>
      <c r="O462" s="9"/>
      <c r="P462" s="9"/>
      <c r="Q462" s="9"/>
      <c r="R462" s="11"/>
      <c r="S462" s="11"/>
      <c r="T462" s="11"/>
      <c r="U462" s="11"/>
      <c r="V462" s="4"/>
    </row>
    <row r="463" spans="1:30" x14ac:dyDescent="0.35">
      <c r="G463" s="10"/>
      <c r="H463" s="10"/>
      <c r="I463" s="10"/>
      <c r="J463" s="10"/>
      <c r="K463" s="10"/>
      <c r="L463" s="10"/>
      <c r="M463" s="24"/>
      <c r="N463" s="10"/>
      <c r="O463" s="9"/>
      <c r="P463" s="9"/>
      <c r="Q463" s="9"/>
      <c r="R463" s="11"/>
      <c r="S463" s="11"/>
      <c r="T463" s="11"/>
      <c r="U463" s="11"/>
      <c r="V463" s="4"/>
    </row>
    <row r="464" spans="1:30" x14ac:dyDescent="0.35">
      <c r="G464" s="10"/>
      <c r="H464" s="10"/>
      <c r="I464" s="10"/>
      <c r="J464" s="10"/>
      <c r="K464" s="10"/>
      <c r="L464" s="10"/>
      <c r="M464" s="24"/>
      <c r="N464" s="10"/>
      <c r="O464" s="9"/>
      <c r="P464" s="9"/>
      <c r="Q464" s="9"/>
      <c r="R464" s="11"/>
      <c r="S464" s="11"/>
      <c r="T464" s="11"/>
      <c r="U464" s="11"/>
      <c r="V464" s="4"/>
    </row>
    <row r="465" spans="7:22" x14ac:dyDescent="0.35">
      <c r="G465" s="10"/>
      <c r="H465" s="10"/>
      <c r="I465" s="10"/>
      <c r="J465" s="10"/>
      <c r="K465" s="10"/>
      <c r="L465" s="10"/>
      <c r="M465" s="24"/>
      <c r="N465" s="10"/>
      <c r="O465" s="9"/>
      <c r="P465" s="9"/>
      <c r="Q465" s="9"/>
      <c r="R465" s="11"/>
      <c r="S465" s="11"/>
      <c r="T465" s="11"/>
      <c r="U465" s="11"/>
      <c r="V465" s="4"/>
    </row>
    <row r="466" spans="7:22" x14ac:dyDescent="0.35">
      <c r="G466" s="10"/>
      <c r="H466" s="10"/>
      <c r="I466" s="10"/>
      <c r="J466" s="10"/>
      <c r="K466" s="10"/>
      <c r="L466" s="10"/>
      <c r="M466" s="24"/>
      <c r="N466" s="10"/>
      <c r="O466" s="9"/>
      <c r="P466" s="9"/>
      <c r="Q466" s="9"/>
      <c r="R466" s="11"/>
      <c r="S466" s="11"/>
      <c r="T466" s="11"/>
      <c r="U466" s="11"/>
      <c r="V466" s="4"/>
    </row>
    <row r="467" spans="7:22" x14ac:dyDescent="0.35">
      <c r="G467" s="10"/>
      <c r="H467" s="10"/>
      <c r="I467" s="10"/>
      <c r="J467" s="10"/>
      <c r="K467" s="10"/>
      <c r="L467" s="10"/>
      <c r="M467" s="24"/>
      <c r="N467" s="10"/>
      <c r="O467" s="9"/>
      <c r="P467" s="9"/>
      <c r="Q467" s="9"/>
      <c r="R467" s="11"/>
      <c r="S467" s="11"/>
      <c r="T467" s="11"/>
      <c r="U467" s="11"/>
      <c r="V467" s="4"/>
    </row>
    <row r="468" spans="7:22" x14ac:dyDescent="0.35">
      <c r="G468" s="10"/>
      <c r="H468" s="10"/>
      <c r="I468" s="10"/>
      <c r="J468" s="10"/>
      <c r="K468" s="10"/>
      <c r="L468" s="10"/>
      <c r="M468" s="24"/>
      <c r="N468" s="10"/>
      <c r="O468" s="9"/>
      <c r="P468" s="9"/>
      <c r="Q468" s="9"/>
      <c r="R468" s="11"/>
      <c r="S468" s="11"/>
      <c r="T468" s="11"/>
      <c r="U468" s="11"/>
      <c r="V468" s="4"/>
    </row>
    <row r="469" spans="7:22" x14ac:dyDescent="0.35">
      <c r="G469" s="10"/>
      <c r="H469" s="10"/>
      <c r="I469" s="10"/>
      <c r="J469" s="10"/>
      <c r="K469" s="10"/>
      <c r="L469" s="10"/>
      <c r="M469" s="24"/>
      <c r="N469" s="10"/>
      <c r="O469" s="9"/>
      <c r="P469" s="9"/>
      <c r="Q469" s="9"/>
      <c r="R469" s="11"/>
      <c r="S469" s="11"/>
      <c r="T469" s="11"/>
      <c r="U469" s="11"/>
      <c r="V469" s="4"/>
    </row>
    <row r="470" spans="7:22" x14ac:dyDescent="0.35">
      <c r="G470" s="10"/>
      <c r="H470" s="10"/>
      <c r="I470" s="10"/>
      <c r="J470" s="10"/>
      <c r="K470" s="10"/>
      <c r="L470" s="10"/>
      <c r="M470" s="24"/>
      <c r="N470" s="10"/>
      <c r="O470" s="9"/>
      <c r="P470" s="9"/>
      <c r="Q470" s="9"/>
      <c r="R470" s="11"/>
      <c r="S470" s="11"/>
      <c r="T470" s="11"/>
      <c r="U470" s="11"/>
      <c r="V470" s="4"/>
    </row>
    <row r="471" spans="7:22" x14ac:dyDescent="0.35">
      <c r="G471" s="10"/>
      <c r="H471" s="10"/>
      <c r="I471" s="10"/>
      <c r="J471" s="10"/>
      <c r="K471" s="10"/>
      <c r="L471" s="10"/>
      <c r="M471" s="24"/>
      <c r="N471" s="10"/>
      <c r="O471" s="9"/>
      <c r="P471" s="9"/>
      <c r="Q471" s="9"/>
      <c r="R471" s="11"/>
      <c r="S471" s="11"/>
      <c r="T471" s="11"/>
      <c r="U471" s="11"/>
      <c r="V471" s="4"/>
    </row>
    <row r="472" spans="7:22" x14ac:dyDescent="0.35">
      <c r="G472" s="10"/>
      <c r="H472" s="10"/>
      <c r="I472" s="10"/>
      <c r="J472" s="10"/>
      <c r="K472" s="10"/>
      <c r="L472" s="10"/>
      <c r="M472" s="24"/>
      <c r="N472" s="10"/>
      <c r="O472" s="9"/>
      <c r="P472" s="9"/>
      <c r="Q472" s="9"/>
      <c r="R472" s="11"/>
      <c r="S472" s="11"/>
      <c r="T472" s="11"/>
      <c r="U472" s="11"/>
      <c r="V472" s="4"/>
    </row>
    <row r="473" spans="7:22" x14ac:dyDescent="0.35">
      <c r="G473" s="10"/>
      <c r="H473" s="10"/>
      <c r="I473" s="10"/>
      <c r="J473" s="10"/>
      <c r="K473" s="10"/>
      <c r="L473" s="10"/>
      <c r="M473" s="24"/>
      <c r="N473" s="10"/>
      <c r="O473" s="9"/>
      <c r="P473" s="9"/>
      <c r="Q473" s="9"/>
      <c r="R473" s="11"/>
      <c r="S473" s="11"/>
      <c r="T473" s="11"/>
      <c r="U473" s="11"/>
      <c r="V473" s="4"/>
    </row>
    <row r="474" spans="7:22" x14ac:dyDescent="0.35">
      <c r="G474" s="10"/>
      <c r="H474" s="10"/>
      <c r="I474" s="10"/>
      <c r="J474" s="10"/>
      <c r="K474" s="10"/>
      <c r="L474" s="10"/>
      <c r="M474" s="24"/>
      <c r="N474" s="10"/>
      <c r="O474" s="9"/>
      <c r="P474" s="9"/>
      <c r="Q474" s="9"/>
      <c r="R474" s="11"/>
      <c r="S474" s="11"/>
      <c r="T474" s="11"/>
      <c r="U474" s="11"/>
      <c r="V474" s="4"/>
    </row>
    <row r="475" spans="7:22" x14ac:dyDescent="0.35">
      <c r="G475" s="10"/>
      <c r="H475" s="10"/>
      <c r="I475" s="10"/>
      <c r="J475" s="10"/>
      <c r="K475" s="10"/>
      <c r="L475" s="10"/>
      <c r="M475" s="24"/>
      <c r="N475" s="10"/>
      <c r="O475" s="9"/>
      <c r="P475" s="9"/>
      <c r="Q475" s="9"/>
      <c r="R475" s="11"/>
      <c r="S475" s="11"/>
      <c r="T475" s="11"/>
      <c r="U475" s="11"/>
      <c r="V475" s="4"/>
    </row>
    <row r="476" spans="7:22" x14ac:dyDescent="0.35">
      <c r="G476" s="10"/>
      <c r="H476" s="10"/>
      <c r="I476" s="10"/>
      <c r="J476" s="10"/>
      <c r="K476" s="10"/>
      <c r="L476" s="10"/>
      <c r="M476" s="24"/>
      <c r="N476" s="10"/>
      <c r="O476" s="9"/>
      <c r="P476" s="9"/>
      <c r="Q476" s="9"/>
      <c r="R476" s="11"/>
      <c r="S476" s="11"/>
      <c r="T476" s="11"/>
      <c r="U476" s="11"/>
      <c r="V476" s="4"/>
    </row>
    <row r="477" spans="7:22" x14ac:dyDescent="0.35">
      <c r="G477" s="10"/>
      <c r="H477" s="10"/>
      <c r="I477" s="10"/>
      <c r="J477" s="10"/>
      <c r="K477" s="10"/>
      <c r="L477" s="10"/>
      <c r="M477" s="24"/>
      <c r="N477" s="10"/>
      <c r="O477" s="9"/>
      <c r="P477" s="9"/>
      <c r="Q477" s="9"/>
      <c r="R477" s="11"/>
      <c r="S477" s="11"/>
      <c r="T477" s="11"/>
      <c r="U477" s="11"/>
      <c r="V477" s="4"/>
    </row>
    <row r="478" spans="7:22" x14ac:dyDescent="0.35">
      <c r="G478" s="10"/>
      <c r="H478" s="10"/>
      <c r="I478" s="10"/>
      <c r="J478" s="10"/>
      <c r="K478" s="10"/>
      <c r="L478" s="10"/>
      <c r="M478" s="24"/>
      <c r="N478" s="10"/>
      <c r="O478" s="9"/>
      <c r="P478" s="9"/>
      <c r="Q478" s="9"/>
      <c r="R478" s="11"/>
      <c r="S478" s="11"/>
      <c r="T478" s="11"/>
      <c r="U478" s="11"/>
      <c r="V478" s="4"/>
    </row>
    <row r="479" spans="7:22" x14ac:dyDescent="0.35">
      <c r="G479" s="10"/>
      <c r="H479" s="10"/>
      <c r="I479" s="10"/>
      <c r="J479" s="10"/>
      <c r="K479" s="10"/>
      <c r="L479" s="10"/>
      <c r="M479" s="24"/>
      <c r="N479" s="10"/>
      <c r="O479" s="9"/>
      <c r="P479" s="9"/>
      <c r="Q479" s="9"/>
      <c r="R479" s="11"/>
      <c r="S479" s="11"/>
      <c r="T479" s="11"/>
      <c r="U479" s="11"/>
      <c r="V479" s="4"/>
    </row>
    <row r="480" spans="7:22" x14ac:dyDescent="0.35">
      <c r="G480" s="10"/>
      <c r="H480" s="10"/>
      <c r="I480" s="10"/>
      <c r="J480" s="10"/>
      <c r="K480" s="10"/>
      <c r="L480" s="10"/>
      <c r="M480" s="24"/>
      <c r="N480" s="10"/>
      <c r="O480" s="9"/>
      <c r="P480" s="9"/>
      <c r="Q480" s="9"/>
      <c r="R480" s="11"/>
      <c r="S480" s="11"/>
      <c r="T480" s="11"/>
      <c r="U480" s="11"/>
      <c r="V480" s="4"/>
    </row>
    <row r="481" spans="7:22" x14ac:dyDescent="0.35">
      <c r="G481" s="10"/>
      <c r="H481" s="10"/>
      <c r="I481" s="10"/>
      <c r="J481" s="10"/>
      <c r="K481" s="10"/>
      <c r="L481" s="10"/>
      <c r="M481" s="24"/>
      <c r="N481" s="10"/>
      <c r="O481" s="9"/>
      <c r="P481" s="9"/>
      <c r="Q481" s="9"/>
      <c r="R481" s="11"/>
      <c r="S481" s="11"/>
      <c r="T481" s="11"/>
      <c r="U481" s="11"/>
      <c r="V481" s="4"/>
    </row>
    <row r="482" spans="7:22" x14ac:dyDescent="0.35">
      <c r="G482" s="10"/>
      <c r="H482" s="10"/>
      <c r="I482" s="10"/>
      <c r="J482" s="10"/>
      <c r="K482" s="10"/>
      <c r="L482" s="10"/>
      <c r="M482" s="24"/>
      <c r="N482" s="10"/>
      <c r="O482" s="9"/>
      <c r="P482" s="9"/>
      <c r="Q482" s="9"/>
      <c r="R482" s="11"/>
      <c r="S482" s="11"/>
      <c r="T482" s="11"/>
      <c r="U482" s="11"/>
      <c r="V482" s="4"/>
    </row>
    <row r="483" spans="7:22" x14ac:dyDescent="0.35">
      <c r="G483" s="10"/>
      <c r="H483" s="10"/>
      <c r="I483" s="10"/>
      <c r="J483" s="10"/>
      <c r="K483" s="10"/>
      <c r="L483" s="10"/>
      <c r="M483" s="24"/>
      <c r="N483" s="10"/>
      <c r="O483" s="9"/>
      <c r="P483" s="9"/>
      <c r="Q483" s="9"/>
      <c r="R483" s="11"/>
      <c r="S483" s="11"/>
      <c r="T483" s="11"/>
      <c r="U483" s="11"/>
      <c r="V483" s="4"/>
    </row>
    <row r="484" spans="7:22" x14ac:dyDescent="0.35">
      <c r="G484" s="10"/>
      <c r="H484" s="10"/>
      <c r="I484" s="10"/>
      <c r="J484" s="10"/>
      <c r="K484" s="10"/>
      <c r="L484" s="10"/>
      <c r="M484" s="24"/>
      <c r="N484" s="10"/>
      <c r="O484" s="9"/>
      <c r="P484" s="9"/>
      <c r="Q484" s="9"/>
      <c r="R484" s="11"/>
      <c r="S484" s="11"/>
      <c r="T484" s="11"/>
      <c r="U484" s="11"/>
      <c r="V484" s="4"/>
    </row>
    <row r="485" spans="7:22" x14ac:dyDescent="0.35">
      <c r="G485" s="10"/>
      <c r="H485" s="10"/>
      <c r="I485" s="10"/>
      <c r="J485" s="10"/>
      <c r="K485" s="10"/>
      <c r="L485" s="10"/>
      <c r="M485" s="24"/>
      <c r="N485" s="10"/>
      <c r="O485" s="9"/>
      <c r="P485" s="9"/>
      <c r="Q485" s="9"/>
    </row>
    <row r="486" spans="7:22" x14ac:dyDescent="0.35">
      <c r="G486" s="10">
        <v>23</v>
      </c>
      <c r="H486" s="10">
        <v>7.5819999999999999</v>
      </c>
      <c r="I486" s="10">
        <v>2304</v>
      </c>
      <c r="J486" s="10">
        <v>11.661</v>
      </c>
      <c r="K486" s="10">
        <v>24.603999999999999</v>
      </c>
      <c r="L486" s="10">
        <v>3.2000000000000001E-2</v>
      </c>
      <c r="M486" s="24">
        <v>72.599999999999994</v>
      </c>
      <c r="N486" s="10">
        <v>0</v>
      </c>
      <c r="O486" s="9">
        <v>3.157</v>
      </c>
      <c r="P486" s="9"/>
      <c r="Q486" s="9"/>
    </row>
    <row r="487" spans="7:22" x14ac:dyDescent="0.35">
      <c r="G487" s="10">
        <v>24</v>
      </c>
      <c r="H487" s="10">
        <v>8.0640000000000001</v>
      </c>
      <c r="I487" s="10">
        <v>2293</v>
      </c>
      <c r="J487" s="10">
        <v>12.154</v>
      </c>
      <c r="K487" s="10">
        <v>26.603999999999999</v>
      </c>
      <c r="L487" s="10">
        <v>3.6999999999999998E-2</v>
      </c>
      <c r="M487" s="24">
        <v>84.4</v>
      </c>
      <c r="N487" s="10">
        <v>0</v>
      </c>
      <c r="O487" s="9">
        <v>3.5169999999999999</v>
      </c>
      <c r="P487" s="9"/>
      <c r="Q487" s="9"/>
    </row>
    <row r="488" spans="7:22" x14ac:dyDescent="0.35">
      <c r="G488" s="10">
        <v>25</v>
      </c>
      <c r="H488" s="10">
        <v>8.5459999999999994</v>
      </c>
      <c r="I488" s="10">
        <v>2282</v>
      </c>
      <c r="J488" s="10">
        <v>12.632999999999999</v>
      </c>
      <c r="K488" s="10">
        <v>28.603999999999999</v>
      </c>
      <c r="L488" s="10">
        <v>4.2000000000000003E-2</v>
      </c>
      <c r="M488" s="24">
        <v>96.2</v>
      </c>
      <c r="N488" s="10">
        <v>0</v>
      </c>
      <c r="O488" s="9">
        <v>3.8479999999999999</v>
      </c>
      <c r="P488" s="9"/>
      <c r="Q488" s="9"/>
    </row>
    <row r="489" spans="7:22" x14ac:dyDescent="0.35">
      <c r="G489" s="10">
        <v>26</v>
      </c>
      <c r="H489" s="10">
        <v>9.0280000000000005</v>
      </c>
      <c r="I489" s="10">
        <v>2271</v>
      </c>
      <c r="J489" s="10">
        <v>13.099</v>
      </c>
      <c r="K489" s="10">
        <v>30.603999999999999</v>
      </c>
      <c r="L489" s="10">
        <v>4.8000000000000001E-2</v>
      </c>
      <c r="M489" s="24">
        <v>108</v>
      </c>
      <c r="N489" s="10">
        <v>0</v>
      </c>
      <c r="O489" s="9">
        <v>4.1539999999999999</v>
      </c>
      <c r="P489" s="9"/>
      <c r="Q489" s="9"/>
    </row>
    <row r="490" spans="7:22" x14ac:dyDescent="0.35">
      <c r="G490" s="10">
        <v>27</v>
      </c>
      <c r="H490" s="10">
        <v>9.51</v>
      </c>
      <c r="I490" s="10">
        <v>2261</v>
      </c>
      <c r="J490" s="10">
        <v>13.55</v>
      </c>
      <c r="K490" s="10">
        <v>32.603999999999999</v>
      </c>
      <c r="L490" s="10">
        <v>5.2999999999999999E-2</v>
      </c>
      <c r="M490" s="24">
        <v>119.8</v>
      </c>
      <c r="N490" s="10">
        <v>0</v>
      </c>
      <c r="O490" s="9">
        <v>4.4370000000000003</v>
      </c>
      <c r="P490" s="9"/>
      <c r="Q490" s="9"/>
    </row>
    <row r="491" spans="7:22" x14ac:dyDescent="0.35">
      <c r="G491" s="10">
        <v>28</v>
      </c>
      <c r="H491" s="10">
        <v>9.968</v>
      </c>
      <c r="I491" s="10">
        <v>2243</v>
      </c>
      <c r="J491" s="10">
        <v>13.941000000000001</v>
      </c>
      <c r="K491" s="10">
        <v>34.238</v>
      </c>
      <c r="L491" s="10">
        <v>0.06</v>
      </c>
      <c r="M491" s="24">
        <v>133.80000000000001</v>
      </c>
      <c r="N491" s="10">
        <v>0.13400000000000001</v>
      </c>
      <c r="O491" s="9">
        <v>4.7789999999999999</v>
      </c>
      <c r="P491" s="9"/>
      <c r="Q491" s="9"/>
    </row>
    <row r="492" spans="7:22" x14ac:dyDescent="0.35">
      <c r="G492" s="10">
        <v>29</v>
      </c>
      <c r="H492" s="10">
        <v>10.426</v>
      </c>
      <c r="I492" s="10">
        <v>2226</v>
      </c>
      <c r="J492" s="10">
        <v>14.324</v>
      </c>
      <c r="K492" s="10">
        <v>35.872999999999998</v>
      </c>
      <c r="L492" s="10">
        <v>6.6000000000000003E-2</v>
      </c>
      <c r="M492" s="24">
        <v>147.80000000000001</v>
      </c>
      <c r="N492" s="10">
        <v>0.24299999999999999</v>
      </c>
      <c r="O492" s="9">
        <v>5.0970000000000004</v>
      </c>
      <c r="P492" s="9"/>
      <c r="Q492" s="9"/>
    </row>
    <row r="493" spans="7:22" x14ac:dyDescent="0.35">
      <c r="G493" s="10">
        <v>30</v>
      </c>
      <c r="H493" s="10">
        <v>10.884</v>
      </c>
      <c r="I493" s="10">
        <v>2209</v>
      </c>
      <c r="J493" s="10">
        <v>14.702999999999999</v>
      </c>
      <c r="K493" s="10">
        <v>37.506999999999998</v>
      </c>
      <c r="L493" s="10">
        <v>7.2999999999999995E-2</v>
      </c>
      <c r="M493" s="24">
        <v>161.80000000000001</v>
      </c>
      <c r="N493" s="10">
        <v>0.33300000000000002</v>
      </c>
      <c r="O493" s="9">
        <v>5.3929999999999998</v>
      </c>
      <c r="P493" s="9"/>
      <c r="Q493" s="9"/>
    </row>
    <row r="494" spans="7:22" x14ac:dyDescent="0.35">
      <c r="G494" s="10">
        <v>31</v>
      </c>
      <c r="H494" s="10">
        <v>11.342000000000001</v>
      </c>
      <c r="I494" s="10">
        <v>2192</v>
      </c>
      <c r="J494" s="10">
        <v>15.077999999999999</v>
      </c>
      <c r="K494" s="10">
        <v>39.142000000000003</v>
      </c>
      <c r="L494" s="10">
        <v>0.08</v>
      </c>
      <c r="M494" s="24">
        <v>175.8</v>
      </c>
      <c r="N494" s="10">
        <v>0.40799999999999997</v>
      </c>
      <c r="O494" s="9">
        <v>5.6710000000000003</v>
      </c>
      <c r="P494" s="9"/>
      <c r="Q494" s="9"/>
    </row>
    <row r="495" spans="7:22" x14ac:dyDescent="0.35">
      <c r="G495" s="10">
        <v>32</v>
      </c>
      <c r="H495" s="10">
        <v>11.8</v>
      </c>
      <c r="I495" s="10">
        <v>2175</v>
      </c>
      <c r="J495" s="10">
        <v>15.45</v>
      </c>
      <c r="K495" s="10">
        <v>40.776000000000003</v>
      </c>
      <c r="L495" s="10">
        <v>8.6999999999999994E-2</v>
      </c>
      <c r="M495" s="24">
        <v>189.8</v>
      </c>
      <c r="N495" s="10">
        <v>0.47199999999999998</v>
      </c>
      <c r="O495" s="9">
        <v>5.931</v>
      </c>
      <c r="P495" s="9"/>
      <c r="Q495" s="9"/>
    </row>
    <row r="496" spans="7:22" x14ac:dyDescent="0.35">
      <c r="G496" s="10">
        <v>33</v>
      </c>
      <c r="H496" s="10">
        <v>12.224</v>
      </c>
      <c r="I496" s="10">
        <v>2142</v>
      </c>
      <c r="J496" s="10">
        <v>15.803000000000001</v>
      </c>
      <c r="K496" s="10">
        <v>42.012999999999998</v>
      </c>
      <c r="L496" s="10">
        <v>9.6000000000000002E-2</v>
      </c>
      <c r="M496" s="24">
        <v>204.74</v>
      </c>
      <c r="N496" s="10">
        <v>0.66</v>
      </c>
      <c r="O496" s="9">
        <v>6.2039999999999997</v>
      </c>
      <c r="P496" s="9"/>
      <c r="Q496" s="9"/>
    </row>
    <row r="497" spans="7:17" x14ac:dyDescent="0.35">
      <c r="G497" s="10">
        <v>34</v>
      </c>
      <c r="H497" s="10">
        <v>12.648</v>
      </c>
      <c r="I497" s="10">
        <v>2110</v>
      </c>
      <c r="J497" s="10">
        <v>16.155000000000001</v>
      </c>
      <c r="K497" s="10">
        <v>43.249000000000002</v>
      </c>
      <c r="L497" s="10">
        <v>0.104</v>
      </c>
      <c r="M497" s="24">
        <v>219.68</v>
      </c>
      <c r="N497" s="10">
        <v>0.82199999999999995</v>
      </c>
      <c r="O497" s="9">
        <v>6.4610000000000003</v>
      </c>
      <c r="P497" s="9"/>
      <c r="Q497" s="9"/>
    </row>
    <row r="498" spans="7:17" x14ac:dyDescent="0.35">
      <c r="G498" s="10">
        <v>35</v>
      </c>
      <c r="H498" s="10">
        <v>13.071999999999999</v>
      </c>
      <c r="I498" s="10">
        <v>2078</v>
      </c>
      <c r="J498" s="10">
        <v>16.510000000000002</v>
      </c>
      <c r="K498" s="10">
        <v>44.485999999999997</v>
      </c>
      <c r="L498" s="10">
        <v>0.113</v>
      </c>
      <c r="M498" s="24">
        <v>234.62</v>
      </c>
      <c r="N498" s="10">
        <v>0.96199999999999997</v>
      </c>
      <c r="O498" s="9">
        <v>6.7030000000000003</v>
      </c>
      <c r="P498" s="9"/>
      <c r="Q498" s="9"/>
    </row>
    <row r="499" spans="7:17" x14ac:dyDescent="0.35">
      <c r="G499" s="10">
        <v>36</v>
      </c>
      <c r="H499" s="10">
        <v>13.496</v>
      </c>
      <c r="I499" s="10">
        <v>2046</v>
      </c>
      <c r="J499" s="10">
        <v>16.867999999999999</v>
      </c>
      <c r="K499" s="10">
        <v>45.722999999999999</v>
      </c>
      <c r="L499" s="10">
        <v>0.122</v>
      </c>
      <c r="M499" s="24">
        <v>249.56</v>
      </c>
      <c r="N499" s="10">
        <v>1.0860000000000001</v>
      </c>
      <c r="O499" s="9">
        <v>6.9320000000000004</v>
      </c>
      <c r="P499" s="9"/>
      <c r="Q499" s="9"/>
    </row>
    <row r="500" spans="7:17" x14ac:dyDescent="0.35">
      <c r="G500" s="10">
        <v>37</v>
      </c>
      <c r="H500" s="10">
        <v>13.92</v>
      </c>
      <c r="I500" s="10">
        <v>2014</v>
      </c>
      <c r="J500" s="10">
        <v>17.23</v>
      </c>
      <c r="K500" s="10">
        <v>46.959000000000003</v>
      </c>
      <c r="L500" s="10">
        <v>0.13100000000000001</v>
      </c>
      <c r="M500" s="24">
        <v>264.5</v>
      </c>
      <c r="N500" s="10">
        <v>1.1950000000000001</v>
      </c>
      <c r="O500" s="9">
        <v>7.149</v>
      </c>
      <c r="P500" s="9"/>
      <c r="Q500" s="9"/>
    </row>
    <row r="501" spans="7:17" x14ac:dyDescent="0.35">
      <c r="G501" s="10">
        <v>38</v>
      </c>
      <c r="H501" s="10">
        <v>14.308</v>
      </c>
      <c r="I501" s="10">
        <v>1979</v>
      </c>
      <c r="J501" s="10">
        <v>17.555</v>
      </c>
      <c r="K501" s="10">
        <v>47.902999999999999</v>
      </c>
      <c r="L501" s="10">
        <v>0.14099999999999999</v>
      </c>
      <c r="M501" s="24">
        <v>279.32</v>
      </c>
      <c r="N501" s="10">
        <v>1.4330000000000001</v>
      </c>
      <c r="O501" s="9">
        <v>7.351</v>
      </c>
      <c r="P501" s="9"/>
      <c r="Q501" s="9"/>
    </row>
    <row r="502" spans="7:17" x14ac:dyDescent="0.35">
      <c r="G502" s="10">
        <v>39</v>
      </c>
      <c r="H502" s="10">
        <v>14.696</v>
      </c>
      <c r="I502" s="10">
        <v>1944</v>
      </c>
      <c r="J502" s="10">
        <v>17.885999999999999</v>
      </c>
      <c r="K502" s="10">
        <v>48.845999999999997</v>
      </c>
      <c r="L502" s="10">
        <v>0.151</v>
      </c>
      <c r="M502" s="24">
        <v>294.14</v>
      </c>
      <c r="N502" s="10">
        <v>1.645</v>
      </c>
      <c r="O502" s="9">
        <v>7.5419999999999998</v>
      </c>
      <c r="P502" s="9"/>
      <c r="Q502" s="9"/>
    </row>
    <row r="503" spans="7:17" x14ac:dyDescent="0.35">
      <c r="G503" s="10">
        <v>40</v>
      </c>
      <c r="H503" s="10">
        <v>15.084</v>
      </c>
      <c r="I503" s="10">
        <v>1909</v>
      </c>
      <c r="J503" s="10">
        <v>18.222999999999999</v>
      </c>
      <c r="K503" s="10">
        <v>49.789000000000001</v>
      </c>
      <c r="L503" s="10">
        <v>0.16200000000000001</v>
      </c>
      <c r="M503" s="24">
        <v>308.95999999999998</v>
      </c>
      <c r="N503" s="10">
        <v>1.8360000000000001</v>
      </c>
      <c r="O503" s="9">
        <v>7.7240000000000002</v>
      </c>
      <c r="P503" s="9"/>
      <c r="Q503" s="9"/>
    </row>
    <row r="504" spans="7:17" x14ac:dyDescent="0.35">
      <c r="G504" s="10">
        <v>41</v>
      </c>
      <c r="H504" s="10">
        <v>15.472</v>
      </c>
      <c r="I504" s="10">
        <v>1874</v>
      </c>
      <c r="J504" s="10">
        <v>18.565999999999999</v>
      </c>
      <c r="K504" s="10">
        <v>50.732999999999997</v>
      </c>
      <c r="L504" s="10">
        <v>0.17299999999999999</v>
      </c>
      <c r="M504" s="24">
        <v>323.77999999999997</v>
      </c>
      <c r="N504" s="10">
        <v>2.0099999999999998</v>
      </c>
      <c r="O504" s="9">
        <v>7.8970000000000002</v>
      </c>
      <c r="P504" s="9"/>
      <c r="Q504" s="9"/>
    </row>
    <row r="505" spans="7:17" x14ac:dyDescent="0.35">
      <c r="G505" s="10">
        <v>42</v>
      </c>
      <c r="H505" s="10">
        <v>15.86</v>
      </c>
      <c r="I505" s="10">
        <v>1840</v>
      </c>
      <c r="J505" s="10">
        <v>18.91</v>
      </c>
      <c r="K505" s="10">
        <v>51.676000000000002</v>
      </c>
      <c r="L505" s="10">
        <v>0.184</v>
      </c>
      <c r="M505" s="24">
        <v>338.6</v>
      </c>
      <c r="N505" s="10">
        <v>2.1669999999999998</v>
      </c>
      <c r="O505" s="9">
        <v>8.0619999999999994</v>
      </c>
      <c r="P505" s="9"/>
      <c r="Q505" s="9"/>
    </row>
    <row r="506" spans="7:17" x14ac:dyDescent="0.35">
      <c r="G506" s="10">
        <v>43</v>
      </c>
      <c r="H506" s="10">
        <v>16.213999999999999</v>
      </c>
      <c r="I506" s="10">
        <v>1809</v>
      </c>
      <c r="J506" s="10">
        <v>19.207000000000001</v>
      </c>
      <c r="K506" s="10">
        <v>52.411999999999999</v>
      </c>
      <c r="L506" s="10">
        <v>0.19500000000000001</v>
      </c>
      <c r="M506" s="24">
        <v>352.38</v>
      </c>
      <c r="N506" s="10">
        <v>2.4470000000000001</v>
      </c>
      <c r="O506" s="9">
        <v>8.1950000000000003</v>
      </c>
      <c r="P506" s="9"/>
      <c r="Q506" s="9"/>
    </row>
    <row r="507" spans="7:17" x14ac:dyDescent="0.35">
      <c r="G507" s="10">
        <v>44</v>
      </c>
      <c r="H507" s="10">
        <v>16.568000000000001</v>
      </c>
      <c r="I507" s="10">
        <v>1778</v>
      </c>
      <c r="J507" s="10">
        <v>19.509</v>
      </c>
      <c r="K507" s="10">
        <v>53.148000000000003</v>
      </c>
      <c r="L507" s="10">
        <v>0.20599999999999999</v>
      </c>
      <c r="M507" s="24">
        <v>366.16</v>
      </c>
      <c r="N507" s="10">
        <v>2.7050000000000001</v>
      </c>
      <c r="O507" s="9">
        <v>8.3219999999999992</v>
      </c>
      <c r="P507" s="9"/>
      <c r="Q507" s="9"/>
    </row>
    <row r="508" spans="7:17" x14ac:dyDescent="0.35">
      <c r="G508" s="10">
        <v>45</v>
      </c>
      <c r="H508" s="10">
        <v>16.922000000000001</v>
      </c>
      <c r="I508" s="10">
        <v>1748</v>
      </c>
      <c r="J508" s="10">
        <v>19.811</v>
      </c>
      <c r="K508" s="10">
        <v>53.884</v>
      </c>
      <c r="L508" s="10">
        <v>0.217</v>
      </c>
      <c r="M508" s="24">
        <v>379.94</v>
      </c>
      <c r="N508" s="10">
        <v>2.9430000000000001</v>
      </c>
      <c r="O508" s="9">
        <v>8.4429999999999996</v>
      </c>
      <c r="P508" s="9"/>
      <c r="Q508" s="9"/>
    </row>
    <row r="509" spans="7:17" x14ac:dyDescent="0.35">
      <c r="G509" s="10">
        <v>46</v>
      </c>
      <c r="H509" s="10">
        <v>17.276</v>
      </c>
      <c r="I509" s="10">
        <v>1717</v>
      </c>
      <c r="J509" s="10">
        <v>20.126000000000001</v>
      </c>
      <c r="K509" s="10">
        <v>54.62</v>
      </c>
      <c r="L509" s="10">
        <v>0.22900000000000001</v>
      </c>
      <c r="M509" s="24">
        <v>393.72</v>
      </c>
      <c r="N509" s="10">
        <v>3.1629999999999998</v>
      </c>
      <c r="O509" s="9">
        <v>8.5589999999999993</v>
      </c>
      <c r="P509" s="9"/>
      <c r="Q509" s="9"/>
    </row>
    <row r="510" spans="7:17" x14ac:dyDescent="0.35">
      <c r="G510" s="10">
        <v>47</v>
      </c>
      <c r="H510" s="10">
        <v>17.63</v>
      </c>
      <c r="I510" s="10">
        <v>1687</v>
      </c>
      <c r="J510" s="10">
        <v>20.440000000000001</v>
      </c>
      <c r="K510" s="10">
        <v>55.356000000000002</v>
      </c>
      <c r="L510" s="10">
        <v>0.24199999999999999</v>
      </c>
      <c r="M510" s="24">
        <v>407.5</v>
      </c>
      <c r="N510" s="10">
        <v>3.367</v>
      </c>
      <c r="O510" s="9">
        <v>8.67</v>
      </c>
      <c r="P510" s="9"/>
      <c r="Q510" s="9"/>
    </row>
    <row r="511" spans="7:17" x14ac:dyDescent="0.35">
      <c r="G511" s="10">
        <v>48</v>
      </c>
      <c r="H511" s="10">
        <v>17.948</v>
      </c>
      <c r="I511" s="10">
        <v>1659</v>
      </c>
      <c r="J511" s="10">
        <v>20.712</v>
      </c>
      <c r="K511" s="10">
        <v>55.895000000000003</v>
      </c>
      <c r="L511" s="10">
        <v>0.253</v>
      </c>
      <c r="M511" s="24">
        <v>419.6</v>
      </c>
      <c r="N511" s="10">
        <v>3.66</v>
      </c>
      <c r="O511" s="9">
        <v>8.7420000000000009</v>
      </c>
      <c r="P511" s="9"/>
      <c r="Q511" s="9"/>
    </row>
    <row r="512" spans="7:17" x14ac:dyDescent="0.35">
      <c r="G512" s="10">
        <v>49</v>
      </c>
      <c r="H512" s="10">
        <v>18.265999999999998</v>
      </c>
      <c r="I512" s="10">
        <v>1632</v>
      </c>
      <c r="J512" s="10">
        <v>20.983000000000001</v>
      </c>
      <c r="K512" s="10">
        <v>56.433999999999997</v>
      </c>
      <c r="L512" s="10">
        <v>0.26500000000000001</v>
      </c>
      <c r="M512" s="24">
        <v>431.7</v>
      </c>
      <c r="N512" s="10">
        <v>3.9340000000000002</v>
      </c>
      <c r="O512" s="9">
        <v>8.81</v>
      </c>
      <c r="P512" s="9"/>
      <c r="Q512" s="9"/>
    </row>
    <row r="513" spans="7:17" x14ac:dyDescent="0.35">
      <c r="G513" s="10">
        <v>50</v>
      </c>
      <c r="H513" s="10">
        <v>18.584</v>
      </c>
      <c r="I513" s="10">
        <v>1605</v>
      </c>
      <c r="J513" s="10">
        <v>21.259</v>
      </c>
      <c r="K513" s="10">
        <v>56.972999999999999</v>
      </c>
      <c r="L513" s="10">
        <v>0.27700000000000002</v>
      </c>
      <c r="M513" s="24">
        <v>443.8</v>
      </c>
      <c r="N513" s="10">
        <v>4.1920000000000002</v>
      </c>
      <c r="O513" s="9">
        <v>8.8759999999999994</v>
      </c>
      <c r="P513" s="9"/>
      <c r="Q513" s="9"/>
    </row>
    <row r="514" spans="7:17" x14ac:dyDescent="0.35">
      <c r="G514" s="10">
        <v>51</v>
      </c>
      <c r="H514" s="10">
        <v>18.902000000000001</v>
      </c>
      <c r="I514" s="10">
        <v>1578</v>
      </c>
      <c r="J514" s="10">
        <v>21.542000000000002</v>
      </c>
      <c r="K514" s="10">
        <v>57.512</v>
      </c>
      <c r="L514" s="10">
        <v>0.28899999999999998</v>
      </c>
      <c r="M514" s="24">
        <v>455.9</v>
      </c>
      <c r="N514" s="10">
        <v>4.4359999999999999</v>
      </c>
      <c r="O514" s="9">
        <v>8.9390000000000001</v>
      </c>
      <c r="P514" s="9"/>
      <c r="Q514" s="9"/>
    </row>
    <row r="515" spans="7:17" x14ac:dyDescent="0.35">
      <c r="G515" s="10">
        <v>52</v>
      </c>
      <c r="H515" s="10">
        <v>19.22</v>
      </c>
      <c r="I515" s="10">
        <v>1551</v>
      </c>
      <c r="J515" s="10">
        <v>21.83</v>
      </c>
      <c r="K515" s="10">
        <v>58.051000000000002</v>
      </c>
      <c r="L515" s="10">
        <v>0.30199999999999999</v>
      </c>
      <c r="M515" s="24">
        <v>468</v>
      </c>
      <c r="N515" s="10">
        <v>4.665</v>
      </c>
      <c r="O515" s="9">
        <v>9</v>
      </c>
      <c r="P515" s="9"/>
      <c r="Q515" s="9"/>
    </row>
    <row r="516" spans="7:17" x14ac:dyDescent="0.35">
      <c r="G516" s="10">
        <v>53</v>
      </c>
      <c r="H516" s="10">
        <v>19.492000000000001</v>
      </c>
      <c r="I516" s="10">
        <v>1528</v>
      </c>
      <c r="J516" s="10">
        <v>22.068000000000001</v>
      </c>
      <c r="K516" s="10">
        <v>58.445999999999998</v>
      </c>
      <c r="L516" s="10">
        <v>0.313</v>
      </c>
      <c r="M516" s="24">
        <v>478.2</v>
      </c>
      <c r="N516" s="10">
        <v>4.9489999999999998</v>
      </c>
      <c r="O516" s="9">
        <v>9.0229999999999997</v>
      </c>
      <c r="P516" s="9"/>
      <c r="Q516" s="9"/>
    </row>
    <row r="517" spans="7:17" x14ac:dyDescent="0.35">
      <c r="G517" s="10">
        <v>54</v>
      </c>
      <c r="H517" s="10">
        <v>19.763999999999999</v>
      </c>
      <c r="I517" s="10">
        <v>1505</v>
      </c>
      <c r="J517" s="10">
        <v>22.311</v>
      </c>
      <c r="K517" s="10">
        <v>58.841000000000001</v>
      </c>
      <c r="L517" s="10">
        <v>0.32500000000000001</v>
      </c>
      <c r="M517" s="24">
        <v>488.4</v>
      </c>
      <c r="N517" s="10">
        <v>5.22</v>
      </c>
      <c r="O517" s="9">
        <v>9.0440000000000005</v>
      </c>
      <c r="P517" s="9"/>
      <c r="Q517" s="9"/>
    </row>
    <row r="518" spans="7:17" x14ac:dyDescent="0.35">
      <c r="G518" s="10">
        <v>55</v>
      </c>
      <c r="H518" s="10">
        <v>20.036000000000001</v>
      </c>
      <c r="I518" s="10">
        <v>1482</v>
      </c>
      <c r="J518" s="10">
        <v>22.559000000000001</v>
      </c>
      <c r="K518" s="10">
        <v>59.235999999999997</v>
      </c>
      <c r="L518" s="10">
        <v>0.33600000000000002</v>
      </c>
      <c r="M518" s="24">
        <v>498.6</v>
      </c>
      <c r="N518" s="10">
        <v>5.4790000000000001</v>
      </c>
      <c r="O518" s="9">
        <v>9.0649999999999995</v>
      </c>
      <c r="P518" s="9"/>
      <c r="Q518" s="9"/>
    </row>
    <row r="519" spans="7:17" x14ac:dyDescent="0.35">
      <c r="G519" s="10">
        <v>56</v>
      </c>
      <c r="H519" s="10">
        <v>20.308</v>
      </c>
      <c r="I519" s="10">
        <v>1459</v>
      </c>
      <c r="J519" s="10">
        <v>22.812000000000001</v>
      </c>
      <c r="K519" s="10">
        <v>59.631</v>
      </c>
      <c r="L519" s="10">
        <v>0.34899999999999998</v>
      </c>
      <c r="M519" s="24">
        <v>508.8</v>
      </c>
      <c r="N519" s="10">
        <v>5.7249999999999996</v>
      </c>
      <c r="O519" s="9">
        <v>9.0860000000000003</v>
      </c>
      <c r="P519" s="9"/>
      <c r="Q519" s="9"/>
    </row>
    <row r="520" spans="7:17" x14ac:dyDescent="0.35">
      <c r="G520" s="10">
        <v>57</v>
      </c>
      <c r="H520" s="10">
        <v>20.58</v>
      </c>
      <c r="I520" s="10">
        <v>1436</v>
      </c>
      <c r="J520" s="10">
        <v>23.07</v>
      </c>
      <c r="K520" s="10">
        <v>60.026000000000003</v>
      </c>
      <c r="L520" s="10">
        <v>0.36099999999999999</v>
      </c>
      <c r="M520" s="24">
        <v>519</v>
      </c>
      <c r="N520" s="10">
        <v>5.9610000000000003</v>
      </c>
      <c r="O520" s="9">
        <v>9.1050000000000004</v>
      </c>
      <c r="P520" s="9"/>
      <c r="Q520" s="9"/>
    </row>
    <row r="521" spans="7:17" x14ac:dyDescent="0.35">
      <c r="G521" s="10">
        <v>58</v>
      </c>
      <c r="H521" s="10">
        <v>20.803999999999998</v>
      </c>
      <c r="I521" s="10">
        <v>1418</v>
      </c>
      <c r="J521" s="10">
        <v>23.280999999999999</v>
      </c>
      <c r="K521" s="10">
        <v>60.362000000000002</v>
      </c>
      <c r="L521" s="10">
        <v>0.372</v>
      </c>
      <c r="M521" s="24">
        <v>527.36</v>
      </c>
      <c r="N521" s="10">
        <v>6.2370000000000001</v>
      </c>
      <c r="O521" s="9">
        <v>9.0920000000000005</v>
      </c>
      <c r="P521" s="9"/>
      <c r="Q521" s="9"/>
    </row>
    <row r="522" spans="7:17" x14ac:dyDescent="0.35">
      <c r="G522" s="10">
        <v>59</v>
      </c>
      <c r="H522" s="10">
        <v>21.027999999999999</v>
      </c>
      <c r="I522" s="10">
        <v>1400</v>
      </c>
      <c r="J522" s="10">
        <v>23.495000000000001</v>
      </c>
      <c r="K522" s="10">
        <v>60.698</v>
      </c>
      <c r="L522" s="10">
        <v>0.38300000000000001</v>
      </c>
      <c r="M522" s="24">
        <v>535.72</v>
      </c>
      <c r="N522" s="10">
        <v>6.5030000000000001</v>
      </c>
      <c r="O522" s="9">
        <v>9.08</v>
      </c>
      <c r="P522" s="9"/>
      <c r="Q522" s="9"/>
    </row>
    <row r="523" spans="7:17" x14ac:dyDescent="0.35">
      <c r="G523" s="10">
        <v>60</v>
      </c>
      <c r="H523" s="10">
        <v>21.251999999999999</v>
      </c>
      <c r="I523" s="10">
        <v>1382</v>
      </c>
      <c r="J523" s="10">
        <v>23.713000000000001</v>
      </c>
      <c r="K523" s="10">
        <v>61.033999999999999</v>
      </c>
      <c r="L523" s="10">
        <v>0.39400000000000002</v>
      </c>
      <c r="M523" s="24">
        <v>544.08000000000004</v>
      </c>
      <c r="N523" s="10">
        <v>6.7590000000000003</v>
      </c>
      <c r="O523" s="9">
        <v>9.0679999999999996</v>
      </c>
      <c r="P523" s="9"/>
      <c r="Q523" s="9"/>
    </row>
    <row r="524" spans="7:17" x14ac:dyDescent="0.35">
      <c r="G524" s="10">
        <v>61</v>
      </c>
      <c r="H524" s="10">
        <v>21.475999999999999</v>
      </c>
      <c r="I524" s="10">
        <v>1364</v>
      </c>
      <c r="J524" s="10">
        <v>23.934999999999999</v>
      </c>
      <c r="K524" s="10">
        <v>61.37</v>
      </c>
      <c r="L524" s="10">
        <v>0.40500000000000003</v>
      </c>
      <c r="M524" s="24">
        <v>552.44000000000005</v>
      </c>
      <c r="N524" s="10">
        <v>7.0060000000000002</v>
      </c>
      <c r="O524" s="9">
        <v>9.0559999999999992</v>
      </c>
      <c r="P524" s="9"/>
      <c r="Q524" s="9"/>
    </row>
    <row r="525" spans="7:17" x14ac:dyDescent="0.35">
      <c r="G525" s="10">
        <v>62</v>
      </c>
      <c r="H525" s="10">
        <v>21.7</v>
      </c>
      <c r="I525" s="10">
        <v>1346</v>
      </c>
      <c r="J525" s="10">
        <v>24.16</v>
      </c>
      <c r="K525" s="10">
        <v>61.706000000000003</v>
      </c>
      <c r="L525" s="10">
        <v>0.41699999999999998</v>
      </c>
      <c r="M525" s="24">
        <v>560.79999999999995</v>
      </c>
      <c r="N525" s="10">
        <v>7.2439999999999998</v>
      </c>
      <c r="O525" s="9">
        <v>9.0449999999999999</v>
      </c>
      <c r="P525" s="9"/>
      <c r="Q525" s="9"/>
    </row>
    <row r="526" spans="7:17" x14ac:dyDescent="0.35">
      <c r="G526" s="10">
        <v>63</v>
      </c>
      <c r="H526" s="10">
        <v>21.884</v>
      </c>
      <c r="I526" s="10">
        <v>1331</v>
      </c>
      <c r="J526" s="10">
        <v>24.353999999999999</v>
      </c>
      <c r="K526" s="10">
        <v>62.003</v>
      </c>
      <c r="L526" s="10">
        <v>0.42699999999999999</v>
      </c>
      <c r="M526" s="24">
        <v>567.76</v>
      </c>
      <c r="N526" s="10">
        <v>7.5010000000000003</v>
      </c>
      <c r="O526" s="9">
        <v>9.0120000000000005</v>
      </c>
      <c r="P526" s="9"/>
      <c r="Q526" s="9"/>
    </row>
    <row r="527" spans="7:17" x14ac:dyDescent="0.35">
      <c r="G527" s="10">
        <v>64</v>
      </c>
      <c r="H527" s="10">
        <v>22.068000000000001</v>
      </c>
      <c r="I527" s="10">
        <v>1317</v>
      </c>
      <c r="J527" s="10">
        <v>24.542000000000002</v>
      </c>
      <c r="K527" s="10">
        <v>62.298999999999999</v>
      </c>
      <c r="L527" s="10">
        <v>0.436</v>
      </c>
      <c r="M527" s="24">
        <v>574.72</v>
      </c>
      <c r="N527" s="10">
        <v>7.75</v>
      </c>
      <c r="O527" s="9">
        <v>8.98</v>
      </c>
      <c r="P527" s="9"/>
      <c r="Q527" s="9"/>
    </row>
    <row r="528" spans="7:17" x14ac:dyDescent="0.35">
      <c r="G528" s="10">
        <v>65</v>
      </c>
      <c r="H528" s="10">
        <v>22.251999999999999</v>
      </c>
      <c r="I528" s="10">
        <v>1303</v>
      </c>
      <c r="J528" s="10">
        <v>24.731999999999999</v>
      </c>
      <c r="K528" s="10">
        <v>62.595999999999997</v>
      </c>
      <c r="L528" s="10">
        <v>0.44600000000000001</v>
      </c>
      <c r="M528" s="24">
        <v>581.67999999999995</v>
      </c>
      <c r="N528" s="10">
        <v>7.9909999999999997</v>
      </c>
      <c r="O528" s="9">
        <v>8.9489999999999998</v>
      </c>
      <c r="P528" s="9"/>
      <c r="Q528" s="9"/>
    </row>
    <row r="529" spans="7:17" x14ac:dyDescent="0.35">
      <c r="G529" s="10">
        <v>66</v>
      </c>
      <c r="H529" s="10">
        <v>22.436</v>
      </c>
      <c r="I529" s="10">
        <v>1289</v>
      </c>
      <c r="J529" s="10">
        <v>24.925000000000001</v>
      </c>
      <c r="K529" s="10">
        <v>62.892000000000003</v>
      </c>
      <c r="L529" s="10">
        <v>0.45700000000000002</v>
      </c>
      <c r="M529" s="24">
        <v>588.64</v>
      </c>
      <c r="N529" s="10">
        <v>8.2260000000000009</v>
      </c>
      <c r="O529" s="9">
        <v>8.9190000000000005</v>
      </c>
      <c r="P529" s="9"/>
      <c r="Q529" s="9"/>
    </row>
    <row r="530" spans="7:17" x14ac:dyDescent="0.35">
      <c r="G530" s="10">
        <v>67</v>
      </c>
      <c r="H530" s="10">
        <v>22.62</v>
      </c>
      <c r="I530" s="10">
        <v>1275</v>
      </c>
      <c r="J530" s="10">
        <v>25.12</v>
      </c>
      <c r="K530" s="10">
        <v>63.189</v>
      </c>
      <c r="L530" s="10">
        <v>0.46700000000000003</v>
      </c>
      <c r="M530" s="24">
        <v>595.6</v>
      </c>
      <c r="N530" s="10">
        <v>8.4540000000000006</v>
      </c>
      <c r="O530" s="9">
        <v>8.89</v>
      </c>
      <c r="P530" s="9"/>
      <c r="Q530" s="9"/>
    </row>
    <row r="531" spans="7:17" x14ac:dyDescent="0.35">
      <c r="G531" s="10">
        <v>68</v>
      </c>
      <c r="H531" s="10">
        <v>22.782</v>
      </c>
      <c r="I531" s="10">
        <v>1262</v>
      </c>
      <c r="J531" s="10">
        <v>25.3</v>
      </c>
      <c r="K531" s="10">
        <v>63.442</v>
      </c>
      <c r="L531" s="10">
        <v>0.47699999999999998</v>
      </c>
      <c r="M531" s="24">
        <v>601.52</v>
      </c>
      <c r="N531" s="10">
        <v>8.6890000000000001</v>
      </c>
      <c r="O531" s="9">
        <v>8.8460000000000001</v>
      </c>
      <c r="P531" s="9"/>
      <c r="Q531" s="9"/>
    </row>
    <row r="532" spans="7:17" x14ac:dyDescent="0.35">
      <c r="G532" s="10">
        <v>69</v>
      </c>
      <c r="H532" s="10">
        <v>22.943999999999999</v>
      </c>
      <c r="I532" s="10">
        <v>1250</v>
      </c>
      <c r="J532" s="10">
        <v>25.471</v>
      </c>
      <c r="K532" s="10">
        <v>63.695</v>
      </c>
      <c r="L532" s="10">
        <v>0.48599999999999999</v>
      </c>
      <c r="M532" s="24">
        <v>607.44000000000005</v>
      </c>
      <c r="N532" s="10">
        <v>8.9190000000000005</v>
      </c>
      <c r="O532" s="9">
        <v>8.8030000000000008</v>
      </c>
      <c r="P532" s="9"/>
      <c r="Q532" s="9"/>
    </row>
    <row r="533" spans="7:17" x14ac:dyDescent="0.35">
      <c r="G533" s="10">
        <v>70</v>
      </c>
      <c r="H533" s="10">
        <v>23.106000000000002</v>
      </c>
      <c r="I533" s="10">
        <v>1238</v>
      </c>
      <c r="J533" s="10">
        <v>25.645</v>
      </c>
      <c r="K533" s="10">
        <v>63.948</v>
      </c>
      <c r="L533" s="10">
        <v>0.495</v>
      </c>
      <c r="M533" s="24">
        <v>613.36</v>
      </c>
      <c r="N533" s="10">
        <v>9.1430000000000007</v>
      </c>
      <c r="O533" s="9">
        <v>8.7620000000000005</v>
      </c>
      <c r="P533" s="9"/>
      <c r="Q533" s="9"/>
    </row>
    <row r="534" spans="7:17" x14ac:dyDescent="0.35">
      <c r="G534" s="10">
        <v>71</v>
      </c>
      <c r="H534" s="10">
        <v>23.268000000000001</v>
      </c>
      <c r="I534" s="10">
        <v>1226</v>
      </c>
      <c r="J534" s="10">
        <v>25.821999999999999</v>
      </c>
      <c r="K534" s="10">
        <v>64.201999999999998</v>
      </c>
      <c r="L534" s="10">
        <v>0.505</v>
      </c>
      <c r="M534" s="24">
        <v>619.28</v>
      </c>
      <c r="N534" s="10">
        <v>9.3610000000000007</v>
      </c>
      <c r="O534" s="9">
        <v>8.7219999999999995</v>
      </c>
      <c r="P534" s="9"/>
      <c r="Q534" s="9"/>
    </row>
    <row r="535" spans="7:17" x14ac:dyDescent="0.35">
      <c r="G535" s="10">
        <v>72</v>
      </c>
      <c r="H535" s="10">
        <v>23.43</v>
      </c>
      <c r="I535" s="10">
        <v>1214</v>
      </c>
      <c r="J535" s="10">
        <v>26</v>
      </c>
      <c r="K535" s="10">
        <v>64.454999999999998</v>
      </c>
      <c r="L535" s="10">
        <v>0.51500000000000001</v>
      </c>
      <c r="M535" s="24">
        <v>625.20000000000005</v>
      </c>
      <c r="N535" s="10">
        <v>9.5749999999999993</v>
      </c>
      <c r="O535" s="9">
        <v>8.6829999999999998</v>
      </c>
      <c r="P535" s="9"/>
      <c r="Q535" s="9"/>
    </row>
    <row r="536" spans="7:17" x14ac:dyDescent="0.35">
      <c r="G536" s="10">
        <v>73</v>
      </c>
      <c r="H536" s="10">
        <v>23.58</v>
      </c>
      <c r="I536" s="10">
        <v>1203</v>
      </c>
      <c r="J536" s="10">
        <v>26.15</v>
      </c>
      <c r="K536" s="10">
        <v>64.611000000000004</v>
      </c>
      <c r="L536" s="10">
        <v>0.52400000000000002</v>
      </c>
      <c r="M536" s="24">
        <v>630.16</v>
      </c>
      <c r="N536" s="10">
        <v>9.7919999999999998</v>
      </c>
      <c r="O536" s="9">
        <v>8.6319999999999997</v>
      </c>
      <c r="P536" s="9"/>
      <c r="Q536" s="9"/>
    </row>
    <row r="537" spans="7:17" x14ac:dyDescent="0.35">
      <c r="G537" s="10">
        <v>74</v>
      </c>
      <c r="H537" s="10">
        <v>23.73</v>
      </c>
      <c r="I537" s="10">
        <v>1192</v>
      </c>
      <c r="J537" s="10">
        <v>26.302</v>
      </c>
      <c r="K537" s="10">
        <v>64.766000000000005</v>
      </c>
      <c r="L537" s="10">
        <v>0.53300000000000003</v>
      </c>
      <c r="M537" s="24">
        <v>635.12</v>
      </c>
      <c r="N537" s="10">
        <v>10.004</v>
      </c>
      <c r="O537" s="9">
        <v>8.5830000000000002</v>
      </c>
      <c r="P537" s="9"/>
      <c r="Q537" s="9"/>
    </row>
    <row r="538" spans="7:17" x14ac:dyDescent="0.35">
      <c r="G538" s="10">
        <v>75</v>
      </c>
      <c r="H538" s="10">
        <v>23.88</v>
      </c>
      <c r="I538" s="10">
        <v>1181</v>
      </c>
      <c r="J538" s="10">
        <v>26.456</v>
      </c>
      <c r="K538" s="10">
        <v>64.921999999999997</v>
      </c>
      <c r="L538" s="10">
        <v>0.54200000000000004</v>
      </c>
      <c r="M538" s="24">
        <v>640.08000000000004</v>
      </c>
      <c r="N538" s="10">
        <v>10.212</v>
      </c>
      <c r="O538" s="9">
        <v>8.5340000000000007</v>
      </c>
      <c r="P538" s="9"/>
      <c r="Q538" s="9"/>
    </row>
    <row r="539" spans="7:17" x14ac:dyDescent="0.35">
      <c r="G539" s="10">
        <v>76</v>
      </c>
      <c r="H539" s="10">
        <v>24.03</v>
      </c>
      <c r="I539" s="10">
        <v>1170</v>
      </c>
      <c r="J539" s="10">
        <v>26.611999999999998</v>
      </c>
      <c r="K539" s="10">
        <v>65.078000000000003</v>
      </c>
      <c r="L539" s="10">
        <v>0.55100000000000005</v>
      </c>
      <c r="M539" s="24">
        <v>645.04</v>
      </c>
      <c r="N539" s="10">
        <v>10.416</v>
      </c>
      <c r="O539" s="9">
        <v>8.4870000000000001</v>
      </c>
      <c r="P539" s="9"/>
      <c r="Q539" s="9"/>
    </row>
    <row r="540" spans="7:17" x14ac:dyDescent="0.35">
      <c r="G540" s="10">
        <v>77</v>
      </c>
      <c r="H540" s="10">
        <v>24.18</v>
      </c>
      <c r="I540" s="10">
        <v>1159</v>
      </c>
      <c r="J540" s="10">
        <v>26.77</v>
      </c>
      <c r="K540" s="10">
        <v>65.233000000000004</v>
      </c>
      <c r="L540" s="10">
        <v>0.56100000000000005</v>
      </c>
      <c r="M540" s="24">
        <v>650</v>
      </c>
      <c r="N540" s="10">
        <v>10.616</v>
      </c>
      <c r="O540" s="9">
        <v>8.4420000000000002</v>
      </c>
      <c r="P540" s="9"/>
      <c r="Q540" s="9"/>
    </row>
  </sheetData>
  <autoFilter ref="A2:AD459" xr:uid="{860836E9-728F-4541-B40C-E3C525E8BA8E}"/>
  <mergeCells count="3">
    <mergeCell ref="H1:O1"/>
    <mergeCell ref="A1:G1"/>
    <mergeCell ref="Z1:AB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D0F5-2789-4E5B-9571-41513986901F}">
  <dimension ref="A1:E43"/>
  <sheetViews>
    <sheetView workbookViewId="0">
      <selection activeCell="B8" sqref="B8"/>
    </sheetView>
  </sheetViews>
  <sheetFormatPr defaultRowHeight="14.5" x14ac:dyDescent="0.35"/>
  <cols>
    <col min="2" max="2" width="11.1796875" bestFit="1" customWidth="1"/>
    <col min="3" max="3" width="9.54296875" bestFit="1" customWidth="1"/>
  </cols>
  <sheetData>
    <row r="1" spans="1:5" x14ac:dyDescent="0.35">
      <c r="A1" s="2" t="s">
        <v>34</v>
      </c>
      <c r="B1" s="2" t="s">
        <v>35</v>
      </c>
      <c r="C1" s="2" t="s">
        <v>36</v>
      </c>
    </row>
    <row r="2" spans="1:5" x14ac:dyDescent="0.35">
      <c r="A2" s="2"/>
      <c r="B2" s="2" t="s">
        <v>33</v>
      </c>
      <c r="C2" s="2" t="s">
        <v>31</v>
      </c>
    </row>
    <row r="3" spans="1:5" x14ac:dyDescent="0.35">
      <c r="A3" s="3">
        <v>10</v>
      </c>
      <c r="B3" s="3">
        <v>73</v>
      </c>
      <c r="C3" s="3">
        <v>53</v>
      </c>
      <c r="E3" t="s">
        <v>37</v>
      </c>
    </row>
    <row r="4" spans="1:5" x14ac:dyDescent="0.35">
      <c r="A4" s="3">
        <v>11</v>
      </c>
      <c r="B4" s="3">
        <v>82</v>
      </c>
      <c r="C4" s="3">
        <v>66</v>
      </c>
    </row>
    <row r="5" spans="1:5" x14ac:dyDescent="0.35">
      <c r="A5" s="3">
        <v>12</v>
      </c>
      <c r="B5" s="3">
        <v>87</v>
      </c>
      <c r="C5" s="3">
        <v>74</v>
      </c>
    </row>
    <row r="6" spans="1:5" x14ac:dyDescent="0.35">
      <c r="A6" s="3">
        <v>13</v>
      </c>
      <c r="B6" s="3">
        <v>89</v>
      </c>
      <c r="C6" s="3">
        <v>79</v>
      </c>
    </row>
    <row r="7" spans="1:5" x14ac:dyDescent="0.35">
      <c r="A7" s="3">
        <v>14</v>
      </c>
      <c r="B7" s="3">
        <v>90</v>
      </c>
      <c r="C7" s="3">
        <v>82</v>
      </c>
    </row>
    <row r="8" spans="1:5" x14ac:dyDescent="0.35">
      <c r="A8" s="3">
        <v>15</v>
      </c>
      <c r="B8" s="3">
        <v>90</v>
      </c>
      <c r="C8" s="3">
        <v>84</v>
      </c>
    </row>
    <row r="9" spans="1:5" x14ac:dyDescent="0.35">
      <c r="A9" s="3">
        <v>16</v>
      </c>
      <c r="B9" s="3">
        <v>89</v>
      </c>
      <c r="C9" s="3">
        <v>84</v>
      </c>
    </row>
    <row r="10" spans="1:5" x14ac:dyDescent="0.35">
      <c r="A10" s="3">
        <v>17</v>
      </c>
      <c r="B10" s="3">
        <v>90</v>
      </c>
      <c r="C10" s="3">
        <v>84</v>
      </c>
    </row>
    <row r="11" spans="1:5" x14ac:dyDescent="0.35">
      <c r="A11" s="3">
        <v>18</v>
      </c>
      <c r="B11" s="3">
        <v>90</v>
      </c>
      <c r="C11" s="3">
        <v>84</v>
      </c>
    </row>
    <row r="12" spans="1:5" x14ac:dyDescent="0.35">
      <c r="A12" s="3">
        <v>19</v>
      </c>
      <c r="B12" s="3">
        <v>90</v>
      </c>
      <c r="C12" s="3">
        <v>84</v>
      </c>
    </row>
    <row r="13" spans="1:5" x14ac:dyDescent="0.35">
      <c r="A13" s="3">
        <v>20</v>
      </c>
      <c r="B13" s="3">
        <v>90</v>
      </c>
      <c r="C13" s="3">
        <v>84</v>
      </c>
    </row>
    <row r="14" spans="1:5" x14ac:dyDescent="0.35">
      <c r="A14" s="3">
        <v>21</v>
      </c>
      <c r="B14" s="3">
        <v>90</v>
      </c>
      <c r="C14" s="3">
        <v>84</v>
      </c>
    </row>
    <row r="15" spans="1:5" x14ac:dyDescent="0.35">
      <c r="A15" s="3">
        <v>22</v>
      </c>
      <c r="B15" s="3">
        <v>90</v>
      </c>
      <c r="C15" s="3">
        <v>84</v>
      </c>
    </row>
    <row r="16" spans="1:5" x14ac:dyDescent="0.35">
      <c r="A16" s="3">
        <v>23</v>
      </c>
      <c r="B16" s="3">
        <v>90</v>
      </c>
      <c r="C16" s="3">
        <v>84</v>
      </c>
    </row>
    <row r="17" spans="1:3" x14ac:dyDescent="0.35">
      <c r="A17" s="3">
        <v>24</v>
      </c>
      <c r="B17" s="3">
        <v>90</v>
      </c>
      <c r="C17" s="3">
        <v>84</v>
      </c>
    </row>
    <row r="18" spans="1:3" x14ac:dyDescent="0.35">
      <c r="A18" s="3">
        <v>25</v>
      </c>
      <c r="B18" s="3">
        <v>90</v>
      </c>
      <c r="C18" s="3">
        <v>84</v>
      </c>
    </row>
    <row r="19" spans="1:3" x14ac:dyDescent="0.35">
      <c r="A19" s="3">
        <v>26</v>
      </c>
      <c r="B19" s="3">
        <v>90</v>
      </c>
      <c r="C19" s="3">
        <v>84</v>
      </c>
    </row>
    <row r="20" spans="1:3" x14ac:dyDescent="0.35">
      <c r="A20" s="3">
        <v>27</v>
      </c>
      <c r="B20" s="3">
        <v>90</v>
      </c>
      <c r="C20" s="3">
        <v>85</v>
      </c>
    </row>
    <row r="21" spans="1:3" x14ac:dyDescent="0.35">
      <c r="A21" s="3">
        <v>28</v>
      </c>
      <c r="B21" s="3">
        <v>90</v>
      </c>
      <c r="C21" s="3">
        <v>85</v>
      </c>
    </row>
    <row r="22" spans="1:3" x14ac:dyDescent="0.35">
      <c r="A22" s="3">
        <v>29</v>
      </c>
      <c r="B22" s="3">
        <v>90</v>
      </c>
      <c r="C22" s="3">
        <v>85</v>
      </c>
    </row>
    <row r="23" spans="1:3" x14ac:dyDescent="0.35">
      <c r="A23" s="3">
        <v>30</v>
      </c>
      <c r="B23" s="3">
        <v>90</v>
      </c>
      <c r="C23" s="3">
        <v>85</v>
      </c>
    </row>
    <row r="24" spans="1:3" x14ac:dyDescent="0.35">
      <c r="A24" s="3">
        <v>31</v>
      </c>
      <c r="B24" s="3">
        <v>91</v>
      </c>
      <c r="C24" s="3">
        <v>85</v>
      </c>
    </row>
    <row r="25" spans="1:3" x14ac:dyDescent="0.35">
      <c r="A25" s="3">
        <v>32</v>
      </c>
      <c r="B25" s="3">
        <v>91</v>
      </c>
      <c r="C25" s="3">
        <v>85</v>
      </c>
    </row>
    <row r="26" spans="1:3" x14ac:dyDescent="0.35">
      <c r="A26" s="3">
        <v>33</v>
      </c>
      <c r="B26" s="3">
        <v>91</v>
      </c>
      <c r="C26" s="3">
        <v>85</v>
      </c>
    </row>
    <row r="27" spans="1:3" x14ac:dyDescent="0.35">
      <c r="A27" s="3">
        <v>34</v>
      </c>
      <c r="B27" s="3">
        <v>91</v>
      </c>
      <c r="C27" s="3">
        <v>85</v>
      </c>
    </row>
    <row r="28" spans="1:3" x14ac:dyDescent="0.35">
      <c r="A28" s="3">
        <v>35</v>
      </c>
      <c r="B28" s="3">
        <v>91</v>
      </c>
      <c r="C28" s="3">
        <v>85</v>
      </c>
    </row>
    <row r="29" spans="1:3" x14ac:dyDescent="0.35">
      <c r="A29" s="3">
        <v>36</v>
      </c>
      <c r="B29" s="3">
        <v>91</v>
      </c>
      <c r="C29" s="3">
        <v>85</v>
      </c>
    </row>
    <row r="30" spans="1:3" x14ac:dyDescent="0.35">
      <c r="A30" s="3">
        <v>37</v>
      </c>
      <c r="B30" s="3">
        <v>91</v>
      </c>
      <c r="C30" s="3">
        <v>85</v>
      </c>
    </row>
    <row r="31" spans="1:3" x14ac:dyDescent="0.35">
      <c r="A31" s="3">
        <v>38</v>
      </c>
      <c r="B31" s="3">
        <v>91</v>
      </c>
      <c r="C31" s="3">
        <v>85</v>
      </c>
    </row>
    <row r="32" spans="1:3" x14ac:dyDescent="0.35">
      <c r="A32" s="3">
        <v>39</v>
      </c>
      <c r="B32" s="3">
        <v>91</v>
      </c>
      <c r="C32" s="3">
        <v>85</v>
      </c>
    </row>
    <row r="33" spans="1:5" x14ac:dyDescent="0.35">
      <c r="A33" s="3">
        <v>40</v>
      </c>
      <c r="B33" s="3">
        <v>91</v>
      </c>
      <c r="C33" s="3">
        <v>85</v>
      </c>
    </row>
    <row r="34" spans="1:5" x14ac:dyDescent="0.35">
      <c r="A34" s="3">
        <v>41</v>
      </c>
      <c r="B34" s="3">
        <v>91</v>
      </c>
      <c r="C34" s="3">
        <v>85</v>
      </c>
    </row>
    <row r="35" spans="1:5" x14ac:dyDescent="0.35">
      <c r="A35" s="3">
        <v>42</v>
      </c>
      <c r="B35" s="3">
        <v>91</v>
      </c>
      <c r="C35" s="3">
        <v>85</v>
      </c>
    </row>
    <row r="36" spans="1:5" x14ac:dyDescent="0.35">
      <c r="A36" s="3">
        <v>43</v>
      </c>
      <c r="B36" s="3">
        <v>91</v>
      </c>
      <c r="C36" s="3">
        <v>85</v>
      </c>
    </row>
    <row r="37" spans="1:5" x14ac:dyDescent="0.35">
      <c r="A37" s="3">
        <v>44</v>
      </c>
      <c r="B37" s="3">
        <v>91</v>
      </c>
      <c r="C37" s="3">
        <v>85</v>
      </c>
    </row>
    <row r="38" spans="1:5" x14ac:dyDescent="0.35">
      <c r="A38" s="3">
        <v>45</v>
      </c>
      <c r="B38" s="3">
        <v>91</v>
      </c>
      <c r="C38" s="3">
        <v>85</v>
      </c>
    </row>
    <row r="39" spans="1:5" x14ac:dyDescent="0.35">
      <c r="A39" s="3">
        <v>46</v>
      </c>
      <c r="B39" s="3">
        <v>91</v>
      </c>
      <c r="C39" s="3">
        <v>85</v>
      </c>
    </row>
    <row r="40" spans="1:5" x14ac:dyDescent="0.35">
      <c r="A40" s="3">
        <v>47</v>
      </c>
      <c r="B40" s="3">
        <v>91</v>
      </c>
      <c r="C40" s="3">
        <v>85</v>
      </c>
    </row>
    <row r="41" spans="1:5" x14ac:dyDescent="0.35">
      <c r="A41" s="3">
        <v>48</v>
      </c>
      <c r="B41" s="3">
        <v>91</v>
      </c>
      <c r="C41" s="3">
        <v>85</v>
      </c>
    </row>
    <row r="42" spans="1:5" x14ac:dyDescent="0.35">
      <c r="A42" s="3">
        <v>49</v>
      </c>
      <c r="B42" s="3">
        <v>91</v>
      </c>
      <c r="C42" s="3">
        <v>85</v>
      </c>
    </row>
    <row r="43" spans="1:5" x14ac:dyDescent="0.35">
      <c r="A43" s="3">
        <v>50</v>
      </c>
      <c r="B43" s="3">
        <v>92</v>
      </c>
      <c r="C43" s="3">
        <v>85</v>
      </c>
      <c r="E4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43D6-A4DF-43B9-A1DB-470FD57D3379}">
  <dimension ref="A1:N171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1796875" bestFit="1" customWidth="1"/>
    <col min="2" max="2" width="10.7265625" bestFit="1" customWidth="1"/>
    <col min="3" max="3" width="21.1796875" bestFit="1" customWidth="1"/>
    <col min="4" max="4" width="4.7265625" bestFit="1" customWidth="1"/>
    <col min="5" max="5" width="18.7265625" bestFit="1" customWidth="1"/>
    <col min="6" max="6" width="24.81640625" bestFit="1" customWidth="1"/>
    <col min="7" max="7" width="12.1796875" bestFit="1" customWidth="1"/>
    <col min="8" max="8" width="10.7265625" bestFit="1" customWidth="1"/>
    <col min="10" max="10" width="19.453125" bestFit="1" customWidth="1"/>
    <col min="11" max="11" width="19.453125" customWidth="1"/>
    <col min="12" max="12" width="23.26953125" bestFit="1" customWidth="1"/>
    <col min="13" max="13" width="28.54296875" bestFit="1" customWidth="1"/>
    <col min="14" max="14" width="25.26953125" bestFit="1" customWidth="1"/>
  </cols>
  <sheetData>
    <row r="1" spans="1:14" x14ac:dyDescent="0.3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39</v>
      </c>
      <c r="H1" t="s">
        <v>40</v>
      </c>
      <c r="I1" t="s">
        <v>42</v>
      </c>
      <c r="J1" t="s">
        <v>45</v>
      </c>
      <c r="K1" t="s">
        <v>22</v>
      </c>
      <c r="L1" s="20" t="s">
        <v>46</v>
      </c>
      <c r="M1" s="20" t="s">
        <v>47</v>
      </c>
      <c r="N1" s="20" t="s">
        <v>48</v>
      </c>
    </row>
    <row r="2" spans="1:14" x14ac:dyDescent="0.35">
      <c r="A2" t="s">
        <v>49</v>
      </c>
      <c r="B2">
        <v>6</v>
      </c>
      <c r="C2" t="s">
        <v>50</v>
      </c>
      <c r="D2">
        <v>0</v>
      </c>
      <c r="E2">
        <v>0</v>
      </c>
      <c r="F2">
        <v>0</v>
      </c>
      <c r="G2" t="s">
        <v>49</v>
      </c>
      <c r="H2">
        <v>6</v>
      </c>
      <c r="I2">
        <v>0</v>
      </c>
      <c r="J2">
        <v>0</v>
      </c>
      <c r="K2" t="b">
        <f>H2=B2</f>
        <v>1</v>
      </c>
      <c r="L2">
        <f>E2+F2+J2</f>
        <v>0</v>
      </c>
      <c r="M2">
        <f>(L2*2)*(100/50)</f>
        <v>0</v>
      </c>
      <c r="N2">
        <f>M2*1.222</f>
        <v>0</v>
      </c>
    </row>
    <row r="3" spans="1:14" x14ac:dyDescent="0.35">
      <c r="A3" t="s">
        <v>49</v>
      </c>
      <c r="B3">
        <v>6</v>
      </c>
      <c r="C3" t="s">
        <v>50</v>
      </c>
      <c r="D3">
        <v>1</v>
      </c>
      <c r="E3">
        <v>1.23983523582686E-2</v>
      </c>
      <c r="F3" s="19">
        <v>6.4403681703662297E-5</v>
      </c>
      <c r="G3" t="s">
        <v>49</v>
      </c>
      <c r="H3">
        <v>6</v>
      </c>
      <c r="I3">
        <v>1</v>
      </c>
      <c r="J3" s="19">
        <v>1.4025684563329999E-4</v>
      </c>
      <c r="K3" t="b">
        <f t="shared" ref="K3:K66" si="0">H3=B3</f>
        <v>1</v>
      </c>
      <c r="L3" s="19">
        <f>E3+F3+J3</f>
        <v>1.2603012885605561E-2</v>
      </c>
      <c r="M3" s="19">
        <f>(L3*2)*(100/50)</f>
        <v>5.0412051542422245E-2</v>
      </c>
      <c r="N3" s="19">
        <f>M3*1.222</f>
        <v>6.1603526984839986E-2</v>
      </c>
    </row>
    <row r="4" spans="1:14" x14ac:dyDescent="0.35">
      <c r="A4" t="s">
        <v>49</v>
      </c>
      <c r="B4">
        <v>6</v>
      </c>
      <c r="C4" t="s">
        <v>50</v>
      </c>
      <c r="D4">
        <v>2</v>
      </c>
      <c r="E4">
        <v>2.7896292806104402E-2</v>
      </c>
      <c r="F4" s="19">
        <v>2.0737985508579001E-4</v>
      </c>
      <c r="G4" t="s">
        <v>49</v>
      </c>
      <c r="H4">
        <v>6</v>
      </c>
      <c r="I4">
        <v>2</v>
      </c>
      <c r="J4" s="19">
        <v>4.0378114050595998E-4</v>
      </c>
      <c r="K4" t="b">
        <f t="shared" si="0"/>
        <v>1</v>
      </c>
      <c r="L4">
        <f t="shared" ref="L4:L66" si="1">E4+F4+J4</f>
        <v>2.8507453801696152E-2</v>
      </c>
      <c r="M4">
        <f t="shared" ref="M4:M66" si="2">(L4*2)*(100/50)</f>
        <v>0.11402981520678461</v>
      </c>
      <c r="N4">
        <f t="shared" ref="N4:N66" si="3">M4*1.222</f>
        <v>0.1393444341826908</v>
      </c>
    </row>
    <row r="5" spans="1:14" x14ac:dyDescent="0.35">
      <c r="A5" t="s">
        <v>49</v>
      </c>
      <c r="B5">
        <v>6</v>
      </c>
      <c r="C5" t="s">
        <v>50</v>
      </c>
      <c r="D5">
        <v>3</v>
      </c>
      <c r="E5">
        <v>4.7268718365899298E-2</v>
      </c>
      <c r="F5" s="19">
        <v>4.4669749592843002E-4</v>
      </c>
      <c r="G5" t="s">
        <v>49</v>
      </c>
      <c r="H5">
        <v>6</v>
      </c>
      <c r="I5">
        <v>3</v>
      </c>
      <c r="J5" s="19">
        <v>7.8994023276215996E-4</v>
      </c>
      <c r="K5" t="b">
        <f t="shared" si="0"/>
        <v>1</v>
      </c>
      <c r="L5">
        <f t="shared" si="1"/>
        <v>4.8505356094589891E-2</v>
      </c>
      <c r="M5">
        <f t="shared" si="2"/>
        <v>0.19402142437835956</v>
      </c>
      <c r="N5">
        <f t="shared" si="3"/>
        <v>0.23709418059035539</v>
      </c>
    </row>
    <row r="6" spans="1:14" x14ac:dyDescent="0.35">
      <c r="A6" t="s">
        <v>49</v>
      </c>
      <c r="B6">
        <v>6</v>
      </c>
      <c r="C6" t="s">
        <v>50</v>
      </c>
      <c r="D6">
        <v>4</v>
      </c>
      <c r="E6">
        <v>7.1484250315642803E-2</v>
      </c>
      <c r="F6" s="19">
        <v>8.0462404837325005E-4</v>
      </c>
      <c r="G6" t="s">
        <v>49</v>
      </c>
      <c r="H6">
        <v>6</v>
      </c>
      <c r="I6">
        <v>4</v>
      </c>
      <c r="J6">
        <v>1.31006280029829E-3</v>
      </c>
      <c r="K6" t="b">
        <f t="shared" si="0"/>
        <v>1</v>
      </c>
      <c r="L6">
        <f t="shared" si="1"/>
        <v>7.3598937164314343E-2</v>
      </c>
      <c r="M6">
        <f t="shared" si="2"/>
        <v>0.29439574865725737</v>
      </c>
      <c r="N6">
        <f t="shared" si="3"/>
        <v>0.35975160485916852</v>
      </c>
    </row>
    <row r="7" spans="1:14" x14ac:dyDescent="0.35">
      <c r="A7" t="s">
        <v>49</v>
      </c>
      <c r="B7">
        <v>6</v>
      </c>
      <c r="C7" t="s">
        <v>50</v>
      </c>
      <c r="D7">
        <v>5</v>
      </c>
      <c r="E7">
        <v>0.10175366525282201</v>
      </c>
      <c r="F7">
        <v>1.30904835527907E-3</v>
      </c>
      <c r="G7" t="s">
        <v>49</v>
      </c>
      <c r="H7">
        <v>6</v>
      </c>
      <c r="I7">
        <v>5</v>
      </c>
      <c r="J7">
        <v>1.9855174252183701E-3</v>
      </c>
      <c r="K7" t="b">
        <f t="shared" si="0"/>
        <v>1</v>
      </c>
      <c r="L7">
        <f t="shared" si="1"/>
        <v>0.10504823103331944</v>
      </c>
      <c r="M7">
        <f t="shared" si="2"/>
        <v>0.42019292413327775</v>
      </c>
      <c r="N7">
        <f t="shared" si="3"/>
        <v>0.51347575329086537</v>
      </c>
    </row>
    <row r="8" spans="1:14" x14ac:dyDescent="0.35">
      <c r="A8" t="s">
        <v>49</v>
      </c>
      <c r="B8">
        <v>6</v>
      </c>
      <c r="C8" t="s">
        <v>50</v>
      </c>
      <c r="D8">
        <v>6</v>
      </c>
      <c r="E8">
        <v>0.13959043392429599</v>
      </c>
      <c r="F8">
        <v>1.9948843717706201E-3</v>
      </c>
      <c r="G8" t="s">
        <v>49</v>
      </c>
      <c r="H8">
        <v>6</v>
      </c>
      <c r="I8">
        <v>6</v>
      </c>
      <c r="J8">
        <v>2.8473609279533298E-3</v>
      </c>
      <c r="K8" t="b">
        <f t="shared" si="0"/>
        <v>1</v>
      </c>
      <c r="L8">
        <f t="shared" si="1"/>
        <v>0.14443267922401992</v>
      </c>
      <c r="M8">
        <f t="shared" si="2"/>
        <v>0.57773071689607969</v>
      </c>
      <c r="N8">
        <f t="shared" si="3"/>
        <v>0.70598693604700935</v>
      </c>
    </row>
    <row r="9" spans="1:14" x14ac:dyDescent="0.35">
      <c r="A9" t="s">
        <v>49</v>
      </c>
      <c r="B9">
        <v>6</v>
      </c>
      <c r="C9" t="s">
        <v>50</v>
      </c>
      <c r="D9">
        <v>7</v>
      </c>
      <c r="E9">
        <v>0.186886394763639</v>
      </c>
      <c r="F9">
        <v>2.90582585625857E-3</v>
      </c>
      <c r="G9" t="s">
        <v>49</v>
      </c>
      <c r="H9">
        <v>6</v>
      </c>
      <c r="I9">
        <v>7</v>
      </c>
      <c r="J9">
        <v>3.93707926051764E-3</v>
      </c>
      <c r="K9" t="b">
        <f t="shared" si="0"/>
        <v>1</v>
      </c>
      <c r="L9">
        <f t="shared" si="1"/>
        <v>0.19372929988041521</v>
      </c>
      <c r="M9">
        <f t="shared" si="2"/>
        <v>0.77491719952166083</v>
      </c>
      <c r="N9">
        <f t="shared" si="3"/>
        <v>0.94694881781546947</v>
      </c>
    </row>
    <row r="10" spans="1:14" x14ac:dyDescent="0.35">
      <c r="A10" t="s">
        <v>49</v>
      </c>
      <c r="B10">
        <v>6</v>
      </c>
      <c r="C10" t="s">
        <v>50</v>
      </c>
      <c r="D10">
        <v>8</v>
      </c>
      <c r="E10">
        <v>0.246006345812817</v>
      </c>
      <c r="F10">
        <v>4.0965397818258104E-3</v>
      </c>
      <c r="G10" t="s">
        <v>49</v>
      </c>
      <c r="H10">
        <v>6</v>
      </c>
      <c r="I10">
        <v>8</v>
      </c>
      <c r="J10">
        <v>5.3081965250418497E-3</v>
      </c>
      <c r="K10" t="b">
        <f t="shared" si="0"/>
        <v>1</v>
      </c>
      <c r="L10">
        <f t="shared" si="1"/>
        <v>0.25541108211968466</v>
      </c>
      <c r="M10">
        <f t="shared" si="2"/>
        <v>1.0216443284787387</v>
      </c>
      <c r="N10">
        <f t="shared" si="3"/>
        <v>1.2484493694010186</v>
      </c>
    </row>
    <row r="11" spans="1:14" x14ac:dyDescent="0.35">
      <c r="A11" t="s">
        <v>49</v>
      </c>
      <c r="B11">
        <v>6</v>
      </c>
      <c r="C11" t="s">
        <v>50</v>
      </c>
      <c r="D11">
        <v>9</v>
      </c>
      <c r="E11">
        <v>0.31990628462429099</v>
      </c>
      <c r="F11">
        <v>5.6354081466434497E-3</v>
      </c>
      <c r="G11" t="s">
        <v>49</v>
      </c>
      <c r="H11">
        <v>6</v>
      </c>
      <c r="I11">
        <v>9</v>
      </c>
      <c r="J11">
        <v>7.0286837464657399E-3</v>
      </c>
      <c r="K11" t="b">
        <f t="shared" si="0"/>
        <v>1</v>
      </c>
      <c r="L11">
        <f t="shared" si="1"/>
        <v>0.33257037651740018</v>
      </c>
      <c r="M11">
        <f t="shared" si="2"/>
        <v>1.3302815060696007</v>
      </c>
      <c r="N11">
        <f t="shared" si="3"/>
        <v>1.625604000417052</v>
      </c>
    </row>
    <row r="12" spans="1:14" x14ac:dyDescent="0.35">
      <c r="A12" t="s">
        <v>49</v>
      </c>
      <c r="B12">
        <v>6</v>
      </c>
      <c r="C12" t="s">
        <v>50</v>
      </c>
      <c r="D12">
        <v>10</v>
      </c>
      <c r="E12">
        <v>0.412281208138632</v>
      </c>
      <c r="F12">
        <v>7.6079552817883197E-3</v>
      </c>
      <c r="G12" t="s">
        <v>49</v>
      </c>
      <c r="H12">
        <v>6</v>
      </c>
      <c r="I12">
        <v>10</v>
      </c>
      <c r="J12">
        <v>9.18420308396929E-3</v>
      </c>
      <c r="K12" t="b">
        <f t="shared" si="0"/>
        <v>1</v>
      </c>
      <c r="L12">
        <f t="shared" si="1"/>
        <v>0.4290733665043896</v>
      </c>
      <c r="M12">
        <f t="shared" si="2"/>
        <v>1.7162934660175584</v>
      </c>
      <c r="N12">
        <f t="shared" si="3"/>
        <v>2.0973106154734564</v>
      </c>
    </row>
    <row r="13" spans="1:14" x14ac:dyDescent="0.35">
      <c r="A13" t="s">
        <v>49</v>
      </c>
      <c r="B13">
        <v>6</v>
      </c>
      <c r="C13" t="s">
        <v>50</v>
      </c>
      <c r="D13">
        <v>11</v>
      </c>
      <c r="E13">
        <v>0.52774986253155898</v>
      </c>
      <c r="F13">
        <v>1.01211320294685E-2</v>
      </c>
      <c r="G13" t="s">
        <v>49</v>
      </c>
      <c r="H13">
        <v>6</v>
      </c>
      <c r="I13">
        <v>11</v>
      </c>
      <c r="J13">
        <v>1.18823013845252E-2</v>
      </c>
      <c r="K13" t="b">
        <f t="shared" si="0"/>
        <v>1</v>
      </c>
      <c r="L13">
        <f t="shared" si="1"/>
        <v>0.54975329594555267</v>
      </c>
      <c r="M13">
        <f t="shared" si="2"/>
        <v>2.1990131837822107</v>
      </c>
      <c r="N13">
        <f t="shared" si="3"/>
        <v>2.6871941105818613</v>
      </c>
    </row>
    <row r="14" spans="1:14" x14ac:dyDescent="0.35">
      <c r="A14" t="s">
        <v>49</v>
      </c>
      <c r="B14">
        <v>6</v>
      </c>
      <c r="C14" t="s">
        <v>50</v>
      </c>
      <c r="D14">
        <v>12</v>
      </c>
      <c r="E14">
        <v>0.672085680522718</v>
      </c>
      <c r="F14">
        <v>1.33086710079555E-2</v>
      </c>
      <c r="G14" t="s">
        <v>49</v>
      </c>
      <c r="H14">
        <v>6</v>
      </c>
      <c r="I14">
        <v>12</v>
      </c>
      <c r="J14">
        <v>1.52577351916715E-2</v>
      </c>
      <c r="K14" t="b">
        <f t="shared" si="0"/>
        <v>1</v>
      </c>
      <c r="L14">
        <f t="shared" si="1"/>
        <v>0.70065208672234502</v>
      </c>
      <c r="M14">
        <f t="shared" si="2"/>
        <v>2.8026083468893801</v>
      </c>
      <c r="N14">
        <f t="shared" si="3"/>
        <v>3.4247873998988223</v>
      </c>
    </row>
    <row r="15" spans="1:14" x14ac:dyDescent="0.35">
      <c r="A15" t="s">
        <v>49</v>
      </c>
      <c r="B15">
        <v>6</v>
      </c>
      <c r="C15" t="s">
        <v>50</v>
      </c>
      <c r="D15">
        <v>13</v>
      </c>
      <c r="E15">
        <v>0.85250545301166503</v>
      </c>
      <c r="F15">
        <v>1.73377807336343E-2</v>
      </c>
      <c r="G15" t="s">
        <v>49</v>
      </c>
      <c r="H15">
        <v>6</v>
      </c>
      <c r="I15">
        <v>13</v>
      </c>
      <c r="J15">
        <v>1.9479177707218201E-2</v>
      </c>
      <c r="K15" t="b">
        <f t="shared" si="0"/>
        <v>1</v>
      </c>
      <c r="L15">
        <f t="shared" si="1"/>
        <v>0.88932241145251756</v>
      </c>
      <c r="M15">
        <f t="shared" si="2"/>
        <v>3.5572896458100702</v>
      </c>
      <c r="N15">
        <f t="shared" si="3"/>
        <v>4.3470079471799057</v>
      </c>
    </row>
    <row r="16" spans="1:14" x14ac:dyDescent="0.35">
      <c r="A16" t="s">
        <v>49</v>
      </c>
      <c r="B16">
        <v>6</v>
      </c>
      <c r="C16" t="s">
        <v>50</v>
      </c>
      <c r="D16">
        <v>14</v>
      </c>
      <c r="E16">
        <v>1.07803016862284</v>
      </c>
      <c r="F16">
        <v>2.2417513313225699E-2</v>
      </c>
      <c r="G16" t="s">
        <v>49</v>
      </c>
      <c r="H16">
        <v>6</v>
      </c>
      <c r="I16">
        <v>14</v>
      </c>
      <c r="J16">
        <v>2.4757634032829299E-2</v>
      </c>
      <c r="K16" t="b">
        <f t="shared" si="0"/>
        <v>1</v>
      </c>
      <c r="L16">
        <f t="shared" si="1"/>
        <v>1.1252053159688948</v>
      </c>
      <c r="M16">
        <f t="shared" si="2"/>
        <v>4.5008212638755793</v>
      </c>
      <c r="N16">
        <f t="shared" si="3"/>
        <v>5.5000035844559578</v>
      </c>
    </row>
    <row r="17" spans="1:14" x14ac:dyDescent="0.35">
      <c r="A17" t="s">
        <v>49</v>
      </c>
      <c r="B17">
        <v>6</v>
      </c>
      <c r="C17" t="s">
        <v>50</v>
      </c>
      <c r="D17">
        <v>15</v>
      </c>
      <c r="E17">
        <v>1.35993606313683</v>
      </c>
      <c r="F17">
        <v>2.8809224097533101E-2</v>
      </c>
      <c r="G17" t="s">
        <v>49</v>
      </c>
      <c r="H17">
        <v>6</v>
      </c>
      <c r="I17">
        <v>15</v>
      </c>
      <c r="J17">
        <v>3.13569802728869E-2</v>
      </c>
      <c r="K17" t="b">
        <f t="shared" si="0"/>
        <v>1</v>
      </c>
      <c r="L17">
        <f t="shared" si="1"/>
        <v>1.4201022675072499</v>
      </c>
      <c r="M17">
        <f t="shared" si="2"/>
        <v>5.6804090700289995</v>
      </c>
      <c r="N17">
        <f t="shared" si="3"/>
        <v>6.9414598835754369</v>
      </c>
    </row>
    <row r="18" spans="1:14" x14ac:dyDescent="0.35">
      <c r="A18" t="s">
        <v>49</v>
      </c>
      <c r="B18">
        <v>6</v>
      </c>
      <c r="C18" t="s">
        <v>50</v>
      </c>
      <c r="D18">
        <v>16</v>
      </c>
      <c r="E18">
        <v>1.7123184312793001</v>
      </c>
      <c r="F18">
        <v>3.6839646285941101E-2</v>
      </c>
      <c r="G18" t="s">
        <v>49</v>
      </c>
      <c r="H18">
        <v>6</v>
      </c>
      <c r="I18">
        <v>16</v>
      </c>
      <c r="J18">
        <v>3.9607150467391598E-2</v>
      </c>
      <c r="K18" t="b">
        <f t="shared" si="0"/>
        <v>1</v>
      </c>
      <c r="L18">
        <f t="shared" si="1"/>
        <v>1.7887652280326327</v>
      </c>
      <c r="M18">
        <f t="shared" si="2"/>
        <v>7.1550609121305309</v>
      </c>
      <c r="N18">
        <f t="shared" si="3"/>
        <v>8.7434844346235092</v>
      </c>
    </row>
    <row r="19" spans="1:14" x14ac:dyDescent="0.35">
      <c r="A19" t="s">
        <v>49</v>
      </c>
      <c r="B19">
        <v>6</v>
      </c>
      <c r="C19" t="s">
        <v>50</v>
      </c>
      <c r="D19">
        <v>17</v>
      </c>
      <c r="E19">
        <v>2.1527963914574002</v>
      </c>
      <c r="F19">
        <v>4.6917234218233898E-2</v>
      </c>
      <c r="G19" t="s">
        <v>49</v>
      </c>
      <c r="H19">
        <v>6</v>
      </c>
      <c r="I19">
        <v>17</v>
      </c>
      <c r="J19">
        <v>4.9920628971372102E-2</v>
      </c>
      <c r="K19" t="b">
        <f t="shared" si="0"/>
        <v>1</v>
      </c>
      <c r="L19">
        <f t="shared" si="1"/>
        <v>2.2496342546470061</v>
      </c>
      <c r="M19">
        <f t="shared" si="2"/>
        <v>8.9985370185880242</v>
      </c>
      <c r="N19">
        <f t="shared" si="3"/>
        <v>10.996212236714566</v>
      </c>
    </row>
    <row r="20" spans="1:14" x14ac:dyDescent="0.35">
      <c r="A20" t="s">
        <v>49</v>
      </c>
      <c r="B20">
        <v>6</v>
      </c>
      <c r="C20" t="s">
        <v>50</v>
      </c>
      <c r="D20">
        <v>18</v>
      </c>
      <c r="E20">
        <v>2.7033938416800201</v>
      </c>
      <c r="F20">
        <v>5.9552592524479399E-2</v>
      </c>
      <c r="G20" t="s">
        <v>49</v>
      </c>
      <c r="H20">
        <v>6</v>
      </c>
      <c r="I20">
        <v>18</v>
      </c>
      <c r="J20">
        <v>6.2813071890735803E-2</v>
      </c>
      <c r="K20" t="b">
        <f t="shared" si="0"/>
        <v>1</v>
      </c>
      <c r="L20">
        <f t="shared" si="1"/>
        <v>2.8257595060952352</v>
      </c>
      <c r="M20">
        <f t="shared" si="2"/>
        <v>11.303038024380941</v>
      </c>
      <c r="N20">
        <f t="shared" si="3"/>
        <v>13.812312465793509</v>
      </c>
    </row>
    <row r="21" spans="1:14" x14ac:dyDescent="0.35">
      <c r="A21" t="s">
        <v>49</v>
      </c>
      <c r="B21">
        <v>6</v>
      </c>
      <c r="C21" t="s">
        <v>50</v>
      </c>
      <c r="D21">
        <v>19</v>
      </c>
      <c r="E21">
        <v>3.3916406544583002</v>
      </c>
      <c r="F21">
        <v>7.5384012596439398E-2</v>
      </c>
      <c r="G21" t="s">
        <v>49</v>
      </c>
      <c r="H21">
        <v>6</v>
      </c>
      <c r="I21">
        <v>19</v>
      </c>
      <c r="J21">
        <v>7.8929088052775806E-2</v>
      </c>
      <c r="K21" t="b">
        <f t="shared" si="0"/>
        <v>1</v>
      </c>
      <c r="L21">
        <f t="shared" si="1"/>
        <v>3.5459537551075155</v>
      </c>
      <c r="M21">
        <f t="shared" si="2"/>
        <v>14.183815020430062</v>
      </c>
      <c r="N21">
        <f t="shared" si="3"/>
        <v>17.332621954965536</v>
      </c>
    </row>
    <row r="22" spans="1:14" x14ac:dyDescent="0.35">
      <c r="A22" t="s">
        <v>49</v>
      </c>
      <c r="B22">
        <v>6</v>
      </c>
      <c r="C22" t="s">
        <v>50</v>
      </c>
      <c r="D22">
        <v>20</v>
      </c>
      <c r="E22">
        <v>4.2519491704311401</v>
      </c>
      <c r="F22">
        <v>9.5209393209867696E-2</v>
      </c>
      <c r="G22" t="s">
        <v>49</v>
      </c>
      <c r="H22">
        <v>6</v>
      </c>
      <c r="I22">
        <v>20</v>
      </c>
      <c r="J22">
        <v>9.9074468206812302E-2</v>
      </c>
      <c r="K22" t="b">
        <f t="shared" si="0"/>
        <v>1</v>
      </c>
      <c r="L22">
        <f t="shared" si="1"/>
        <v>4.4462330318478198</v>
      </c>
      <c r="M22">
        <f t="shared" si="2"/>
        <v>17.784932127391279</v>
      </c>
      <c r="N22">
        <f t="shared" si="3"/>
        <v>21.733187059672144</v>
      </c>
    </row>
    <row r="23" spans="1:14" x14ac:dyDescent="0.35">
      <c r="A23" t="s">
        <v>49</v>
      </c>
      <c r="B23">
        <v>6</v>
      </c>
      <c r="C23" t="s">
        <v>50</v>
      </c>
      <c r="D23">
        <v>21</v>
      </c>
      <c r="E23">
        <v>5.3273348153972</v>
      </c>
      <c r="F23">
        <v>0.120026141334427</v>
      </c>
      <c r="G23" t="s">
        <v>49</v>
      </c>
      <c r="H23">
        <v>6</v>
      </c>
      <c r="I23">
        <v>21</v>
      </c>
      <c r="J23">
        <v>0.12425647370209</v>
      </c>
      <c r="K23" t="b">
        <f t="shared" si="0"/>
        <v>1</v>
      </c>
      <c r="L23">
        <f t="shared" si="1"/>
        <v>5.5716174304337169</v>
      </c>
      <c r="M23">
        <f t="shared" si="2"/>
        <v>22.286469721734868</v>
      </c>
      <c r="N23">
        <f t="shared" si="3"/>
        <v>27.234065999960009</v>
      </c>
    </row>
    <row r="24" spans="1:14" x14ac:dyDescent="0.35">
      <c r="A24" t="s">
        <v>49</v>
      </c>
      <c r="B24">
        <v>6</v>
      </c>
      <c r="C24" t="s">
        <v>50</v>
      </c>
      <c r="D24">
        <v>22</v>
      </c>
      <c r="E24">
        <v>6.6715668716047603</v>
      </c>
      <c r="F24">
        <v>0.151081048177168</v>
      </c>
      <c r="G24" t="s">
        <v>49</v>
      </c>
      <c r="H24">
        <v>6</v>
      </c>
      <c r="I24">
        <v>22</v>
      </c>
      <c r="J24">
        <v>0.15573419894625801</v>
      </c>
      <c r="K24" t="b">
        <f t="shared" si="0"/>
        <v>1</v>
      </c>
      <c r="L24">
        <f t="shared" si="1"/>
        <v>6.9783821187281863</v>
      </c>
      <c r="M24">
        <f t="shared" si="2"/>
        <v>27.913528474912745</v>
      </c>
      <c r="N24">
        <f t="shared" si="3"/>
        <v>34.110331796343374</v>
      </c>
    </row>
    <row r="25" spans="1:14" x14ac:dyDescent="0.35">
      <c r="A25" t="s">
        <v>49</v>
      </c>
      <c r="B25">
        <v>6</v>
      </c>
      <c r="C25" t="s">
        <v>50</v>
      </c>
      <c r="D25">
        <v>23</v>
      </c>
      <c r="E25">
        <v>8.3518569418642201</v>
      </c>
      <c r="F25">
        <v>0.189932634267023</v>
      </c>
      <c r="G25" t="s">
        <v>49</v>
      </c>
      <c r="H25">
        <v>6</v>
      </c>
      <c r="I25">
        <v>23</v>
      </c>
      <c r="J25">
        <v>0.19508152568568299</v>
      </c>
      <c r="K25" t="b">
        <f t="shared" si="0"/>
        <v>1</v>
      </c>
      <c r="L25">
        <f t="shared" si="1"/>
        <v>8.7368711018169272</v>
      </c>
      <c r="M25">
        <f t="shared" si="2"/>
        <v>34.947484407267709</v>
      </c>
      <c r="N25">
        <f t="shared" si="3"/>
        <v>42.705825945681141</v>
      </c>
    </row>
    <row r="26" spans="1:14" x14ac:dyDescent="0.35">
      <c r="A26" t="s">
        <v>49</v>
      </c>
      <c r="B26">
        <v>6</v>
      </c>
      <c r="C26" t="s">
        <v>50</v>
      </c>
      <c r="D26">
        <v>24</v>
      </c>
      <c r="E26">
        <v>10.332729</v>
      </c>
      <c r="F26">
        <v>0.23790838303901199</v>
      </c>
      <c r="G26" t="s">
        <v>49</v>
      </c>
      <c r="H26">
        <v>6</v>
      </c>
      <c r="I26">
        <v>24</v>
      </c>
      <c r="J26">
        <v>0.24291407548205801</v>
      </c>
      <c r="K26" t="b">
        <f t="shared" si="0"/>
        <v>1</v>
      </c>
      <c r="L26">
        <f t="shared" si="1"/>
        <v>10.81355145852107</v>
      </c>
      <c r="M26">
        <f t="shared" si="2"/>
        <v>43.254205834084281</v>
      </c>
      <c r="N26">
        <f t="shared" si="3"/>
        <v>52.856639529250991</v>
      </c>
    </row>
    <row r="27" spans="1:14" x14ac:dyDescent="0.35">
      <c r="A27" t="s">
        <v>49</v>
      </c>
      <c r="B27">
        <v>6</v>
      </c>
      <c r="C27" t="s">
        <v>50</v>
      </c>
      <c r="D27">
        <v>25</v>
      </c>
      <c r="E27">
        <v>12.331638</v>
      </c>
      <c r="F27">
        <v>0.294828263147842</v>
      </c>
      <c r="G27" t="s">
        <v>49</v>
      </c>
      <c r="H27">
        <v>6</v>
      </c>
      <c r="I27">
        <v>25</v>
      </c>
      <c r="J27">
        <v>0.296456667891905</v>
      </c>
      <c r="K27" t="b">
        <f t="shared" si="0"/>
        <v>1</v>
      </c>
      <c r="L27">
        <f t="shared" si="1"/>
        <v>12.922922931039746</v>
      </c>
      <c r="M27">
        <f t="shared" si="2"/>
        <v>51.691691724158986</v>
      </c>
      <c r="N27">
        <f t="shared" si="3"/>
        <v>63.167247286922276</v>
      </c>
    </row>
    <row r="28" spans="1:14" x14ac:dyDescent="0.35">
      <c r="A28" t="s">
        <v>49</v>
      </c>
      <c r="B28">
        <v>6</v>
      </c>
      <c r="C28" t="s">
        <v>50</v>
      </c>
      <c r="D28">
        <v>26</v>
      </c>
      <c r="E28">
        <v>14.330546999999999</v>
      </c>
      <c r="F28">
        <v>0.36042395065340699</v>
      </c>
      <c r="G28" t="s">
        <v>49</v>
      </c>
      <c r="H28">
        <v>6</v>
      </c>
      <c r="I28">
        <v>26</v>
      </c>
      <c r="J28">
        <v>0.35379011608035199</v>
      </c>
      <c r="K28" t="b">
        <f t="shared" si="0"/>
        <v>1</v>
      </c>
      <c r="L28">
        <f t="shared" si="1"/>
        <v>15.044761066733759</v>
      </c>
      <c r="M28">
        <f t="shared" si="2"/>
        <v>60.179044266935037</v>
      </c>
      <c r="N28">
        <f t="shared" si="3"/>
        <v>73.538792094194619</v>
      </c>
    </row>
    <row r="29" spans="1:14" x14ac:dyDescent="0.35">
      <c r="A29" t="s">
        <v>49</v>
      </c>
      <c r="B29">
        <v>6</v>
      </c>
      <c r="C29" t="s">
        <v>50</v>
      </c>
      <c r="D29">
        <v>27</v>
      </c>
      <c r="E29">
        <v>16.329456</v>
      </c>
      <c r="F29">
        <v>0.43443517133380399</v>
      </c>
      <c r="G29" t="s">
        <v>49</v>
      </c>
      <c r="H29">
        <v>6</v>
      </c>
      <c r="I29">
        <v>27</v>
      </c>
      <c r="J29">
        <v>0.413703708947667</v>
      </c>
      <c r="K29" t="b">
        <f t="shared" si="0"/>
        <v>1</v>
      </c>
      <c r="L29">
        <f t="shared" si="1"/>
        <v>17.177594880281472</v>
      </c>
      <c r="M29">
        <f t="shared" si="2"/>
        <v>68.710379521125887</v>
      </c>
      <c r="N29">
        <f t="shared" si="3"/>
        <v>83.964083774815833</v>
      </c>
    </row>
    <row r="30" spans="1:14" x14ac:dyDescent="0.35">
      <c r="A30" t="s">
        <v>49</v>
      </c>
      <c r="B30">
        <v>6</v>
      </c>
      <c r="C30" t="s">
        <v>50</v>
      </c>
      <c r="D30">
        <v>28</v>
      </c>
      <c r="E30">
        <v>18.328364999999899</v>
      </c>
      <c r="F30">
        <v>0.51660945919378998</v>
      </c>
      <c r="G30" t="s">
        <v>49</v>
      </c>
      <c r="H30">
        <v>6</v>
      </c>
      <c r="I30">
        <v>28</v>
      </c>
      <c r="J30">
        <v>0.47541574993673702</v>
      </c>
      <c r="K30" t="b">
        <f t="shared" si="0"/>
        <v>1</v>
      </c>
      <c r="L30">
        <f t="shared" si="1"/>
        <v>19.320390209130426</v>
      </c>
      <c r="M30">
        <f t="shared" si="2"/>
        <v>77.281560836521706</v>
      </c>
      <c r="N30">
        <f t="shared" si="3"/>
        <v>94.438067342229516</v>
      </c>
    </row>
    <row r="31" spans="1:14" x14ac:dyDescent="0.35">
      <c r="A31" t="s">
        <v>49</v>
      </c>
      <c r="B31">
        <v>6</v>
      </c>
      <c r="C31" t="s">
        <v>50</v>
      </c>
      <c r="D31">
        <v>29</v>
      </c>
      <c r="E31">
        <v>20.743964999999999</v>
      </c>
      <c r="F31">
        <v>0.60886643841797705</v>
      </c>
      <c r="G31" t="s">
        <v>49</v>
      </c>
      <c r="H31">
        <v>6</v>
      </c>
      <c r="I31">
        <v>29</v>
      </c>
      <c r="J31">
        <v>0.54312277595969405</v>
      </c>
      <c r="K31" t="b">
        <f t="shared" si="0"/>
        <v>1</v>
      </c>
      <c r="L31">
        <f t="shared" si="1"/>
        <v>21.895954214377671</v>
      </c>
      <c r="M31">
        <f t="shared" si="2"/>
        <v>87.583816857510683</v>
      </c>
      <c r="N31">
        <f t="shared" si="3"/>
        <v>107.02742419987806</v>
      </c>
    </row>
    <row r="32" spans="1:14" x14ac:dyDescent="0.35">
      <c r="A32" t="s">
        <v>49</v>
      </c>
      <c r="B32">
        <v>6</v>
      </c>
      <c r="C32" t="s">
        <v>50</v>
      </c>
      <c r="D32">
        <v>30</v>
      </c>
      <c r="E32">
        <v>23.159565000000001</v>
      </c>
      <c r="F32">
        <v>0.71090362826543696</v>
      </c>
      <c r="G32" t="s">
        <v>49</v>
      </c>
      <c r="H32">
        <v>6</v>
      </c>
      <c r="I32">
        <v>30</v>
      </c>
      <c r="J32">
        <v>0.61472436780029005</v>
      </c>
      <c r="K32" t="b">
        <f t="shared" si="0"/>
        <v>1</v>
      </c>
      <c r="L32">
        <f t="shared" si="1"/>
        <v>24.485192996065727</v>
      </c>
      <c r="M32">
        <f t="shared" si="2"/>
        <v>97.940771984262909</v>
      </c>
      <c r="N32">
        <f t="shared" si="3"/>
        <v>119.68362336476928</v>
      </c>
    </row>
    <row r="33" spans="1:14" x14ac:dyDescent="0.35">
      <c r="A33" t="s">
        <v>49</v>
      </c>
      <c r="B33">
        <v>6</v>
      </c>
      <c r="C33" t="s">
        <v>50</v>
      </c>
      <c r="D33">
        <v>31</v>
      </c>
      <c r="E33">
        <v>25.575164999999998</v>
      </c>
      <c r="F33">
        <v>0.82242762241747402</v>
      </c>
      <c r="G33" t="s">
        <v>49</v>
      </c>
      <c r="H33">
        <v>6</v>
      </c>
      <c r="I33">
        <v>31</v>
      </c>
      <c r="J33">
        <v>0.68891963744970897</v>
      </c>
      <c r="K33" t="b">
        <f t="shared" si="0"/>
        <v>1</v>
      </c>
      <c r="L33">
        <f t="shared" si="1"/>
        <v>27.086512259867181</v>
      </c>
      <c r="M33">
        <f t="shared" si="2"/>
        <v>108.34604903946872</v>
      </c>
      <c r="N33">
        <f t="shared" si="3"/>
        <v>132.39887192623078</v>
      </c>
    </row>
    <row r="34" spans="1:14" x14ac:dyDescent="0.35">
      <c r="A34" t="s">
        <v>49</v>
      </c>
      <c r="B34">
        <v>6</v>
      </c>
      <c r="C34" t="s">
        <v>50</v>
      </c>
      <c r="D34">
        <v>32</v>
      </c>
      <c r="E34">
        <v>27.990765</v>
      </c>
      <c r="F34">
        <v>0.94315381674495002</v>
      </c>
      <c r="G34" t="s">
        <v>49</v>
      </c>
      <c r="H34">
        <v>6</v>
      </c>
      <c r="I34">
        <v>32</v>
      </c>
      <c r="J34">
        <v>0.76488563477813398</v>
      </c>
      <c r="K34" t="b">
        <f t="shared" si="0"/>
        <v>1</v>
      </c>
      <c r="L34">
        <f t="shared" si="1"/>
        <v>29.698804451523085</v>
      </c>
      <c r="M34">
        <f t="shared" si="2"/>
        <v>118.79521780609234</v>
      </c>
      <c r="N34">
        <f t="shared" si="3"/>
        <v>145.16775615904484</v>
      </c>
    </row>
    <row r="35" spans="1:14" x14ac:dyDescent="0.35">
      <c r="A35" t="s">
        <v>49</v>
      </c>
      <c r="B35">
        <v>6</v>
      </c>
      <c r="C35" t="s">
        <v>50</v>
      </c>
      <c r="D35">
        <v>33</v>
      </c>
      <c r="E35">
        <v>30.406365000000001</v>
      </c>
      <c r="F35">
        <v>1.0728061452426001</v>
      </c>
      <c r="G35" t="s">
        <v>49</v>
      </c>
      <c r="H35">
        <v>6</v>
      </c>
      <c r="I35">
        <v>33</v>
      </c>
      <c r="J35">
        <v>0.84208941228790202</v>
      </c>
      <c r="K35" t="b">
        <f t="shared" si="0"/>
        <v>1</v>
      </c>
      <c r="L35">
        <f t="shared" si="1"/>
        <v>32.321260557530508</v>
      </c>
      <c r="M35">
        <f t="shared" si="2"/>
        <v>129.28504223012203</v>
      </c>
      <c r="N35">
        <f t="shared" si="3"/>
        <v>157.98632160520913</v>
      </c>
    </row>
    <row r="36" spans="1:14" x14ac:dyDescent="0.35">
      <c r="A36" t="s">
        <v>49</v>
      </c>
      <c r="B36">
        <v>6</v>
      </c>
      <c r="C36" t="s">
        <v>50</v>
      </c>
      <c r="D36">
        <v>34</v>
      </c>
      <c r="E36">
        <v>33.232616999999998</v>
      </c>
      <c r="F36">
        <v>1.2132499702853199</v>
      </c>
      <c r="G36" t="s">
        <v>49</v>
      </c>
      <c r="H36">
        <v>6</v>
      </c>
      <c r="I36">
        <v>34</v>
      </c>
      <c r="J36">
        <v>0.92482269829675401</v>
      </c>
      <c r="K36" t="b">
        <f t="shared" si="0"/>
        <v>1</v>
      </c>
      <c r="L36">
        <f t="shared" si="1"/>
        <v>35.370689668582067</v>
      </c>
      <c r="M36">
        <f t="shared" si="2"/>
        <v>141.48275867432827</v>
      </c>
      <c r="N36">
        <f t="shared" si="3"/>
        <v>172.89193110002913</v>
      </c>
    </row>
    <row r="37" spans="1:14" x14ac:dyDescent="0.35">
      <c r="A37" t="s">
        <v>49</v>
      </c>
      <c r="B37">
        <v>6</v>
      </c>
      <c r="C37" t="s">
        <v>50</v>
      </c>
      <c r="D37">
        <v>35</v>
      </c>
      <c r="E37">
        <v>36.058869000000001</v>
      </c>
      <c r="F37">
        <v>1.3641615469767601</v>
      </c>
      <c r="G37" t="s">
        <v>49</v>
      </c>
      <c r="H37">
        <v>6</v>
      </c>
      <c r="I37">
        <v>35</v>
      </c>
      <c r="J37">
        <v>1.01112062369485</v>
      </c>
      <c r="K37" t="b">
        <f t="shared" si="0"/>
        <v>1</v>
      </c>
      <c r="L37">
        <f t="shared" si="1"/>
        <v>38.434151170671612</v>
      </c>
      <c r="M37">
        <f t="shared" si="2"/>
        <v>153.73660468268645</v>
      </c>
      <c r="N37">
        <f t="shared" si="3"/>
        <v>187.86613092224283</v>
      </c>
    </row>
    <row r="38" spans="1:14" x14ac:dyDescent="0.35">
      <c r="A38" t="s">
        <v>49</v>
      </c>
      <c r="B38">
        <v>6</v>
      </c>
      <c r="C38" t="s">
        <v>50</v>
      </c>
      <c r="D38">
        <v>36</v>
      </c>
      <c r="E38">
        <v>38.885120999999998</v>
      </c>
      <c r="F38">
        <v>1.52522684276746</v>
      </c>
      <c r="G38" t="s">
        <v>49</v>
      </c>
      <c r="H38">
        <v>6</v>
      </c>
      <c r="I38">
        <v>36</v>
      </c>
      <c r="J38">
        <v>1.0997737183809999</v>
      </c>
      <c r="K38" t="b">
        <f t="shared" si="0"/>
        <v>1</v>
      </c>
      <c r="L38">
        <f t="shared" si="1"/>
        <v>41.510121561148459</v>
      </c>
      <c r="M38">
        <f t="shared" si="2"/>
        <v>166.04048624459384</v>
      </c>
      <c r="N38">
        <f t="shared" si="3"/>
        <v>202.90147419089365</v>
      </c>
    </row>
    <row r="39" spans="1:14" x14ac:dyDescent="0.35">
      <c r="A39" t="s">
        <v>49</v>
      </c>
      <c r="B39">
        <v>6</v>
      </c>
      <c r="C39" t="s">
        <v>50</v>
      </c>
      <c r="D39">
        <v>37</v>
      </c>
      <c r="E39">
        <v>41.711372999999902</v>
      </c>
      <c r="F39">
        <v>1.6961412460844401</v>
      </c>
      <c r="G39" t="s">
        <v>49</v>
      </c>
      <c r="H39">
        <v>6</v>
      </c>
      <c r="I39">
        <v>37</v>
      </c>
      <c r="J39">
        <v>1.19002220617259</v>
      </c>
      <c r="K39" t="b">
        <f t="shared" si="0"/>
        <v>1</v>
      </c>
      <c r="L39">
        <f t="shared" si="1"/>
        <v>44.597536452256932</v>
      </c>
      <c r="M39">
        <f t="shared" si="2"/>
        <v>178.39014580902773</v>
      </c>
      <c r="N39">
        <f t="shared" si="3"/>
        <v>217.99275817863187</v>
      </c>
    </row>
    <row r="40" spans="1:14" x14ac:dyDescent="0.35">
      <c r="A40" t="s">
        <v>49</v>
      </c>
      <c r="B40">
        <v>6</v>
      </c>
      <c r="C40" t="s">
        <v>50</v>
      </c>
      <c r="D40">
        <v>38</v>
      </c>
      <c r="E40">
        <v>44.537624999999998</v>
      </c>
      <c r="F40">
        <v>1.8766092837018999</v>
      </c>
      <c r="G40" t="s">
        <v>49</v>
      </c>
      <c r="H40">
        <v>6</v>
      </c>
      <c r="I40">
        <v>38</v>
      </c>
      <c r="J40">
        <v>1.2813777944031</v>
      </c>
      <c r="K40" t="b">
        <f t="shared" si="0"/>
        <v>1</v>
      </c>
      <c r="L40">
        <f t="shared" si="1"/>
        <v>47.695612078105</v>
      </c>
      <c r="M40">
        <f t="shared" si="2"/>
        <v>190.78244831242</v>
      </c>
      <c r="N40">
        <f t="shared" si="3"/>
        <v>233.13615183777725</v>
      </c>
    </row>
    <row r="41" spans="1:14" x14ac:dyDescent="0.35">
      <c r="A41" t="s">
        <v>49</v>
      </c>
      <c r="B41">
        <v>6</v>
      </c>
      <c r="C41" t="s">
        <v>50</v>
      </c>
      <c r="D41">
        <v>39</v>
      </c>
      <c r="E41">
        <v>47.611475999999897</v>
      </c>
      <c r="F41">
        <v>2.0676305083908502</v>
      </c>
      <c r="G41" t="s">
        <v>49</v>
      </c>
      <c r="H41">
        <v>6</v>
      </c>
      <c r="I41">
        <v>39</v>
      </c>
      <c r="J41">
        <v>1.37631987302492</v>
      </c>
      <c r="K41" t="b">
        <f t="shared" si="0"/>
        <v>1</v>
      </c>
      <c r="L41">
        <f t="shared" si="1"/>
        <v>51.055426381415664</v>
      </c>
      <c r="M41">
        <f t="shared" si="2"/>
        <v>204.22170552566266</v>
      </c>
      <c r="N41">
        <f t="shared" si="3"/>
        <v>249.55892415235977</v>
      </c>
    </row>
    <row r="42" spans="1:14" x14ac:dyDescent="0.35">
      <c r="A42" t="s">
        <v>49</v>
      </c>
      <c r="B42">
        <v>6</v>
      </c>
      <c r="C42" t="s">
        <v>50</v>
      </c>
      <c r="D42">
        <v>40</v>
      </c>
      <c r="E42">
        <v>50.685327000000001</v>
      </c>
      <c r="F42">
        <v>2.26888832453912</v>
      </c>
      <c r="G42" t="s">
        <v>49</v>
      </c>
      <c r="H42">
        <v>6</v>
      </c>
      <c r="I42">
        <v>40</v>
      </c>
      <c r="J42">
        <v>1.4735917674044201</v>
      </c>
      <c r="K42" t="b">
        <f t="shared" si="0"/>
        <v>1</v>
      </c>
      <c r="L42">
        <f t="shared" si="1"/>
        <v>54.427807091943542</v>
      </c>
      <c r="M42">
        <f t="shared" si="2"/>
        <v>217.71122836777417</v>
      </c>
      <c r="N42">
        <f t="shared" si="3"/>
        <v>266.04312106542005</v>
      </c>
    </row>
    <row r="43" spans="1:14" x14ac:dyDescent="0.35">
      <c r="A43" t="s">
        <v>49</v>
      </c>
      <c r="B43">
        <v>6</v>
      </c>
      <c r="C43" t="s">
        <v>50</v>
      </c>
      <c r="D43">
        <v>41</v>
      </c>
      <c r="E43">
        <v>53.759177999999999</v>
      </c>
      <c r="F43">
        <v>2.48007563440295</v>
      </c>
      <c r="G43" t="s">
        <v>49</v>
      </c>
      <c r="H43">
        <v>6</v>
      </c>
      <c r="I43">
        <v>41</v>
      </c>
      <c r="J43">
        <v>1.57241518776566</v>
      </c>
      <c r="K43" t="b">
        <f t="shared" si="0"/>
        <v>1</v>
      </c>
      <c r="L43">
        <f t="shared" si="1"/>
        <v>57.811668822168606</v>
      </c>
      <c r="M43">
        <f t="shared" si="2"/>
        <v>231.24667528867442</v>
      </c>
      <c r="N43">
        <f t="shared" si="3"/>
        <v>282.58343720276014</v>
      </c>
    </row>
    <row r="44" spans="1:14" x14ac:dyDescent="0.35">
      <c r="A44" t="s">
        <v>49</v>
      </c>
      <c r="B44">
        <v>6</v>
      </c>
      <c r="C44" t="s">
        <v>50</v>
      </c>
      <c r="D44">
        <v>42</v>
      </c>
      <c r="E44">
        <v>56.833029000000003</v>
      </c>
      <c r="F44">
        <v>2.7008945531708601</v>
      </c>
      <c r="G44" t="s">
        <v>49</v>
      </c>
      <c r="H44">
        <v>6</v>
      </c>
      <c r="I44">
        <v>42</v>
      </c>
      <c r="J44">
        <v>1.6722978028011599</v>
      </c>
      <c r="K44" t="b">
        <f t="shared" si="0"/>
        <v>1</v>
      </c>
      <c r="L44">
        <f t="shared" si="1"/>
        <v>61.206221355972026</v>
      </c>
      <c r="M44">
        <f t="shared" si="2"/>
        <v>244.82488542388811</v>
      </c>
      <c r="N44">
        <f t="shared" si="3"/>
        <v>299.17600998799128</v>
      </c>
    </row>
    <row r="45" spans="1:14" x14ac:dyDescent="0.35">
      <c r="A45" t="s">
        <v>49</v>
      </c>
      <c r="B45">
        <v>6</v>
      </c>
      <c r="C45" t="s">
        <v>50</v>
      </c>
      <c r="D45">
        <v>43</v>
      </c>
      <c r="E45">
        <v>59.906879999999902</v>
      </c>
      <c r="F45">
        <v>2.9310561325757298</v>
      </c>
      <c r="G45" t="s">
        <v>49</v>
      </c>
      <c r="H45">
        <v>6</v>
      </c>
      <c r="I45">
        <v>43</v>
      </c>
      <c r="J45">
        <v>1.77292078965205</v>
      </c>
      <c r="K45" t="b">
        <f t="shared" si="0"/>
        <v>1</v>
      </c>
      <c r="L45">
        <f t="shared" si="1"/>
        <v>64.610856922227683</v>
      </c>
      <c r="M45">
        <f t="shared" si="2"/>
        <v>258.44342768891073</v>
      </c>
      <c r="N45">
        <f t="shared" si="3"/>
        <v>315.81786863584892</v>
      </c>
    </row>
    <row r="46" spans="1:14" x14ac:dyDescent="0.35">
      <c r="A46" t="s">
        <v>49</v>
      </c>
      <c r="B46">
        <v>6</v>
      </c>
      <c r="C46" t="s">
        <v>50</v>
      </c>
      <c r="D46">
        <v>44</v>
      </c>
      <c r="E46">
        <v>62.974691999999997</v>
      </c>
      <c r="F46">
        <v>3.1702487229984602</v>
      </c>
      <c r="G46" t="s">
        <v>49</v>
      </c>
      <c r="H46">
        <v>6</v>
      </c>
      <c r="I46">
        <v>44</v>
      </c>
      <c r="J46">
        <v>1.8740041960545399</v>
      </c>
      <c r="K46" t="b">
        <f t="shared" si="0"/>
        <v>1</v>
      </c>
      <c r="L46">
        <f t="shared" si="1"/>
        <v>68.018944919052998</v>
      </c>
      <c r="M46">
        <f t="shared" si="2"/>
        <v>272.07577967621199</v>
      </c>
      <c r="N46">
        <f t="shared" si="3"/>
        <v>332.47660276433106</v>
      </c>
    </row>
    <row r="47" spans="1:14" x14ac:dyDescent="0.35">
      <c r="A47" t="s">
        <v>49</v>
      </c>
      <c r="B47">
        <v>6</v>
      </c>
      <c r="C47" t="s">
        <v>50</v>
      </c>
      <c r="D47">
        <v>45</v>
      </c>
      <c r="E47">
        <v>66.042503999999994</v>
      </c>
      <c r="F47">
        <v>3.4182013941085101</v>
      </c>
      <c r="G47" t="s">
        <v>49</v>
      </c>
      <c r="H47">
        <v>6</v>
      </c>
      <c r="I47">
        <v>45</v>
      </c>
      <c r="J47">
        <v>1.97542935096372</v>
      </c>
      <c r="K47" t="b">
        <f t="shared" si="0"/>
        <v>1</v>
      </c>
      <c r="L47">
        <f t="shared" si="1"/>
        <v>71.436134745072223</v>
      </c>
      <c r="M47">
        <f t="shared" si="2"/>
        <v>285.74453898028889</v>
      </c>
      <c r="N47">
        <f t="shared" si="3"/>
        <v>349.17982663391302</v>
      </c>
    </row>
    <row r="48" spans="1:14" x14ac:dyDescent="0.35">
      <c r="A48" t="s">
        <v>49</v>
      </c>
      <c r="B48">
        <v>6</v>
      </c>
      <c r="C48" t="s">
        <v>50</v>
      </c>
      <c r="D48">
        <v>46</v>
      </c>
      <c r="E48">
        <v>69.110315999999997</v>
      </c>
      <c r="F48">
        <v>3.6746513434852499</v>
      </c>
      <c r="G48" t="s">
        <v>49</v>
      </c>
      <c r="H48">
        <v>6</v>
      </c>
      <c r="I48">
        <v>46</v>
      </c>
      <c r="J48">
        <v>2.07711119460705</v>
      </c>
      <c r="K48" t="b">
        <f t="shared" si="0"/>
        <v>1</v>
      </c>
      <c r="L48">
        <f t="shared" si="1"/>
        <v>74.862078538092305</v>
      </c>
      <c r="M48">
        <f t="shared" si="2"/>
        <v>299.44831415236922</v>
      </c>
      <c r="N48">
        <f t="shared" si="3"/>
        <v>365.92583989419518</v>
      </c>
    </row>
    <row r="49" spans="1:14" x14ac:dyDescent="0.35">
      <c r="A49" t="s">
        <v>49</v>
      </c>
      <c r="B49">
        <v>6</v>
      </c>
      <c r="C49" t="s">
        <v>50</v>
      </c>
      <c r="D49">
        <v>47</v>
      </c>
      <c r="E49">
        <v>72.178128000000001</v>
      </c>
      <c r="F49">
        <v>3.93934365278069</v>
      </c>
      <c r="G49" t="s">
        <v>49</v>
      </c>
      <c r="H49">
        <v>6</v>
      </c>
      <c r="I49">
        <v>47</v>
      </c>
      <c r="J49">
        <v>2.1789876441470599</v>
      </c>
      <c r="K49" t="b">
        <f t="shared" si="0"/>
        <v>1</v>
      </c>
      <c r="L49">
        <f t="shared" si="1"/>
        <v>78.29645929692775</v>
      </c>
      <c r="M49">
        <f t="shared" si="2"/>
        <v>313.185837187711</v>
      </c>
      <c r="N49">
        <f t="shared" si="3"/>
        <v>382.71309304338286</v>
      </c>
    </row>
    <row r="50" spans="1:14" x14ac:dyDescent="0.35">
      <c r="A50" t="s">
        <v>49</v>
      </c>
      <c r="B50">
        <v>6</v>
      </c>
      <c r="C50" t="s">
        <v>50</v>
      </c>
      <c r="D50">
        <v>48</v>
      </c>
      <c r="E50">
        <v>75.245940000000004</v>
      </c>
      <c r="F50">
        <v>4.2120310511972798</v>
      </c>
      <c r="G50" t="s">
        <v>49</v>
      </c>
      <c r="H50">
        <v>6</v>
      </c>
      <c r="I50">
        <v>48</v>
      </c>
      <c r="J50">
        <v>2.2810126977756302</v>
      </c>
      <c r="K50" t="b">
        <f t="shared" si="0"/>
        <v>1</v>
      </c>
      <c r="L50">
        <f t="shared" si="1"/>
        <v>81.738983748972927</v>
      </c>
      <c r="M50">
        <f t="shared" si="2"/>
        <v>326.95593499589171</v>
      </c>
      <c r="N50">
        <f t="shared" si="3"/>
        <v>399.54015256497968</v>
      </c>
    </row>
    <row r="51" spans="1:14" x14ac:dyDescent="0.35">
      <c r="A51" t="s">
        <v>49</v>
      </c>
      <c r="B51">
        <v>6</v>
      </c>
      <c r="C51" t="s">
        <v>50</v>
      </c>
      <c r="D51">
        <v>49</v>
      </c>
      <c r="E51">
        <v>78.126542999999998</v>
      </c>
      <c r="F51">
        <v>4.4915012222613599</v>
      </c>
      <c r="G51" t="s">
        <v>49</v>
      </c>
      <c r="H51">
        <v>6</v>
      </c>
      <c r="I51">
        <v>49</v>
      </c>
      <c r="J51">
        <v>2.3810340416604401</v>
      </c>
      <c r="K51" t="b">
        <f t="shared" si="0"/>
        <v>1</v>
      </c>
      <c r="L51">
        <f t="shared" si="1"/>
        <v>84.999078263921803</v>
      </c>
      <c r="M51">
        <f t="shared" si="2"/>
        <v>339.99631305568721</v>
      </c>
      <c r="N51">
        <f t="shared" si="3"/>
        <v>415.47549455404976</v>
      </c>
    </row>
    <row r="52" spans="1:14" x14ac:dyDescent="0.35">
      <c r="A52" t="s">
        <v>49</v>
      </c>
      <c r="B52">
        <v>6</v>
      </c>
      <c r="C52" t="s">
        <v>50</v>
      </c>
      <c r="D52">
        <v>50</v>
      </c>
      <c r="E52">
        <v>81.007145999999906</v>
      </c>
      <c r="F52">
        <v>4.7775506827935201</v>
      </c>
      <c r="G52" t="s">
        <v>49</v>
      </c>
      <c r="H52">
        <v>6</v>
      </c>
      <c r="I52">
        <v>50</v>
      </c>
      <c r="J52">
        <v>2.47981152819878</v>
      </c>
      <c r="K52" t="b">
        <f t="shared" si="0"/>
        <v>1</v>
      </c>
      <c r="L52">
        <f t="shared" si="1"/>
        <v>88.264508210992204</v>
      </c>
      <c r="M52">
        <f t="shared" si="2"/>
        <v>353.05803284396882</v>
      </c>
      <c r="N52">
        <f t="shared" si="3"/>
        <v>431.43691613532991</v>
      </c>
    </row>
    <row r="53" spans="1:14" x14ac:dyDescent="0.35">
      <c r="A53" t="s">
        <v>49</v>
      </c>
      <c r="B53">
        <v>6</v>
      </c>
      <c r="C53" t="s">
        <v>50</v>
      </c>
      <c r="D53">
        <v>51</v>
      </c>
      <c r="E53">
        <v>83.887748999999999</v>
      </c>
      <c r="F53">
        <v>5.06998205410971</v>
      </c>
      <c r="G53" t="s">
        <v>49</v>
      </c>
      <c r="H53">
        <v>6</v>
      </c>
      <c r="I53">
        <v>51</v>
      </c>
      <c r="J53">
        <v>2.57780009156654</v>
      </c>
      <c r="K53" t="b">
        <f t="shared" si="0"/>
        <v>1</v>
      </c>
      <c r="L53">
        <f t="shared" si="1"/>
        <v>91.535531145676259</v>
      </c>
      <c r="M53">
        <f t="shared" si="2"/>
        <v>366.14212458270504</v>
      </c>
      <c r="N53">
        <f t="shared" si="3"/>
        <v>447.42567624006557</v>
      </c>
    </row>
    <row r="54" spans="1:14" x14ac:dyDescent="0.35">
      <c r="A54" t="s">
        <v>49</v>
      </c>
      <c r="B54">
        <v>6</v>
      </c>
      <c r="C54" t="s">
        <v>50</v>
      </c>
      <c r="D54">
        <v>52</v>
      </c>
      <c r="E54">
        <v>86.768351999999993</v>
      </c>
      <c r="F54">
        <v>5.3686038788864199</v>
      </c>
      <c r="G54" t="s">
        <v>49</v>
      </c>
      <c r="H54">
        <v>6</v>
      </c>
      <c r="I54">
        <v>52</v>
      </c>
      <c r="J54">
        <v>2.6752763065214</v>
      </c>
      <c r="K54" t="b">
        <f t="shared" si="0"/>
        <v>1</v>
      </c>
      <c r="L54">
        <f t="shared" si="1"/>
        <v>94.812232185407808</v>
      </c>
      <c r="M54">
        <f t="shared" si="2"/>
        <v>379.24892874163123</v>
      </c>
      <c r="N54">
        <f t="shared" si="3"/>
        <v>463.44219092227337</v>
      </c>
    </row>
    <row r="55" spans="1:14" x14ac:dyDescent="0.35">
      <c r="A55" t="s">
        <v>49</v>
      </c>
      <c r="B55">
        <v>6</v>
      </c>
      <c r="C55" t="s">
        <v>50</v>
      </c>
      <c r="D55">
        <v>53</v>
      </c>
      <c r="E55">
        <v>89.648955000000001</v>
      </c>
      <c r="F55">
        <v>5.67323044351983</v>
      </c>
      <c r="G55" t="s">
        <v>49</v>
      </c>
      <c r="H55">
        <v>6</v>
      </c>
      <c r="I55">
        <v>53</v>
      </c>
      <c r="J55">
        <v>2.7724114238972102</v>
      </c>
      <c r="K55" t="b">
        <f t="shared" si="0"/>
        <v>1</v>
      </c>
      <c r="L55">
        <f t="shared" si="1"/>
        <v>98.094596867417039</v>
      </c>
      <c r="M55">
        <f t="shared" si="2"/>
        <v>392.37838746966816</v>
      </c>
      <c r="N55">
        <f t="shared" si="3"/>
        <v>479.4863894879345</v>
      </c>
    </row>
    <row r="56" spans="1:14" x14ac:dyDescent="0.35">
      <c r="A56" t="s">
        <v>49</v>
      </c>
      <c r="B56">
        <v>6</v>
      </c>
      <c r="C56" t="s">
        <v>50</v>
      </c>
      <c r="D56">
        <v>54</v>
      </c>
      <c r="E56">
        <v>92.215530000000001</v>
      </c>
      <c r="F56">
        <v>5.9820503762142296</v>
      </c>
      <c r="G56" t="s">
        <v>49</v>
      </c>
      <c r="H56">
        <v>6</v>
      </c>
      <c r="I56">
        <v>54</v>
      </c>
      <c r="J56">
        <v>2.8657612919412601</v>
      </c>
      <c r="K56" t="b">
        <f t="shared" si="0"/>
        <v>1</v>
      </c>
      <c r="L56">
        <f t="shared" si="1"/>
        <v>101.06334166815549</v>
      </c>
      <c r="M56">
        <f t="shared" si="2"/>
        <v>404.25336667262195</v>
      </c>
      <c r="N56">
        <f t="shared" si="3"/>
        <v>493.99761407394402</v>
      </c>
    </row>
    <row r="57" spans="1:14" x14ac:dyDescent="0.35">
      <c r="A57" t="s">
        <v>49</v>
      </c>
      <c r="B57">
        <v>6</v>
      </c>
      <c r="C57" t="s">
        <v>50</v>
      </c>
      <c r="D57">
        <v>55</v>
      </c>
      <c r="E57">
        <v>94.782105000000001</v>
      </c>
      <c r="F57">
        <v>6.2949378759277996</v>
      </c>
      <c r="G57" t="s">
        <v>49</v>
      </c>
      <c r="H57">
        <v>6</v>
      </c>
      <c r="I57">
        <v>55</v>
      </c>
      <c r="J57">
        <v>2.9567144497714999</v>
      </c>
      <c r="K57" t="b">
        <f t="shared" si="0"/>
        <v>1</v>
      </c>
      <c r="L57">
        <f t="shared" si="1"/>
        <v>104.0337573256993</v>
      </c>
      <c r="M57">
        <f t="shared" si="2"/>
        <v>416.13502930279719</v>
      </c>
      <c r="N57">
        <f t="shared" si="3"/>
        <v>508.51700580801815</v>
      </c>
    </row>
    <row r="58" spans="1:14" x14ac:dyDescent="0.35">
      <c r="A58" t="s">
        <v>49</v>
      </c>
      <c r="B58">
        <v>6</v>
      </c>
      <c r="C58" t="s">
        <v>50</v>
      </c>
      <c r="D58">
        <v>56</v>
      </c>
      <c r="E58">
        <v>97.348680000000002</v>
      </c>
      <c r="F58">
        <v>6.61177091564997</v>
      </c>
      <c r="G58" t="s">
        <v>49</v>
      </c>
      <c r="H58">
        <v>6</v>
      </c>
      <c r="I58">
        <v>56</v>
      </c>
      <c r="J58">
        <v>3.0461139862122399</v>
      </c>
      <c r="K58" t="b">
        <f t="shared" si="0"/>
        <v>1</v>
      </c>
      <c r="L58">
        <f t="shared" si="1"/>
        <v>107.00656490186221</v>
      </c>
      <c r="M58">
        <f t="shared" si="2"/>
        <v>428.02625960744882</v>
      </c>
      <c r="N58">
        <f t="shared" si="3"/>
        <v>523.04808924030249</v>
      </c>
    </row>
    <row r="59" spans="1:14" x14ac:dyDescent="0.35">
      <c r="A59" t="s">
        <v>49</v>
      </c>
      <c r="B59">
        <v>6</v>
      </c>
      <c r="C59" t="s">
        <v>50</v>
      </c>
      <c r="D59">
        <v>57</v>
      </c>
      <c r="E59">
        <v>99.915255000000002</v>
      </c>
      <c r="F59">
        <v>6.9324311291804701</v>
      </c>
      <c r="G59" t="s">
        <v>49</v>
      </c>
      <c r="H59">
        <v>6</v>
      </c>
      <c r="I59">
        <v>57</v>
      </c>
      <c r="J59">
        <v>3.13448115174335</v>
      </c>
      <c r="K59" t="b">
        <f t="shared" si="0"/>
        <v>1</v>
      </c>
      <c r="L59">
        <f t="shared" si="1"/>
        <v>109.98216728092382</v>
      </c>
      <c r="M59">
        <f t="shared" si="2"/>
        <v>439.92866912369527</v>
      </c>
      <c r="N59">
        <f t="shared" si="3"/>
        <v>537.59283366915565</v>
      </c>
    </row>
    <row r="60" spans="1:14" x14ac:dyDescent="0.35">
      <c r="A60" t="s">
        <v>49</v>
      </c>
      <c r="B60">
        <v>6</v>
      </c>
      <c r="C60" t="s">
        <v>50</v>
      </c>
      <c r="D60">
        <v>58</v>
      </c>
      <c r="E60">
        <v>102.48183</v>
      </c>
      <c r="F60">
        <v>7.2568037013050599</v>
      </c>
      <c r="G60" t="s">
        <v>49</v>
      </c>
      <c r="H60">
        <v>6</v>
      </c>
      <c r="I60">
        <v>58</v>
      </c>
      <c r="J60">
        <v>3.2221450387519899</v>
      </c>
      <c r="K60" t="b">
        <f t="shared" si="0"/>
        <v>1</v>
      </c>
      <c r="L60">
        <f t="shared" si="1"/>
        <v>112.96077874005705</v>
      </c>
      <c r="M60">
        <f t="shared" si="2"/>
        <v>451.84311496022821</v>
      </c>
      <c r="N60">
        <f t="shared" si="3"/>
        <v>552.15228648139885</v>
      </c>
    </row>
    <row r="61" spans="1:14" x14ac:dyDescent="0.35">
      <c r="A61" t="s">
        <v>49</v>
      </c>
      <c r="B61">
        <v>6</v>
      </c>
      <c r="C61" t="s">
        <v>50</v>
      </c>
      <c r="D61">
        <v>59</v>
      </c>
      <c r="E61">
        <v>104.710221</v>
      </c>
      <c r="F61">
        <v>7.5830205524659</v>
      </c>
      <c r="G61" t="s">
        <v>49</v>
      </c>
      <c r="H61">
        <v>6</v>
      </c>
      <c r="I61">
        <v>59</v>
      </c>
      <c r="J61">
        <v>3.3054925915244602</v>
      </c>
      <c r="K61" t="b">
        <f t="shared" si="0"/>
        <v>1</v>
      </c>
      <c r="L61">
        <f t="shared" si="1"/>
        <v>115.59873414399036</v>
      </c>
      <c r="M61">
        <f t="shared" si="2"/>
        <v>462.39493657596142</v>
      </c>
      <c r="N61">
        <f t="shared" si="3"/>
        <v>565.04661249582489</v>
      </c>
    </row>
    <row r="62" spans="1:14" x14ac:dyDescent="0.35">
      <c r="A62" t="s">
        <v>49</v>
      </c>
      <c r="B62">
        <v>6</v>
      </c>
      <c r="C62" t="s">
        <v>50</v>
      </c>
      <c r="D62">
        <v>60</v>
      </c>
      <c r="E62">
        <v>106.938611999999</v>
      </c>
      <c r="F62">
        <v>7.9110263542919297</v>
      </c>
      <c r="G62" t="s">
        <v>49</v>
      </c>
      <c r="H62">
        <v>6</v>
      </c>
      <c r="I62">
        <v>60</v>
      </c>
      <c r="J62">
        <v>3.3860845116458198</v>
      </c>
      <c r="K62" t="b">
        <f t="shared" si="0"/>
        <v>1</v>
      </c>
      <c r="L62">
        <f t="shared" si="1"/>
        <v>118.23572286593675</v>
      </c>
      <c r="M62">
        <f t="shared" si="2"/>
        <v>472.942891463747</v>
      </c>
      <c r="N62">
        <f t="shared" si="3"/>
        <v>577.93621336869887</v>
      </c>
    </row>
    <row r="63" spans="1:14" x14ac:dyDescent="0.35">
      <c r="A63" t="s">
        <v>49</v>
      </c>
      <c r="B63">
        <v>6</v>
      </c>
      <c r="C63" t="s">
        <v>50</v>
      </c>
      <c r="D63">
        <v>61</v>
      </c>
      <c r="E63">
        <v>109.16700299999999</v>
      </c>
      <c r="F63">
        <v>8.2407674382631697</v>
      </c>
      <c r="G63" t="s">
        <v>49</v>
      </c>
      <c r="H63">
        <v>6</v>
      </c>
      <c r="I63">
        <v>61</v>
      </c>
      <c r="J63">
        <v>3.4648742874414902</v>
      </c>
      <c r="K63" t="b">
        <f t="shared" si="0"/>
        <v>1</v>
      </c>
      <c r="L63">
        <f t="shared" si="1"/>
        <v>120.87264472570465</v>
      </c>
      <c r="M63">
        <f t="shared" si="2"/>
        <v>483.49057890281858</v>
      </c>
      <c r="N63">
        <f t="shared" si="3"/>
        <v>590.82548741924427</v>
      </c>
    </row>
    <row r="64" spans="1:14" x14ac:dyDescent="0.35">
      <c r="A64" t="s">
        <v>49</v>
      </c>
      <c r="B64">
        <v>6</v>
      </c>
      <c r="C64" t="s">
        <v>50</v>
      </c>
      <c r="D64">
        <v>62</v>
      </c>
      <c r="E64">
        <v>111.395394</v>
      </c>
      <c r="F64">
        <v>8.5721917459152692</v>
      </c>
      <c r="G64" t="s">
        <v>49</v>
      </c>
      <c r="H64">
        <v>6</v>
      </c>
      <c r="I64">
        <v>62</v>
      </c>
      <c r="J64">
        <v>3.5424557075960901</v>
      </c>
      <c r="K64" t="b">
        <f t="shared" si="0"/>
        <v>1</v>
      </c>
      <c r="L64">
        <f t="shared" si="1"/>
        <v>123.51004145351136</v>
      </c>
      <c r="M64">
        <f t="shared" si="2"/>
        <v>494.04016581404545</v>
      </c>
      <c r="N64">
        <f t="shared" si="3"/>
        <v>603.71708262476352</v>
      </c>
    </row>
    <row r="65" spans="1:14" x14ac:dyDescent="0.35">
      <c r="A65" t="s">
        <v>49</v>
      </c>
      <c r="B65">
        <v>6</v>
      </c>
      <c r="C65" t="s">
        <v>50</v>
      </c>
      <c r="D65">
        <v>63</v>
      </c>
      <c r="E65">
        <v>113.54654877784201</v>
      </c>
      <c r="F65">
        <v>8.9727014946556096</v>
      </c>
      <c r="G65" t="s">
        <v>49</v>
      </c>
      <c r="H65">
        <v>6</v>
      </c>
      <c r="I65">
        <v>63</v>
      </c>
      <c r="J65">
        <v>3.61833299371555</v>
      </c>
      <c r="K65" t="b">
        <f t="shared" si="0"/>
        <v>1</v>
      </c>
      <c r="L65">
        <f t="shared" si="1"/>
        <v>126.13758326621317</v>
      </c>
      <c r="M65">
        <f t="shared" si="2"/>
        <v>504.55033306485268</v>
      </c>
      <c r="N65">
        <f t="shared" si="3"/>
        <v>616.56050700524997</v>
      </c>
    </row>
    <row r="66" spans="1:14" x14ac:dyDescent="0.35">
      <c r="A66" t="s">
        <v>49</v>
      </c>
      <c r="B66">
        <v>6</v>
      </c>
      <c r="C66" t="s">
        <v>50</v>
      </c>
      <c r="D66">
        <v>64</v>
      </c>
      <c r="E66">
        <v>115.323214927412</v>
      </c>
      <c r="F66">
        <v>9.4279675759059707</v>
      </c>
      <c r="G66" t="s">
        <v>49</v>
      </c>
      <c r="H66">
        <v>6</v>
      </c>
      <c r="I66">
        <v>64</v>
      </c>
      <c r="J66">
        <v>3.6888403970170498</v>
      </c>
      <c r="K66" t="b">
        <f t="shared" si="0"/>
        <v>1</v>
      </c>
      <c r="L66">
        <f t="shared" si="1"/>
        <v>128.44002290033501</v>
      </c>
      <c r="M66">
        <f t="shared" si="2"/>
        <v>513.76009160134004</v>
      </c>
      <c r="N66">
        <f t="shared" si="3"/>
        <v>627.81483193683755</v>
      </c>
    </row>
    <row r="67" spans="1:14" x14ac:dyDescent="0.35">
      <c r="A67" t="s">
        <v>49</v>
      </c>
      <c r="B67">
        <v>6</v>
      </c>
      <c r="C67" t="s">
        <v>50</v>
      </c>
      <c r="D67">
        <v>65</v>
      </c>
      <c r="E67">
        <v>117.05902462389901</v>
      </c>
      <c r="F67">
        <v>9.9128933691532399</v>
      </c>
      <c r="G67" t="s">
        <v>49</v>
      </c>
      <c r="H67">
        <v>6</v>
      </c>
      <c r="I67">
        <v>65</v>
      </c>
      <c r="J67">
        <v>3.7554485896634602</v>
      </c>
      <c r="K67" t="b">
        <f t="shared" ref="K67:K130" si="4">H67=B67</f>
        <v>1</v>
      </c>
      <c r="L67">
        <f t="shared" ref="L67:L130" si="5">E67+F67+J67</f>
        <v>130.72736658271572</v>
      </c>
      <c r="M67">
        <f t="shared" ref="M67:M130" si="6">(L67*2)*(100/50)</f>
        <v>522.90946633086287</v>
      </c>
      <c r="N67">
        <f t="shared" ref="N67:N130" si="7">M67*1.222</f>
        <v>638.99536785631437</v>
      </c>
    </row>
    <row r="68" spans="1:14" x14ac:dyDescent="0.35">
      <c r="A68" t="s">
        <v>49</v>
      </c>
      <c r="B68">
        <v>6</v>
      </c>
      <c r="C68" t="s">
        <v>50</v>
      </c>
      <c r="D68">
        <v>66</v>
      </c>
      <c r="E68">
        <v>118.768594875293</v>
      </c>
      <c r="F68">
        <v>10.413224684789199</v>
      </c>
      <c r="G68" t="s">
        <v>49</v>
      </c>
      <c r="H68">
        <v>6</v>
      </c>
      <c r="I68">
        <v>66</v>
      </c>
      <c r="J68">
        <v>3.8192154314906999</v>
      </c>
      <c r="K68" t="b">
        <f t="shared" si="4"/>
        <v>1</v>
      </c>
      <c r="L68">
        <f t="shared" si="5"/>
        <v>133.00103499157291</v>
      </c>
      <c r="M68">
        <f t="shared" si="6"/>
        <v>532.00413996629163</v>
      </c>
      <c r="N68">
        <f t="shared" si="7"/>
        <v>650.10905903880837</v>
      </c>
    </row>
    <row r="69" spans="1:14" x14ac:dyDescent="0.35">
      <c r="A69" t="s">
        <v>49</v>
      </c>
      <c r="B69">
        <v>6</v>
      </c>
      <c r="C69" t="s">
        <v>50</v>
      </c>
      <c r="D69">
        <v>67</v>
      </c>
      <c r="E69">
        <v>120.460295580291</v>
      </c>
      <c r="F69">
        <v>10.920851989760401</v>
      </c>
      <c r="G69" t="s">
        <v>49</v>
      </c>
      <c r="H69">
        <v>6</v>
      </c>
      <c r="I69">
        <v>67</v>
      </c>
      <c r="J69">
        <v>3.8808910653519102</v>
      </c>
      <c r="K69" t="b">
        <f t="shared" si="4"/>
        <v>1</v>
      </c>
      <c r="L69">
        <f t="shared" si="5"/>
        <v>135.26203863540331</v>
      </c>
      <c r="M69">
        <f t="shared" si="6"/>
        <v>541.04815454161326</v>
      </c>
      <c r="N69">
        <f t="shared" si="7"/>
        <v>661.1608448498514</v>
      </c>
    </row>
    <row r="70" spans="1:14" x14ac:dyDescent="0.35">
      <c r="A70" t="s">
        <v>49</v>
      </c>
      <c r="B70">
        <v>6</v>
      </c>
      <c r="C70" t="s">
        <v>50</v>
      </c>
      <c r="D70">
        <v>68</v>
      </c>
      <c r="E70">
        <v>122.138924951044</v>
      </c>
      <c r="F70">
        <v>11.4311768966539</v>
      </c>
      <c r="G70" t="s">
        <v>49</v>
      </c>
      <c r="H70">
        <v>6</v>
      </c>
      <c r="I70">
        <v>68</v>
      </c>
      <c r="J70">
        <v>3.9410041600059</v>
      </c>
      <c r="K70" t="b">
        <f t="shared" si="4"/>
        <v>1</v>
      </c>
      <c r="L70">
        <f t="shared" si="5"/>
        <v>137.5111060077038</v>
      </c>
      <c r="M70">
        <f t="shared" si="6"/>
        <v>550.04442403081521</v>
      </c>
      <c r="N70">
        <f t="shared" si="7"/>
        <v>672.15428616565612</v>
      </c>
    </row>
    <row r="71" spans="1:14" x14ac:dyDescent="0.35">
      <c r="A71" t="s">
        <v>49</v>
      </c>
      <c r="B71">
        <v>6</v>
      </c>
      <c r="C71" t="s">
        <v>50</v>
      </c>
      <c r="D71">
        <v>69</v>
      </c>
      <c r="E71">
        <v>123.552236204183</v>
      </c>
      <c r="F71">
        <v>11.9149540568402</v>
      </c>
      <c r="G71" t="s">
        <v>49</v>
      </c>
      <c r="H71">
        <v>6</v>
      </c>
      <c r="I71">
        <v>69</v>
      </c>
      <c r="J71">
        <v>3.9970424063482901</v>
      </c>
      <c r="K71" t="b">
        <f t="shared" si="4"/>
        <v>1</v>
      </c>
      <c r="L71">
        <f t="shared" si="5"/>
        <v>139.4642326673715</v>
      </c>
      <c r="M71">
        <f t="shared" si="6"/>
        <v>557.85693066948602</v>
      </c>
      <c r="N71">
        <f t="shared" si="7"/>
        <v>681.70116927811193</v>
      </c>
    </row>
    <row r="72" spans="1:14" x14ac:dyDescent="0.35">
      <c r="A72" t="s">
        <v>49</v>
      </c>
      <c r="B72">
        <v>6</v>
      </c>
      <c r="C72" t="s">
        <v>50</v>
      </c>
      <c r="D72">
        <v>70</v>
      </c>
      <c r="E72">
        <v>124.974507195694</v>
      </c>
      <c r="F72">
        <v>12.3817451511078</v>
      </c>
      <c r="G72" t="s">
        <v>49</v>
      </c>
      <c r="H72">
        <v>6</v>
      </c>
      <c r="I72">
        <v>70</v>
      </c>
      <c r="J72">
        <v>4.0505398292813402</v>
      </c>
      <c r="K72" t="b">
        <f t="shared" si="4"/>
        <v>1</v>
      </c>
      <c r="L72">
        <f t="shared" si="5"/>
        <v>141.40679217608314</v>
      </c>
      <c r="M72">
        <f t="shared" si="6"/>
        <v>565.62716870433258</v>
      </c>
      <c r="N72">
        <f t="shared" si="7"/>
        <v>691.19640015669438</v>
      </c>
    </row>
    <row r="73" spans="1:14" x14ac:dyDescent="0.35">
      <c r="A73" t="s">
        <v>49</v>
      </c>
      <c r="B73">
        <v>6</v>
      </c>
      <c r="C73" t="s">
        <v>50</v>
      </c>
      <c r="D73">
        <v>71</v>
      </c>
      <c r="E73">
        <v>126.40020699163701</v>
      </c>
      <c r="F73">
        <v>12.8371362358399</v>
      </c>
      <c r="G73" t="s">
        <v>49</v>
      </c>
      <c r="H73">
        <v>6</v>
      </c>
      <c r="I73">
        <v>71</v>
      </c>
      <c r="J73">
        <v>4.1023835649731</v>
      </c>
      <c r="K73" t="b">
        <f t="shared" si="4"/>
        <v>1</v>
      </c>
      <c r="L73">
        <f t="shared" si="5"/>
        <v>143.33972679245002</v>
      </c>
      <c r="M73">
        <f t="shared" si="6"/>
        <v>573.35890716980009</v>
      </c>
      <c r="N73">
        <f t="shared" si="7"/>
        <v>700.64458456149566</v>
      </c>
    </row>
    <row r="74" spans="1:14" x14ac:dyDescent="0.35">
      <c r="A74" t="s">
        <v>49</v>
      </c>
      <c r="B74">
        <v>6</v>
      </c>
      <c r="C74" t="s">
        <v>50</v>
      </c>
      <c r="D74">
        <v>72</v>
      </c>
      <c r="E74">
        <v>127.826137295188</v>
      </c>
      <c r="F74">
        <v>13.284407137404401</v>
      </c>
      <c r="G74" t="s">
        <v>49</v>
      </c>
      <c r="H74">
        <v>6</v>
      </c>
      <c r="I74">
        <v>72</v>
      </c>
      <c r="J74">
        <v>4.1530985964889302</v>
      </c>
      <c r="K74" t="b">
        <f t="shared" si="4"/>
        <v>1</v>
      </c>
      <c r="L74">
        <f t="shared" si="5"/>
        <v>145.26364302908132</v>
      </c>
      <c r="M74">
        <f t="shared" si="6"/>
        <v>581.05457211632529</v>
      </c>
      <c r="N74">
        <f t="shared" si="7"/>
        <v>710.0486871261495</v>
      </c>
    </row>
    <row r="75" spans="1:14" x14ac:dyDescent="0.35">
      <c r="A75" t="s">
        <v>49</v>
      </c>
      <c r="B75">
        <v>6</v>
      </c>
      <c r="C75" t="s">
        <v>50</v>
      </c>
      <c r="D75">
        <v>73</v>
      </c>
      <c r="E75">
        <v>129.250447309788</v>
      </c>
      <c r="F75">
        <v>13.725503225430799</v>
      </c>
      <c r="G75" t="s">
        <v>49</v>
      </c>
      <c r="H75">
        <v>6</v>
      </c>
      <c r="I75">
        <v>73</v>
      </c>
      <c r="J75">
        <v>4.2030046158305998</v>
      </c>
      <c r="K75" t="b">
        <f t="shared" si="4"/>
        <v>1</v>
      </c>
      <c r="L75">
        <f t="shared" si="5"/>
        <v>147.17895515104939</v>
      </c>
      <c r="M75">
        <f t="shared" si="6"/>
        <v>588.71582060419757</v>
      </c>
      <c r="N75">
        <f t="shared" si="7"/>
        <v>719.41073277832947</v>
      </c>
    </row>
    <row r="76" spans="1:14" x14ac:dyDescent="0.35">
      <c r="A76" t="s">
        <v>49</v>
      </c>
      <c r="B76">
        <v>6</v>
      </c>
      <c r="C76" t="s">
        <v>50</v>
      </c>
      <c r="D76">
        <v>74</v>
      </c>
      <c r="E76">
        <v>130.489025242998</v>
      </c>
      <c r="F76">
        <v>14.1410667535246</v>
      </c>
      <c r="G76" t="s">
        <v>49</v>
      </c>
      <c r="H76">
        <v>6</v>
      </c>
      <c r="I76">
        <v>74</v>
      </c>
      <c r="J76">
        <v>4.2502322483101702</v>
      </c>
      <c r="K76" t="b">
        <f t="shared" si="4"/>
        <v>1</v>
      </c>
      <c r="L76">
        <f t="shared" si="5"/>
        <v>148.88032424483276</v>
      </c>
      <c r="M76">
        <f t="shared" si="6"/>
        <v>595.52129697933105</v>
      </c>
      <c r="N76">
        <f t="shared" si="7"/>
        <v>727.72702490874258</v>
      </c>
    </row>
    <row r="77" spans="1:14" x14ac:dyDescent="0.35">
      <c r="A77" t="s">
        <v>49</v>
      </c>
      <c r="B77">
        <v>6</v>
      </c>
      <c r="C77" t="s">
        <v>50</v>
      </c>
      <c r="D77">
        <v>75</v>
      </c>
      <c r="E77">
        <v>131.737704345125</v>
      </c>
      <c r="F77">
        <v>14.5405532824809</v>
      </c>
      <c r="G77" t="s">
        <v>49</v>
      </c>
      <c r="H77">
        <v>6</v>
      </c>
      <c r="I77">
        <v>75</v>
      </c>
      <c r="J77">
        <v>4.2958330885532403</v>
      </c>
      <c r="K77" t="b">
        <f t="shared" si="4"/>
        <v>1</v>
      </c>
      <c r="L77">
        <f t="shared" si="5"/>
        <v>150.57409071615916</v>
      </c>
      <c r="M77">
        <f t="shared" si="6"/>
        <v>602.29636286463665</v>
      </c>
      <c r="N77">
        <f t="shared" si="7"/>
        <v>736.00615542058597</v>
      </c>
    </row>
    <row r="78" spans="1:14" x14ac:dyDescent="0.35">
      <c r="A78" t="s">
        <v>49</v>
      </c>
      <c r="B78">
        <v>6</v>
      </c>
      <c r="C78" t="s">
        <v>50</v>
      </c>
      <c r="D78">
        <v>76</v>
      </c>
      <c r="E78">
        <v>132.99102196762499</v>
      </c>
      <c r="F78">
        <v>14.9294431456415</v>
      </c>
      <c r="G78" t="s">
        <v>49</v>
      </c>
      <c r="H78">
        <v>6</v>
      </c>
      <c r="I78">
        <v>76</v>
      </c>
      <c r="J78">
        <v>4.3403980234707902</v>
      </c>
      <c r="K78" t="b">
        <f t="shared" si="4"/>
        <v>1</v>
      </c>
      <c r="L78">
        <f t="shared" si="5"/>
        <v>152.26086313673727</v>
      </c>
      <c r="M78">
        <f t="shared" si="6"/>
        <v>609.04345254694908</v>
      </c>
      <c r="N78">
        <f t="shared" si="7"/>
        <v>744.25109901237181</v>
      </c>
    </row>
    <row r="79" spans="1:14" x14ac:dyDescent="0.35">
      <c r="A79" t="s">
        <v>49</v>
      </c>
      <c r="B79">
        <v>6</v>
      </c>
      <c r="C79" t="s">
        <v>50</v>
      </c>
      <c r="D79">
        <v>77</v>
      </c>
      <c r="E79">
        <v>134.24583777292801</v>
      </c>
      <c r="F79">
        <v>15.3109249915109</v>
      </c>
      <c r="G79" t="s">
        <v>49</v>
      </c>
      <c r="H79">
        <v>6</v>
      </c>
      <c r="I79">
        <v>77</v>
      </c>
      <c r="J79">
        <v>4.3842665463217196</v>
      </c>
      <c r="K79" t="b">
        <f t="shared" si="4"/>
        <v>1</v>
      </c>
      <c r="L79">
        <f t="shared" si="5"/>
        <v>153.94102931076063</v>
      </c>
      <c r="M79">
        <f t="shared" si="6"/>
        <v>615.76411724304251</v>
      </c>
      <c r="N79">
        <f t="shared" si="7"/>
        <v>752.46375127099793</v>
      </c>
    </row>
    <row r="80" spans="1:14" x14ac:dyDescent="0.35">
      <c r="A80" t="s">
        <v>49</v>
      </c>
      <c r="B80">
        <v>6</v>
      </c>
      <c r="C80" t="s">
        <v>50</v>
      </c>
      <c r="D80">
        <v>78</v>
      </c>
      <c r="E80">
        <v>135.50034617846799</v>
      </c>
      <c r="F80">
        <v>15.686868963409699</v>
      </c>
      <c r="G80" t="s">
        <v>49</v>
      </c>
      <c r="H80">
        <v>6</v>
      </c>
      <c r="I80">
        <v>78</v>
      </c>
      <c r="J80">
        <v>4.4276396093707797</v>
      </c>
      <c r="K80" t="b">
        <f t="shared" si="4"/>
        <v>1</v>
      </c>
      <c r="L80">
        <f t="shared" si="5"/>
        <v>155.61485475124846</v>
      </c>
      <c r="M80">
        <f t="shared" si="6"/>
        <v>622.45941900499383</v>
      </c>
      <c r="N80">
        <f t="shared" si="7"/>
        <v>760.64541002410249</v>
      </c>
    </row>
    <row r="81" spans="1:14" x14ac:dyDescent="0.35">
      <c r="A81" t="s">
        <v>49</v>
      </c>
      <c r="B81">
        <v>6</v>
      </c>
      <c r="C81" t="s">
        <v>50</v>
      </c>
      <c r="D81">
        <v>79</v>
      </c>
      <c r="E81">
        <v>136.61498038373301</v>
      </c>
      <c r="F81">
        <v>16.103023678628599</v>
      </c>
      <c r="G81" t="s">
        <v>49</v>
      </c>
      <c r="H81">
        <v>6</v>
      </c>
      <c r="I81">
        <v>79</v>
      </c>
      <c r="J81">
        <v>4.4690735111222901</v>
      </c>
      <c r="K81" t="b">
        <f t="shared" si="4"/>
        <v>1</v>
      </c>
      <c r="L81">
        <f t="shared" si="5"/>
        <v>157.18707757348392</v>
      </c>
      <c r="M81">
        <f t="shared" si="6"/>
        <v>628.74831029393567</v>
      </c>
      <c r="N81">
        <f t="shared" si="7"/>
        <v>768.33043517918941</v>
      </c>
    </row>
    <row r="82" spans="1:14" x14ac:dyDescent="0.35">
      <c r="A82" t="s">
        <v>49</v>
      </c>
      <c r="B82">
        <v>6</v>
      </c>
      <c r="C82" t="s">
        <v>50</v>
      </c>
      <c r="D82">
        <v>80</v>
      </c>
      <c r="E82">
        <v>137.71507365632601</v>
      </c>
      <c r="F82">
        <v>16.4927193398774</v>
      </c>
      <c r="G82" t="s">
        <v>49</v>
      </c>
      <c r="H82">
        <v>6</v>
      </c>
      <c r="I82">
        <v>80</v>
      </c>
      <c r="J82">
        <v>4.5090863474864298</v>
      </c>
      <c r="K82" t="b">
        <f t="shared" si="4"/>
        <v>1</v>
      </c>
      <c r="L82">
        <f t="shared" si="5"/>
        <v>158.71687934368984</v>
      </c>
      <c r="M82">
        <f t="shared" si="6"/>
        <v>634.86751737475936</v>
      </c>
      <c r="N82">
        <f t="shared" si="7"/>
        <v>775.80810623195589</v>
      </c>
    </row>
    <row r="83" spans="1:14" x14ac:dyDescent="0.35">
      <c r="A83" t="s">
        <v>49</v>
      </c>
      <c r="B83">
        <v>6</v>
      </c>
      <c r="C83" t="s">
        <v>50</v>
      </c>
      <c r="D83">
        <v>81</v>
      </c>
      <c r="E83">
        <v>138.79435953291099</v>
      </c>
      <c r="F83">
        <v>16.863269388465</v>
      </c>
      <c r="G83" t="s">
        <v>49</v>
      </c>
      <c r="H83">
        <v>6</v>
      </c>
      <c r="I83">
        <v>81</v>
      </c>
      <c r="J83">
        <v>4.5479256810884001</v>
      </c>
      <c r="K83" t="b">
        <f t="shared" si="4"/>
        <v>1</v>
      </c>
      <c r="L83">
        <f t="shared" si="5"/>
        <v>160.20555460246439</v>
      </c>
      <c r="M83">
        <f t="shared" si="6"/>
        <v>640.82221840985756</v>
      </c>
      <c r="N83">
        <f t="shared" si="7"/>
        <v>783.08475089684589</v>
      </c>
    </row>
    <row r="84" spans="1:14" x14ac:dyDescent="0.35">
      <c r="A84" t="s">
        <v>49</v>
      </c>
      <c r="B84">
        <v>6</v>
      </c>
      <c r="C84" t="s">
        <v>50</v>
      </c>
      <c r="D84">
        <v>82</v>
      </c>
      <c r="E84">
        <v>139.849606331883</v>
      </c>
      <c r="F84">
        <v>17.218966553698099</v>
      </c>
      <c r="G84" t="s">
        <v>49</v>
      </c>
      <c r="H84">
        <v>6</v>
      </c>
      <c r="I84">
        <v>82</v>
      </c>
      <c r="J84">
        <v>4.5857100899074403</v>
      </c>
      <c r="K84" t="b">
        <f t="shared" si="4"/>
        <v>1</v>
      </c>
      <c r="L84">
        <f t="shared" si="5"/>
        <v>161.65428297548854</v>
      </c>
      <c r="M84">
        <f t="shared" si="6"/>
        <v>646.61713190195417</v>
      </c>
      <c r="N84">
        <f t="shared" si="7"/>
        <v>790.16613518418797</v>
      </c>
    </row>
    <row r="85" spans="1:14" x14ac:dyDescent="0.35">
      <c r="A85" t="s">
        <v>49</v>
      </c>
      <c r="B85">
        <v>6</v>
      </c>
      <c r="C85" t="s">
        <v>50</v>
      </c>
      <c r="D85">
        <v>83</v>
      </c>
      <c r="E85">
        <v>140.879314334518</v>
      </c>
      <c r="F85">
        <v>17.562367169322101</v>
      </c>
      <c r="G85" t="s">
        <v>49</v>
      </c>
      <c r="H85">
        <v>6</v>
      </c>
      <c r="I85">
        <v>83</v>
      </c>
      <c r="J85">
        <v>4.6224990529586698</v>
      </c>
      <c r="K85" t="b">
        <f t="shared" si="4"/>
        <v>1</v>
      </c>
      <c r="L85">
        <f t="shared" si="5"/>
        <v>163.06418055679876</v>
      </c>
      <c r="M85">
        <f t="shared" si="6"/>
        <v>652.25672222719504</v>
      </c>
      <c r="N85">
        <f t="shared" si="7"/>
        <v>797.05771456163234</v>
      </c>
    </row>
    <row r="86" spans="1:14" x14ac:dyDescent="0.35">
      <c r="A86" t="s">
        <v>49</v>
      </c>
      <c r="B86">
        <v>6</v>
      </c>
      <c r="C86" t="s">
        <v>50</v>
      </c>
      <c r="D86">
        <v>84</v>
      </c>
      <c r="E86">
        <v>141.88296543099801</v>
      </c>
      <c r="F86">
        <v>17.895030916518301</v>
      </c>
      <c r="G86" t="s">
        <v>49</v>
      </c>
      <c r="H86">
        <v>6</v>
      </c>
      <c r="I86">
        <v>84</v>
      </c>
      <c r="J86">
        <v>4.6583265488604599</v>
      </c>
      <c r="K86" t="b">
        <f t="shared" si="4"/>
        <v>1</v>
      </c>
      <c r="L86">
        <f t="shared" si="5"/>
        <v>164.43632289637677</v>
      </c>
      <c r="M86">
        <f t="shared" si="6"/>
        <v>657.74529158550706</v>
      </c>
      <c r="N86">
        <f t="shared" si="7"/>
        <v>803.76474631748965</v>
      </c>
    </row>
    <row r="87" spans="1:14" x14ac:dyDescent="0.35">
      <c r="A87" t="s">
        <v>49</v>
      </c>
      <c r="B87">
        <v>6</v>
      </c>
      <c r="C87" t="s">
        <v>50</v>
      </c>
      <c r="D87">
        <v>85</v>
      </c>
      <c r="E87">
        <v>142.86059246496399</v>
      </c>
      <c r="F87">
        <v>18.217945594053901</v>
      </c>
      <c r="G87" t="s">
        <v>49</v>
      </c>
      <c r="H87">
        <v>6</v>
      </c>
      <c r="I87">
        <v>85</v>
      </c>
      <c r="J87">
        <v>4.6932166141768397</v>
      </c>
      <c r="K87" t="b">
        <f t="shared" si="4"/>
        <v>1</v>
      </c>
      <c r="L87">
        <f t="shared" si="5"/>
        <v>165.77175467319472</v>
      </c>
      <c r="M87">
        <f t="shared" si="6"/>
        <v>663.08701869277888</v>
      </c>
      <c r="N87">
        <f t="shared" si="7"/>
        <v>810.29233684257576</v>
      </c>
    </row>
    <row r="88" spans="1:14" x14ac:dyDescent="0.35">
      <c r="A88" t="s">
        <v>49</v>
      </c>
      <c r="B88">
        <v>6</v>
      </c>
      <c r="C88" t="s">
        <v>50</v>
      </c>
      <c r="D88">
        <v>86</v>
      </c>
      <c r="E88">
        <v>143.81253272212001</v>
      </c>
      <c r="F88">
        <v>18.531770522776998</v>
      </c>
      <c r="G88" t="s">
        <v>49</v>
      </c>
      <c r="H88">
        <v>6</v>
      </c>
      <c r="I88">
        <v>86</v>
      </c>
      <c r="J88">
        <v>4.7271901440283202</v>
      </c>
      <c r="K88" t="b">
        <f t="shared" si="4"/>
        <v>1</v>
      </c>
      <c r="L88">
        <f t="shared" si="5"/>
        <v>167.07149338892535</v>
      </c>
      <c r="M88">
        <f t="shared" si="6"/>
        <v>668.28597355570139</v>
      </c>
      <c r="N88">
        <f t="shared" si="7"/>
        <v>816.64545968506707</v>
      </c>
    </row>
    <row r="89" spans="1:14" x14ac:dyDescent="0.35">
      <c r="A89" t="s">
        <v>49</v>
      </c>
      <c r="B89">
        <v>6</v>
      </c>
      <c r="C89" t="s">
        <v>50</v>
      </c>
      <c r="D89">
        <v>87</v>
      </c>
      <c r="E89">
        <v>144.73928718161</v>
      </c>
      <c r="F89">
        <v>18.836975803568802</v>
      </c>
      <c r="G89" t="s">
        <v>49</v>
      </c>
      <c r="H89">
        <v>6</v>
      </c>
      <c r="I89">
        <v>87</v>
      </c>
      <c r="J89">
        <v>4.7602675789580697</v>
      </c>
      <c r="K89" t="b">
        <f t="shared" si="4"/>
        <v>1</v>
      </c>
      <c r="L89">
        <f t="shared" si="5"/>
        <v>168.33653056413686</v>
      </c>
      <c r="M89">
        <f t="shared" si="6"/>
        <v>673.34612225654746</v>
      </c>
      <c r="N89">
        <f t="shared" si="7"/>
        <v>822.82896139750096</v>
      </c>
    </row>
    <row r="90" spans="1:14" x14ac:dyDescent="0.35">
      <c r="A90" t="s">
        <v>49</v>
      </c>
      <c r="B90">
        <v>6</v>
      </c>
      <c r="C90" t="s">
        <v>50</v>
      </c>
      <c r="D90">
        <v>88</v>
      </c>
      <c r="E90">
        <v>145.64144039520301</v>
      </c>
      <c r="F90">
        <v>19.133921880796699</v>
      </c>
      <c r="G90" t="s">
        <v>49</v>
      </c>
      <c r="H90">
        <v>6</v>
      </c>
      <c r="I90">
        <v>88</v>
      </c>
      <c r="J90">
        <v>4.7924697522980004</v>
      </c>
      <c r="K90" t="b">
        <f t="shared" si="4"/>
        <v>1</v>
      </c>
      <c r="L90">
        <f t="shared" si="5"/>
        <v>169.56783202829769</v>
      </c>
      <c r="M90">
        <f t="shared" si="6"/>
        <v>678.27132811319075</v>
      </c>
      <c r="N90">
        <f t="shared" si="7"/>
        <v>828.84756295431907</v>
      </c>
    </row>
    <row r="91" spans="1:14" x14ac:dyDescent="0.35">
      <c r="A91" t="s">
        <v>49</v>
      </c>
      <c r="B91">
        <v>6</v>
      </c>
      <c r="C91" t="s">
        <v>50</v>
      </c>
      <c r="D91">
        <v>89</v>
      </c>
      <c r="E91">
        <v>146.519615070079</v>
      </c>
      <c r="F91">
        <v>19.4229049374886</v>
      </c>
      <c r="G91" t="s">
        <v>49</v>
      </c>
      <c r="H91">
        <v>6</v>
      </c>
      <c r="I91">
        <v>89</v>
      </c>
      <c r="J91">
        <v>4.8238179799650496</v>
      </c>
      <c r="K91" t="b">
        <f t="shared" si="4"/>
        <v>1</v>
      </c>
      <c r="L91">
        <f t="shared" si="5"/>
        <v>170.76633798753264</v>
      </c>
      <c r="M91">
        <f t="shared" si="6"/>
        <v>683.06535195013055</v>
      </c>
      <c r="N91">
        <f t="shared" si="7"/>
        <v>834.70586008305952</v>
      </c>
    </row>
    <row r="92" spans="1:14" x14ac:dyDescent="0.35">
      <c r="A92" t="s">
        <v>49</v>
      </c>
      <c r="B92">
        <v>6</v>
      </c>
      <c r="C92" t="s">
        <v>50</v>
      </c>
      <c r="D92">
        <v>90</v>
      </c>
      <c r="E92">
        <v>147.37444649031201</v>
      </c>
      <c r="F92">
        <v>19.704182756282901</v>
      </c>
      <c r="G92" t="s">
        <v>49</v>
      </c>
      <c r="H92">
        <v>6</v>
      </c>
      <c r="I92">
        <v>90</v>
      </c>
      <c r="J92">
        <v>4.8543338861961098</v>
      </c>
      <c r="K92" t="b">
        <f t="shared" si="4"/>
        <v>1</v>
      </c>
      <c r="L92">
        <f t="shared" si="5"/>
        <v>171.93296313279103</v>
      </c>
      <c r="M92">
        <f t="shared" si="6"/>
        <v>687.73185253116412</v>
      </c>
      <c r="N92">
        <f t="shared" si="7"/>
        <v>840.40832379308256</v>
      </c>
    </row>
    <row r="93" spans="1:14" x14ac:dyDescent="0.35">
      <c r="A93" t="s">
        <v>49</v>
      </c>
      <c r="B93">
        <v>6</v>
      </c>
      <c r="C93" t="s">
        <v>50</v>
      </c>
      <c r="D93">
        <v>91</v>
      </c>
      <c r="E93">
        <v>148.20656826388301</v>
      </c>
      <c r="F93">
        <v>19.9779894256483</v>
      </c>
      <c r="G93" t="s">
        <v>49</v>
      </c>
      <c r="H93">
        <v>6</v>
      </c>
      <c r="I93">
        <v>91</v>
      </c>
      <c r="J93">
        <v>4.8840391757145296</v>
      </c>
      <c r="K93" t="b">
        <f t="shared" si="4"/>
        <v>1</v>
      </c>
      <c r="L93">
        <f t="shared" si="5"/>
        <v>173.06859686524584</v>
      </c>
      <c r="M93">
        <f t="shared" si="6"/>
        <v>692.27438746098335</v>
      </c>
      <c r="N93">
        <f t="shared" si="7"/>
        <v>845.95930147732167</v>
      </c>
    </row>
    <row r="94" spans="1:14" x14ac:dyDescent="0.35">
      <c r="A94" t="s">
        <v>49</v>
      </c>
      <c r="B94">
        <v>6</v>
      </c>
      <c r="C94" t="s">
        <v>50</v>
      </c>
      <c r="D94">
        <v>92</v>
      </c>
      <c r="E94">
        <v>149.01660452452899</v>
      </c>
      <c r="F94">
        <v>20.2445436848007</v>
      </c>
      <c r="G94" t="s">
        <v>49</v>
      </c>
      <c r="H94">
        <v>6</v>
      </c>
      <c r="I94">
        <v>92</v>
      </c>
      <c r="J94">
        <v>4.9129554315666697</v>
      </c>
      <c r="K94" t="b">
        <f t="shared" si="4"/>
        <v>1</v>
      </c>
      <c r="L94">
        <f t="shared" si="5"/>
        <v>174.17410364089636</v>
      </c>
      <c r="M94">
        <f t="shared" si="6"/>
        <v>696.69641456358545</v>
      </c>
      <c r="N94">
        <f t="shared" si="7"/>
        <v>851.36301859670141</v>
      </c>
    </row>
    <row r="95" spans="1:14" x14ac:dyDescent="0.35">
      <c r="A95" t="s">
        <v>49</v>
      </c>
      <c r="B95">
        <v>6</v>
      </c>
      <c r="C95" t="s">
        <v>50</v>
      </c>
      <c r="D95">
        <v>93</v>
      </c>
      <c r="E95">
        <v>149.80516580407399</v>
      </c>
      <c r="F95">
        <v>20.504053646940399</v>
      </c>
      <c r="G95" t="s">
        <v>49</v>
      </c>
      <c r="H95">
        <v>6</v>
      </c>
      <c r="I95">
        <v>93</v>
      </c>
      <c r="J95">
        <v>4.9411039603044697</v>
      </c>
      <c r="K95" t="b">
        <f t="shared" si="4"/>
        <v>1</v>
      </c>
      <c r="L95">
        <f t="shared" si="5"/>
        <v>175.25032341131887</v>
      </c>
      <c r="M95">
        <f t="shared" si="6"/>
        <v>701.0012936452755</v>
      </c>
      <c r="N95">
        <f t="shared" si="7"/>
        <v>856.62358083452659</v>
      </c>
    </row>
    <row r="96" spans="1:14" x14ac:dyDescent="0.35">
      <c r="A96" t="s">
        <v>49</v>
      </c>
      <c r="B96">
        <v>6</v>
      </c>
      <c r="C96" t="s">
        <v>50</v>
      </c>
      <c r="D96">
        <v>94</v>
      </c>
      <c r="E96">
        <v>150.57284698489599</v>
      </c>
      <c r="F96">
        <v>20.756719465224101</v>
      </c>
      <c r="G96" t="s">
        <v>49</v>
      </c>
      <c r="H96">
        <v>6</v>
      </c>
      <c r="I96">
        <v>94</v>
      </c>
      <c r="J96">
        <v>4.9685056832861196</v>
      </c>
      <c r="K96" t="b">
        <f t="shared" si="4"/>
        <v>1</v>
      </c>
      <c r="L96">
        <f t="shared" si="5"/>
        <v>176.29807213340621</v>
      </c>
      <c r="M96">
        <f t="shared" si="6"/>
        <v>705.19228853362483</v>
      </c>
      <c r="N96">
        <f t="shared" si="7"/>
        <v>861.74497658808957</v>
      </c>
    </row>
    <row r="97" spans="1:14" x14ac:dyDescent="0.35">
      <c r="A97" t="s">
        <v>49</v>
      </c>
      <c r="B97">
        <v>6</v>
      </c>
      <c r="C97" t="s">
        <v>50</v>
      </c>
      <c r="D97">
        <v>95</v>
      </c>
      <c r="E97">
        <v>151.320226425036</v>
      </c>
      <c r="F97">
        <v>21.002734833924599</v>
      </c>
      <c r="G97" t="s">
        <v>49</v>
      </c>
      <c r="H97">
        <v>6</v>
      </c>
      <c r="I97">
        <v>95</v>
      </c>
      <c r="J97">
        <v>4.9951810655074302</v>
      </c>
      <c r="K97" t="b">
        <f t="shared" si="4"/>
        <v>1</v>
      </c>
      <c r="L97">
        <f t="shared" si="5"/>
        <v>177.31814232446803</v>
      </c>
      <c r="M97">
        <f t="shared" si="6"/>
        <v>709.27256929787211</v>
      </c>
      <c r="N97">
        <f t="shared" si="7"/>
        <v>866.73107968199974</v>
      </c>
    </row>
    <row r="98" spans="1:14" x14ac:dyDescent="0.35">
      <c r="A98" t="s">
        <v>49</v>
      </c>
      <c r="B98">
        <v>6</v>
      </c>
      <c r="C98" t="s">
        <v>50</v>
      </c>
      <c r="D98">
        <v>96</v>
      </c>
      <c r="E98">
        <v>152.047865738626</v>
      </c>
      <c r="F98">
        <v>21.242287833281999</v>
      </c>
      <c r="G98" t="s">
        <v>49</v>
      </c>
      <c r="H98">
        <v>6</v>
      </c>
      <c r="I98">
        <v>96</v>
      </c>
      <c r="J98">
        <v>5.0211500724636897</v>
      </c>
      <c r="K98" t="b">
        <f t="shared" si="4"/>
        <v>1</v>
      </c>
      <c r="L98">
        <f t="shared" si="5"/>
        <v>178.31130364437169</v>
      </c>
      <c r="M98">
        <f t="shared" si="6"/>
        <v>713.24521457748676</v>
      </c>
      <c r="N98">
        <f t="shared" si="7"/>
        <v>871.58565221368883</v>
      </c>
    </row>
    <row r="99" spans="1:14" x14ac:dyDescent="0.35">
      <c r="A99" t="s">
        <v>49</v>
      </c>
      <c r="B99">
        <v>6</v>
      </c>
      <c r="C99" t="s">
        <v>50</v>
      </c>
      <c r="D99">
        <v>97</v>
      </c>
      <c r="E99">
        <v>152.75630993722501</v>
      </c>
      <c r="F99">
        <v>21.4755614073256</v>
      </c>
      <c r="G99" t="s">
        <v>49</v>
      </c>
      <c r="H99">
        <v>6</v>
      </c>
      <c r="I99">
        <v>97</v>
      </c>
      <c r="J99">
        <v>5.0464321469183302</v>
      </c>
      <c r="K99" t="b">
        <f t="shared" si="4"/>
        <v>1</v>
      </c>
      <c r="L99">
        <f t="shared" si="5"/>
        <v>179.27830349146893</v>
      </c>
      <c r="M99">
        <f t="shared" si="6"/>
        <v>717.11321396587573</v>
      </c>
      <c r="N99">
        <f t="shared" si="7"/>
        <v>876.31234746630014</v>
      </c>
    </row>
    <row r="100" spans="1:14" x14ac:dyDescent="0.35">
      <c r="A100" t="s">
        <v>49</v>
      </c>
      <c r="B100">
        <v>6</v>
      </c>
      <c r="C100" t="s">
        <v>50</v>
      </c>
      <c r="D100">
        <v>98</v>
      </c>
      <c r="E100">
        <v>153.44608776479799</v>
      </c>
      <c r="F100">
        <v>21.7027336388599</v>
      </c>
      <c r="G100" t="s">
        <v>49</v>
      </c>
      <c r="H100">
        <v>6</v>
      </c>
      <c r="I100">
        <v>98</v>
      </c>
      <c r="J100">
        <v>5.0710461993409304</v>
      </c>
      <c r="K100" t="b">
        <f t="shared" si="4"/>
        <v>1</v>
      </c>
      <c r="L100">
        <f t="shared" si="5"/>
        <v>180.21986760299885</v>
      </c>
      <c r="M100">
        <f t="shared" si="6"/>
        <v>720.87947041199538</v>
      </c>
      <c r="N100">
        <f t="shared" si="7"/>
        <v>880.91471284345835</v>
      </c>
    </row>
    <row r="101" spans="1:14" x14ac:dyDescent="0.35">
      <c r="A101" t="s">
        <v>49</v>
      </c>
      <c r="B101">
        <v>6</v>
      </c>
      <c r="C101" t="s">
        <v>50</v>
      </c>
      <c r="D101">
        <v>99</v>
      </c>
      <c r="E101">
        <v>154.11771213166401</v>
      </c>
      <c r="F101">
        <v>21.923977914495801</v>
      </c>
      <c r="G101" t="s">
        <v>49</v>
      </c>
      <c r="H101">
        <v>6</v>
      </c>
      <c r="I101">
        <v>99</v>
      </c>
      <c r="J101">
        <v>5.0950106074948396</v>
      </c>
      <c r="K101" t="b">
        <f t="shared" si="4"/>
        <v>1</v>
      </c>
      <c r="L101">
        <f t="shared" si="5"/>
        <v>181.13670065365463</v>
      </c>
      <c r="M101">
        <f t="shared" si="6"/>
        <v>724.54680261461851</v>
      </c>
      <c r="N101">
        <f t="shared" si="7"/>
        <v>885.39619279506383</v>
      </c>
    </row>
    <row r="102" spans="1:14" x14ac:dyDescent="0.35">
      <c r="A102" t="s">
        <v>49</v>
      </c>
      <c r="B102">
        <v>6</v>
      </c>
      <c r="C102" t="s">
        <v>50</v>
      </c>
      <c r="D102">
        <v>100</v>
      </c>
      <c r="E102">
        <v>154.771680594044</v>
      </c>
      <c r="F102">
        <v>22.139463032003398</v>
      </c>
      <c r="G102" t="s">
        <v>49</v>
      </c>
      <c r="H102">
        <v>6</v>
      </c>
      <c r="I102">
        <v>100</v>
      </c>
      <c r="J102">
        <v>5.1183432220130003</v>
      </c>
      <c r="K102" t="b">
        <f t="shared" si="4"/>
        <v>1</v>
      </c>
      <c r="L102">
        <f t="shared" si="5"/>
        <v>182.0294868480604</v>
      </c>
      <c r="M102">
        <f t="shared" si="6"/>
        <v>728.1179473922416</v>
      </c>
      <c r="N102">
        <f t="shared" si="7"/>
        <v>889.7601317133192</v>
      </c>
    </row>
    <row r="103" spans="1:14" x14ac:dyDescent="0.35">
      <c r="A103" t="s">
        <v>49</v>
      </c>
      <c r="B103">
        <v>8</v>
      </c>
      <c r="C103" t="s">
        <v>50</v>
      </c>
      <c r="D103">
        <v>0</v>
      </c>
      <c r="E103">
        <v>0</v>
      </c>
      <c r="F103">
        <v>0</v>
      </c>
      <c r="G103" t="s">
        <v>49</v>
      </c>
      <c r="H103">
        <v>8</v>
      </c>
      <c r="I103">
        <v>0</v>
      </c>
      <c r="J103">
        <v>0</v>
      </c>
      <c r="K103" t="b">
        <f t="shared" si="4"/>
        <v>1</v>
      </c>
      <c r="L103">
        <f t="shared" si="5"/>
        <v>0</v>
      </c>
      <c r="M103">
        <f t="shared" si="6"/>
        <v>0</v>
      </c>
      <c r="N103">
        <f t="shared" si="7"/>
        <v>0</v>
      </c>
    </row>
    <row r="104" spans="1:14" x14ac:dyDescent="0.35">
      <c r="A104" t="s">
        <v>49</v>
      </c>
      <c r="B104">
        <v>8</v>
      </c>
      <c r="C104" t="s">
        <v>50</v>
      </c>
      <c r="D104">
        <v>1</v>
      </c>
      <c r="E104">
        <v>2.4571037490241001E-2</v>
      </c>
      <c r="F104" s="19">
        <v>1.2763512698482001E-4</v>
      </c>
      <c r="G104" t="s">
        <v>49</v>
      </c>
      <c r="H104">
        <v>8</v>
      </c>
      <c r="I104">
        <v>1</v>
      </c>
      <c r="J104" s="19">
        <v>2.7796082194909998E-4</v>
      </c>
      <c r="K104" t="b">
        <f t="shared" si="4"/>
        <v>1</v>
      </c>
      <c r="L104">
        <f t="shared" si="5"/>
        <v>2.497663343917492E-2</v>
      </c>
      <c r="M104">
        <f t="shared" si="6"/>
        <v>9.9906533756699681E-2</v>
      </c>
      <c r="N104">
        <f t="shared" si="7"/>
        <v>0.122085784250687</v>
      </c>
    </row>
    <row r="105" spans="1:14" x14ac:dyDescent="0.35">
      <c r="A105" t="s">
        <v>49</v>
      </c>
      <c r="B105">
        <v>8</v>
      </c>
      <c r="C105" t="s">
        <v>50</v>
      </c>
      <c r="D105">
        <v>2</v>
      </c>
      <c r="E105">
        <v>5.5284834353042302E-2</v>
      </c>
      <c r="F105" s="19">
        <v>4.1098510889114002E-4</v>
      </c>
      <c r="G105" t="s">
        <v>49</v>
      </c>
      <c r="H105">
        <v>8</v>
      </c>
      <c r="I105">
        <v>2</v>
      </c>
      <c r="J105" s="19">
        <v>8.0021290366116002E-4</v>
      </c>
      <c r="K105" t="b">
        <f t="shared" si="4"/>
        <v>1</v>
      </c>
      <c r="L105">
        <f t="shared" si="5"/>
        <v>5.6496032365594605E-2</v>
      </c>
      <c r="M105">
        <f t="shared" si="6"/>
        <v>0.22598412946237842</v>
      </c>
      <c r="N105">
        <f t="shared" si="7"/>
        <v>0.2761526062030264</v>
      </c>
    </row>
    <row r="106" spans="1:14" x14ac:dyDescent="0.35">
      <c r="A106" t="s">
        <v>49</v>
      </c>
      <c r="B106">
        <v>8</v>
      </c>
      <c r="C106" t="s">
        <v>50</v>
      </c>
      <c r="D106">
        <v>3</v>
      </c>
      <c r="E106">
        <v>9.3677080431544005E-2</v>
      </c>
      <c r="F106" s="19">
        <v>8.8526447725404995E-4</v>
      </c>
      <c r="G106" t="s">
        <v>49</v>
      </c>
      <c r="H106">
        <v>8</v>
      </c>
      <c r="I106">
        <v>3</v>
      </c>
      <c r="J106">
        <v>1.56550245656667E-3</v>
      </c>
      <c r="K106" t="b">
        <f t="shared" si="4"/>
        <v>1</v>
      </c>
      <c r="L106">
        <f t="shared" si="5"/>
        <v>9.6127847365364727E-2</v>
      </c>
      <c r="M106">
        <f t="shared" si="6"/>
        <v>0.38451138946145891</v>
      </c>
      <c r="N106">
        <f t="shared" si="7"/>
        <v>0.46987291792190278</v>
      </c>
    </row>
    <row r="107" spans="1:14" x14ac:dyDescent="0.35">
      <c r="A107" t="s">
        <v>49</v>
      </c>
      <c r="B107">
        <v>8</v>
      </c>
      <c r="C107" t="s">
        <v>50</v>
      </c>
      <c r="D107">
        <v>4</v>
      </c>
      <c r="E107">
        <v>0.14166738802967099</v>
      </c>
      <c r="F107">
        <v>1.5946028219583201E-3</v>
      </c>
      <c r="G107" t="s">
        <v>49</v>
      </c>
      <c r="H107">
        <v>8</v>
      </c>
      <c r="I107">
        <v>4</v>
      </c>
      <c r="J107">
        <v>2.5962806387924298E-3</v>
      </c>
      <c r="K107" t="b">
        <f t="shared" si="4"/>
        <v>1</v>
      </c>
      <c r="L107">
        <f t="shared" si="5"/>
        <v>0.14585827149042174</v>
      </c>
      <c r="M107">
        <f t="shared" si="6"/>
        <v>0.58343308596168697</v>
      </c>
      <c r="N107">
        <f t="shared" si="7"/>
        <v>0.71295523104518144</v>
      </c>
    </row>
    <row r="108" spans="1:14" x14ac:dyDescent="0.35">
      <c r="A108" t="s">
        <v>49</v>
      </c>
      <c r="B108">
        <v>8</v>
      </c>
      <c r="C108" t="s">
        <v>50</v>
      </c>
      <c r="D108">
        <v>5</v>
      </c>
      <c r="E108">
        <v>0.20165527252732901</v>
      </c>
      <c r="F108">
        <v>2.5942702130617602E-3</v>
      </c>
      <c r="G108" t="s">
        <v>49</v>
      </c>
      <c r="H108">
        <v>8</v>
      </c>
      <c r="I108">
        <v>5</v>
      </c>
      <c r="J108">
        <v>3.9348956766848998E-3</v>
      </c>
      <c r="K108" t="b">
        <f t="shared" si="4"/>
        <v>1</v>
      </c>
      <c r="L108">
        <f t="shared" si="5"/>
        <v>0.20818443841707568</v>
      </c>
      <c r="M108">
        <f t="shared" si="6"/>
        <v>0.83273775366830272</v>
      </c>
      <c r="N108">
        <f t="shared" si="7"/>
        <v>1.0176055349826658</v>
      </c>
    </row>
    <row r="109" spans="1:14" x14ac:dyDescent="0.35">
      <c r="A109" t="s">
        <v>49</v>
      </c>
      <c r="B109">
        <v>8</v>
      </c>
      <c r="C109" t="s">
        <v>50</v>
      </c>
      <c r="D109">
        <v>6</v>
      </c>
      <c r="E109">
        <v>0.27664012814940298</v>
      </c>
      <c r="F109">
        <v>3.9534590783574597E-3</v>
      </c>
      <c r="G109" t="s">
        <v>49</v>
      </c>
      <c r="H109">
        <v>8</v>
      </c>
      <c r="I109">
        <v>6</v>
      </c>
      <c r="J109">
        <v>5.6428959338560396E-3</v>
      </c>
      <c r="K109" t="b">
        <f t="shared" si="4"/>
        <v>1</v>
      </c>
      <c r="L109">
        <f t="shared" si="5"/>
        <v>0.28623648316161648</v>
      </c>
      <c r="M109">
        <f t="shared" si="6"/>
        <v>1.1449459326464659</v>
      </c>
      <c r="N109">
        <f t="shared" si="7"/>
        <v>1.3991239296939812</v>
      </c>
    </row>
    <row r="110" spans="1:14" x14ac:dyDescent="0.35">
      <c r="A110" t="s">
        <v>49</v>
      </c>
      <c r="B110">
        <v>8</v>
      </c>
      <c r="C110" t="s">
        <v>50</v>
      </c>
      <c r="D110">
        <v>7</v>
      </c>
      <c r="E110">
        <v>0.370371197676995</v>
      </c>
      <c r="F110">
        <v>5.7587616476010104E-3</v>
      </c>
      <c r="G110" t="s">
        <v>49</v>
      </c>
      <c r="H110">
        <v>8</v>
      </c>
      <c r="I110">
        <v>7</v>
      </c>
      <c r="J110">
        <v>7.8024982124107103E-3</v>
      </c>
      <c r="K110" t="b">
        <f t="shared" si="4"/>
        <v>1</v>
      </c>
      <c r="L110">
        <f t="shared" si="5"/>
        <v>0.38393245753700672</v>
      </c>
      <c r="M110">
        <f t="shared" si="6"/>
        <v>1.5357298301480269</v>
      </c>
      <c r="N110">
        <f t="shared" si="7"/>
        <v>1.8766618524408889</v>
      </c>
    </row>
    <row r="111" spans="1:14" x14ac:dyDescent="0.35">
      <c r="A111" t="s">
        <v>49</v>
      </c>
      <c r="B111">
        <v>8</v>
      </c>
      <c r="C111" t="s">
        <v>50</v>
      </c>
      <c r="D111">
        <v>8</v>
      </c>
      <c r="E111">
        <v>0.487535034586486</v>
      </c>
      <c r="F111">
        <v>8.1185168521506496E-3</v>
      </c>
      <c r="G111" t="s">
        <v>49</v>
      </c>
      <c r="H111">
        <v>8</v>
      </c>
      <c r="I111">
        <v>8</v>
      </c>
      <c r="J111">
        <v>1.0519776503640501E-2</v>
      </c>
      <c r="K111" t="b">
        <f t="shared" si="4"/>
        <v>1</v>
      </c>
      <c r="L111">
        <f t="shared" si="5"/>
        <v>0.50617332794227721</v>
      </c>
      <c r="M111">
        <f t="shared" si="6"/>
        <v>2.0246933117691088</v>
      </c>
      <c r="N111">
        <f t="shared" si="7"/>
        <v>2.4741752269818509</v>
      </c>
    </row>
    <row r="112" spans="1:14" x14ac:dyDescent="0.35">
      <c r="A112" t="s">
        <v>49</v>
      </c>
      <c r="B112">
        <v>8</v>
      </c>
      <c r="C112" t="s">
        <v>50</v>
      </c>
      <c r="D112">
        <v>9</v>
      </c>
      <c r="E112">
        <v>0.63398983072334703</v>
      </c>
      <c r="F112">
        <v>1.1168244041043E-2</v>
      </c>
      <c r="G112" t="s">
        <v>49</v>
      </c>
      <c r="H112">
        <v>8</v>
      </c>
      <c r="I112">
        <v>9</v>
      </c>
      <c r="J112">
        <v>1.39294356904028E-2</v>
      </c>
      <c r="K112" t="b">
        <f t="shared" si="4"/>
        <v>1</v>
      </c>
      <c r="L112">
        <f t="shared" si="5"/>
        <v>0.65908751045479286</v>
      </c>
      <c r="M112">
        <f t="shared" si="6"/>
        <v>2.6363500418191714</v>
      </c>
      <c r="N112">
        <f t="shared" si="7"/>
        <v>3.2216197511030273</v>
      </c>
    </row>
    <row r="113" spans="1:14" x14ac:dyDescent="0.35">
      <c r="A113" t="s">
        <v>49</v>
      </c>
      <c r="B113">
        <v>8</v>
      </c>
      <c r="C113" t="s">
        <v>50</v>
      </c>
      <c r="D113">
        <v>10</v>
      </c>
      <c r="E113">
        <v>0.81705832589442595</v>
      </c>
      <c r="F113">
        <v>1.50774352148677E-2</v>
      </c>
      <c r="G113" t="s">
        <v>49</v>
      </c>
      <c r="H113">
        <v>8</v>
      </c>
      <c r="I113">
        <v>10</v>
      </c>
      <c r="J113">
        <v>1.82012409208306E-2</v>
      </c>
      <c r="K113" t="b">
        <f t="shared" si="4"/>
        <v>1</v>
      </c>
      <c r="L113">
        <f t="shared" si="5"/>
        <v>0.8503370020301243</v>
      </c>
      <c r="M113">
        <f t="shared" si="6"/>
        <v>3.4013480081204972</v>
      </c>
      <c r="N113">
        <f t="shared" si="7"/>
        <v>4.1564472659232479</v>
      </c>
    </row>
    <row r="114" spans="1:14" x14ac:dyDescent="0.35">
      <c r="A114" t="s">
        <v>49</v>
      </c>
      <c r="B114">
        <v>8</v>
      </c>
      <c r="C114" t="s">
        <v>50</v>
      </c>
      <c r="D114">
        <v>11</v>
      </c>
      <c r="E114">
        <v>1.04589394485827</v>
      </c>
      <c r="F114">
        <v>2.00580454042265E-2</v>
      </c>
      <c r="G114" t="s">
        <v>49</v>
      </c>
      <c r="H114">
        <v>8</v>
      </c>
      <c r="I114">
        <v>11</v>
      </c>
      <c r="J114">
        <v>2.3548328386940799E-2</v>
      </c>
      <c r="K114" t="b">
        <f t="shared" si="4"/>
        <v>1</v>
      </c>
      <c r="L114">
        <f t="shared" si="5"/>
        <v>1.0895003186494374</v>
      </c>
      <c r="M114">
        <f t="shared" si="6"/>
        <v>4.3580012745977497</v>
      </c>
      <c r="N114">
        <f t="shared" si="7"/>
        <v>5.3254775575584503</v>
      </c>
    </row>
    <row r="115" spans="1:14" x14ac:dyDescent="0.35">
      <c r="A115" t="s">
        <v>49</v>
      </c>
      <c r="B115">
        <v>8</v>
      </c>
      <c r="C115" t="s">
        <v>50</v>
      </c>
      <c r="D115">
        <v>12</v>
      </c>
      <c r="E115">
        <v>1.33193846856308</v>
      </c>
      <c r="F115">
        <v>2.6375105726340501E-2</v>
      </c>
      <c r="G115" t="s">
        <v>49</v>
      </c>
      <c r="H115">
        <v>8</v>
      </c>
      <c r="I115">
        <v>12</v>
      </c>
      <c r="J115">
        <v>3.0237758419626198E-2</v>
      </c>
      <c r="K115" t="b">
        <f t="shared" si="4"/>
        <v>1</v>
      </c>
      <c r="L115">
        <f t="shared" si="5"/>
        <v>1.3885513327090468</v>
      </c>
      <c r="M115">
        <f t="shared" si="6"/>
        <v>5.5542053308361874</v>
      </c>
      <c r="N115">
        <f t="shared" si="7"/>
        <v>6.7872389142818212</v>
      </c>
    </row>
    <row r="116" spans="1:14" x14ac:dyDescent="0.35">
      <c r="A116" t="s">
        <v>49</v>
      </c>
      <c r="B116">
        <v>8</v>
      </c>
      <c r="C116" t="s">
        <v>50</v>
      </c>
      <c r="D116">
        <v>13</v>
      </c>
      <c r="E116">
        <v>1.6894941231940901</v>
      </c>
      <c r="F116">
        <v>3.4359989786836097E-2</v>
      </c>
      <c r="G116" t="s">
        <v>49</v>
      </c>
      <c r="H116">
        <v>8</v>
      </c>
      <c r="I116">
        <v>13</v>
      </c>
      <c r="J116">
        <v>3.8603807336055E-2</v>
      </c>
      <c r="K116" t="b">
        <f t="shared" si="4"/>
        <v>1</v>
      </c>
      <c r="L116">
        <f t="shared" si="5"/>
        <v>1.7624579203169812</v>
      </c>
      <c r="M116">
        <f t="shared" si="6"/>
        <v>7.0498316812679249</v>
      </c>
      <c r="N116">
        <f t="shared" si="7"/>
        <v>8.6148943145094048</v>
      </c>
    </row>
    <row r="117" spans="1:14" x14ac:dyDescent="0.35">
      <c r="A117" t="s">
        <v>49</v>
      </c>
      <c r="B117">
        <v>8</v>
      </c>
      <c r="C117" t="s">
        <v>50</v>
      </c>
      <c r="D117">
        <v>14</v>
      </c>
      <c r="E117">
        <v>2.1364386914828501</v>
      </c>
      <c r="F117">
        <v>4.4426996760573101E-2</v>
      </c>
      <c r="G117" t="s">
        <v>49</v>
      </c>
      <c r="H117">
        <v>8</v>
      </c>
      <c r="I117">
        <v>14</v>
      </c>
      <c r="J117">
        <v>4.9064644753753703E-2</v>
      </c>
      <c r="K117" t="b">
        <f t="shared" si="4"/>
        <v>1</v>
      </c>
      <c r="L117">
        <f t="shared" si="5"/>
        <v>2.2299303329971769</v>
      </c>
      <c r="M117">
        <f t="shared" si="6"/>
        <v>8.9197213319887076</v>
      </c>
      <c r="N117">
        <f t="shared" si="7"/>
        <v>10.899899467690201</v>
      </c>
    </row>
    <row r="118" spans="1:14" x14ac:dyDescent="0.35">
      <c r="A118" t="s">
        <v>49</v>
      </c>
      <c r="B118">
        <v>8</v>
      </c>
      <c r="C118" t="s">
        <v>50</v>
      </c>
      <c r="D118">
        <v>15</v>
      </c>
      <c r="E118">
        <v>2.6951194018438098</v>
      </c>
      <c r="F118">
        <v>5.7094080318918397E-2</v>
      </c>
      <c r="G118" t="s">
        <v>49</v>
      </c>
      <c r="H118">
        <v>8</v>
      </c>
      <c r="I118">
        <v>15</v>
      </c>
      <c r="J118">
        <v>6.2143219970031902E-2</v>
      </c>
      <c r="K118" t="b">
        <f t="shared" si="4"/>
        <v>1</v>
      </c>
      <c r="L118">
        <f t="shared" si="5"/>
        <v>2.81435670213276</v>
      </c>
      <c r="M118">
        <f t="shared" si="6"/>
        <v>11.25742680853104</v>
      </c>
      <c r="N118">
        <f t="shared" si="7"/>
        <v>13.756575560024931</v>
      </c>
    </row>
    <row r="119" spans="1:14" x14ac:dyDescent="0.35">
      <c r="A119" t="s">
        <v>49</v>
      </c>
      <c r="B119">
        <v>8</v>
      </c>
      <c r="C119" t="s">
        <v>50</v>
      </c>
      <c r="D119">
        <v>16</v>
      </c>
      <c r="E119">
        <v>3.39347028979501</v>
      </c>
      <c r="F119">
        <v>7.3008759862788805E-2</v>
      </c>
      <c r="G119" t="s">
        <v>49</v>
      </c>
      <c r="H119">
        <v>8</v>
      </c>
      <c r="I119">
        <v>16</v>
      </c>
      <c r="J119">
        <v>7.8493395807295405E-2</v>
      </c>
      <c r="K119" t="b">
        <f t="shared" si="4"/>
        <v>1</v>
      </c>
      <c r="L119">
        <f t="shared" si="5"/>
        <v>3.5449724454650942</v>
      </c>
      <c r="M119">
        <f t="shared" si="6"/>
        <v>14.179889781860377</v>
      </c>
      <c r="N119">
        <f t="shared" si="7"/>
        <v>17.32782531343338</v>
      </c>
    </row>
    <row r="120" spans="1:14" x14ac:dyDescent="0.35">
      <c r="A120" t="s">
        <v>49</v>
      </c>
      <c r="B120">
        <v>8</v>
      </c>
      <c r="C120" t="s">
        <v>50</v>
      </c>
      <c r="D120">
        <v>17</v>
      </c>
      <c r="E120">
        <v>4.2664088997340102</v>
      </c>
      <c r="F120">
        <v>9.2980509635687297E-2</v>
      </c>
      <c r="G120" t="s">
        <v>49</v>
      </c>
      <c r="H120">
        <v>8</v>
      </c>
      <c r="I120">
        <v>17</v>
      </c>
      <c r="J120">
        <v>9.8932633187663502E-2</v>
      </c>
      <c r="K120" t="b">
        <f t="shared" si="4"/>
        <v>1</v>
      </c>
      <c r="L120">
        <f t="shared" si="5"/>
        <v>4.4583220425573611</v>
      </c>
      <c r="M120">
        <f t="shared" si="6"/>
        <v>17.833288170229444</v>
      </c>
      <c r="N120">
        <f t="shared" si="7"/>
        <v>21.792278144020379</v>
      </c>
    </row>
    <row r="121" spans="1:14" x14ac:dyDescent="0.35">
      <c r="A121" t="s">
        <v>49</v>
      </c>
      <c r="B121">
        <v>8</v>
      </c>
      <c r="C121" t="s">
        <v>50</v>
      </c>
      <c r="D121">
        <v>18</v>
      </c>
      <c r="E121">
        <v>5.3575821621577404</v>
      </c>
      <c r="F121">
        <v>0.118021245184579</v>
      </c>
      <c r="G121" t="s">
        <v>49</v>
      </c>
      <c r="H121">
        <v>8</v>
      </c>
      <c r="I121">
        <v>18</v>
      </c>
      <c r="J121">
        <v>0.124482858665907</v>
      </c>
      <c r="K121" t="b">
        <f t="shared" si="4"/>
        <v>1</v>
      </c>
      <c r="L121">
        <f t="shared" si="5"/>
        <v>5.6000862660082262</v>
      </c>
      <c r="M121">
        <f t="shared" si="6"/>
        <v>22.400345064032905</v>
      </c>
      <c r="N121">
        <f t="shared" si="7"/>
        <v>27.37322166824821</v>
      </c>
    </row>
    <row r="122" spans="1:14" x14ac:dyDescent="0.35">
      <c r="A122" t="s">
        <v>49</v>
      </c>
      <c r="B122">
        <v>8</v>
      </c>
      <c r="C122" t="s">
        <v>50</v>
      </c>
      <c r="D122">
        <v>19</v>
      </c>
      <c r="E122">
        <v>6.7215487401874201</v>
      </c>
      <c r="F122">
        <v>0.14939593150347999</v>
      </c>
      <c r="G122" t="s">
        <v>49</v>
      </c>
      <c r="H122">
        <v>8</v>
      </c>
      <c r="I122">
        <v>19</v>
      </c>
      <c r="J122">
        <v>0.156421557121007</v>
      </c>
      <c r="K122" t="b">
        <f t="shared" si="4"/>
        <v>1</v>
      </c>
      <c r="L122">
        <f t="shared" si="5"/>
        <v>7.027366228811907</v>
      </c>
      <c r="M122">
        <f t="shared" si="6"/>
        <v>28.109464915247628</v>
      </c>
      <c r="N122">
        <f t="shared" si="7"/>
        <v>34.349766126432598</v>
      </c>
    </row>
    <row r="123" spans="1:14" x14ac:dyDescent="0.35">
      <c r="A123" t="s">
        <v>49</v>
      </c>
      <c r="B123">
        <v>8</v>
      </c>
      <c r="C123" t="s">
        <v>50</v>
      </c>
      <c r="D123">
        <v>20</v>
      </c>
      <c r="E123">
        <v>8.4265069627245204</v>
      </c>
      <c r="F123">
        <v>0.18868584327840801</v>
      </c>
      <c r="G123" t="s">
        <v>49</v>
      </c>
      <c r="H123">
        <v>8</v>
      </c>
      <c r="I123">
        <v>20</v>
      </c>
      <c r="J123">
        <v>0.19634564354123801</v>
      </c>
      <c r="K123" t="b">
        <f t="shared" si="4"/>
        <v>1</v>
      </c>
      <c r="L123">
        <f t="shared" si="5"/>
        <v>8.811538449544166</v>
      </c>
      <c r="M123">
        <f t="shared" si="6"/>
        <v>35.246153798176664</v>
      </c>
      <c r="N123">
        <f t="shared" si="7"/>
        <v>43.070799941371881</v>
      </c>
    </row>
    <row r="124" spans="1:14" x14ac:dyDescent="0.35">
      <c r="A124" t="s">
        <v>49</v>
      </c>
      <c r="B124">
        <v>8</v>
      </c>
      <c r="C124" t="s">
        <v>50</v>
      </c>
      <c r="D124">
        <v>21</v>
      </c>
      <c r="E124">
        <v>10.557704740895799</v>
      </c>
      <c r="F124">
        <v>0.23786764025708099</v>
      </c>
      <c r="G124" t="s">
        <v>49</v>
      </c>
      <c r="H124">
        <v>8</v>
      </c>
      <c r="I124">
        <v>21</v>
      </c>
      <c r="J124">
        <v>0.24625130707009099</v>
      </c>
      <c r="K124" t="b">
        <f t="shared" si="4"/>
        <v>1</v>
      </c>
      <c r="L124">
        <f t="shared" si="5"/>
        <v>11.041823688222971</v>
      </c>
      <c r="M124">
        <f t="shared" si="6"/>
        <v>44.167294752891884</v>
      </c>
      <c r="N124">
        <f t="shared" si="7"/>
        <v>53.97243418803388</v>
      </c>
    </row>
    <row r="125" spans="1:14" x14ac:dyDescent="0.35">
      <c r="A125" t="s">
        <v>49</v>
      </c>
      <c r="B125">
        <v>8</v>
      </c>
      <c r="C125" t="s">
        <v>50</v>
      </c>
      <c r="D125">
        <v>22</v>
      </c>
      <c r="E125">
        <v>13.219371000000001</v>
      </c>
      <c r="F125">
        <v>0.299400103249369</v>
      </c>
      <c r="G125" t="s">
        <v>49</v>
      </c>
      <c r="H125">
        <v>8</v>
      </c>
      <c r="I125">
        <v>22</v>
      </c>
      <c r="J125">
        <v>0.30860745013962798</v>
      </c>
      <c r="K125" t="b">
        <f t="shared" si="4"/>
        <v>1</v>
      </c>
      <c r="L125">
        <f t="shared" si="5"/>
        <v>13.827378553388996</v>
      </c>
      <c r="M125">
        <f t="shared" si="6"/>
        <v>55.309514213555985</v>
      </c>
      <c r="N125">
        <f t="shared" si="7"/>
        <v>67.588226368965408</v>
      </c>
    </row>
    <row r="126" spans="1:14" x14ac:dyDescent="0.35">
      <c r="A126" t="s">
        <v>49</v>
      </c>
      <c r="B126">
        <v>8</v>
      </c>
      <c r="C126" t="s">
        <v>50</v>
      </c>
      <c r="D126">
        <v>23</v>
      </c>
      <c r="E126">
        <v>16.136208</v>
      </c>
      <c r="F126">
        <v>0.37423820575188699</v>
      </c>
      <c r="G126" t="s">
        <v>49</v>
      </c>
      <c r="H126">
        <v>8</v>
      </c>
      <c r="I126">
        <v>23</v>
      </c>
      <c r="J126">
        <v>0.38189546159993798</v>
      </c>
      <c r="K126" t="b">
        <f t="shared" si="4"/>
        <v>1</v>
      </c>
      <c r="L126">
        <f t="shared" si="5"/>
        <v>16.892341667351825</v>
      </c>
      <c r="M126">
        <f t="shared" si="6"/>
        <v>67.569366669407302</v>
      </c>
      <c r="N126">
        <f t="shared" si="7"/>
        <v>82.569766070015717</v>
      </c>
    </row>
    <row r="127" spans="1:14" x14ac:dyDescent="0.35">
      <c r="A127" t="s">
        <v>49</v>
      </c>
      <c r="B127">
        <v>8</v>
      </c>
      <c r="C127" t="s">
        <v>50</v>
      </c>
      <c r="D127">
        <v>24</v>
      </c>
      <c r="E127">
        <v>19.053045000000001</v>
      </c>
      <c r="F127">
        <v>0.46198277857933101</v>
      </c>
      <c r="G127" t="s">
        <v>49</v>
      </c>
      <c r="H127">
        <v>8</v>
      </c>
      <c r="I127">
        <v>24</v>
      </c>
      <c r="J127">
        <v>0.46232732688863498</v>
      </c>
      <c r="K127" t="b">
        <f t="shared" si="4"/>
        <v>1</v>
      </c>
      <c r="L127">
        <f t="shared" si="5"/>
        <v>19.977355105467964</v>
      </c>
      <c r="M127">
        <f t="shared" si="6"/>
        <v>79.909420421871857</v>
      </c>
      <c r="N127">
        <f t="shared" si="7"/>
        <v>97.649311755527407</v>
      </c>
    </row>
    <row r="128" spans="1:14" x14ac:dyDescent="0.35">
      <c r="A128" t="s">
        <v>49</v>
      </c>
      <c r="B128">
        <v>8</v>
      </c>
      <c r="C128" t="s">
        <v>50</v>
      </c>
      <c r="D128">
        <v>25</v>
      </c>
      <c r="E128">
        <v>21.969881999999998</v>
      </c>
      <c r="F128">
        <v>0.56224662762195099</v>
      </c>
      <c r="G128" t="s">
        <v>49</v>
      </c>
      <c r="H128">
        <v>8</v>
      </c>
      <c r="I128">
        <v>25</v>
      </c>
      <c r="J128">
        <v>0.54754553585599697</v>
      </c>
      <c r="K128" t="b">
        <f t="shared" si="4"/>
        <v>1</v>
      </c>
      <c r="L128">
        <f t="shared" si="5"/>
        <v>23.079674163477947</v>
      </c>
      <c r="M128">
        <f t="shared" si="6"/>
        <v>92.318696653911786</v>
      </c>
      <c r="N128">
        <f t="shared" si="7"/>
        <v>112.8134473110802</v>
      </c>
    </row>
    <row r="129" spans="1:14" x14ac:dyDescent="0.35">
      <c r="A129" t="s">
        <v>49</v>
      </c>
      <c r="B129">
        <v>8</v>
      </c>
      <c r="C129" t="s">
        <v>50</v>
      </c>
      <c r="D129">
        <v>26</v>
      </c>
      <c r="E129">
        <v>24.886718999999999</v>
      </c>
      <c r="F129">
        <v>0.67465417459329202</v>
      </c>
      <c r="G129" t="s">
        <v>49</v>
      </c>
      <c r="H129">
        <v>8</v>
      </c>
      <c r="I129">
        <v>26</v>
      </c>
      <c r="J129">
        <v>0.63605054336556499</v>
      </c>
      <c r="K129" t="b">
        <f t="shared" si="4"/>
        <v>1</v>
      </c>
      <c r="L129">
        <f t="shared" si="5"/>
        <v>26.197423717958856</v>
      </c>
      <c r="M129">
        <f t="shared" si="6"/>
        <v>104.78969487183542</v>
      </c>
      <c r="N129">
        <f t="shared" si="7"/>
        <v>128.05300713338289</v>
      </c>
    </row>
    <row r="130" spans="1:14" x14ac:dyDescent="0.35">
      <c r="A130" t="s">
        <v>49</v>
      </c>
      <c r="B130">
        <v>8</v>
      </c>
      <c r="C130" t="s">
        <v>50</v>
      </c>
      <c r="D130">
        <v>27</v>
      </c>
      <c r="E130">
        <v>27.803556</v>
      </c>
      <c r="F130">
        <v>0.79884110855549395</v>
      </c>
      <c r="G130" t="s">
        <v>49</v>
      </c>
      <c r="H130">
        <v>8</v>
      </c>
      <c r="I130">
        <v>27</v>
      </c>
      <c r="J130">
        <v>0.72686551147518497</v>
      </c>
      <c r="K130" t="b">
        <f t="shared" si="4"/>
        <v>1</v>
      </c>
      <c r="L130">
        <f t="shared" si="5"/>
        <v>29.329262620030679</v>
      </c>
      <c r="M130">
        <f t="shared" si="6"/>
        <v>117.31705048012272</v>
      </c>
      <c r="N130">
        <f t="shared" si="7"/>
        <v>143.36143568670997</v>
      </c>
    </row>
    <row r="131" spans="1:14" x14ac:dyDescent="0.35">
      <c r="A131" t="s">
        <v>49</v>
      </c>
      <c r="B131">
        <v>8</v>
      </c>
      <c r="C131" t="s">
        <v>50</v>
      </c>
      <c r="D131">
        <v>28</v>
      </c>
      <c r="E131">
        <v>30.720392999999898</v>
      </c>
      <c r="F131">
        <v>0.93445404789882902</v>
      </c>
      <c r="G131" t="s">
        <v>49</v>
      </c>
      <c r="H131">
        <v>8</v>
      </c>
      <c r="I131">
        <v>28</v>
      </c>
      <c r="J131">
        <v>0.81933806521351704</v>
      </c>
      <c r="K131" t="b">
        <f t="shared" ref="K131:K194" si="8">H131=B131</f>
        <v>1</v>
      </c>
      <c r="L131">
        <f t="shared" ref="L131:L194" si="9">E131+F131+J131</f>
        <v>32.474185113112242</v>
      </c>
      <c r="M131">
        <f t="shared" ref="M131:M194" si="10">(L131*2)*(100/50)</f>
        <v>129.89674045244897</v>
      </c>
      <c r="N131">
        <f t="shared" ref="N131:N194" si="11">M131*1.222</f>
        <v>158.73381683289264</v>
      </c>
    </row>
    <row r="132" spans="1:14" x14ac:dyDescent="0.35">
      <c r="A132" t="s">
        <v>49</v>
      </c>
      <c r="B132">
        <v>8</v>
      </c>
      <c r="C132" t="s">
        <v>50</v>
      </c>
      <c r="D132">
        <v>29</v>
      </c>
      <c r="E132">
        <v>33.637230000000002</v>
      </c>
      <c r="F132">
        <v>1.0811502124618599</v>
      </c>
      <c r="G132" t="s">
        <v>49</v>
      </c>
      <c r="H132">
        <v>8</v>
      </c>
      <c r="I132">
        <v>29</v>
      </c>
      <c r="J132">
        <v>0.91302160645851005</v>
      </c>
      <c r="K132" t="b">
        <f t="shared" si="8"/>
        <v>1</v>
      </c>
      <c r="L132">
        <f t="shared" si="9"/>
        <v>35.631401818920367</v>
      </c>
      <c r="M132">
        <f t="shared" si="10"/>
        <v>142.52560727568147</v>
      </c>
      <c r="N132">
        <f t="shared" si="11"/>
        <v>174.16629209088273</v>
      </c>
    </row>
    <row r="133" spans="1:14" x14ac:dyDescent="0.35">
      <c r="A133" t="s">
        <v>49</v>
      </c>
      <c r="B133">
        <v>8</v>
      </c>
      <c r="C133" t="s">
        <v>50</v>
      </c>
      <c r="D133">
        <v>30</v>
      </c>
      <c r="E133">
        <v>37.121732999999999</v>
      </c>
      <c r="F133">
        <v>1.2415458666880099</v>
      </c>
      <c r="G133" t="s">
        <v>49</v>
      </c>
      <c r="H133">
        <v>8</v>
      </c>
      <c r="I133">
        <v>30</v>
      </c>
      <c r="J133">
        <v>1.0140249071990901</v>
      </c>
      <c r="K133" t="b">
        <f t="shared" si="8"/>
        <v>1</v>
      </c>
      <c r="L133">
        <f t="shared" si="9"/>
        <v>39.377303773887093</v>
      </c>
      <c r="M133">
        <f t="shared" si="10"/>
        <v>157.50921509554837</v>
      </c>
      <c r="N133">
        <f t="shared" si="11"/>
        <v>192.47626084676011</v>
      </c>
    </row>
    <row r="134" spans="1:14" x14ac:dyDescent="0.35">
      <c r="A134" t="s">
        <v>49</v>
      </c>
      <c r="B134">
        <v>8</v>
      </c>
      <c r="C134" t="s">
        <v>50</v>
      </c>
      <c r="D134">
        <v>31</v>
      </c>
      <c r="E134">
        <v>40.606236000000003</v>
      </c>
      <c r="F134">
        <v>1.41523002588737</v>
      </c>
      <c r="G134" t="s">
        <v>49</v>
      </c>
      <c r="H134">
        <v>8</v>
      </c>
      <c r="I134">
        <v>31</v>
      </c>
      <c r="J134">
        <v>1.11974064468255</v>
      </c>
      <c r="K134" t="b">
        <f t="shared" si="8"/>
        <v>1</v>
      </c>
      <c r="L134">
        <f t="shared" si="9"/>
        <v>43.141206670569922</v>
      </c>
      <c r="M134">
        <f t="shared" si="10"/>
        <v>172.56482668227969</v>
      </c>
      <c r="N134">
        <f t="shared" si="11"/>
        <v>210.87421820574576</v>
      </c>
    </row>
    <row r="135" spans="1:14" x14ac:dyDescent="0.35">
      <c r="A135" t="s">
        <v>49</v>
      </c>
      <c r="B135">
        <v>8</v>
      </c>
      <c r="C135" t="s">
        <v>50</v>
      </c>
      <c r="D135">
        <v>32</v>
      </c>
      <c r="E135">
        <v>44.090738999999999</v>
      </c>
      <c r="F135">
        <v>1.6018040349107501</v>
      </c>
      <c r="G135" t="s">
        <v>49</v>
      </c>
      <c r="H135">
        <v>8</v>
      </c>
      <c r="I135">
        <v>32</v>
      </c>
      <c r="J135">
        <v>1.22856557262771</v>
      </c>
      <c r="K135" t="b">
        <f t="shared" si="8"/>
        <v>1</v>
      </c>
      <c r="L135">
        <f t="shared" si="9"/>
        <v>46.921108607538457</v>
      </c>
      <c r="M135">
        <f t="shared" si="10"/>
        <v>187.68443443015383</v>
      </c>
      <c r="N135">
        <f t="shared" si="11"/>
        <v>229.35037887364797</v>
      </c>
    </row>
    <row r="136" spans="1:14" x14ac:dyDescent="0.35">
      <c r="A136" t="s">
        <v>49</v>
      </c>
      <c r="B136">
        <v>8</v>
      </c>
      <c r="C136" t="s">
        <v>50</v>
      </c>
      <c r="D136">
        <v>33</v>
      </c>
      <c r="E136">
        <v>47.575241999999903</v>
      </c>
      <c r="F136">
        <v>1.8008811982634201</v>
      </c>
      <c r="G136" t="s">
        <v>49</v>
      </c>
      <c r="H136">
        <v>8</v>
      </c>
      <c r="I136">
        <v>33</v>
      </c>
      <c r="J136">
        <v>1.33949376177274</v>
      </c>
      <c r="K136" t="b">
        <f t="shared" si="8"/>
        <v>1</v>
      </c>
      <c r="L136">
        <f t="shared" si="9"/>
        <v>50.715616960036058</v>
      </c>
      <c r="M136">
        <f t="shared" si="10"/>
        <v>202.86246784014423</v>
      </c>
      <c r="N136">
        <f t="shared" si="11"/>
        <v>247.89793570065626</v>
      </c>
    </row>
    <row r="137" spans="1:14" x14ac:dyDescent="0.35">
      <c r="A137" t="s">
        <v>49</v>
      </c>
      <c r="B137">
        <v>8</v>
      </c>
      <c r="C137" t="s">
        <v>50</v>
      </c>
      <c r="D137">
        <v>34</v>
      </c>
      <c r="E137">
        <v>51.059744999999999</v>
      </c>
      <c r="F137">
        <v>2.0120864213155198</v>
      </c>
      <c r="G137" t="s">
        <v>49</v>
      </c>
      <c r="H137">
        <v>8</v>
      </c>
      <c r="I137">
        <v>34</v>
      </c>
      <c r="J137">
        <v>1.45187957764882</v>
      </c>
      <c r="K137" t="b">
        <f t="shared" si="8"/>
        <v>1</v>
      </c>
      <c r="L137">
        <f t="shared" si="9"/>
        <v>54.52371099896434</v>
      </c>
      <c r="M137">
        <f t="shared" si="10"/>
        <v>218.09484399585736</v>
      </c>
      <c r="N137">
        <f t="shared" si="11"/>
        <v>266.5118993629377</v>
      </c>
    </row>
    <row r="138" spans="1:14" x14ac:dyDescent="0.35">
      <c r="A138" t="s">
        <v>49</v>
      </c>
      <c r="B138">
        <v>8</v>
      </c>
      <c r="C138" t="s">
        <v>50</v>
      </c>
      <c r="D138">
        <v>35</v>
      </c>
      <c r="E138">
        <v>54.924705000000003</v>
      </c>
      <c r="F138">
        <v>2.2370321596760601</v>
      </c>
      <c r="G138" t="s">
        <v>49</v>
      </c>
      <c r="H138">
        <v>8</v>
      </c>
      <c r="I138">
        <v>35</v>
      </c>
      <c r="J138">
        <v>1.56960233836332</v>
      </c>
      <c r="K138" t="b">
        <f t="shared" si="8"/>
        <v>1</v>
      </c>
      <c r="L138">
        <f t="shared" si="9"/>
        <v>58.731339498039382</v>
      </c>
      <c r="M138">
        <f t="shared" si="10"/>
        <v>234.92535799215753</v>
      </c>
      <c r="N138">
        <f t="shared" si="11"/>
        <v>287.07878746641649</v>
      </c>
    </row>
    <row r="139" spans="1:14" x14ac:dyDescent="0.35">
      <c r="A139" t="s">
        <v>49</v>
      </c>
      <c r="B139">
        <v>8</v>
      </c>
      <c r="C139" t="s">
        <v>50</v>
      </c>
      <c r="D139">
        <v>36</v>
      </c>
      <c r="E139">
        <v>58.789664999999999</v>
      </c>
      <c r="F139">
        <v>2.4753061978857702</v>
      </c>
      <c r="G139" t="s">
        <v>49</v>
      </c>
      <c r="H139">
        <v>8</v>
      </c>
      <c r="I139">
        <v>36</v>
      </c>
      <c r="J139">
        <v>1.6907783988543299</v>
      </c>
      <c r="K139" t="b">
        <f t="shared" si="8"/>
        <v>1</v>
      </c>
      <c r="L139">
        <f t="shared" si="9"/>
        <v>62.955749596740098</v>
      </c>
      <c r="M139">
        <f t="shared" si="10"/>
        <v>251.82299838696039</v>
      </c>
      <c r="N139">
        <f t="shared" si="11"/>
        <v>307.72770402886562</v>
      </c>
    </row>
    <row r="140" spans="1:14" x14ac:dyDescent="0.35">
      <c r="A140" t="s">
        <v>49</v>
      </c>
      <c r="B140">
        <v>8</v>
      </c>
      <c r="C140" t="s">
        <v>50</v>
      </c>
      <c r="D140">
        <v>37</v>
      </c>
      <c r="E140">
        <v>62.654624999999903</v>
      </c>
      <c r="F140">
        <v>2.7265086869492001</v>
      </c>
      <c r="G140" t="s">
        <v>49</v>
      </c>
      <c r="H140">
        <v>8</v>
      </c>
      <c r="I140">
        <v>37</v>
      </c>
      <c r="J140">
        <v>1.8142448651274199</v>
      </c>
      <c r="K140" t="b">
        <f t="shared" si="8"/>
        <v>1</v>
      </c>
      <c r="L140">
        <f t="shared" si="9"/>
        <v>67.195378552076519</v>
      </c>
      <c r="M140">
        <f t="shared" si="10"/>
        <v>268.78151420830608</v>
      </c>
      <c r="N140">
        <f t="shared" si="11"/>
        <v>328.45101036254999</v>
      </c>
    </row>
    <row r="141" spans="1:14" x14ac:dyDescent="0.35">
      <c r="A141" t="s">
        <v>49</v>
      </c>
      <c r="B141">
        <v>8</v>
      </c>
      <c r="C141" t="s">
        <v>50</v>
      </c>
      <c r="D141">
        <v>38</v>
      </c>
      <c r="E141">
        <v>66.519584999999907</v>
      </c>
      <c r="F141">
        <v>2.9902517733407299</v>
      </c>
      <c r="G141" t="s">
        <v>49</v>
      </c>
      <c r="H141">
        <v>8</v>
      </c>
      <c r="I141">
        <v>38</v>
      </c>
      <c r="J141">
        <v>1.9392687562522</v>
      </c>
      <c r="K141" t="b">
        <f t="shared" si="8"/>
        <v>1</v>
      </c>
      <c r="L141">
        <f t="shared" si="9"/>
        <v>71.449105529592842</v>
      </c>
      <c r="M141">
        <f t="shared" si="10"/>
        <v>285.79642211837137</v>
      </c>
      <c r="N141">
        <f t="shared" si="11"/>
        <v>349.24322782864982</v>
      </c>
    </row>
    <row r="142" spans="1:14" x14ac:dyDescent="0.35">
      <c r="A142" t="s">
        <v>49</v>
      </c>
      <c r="B142">
        <v>8</v>
      </c>
      <c r="C142" t="s">
        <v>50</v>
      </c>
      <c r="D142">
        <v>39</v>
      </c>
      <c r="E142">
        <v>70.384545000000003</v>
      </c>
      <c r="F142">
        <v>3.2661592391404999</v>
      </c>
      <c r="G142" t="s">
        <v>49</v>
      </c>
      <c r="H142">
        <v>8</v>
      </c>
      <c r="I142">
        <v>39</v>
      </c>
      <c r="J142">
        <v>2.0653772623032598</v>
      </c>
      <c r="K142" t="b">
        <f t="shared" si="8"/>
        <v>1</v>
      </c>
      <c r="L142">
        <f t="shared" si="9"/>
        <v>75.716081501443767</v>
      </c>
      <c r="M142">
        <f t="shared" si="10"/>
        <v>302.86432600577507</v>
      </c>
      <c r="N142">
        <f t="shared" si="11"/>
        <v>370.10020637905711</v>
      </c>
    </row>
    <row r="143" spans="1:14" x14ac:dyDescent="0.35">
      <c r="A143" t="s">
        <v>49</v>
      </c>
      <c r="B143">
        <v>8</v>
      </c>
      <c r="C143" t="s">
        <v>50</v>
      </c>
      <c r="D143">
        <v>40</v>
      </c>
      <c r="E143">
        <v>74.309894999999997</v>
      </c>
      <c r="F143">
        <v>3.5541798509662899</v>
      </c>
      <c r="G143" t="s">
        <v>49</v>
      </c>
      <c r="H143">
        <v>8</v>
      </c>
      <c r="I143">
        <v>40</v>
      </c>
      <c r="J143">
        <v>2.1929409622309701</v>
      </c>
      <c r="K143" t="b">
        <f t="shared" si="8"/>
        <v>1</v>
      </c>
      <c r="L143">
        <f t="shared" si="9"/>
        <v>80.057015813197253</v>
      </c>
      <c r="M143">
        <f t="shared" si="10"/>
        <v>320.22806325278901</v>
      </c>
      <c r="N143">
        <f t="shared" si="11"/>
        <v>391.31869329490814</v>
      </c>
    </row>
    <row r="144" spans="1:14" x14ac:dyDescent="0.35">
      <c r="A144" t="s">
        <v>49</v>
      </c>
      <c r="B144">
        <v>8</v>
      </c>
      <c r="C144" t="s">
        <v>50</v>
      </c>
      <c r="D144">
        <v>41</v>
      </c>
      <c r="E144">
        <v>78.235245000000006</v>
      </c>
      <c r="F144">
        <v>3.8539502144373001</v>
      </c>
      <c r="G144" t="s">
        <v>49</v>
      </c>
      <c r="H144">
        <v>8</v>
      </c>
      <c r="I144">
        <v>41</v>
      </c>
      <c r="J144">
        <v>2.3214944344805901</v>
      </c>
      <c r="K144" t="b">
        <f t="shared" si="8"/>
        <v>1</v>
      </c>
      <c r="L144">
        <f t="shared" si="9"/>
        <v>84.410689648917895</v>
      </c>
      <c r="M144">
        <f t="shared" si="10"/>
        <v>337.64275859567158</v>
      </c>
      <c r="N144">
        <f t="shared" si="11"/>
        <v>412.59945100391064</v>
      </c>
    </row>
    <row r="145" spans="1:14" x14ac:dyDescent="0.35">
      <c r="A145" t="s">
        <v>49</v>
      </c>
      <c r="B145">
        <v>8</v>
      </c>
      <c r="C145" t="s">
        <v>50</v>
      </c>
      <c r="D145">
        <v>42</v>
      </c>
      <c r="E145">
        <v>82.160595000000001</v>
      </c>
      <c r="F145">
        <v>4.1651178370041801</v>
      </c>
      <c r="G145" t="s">
        <v>49</v>
      </c>
      <c r="H145">
        <v>8</v>
      </c>
      <c r="I145">
        <v>42</v>
      </c>
      <c r="J145">
        <v>2.4507373774979602</v>
      </c>
      <c r="K145" t="b">
        <f t="shared" si="8"/>
        <v>1</v>
      </c>
      <c r="L145">
        <f t="shared" si="9"/>
        <v>88.776450214502134</v>
      </c>
      <c r="M145">
        <f t="shared" si="10"/>
        <v>355.10580085800854</v>
      </c>
      <c r="N145">
        <f t="shared" si="11"/>
        <v>433.93928864848641</v>
      </c>
    </row>
    <row r="146" spans="1:14" x14ac:dyDescent="0.35">
      <c r="A146" t="s">
        <v>49</v>
      </c>
      <c r="B146">
        <v>8</v>
      </c>
      <c r="C146" t="s">
        <v>50</v>
      </c>
      <c r="D146">
        <v>43</v>
      </c>
      <c r="E146">
        <v>86.085944999999995</v>
      </c>
      <c r="F146">
        <v>4.4873408008940503</v>
      </c>
      <c r="G146" t="s">
        <v>49</v>
      </c>
      <c r="H146">
        <v>8</v>
      </c>
      <c r="I146">
        <v>43</v>
      </c>
      <c r="J146">
        <v>2.5804711995001401</v>
      </c>
      <c r="K146" t="b">
        <f t="shared" si="8"/>
        <v>1</v>
      </c>
      <c r="L146">
        <f t="shared" si="9"/>
        <v>93.153757000394179</v>
      </c>
      <c r="M146">
        <f t="shared" si="10"/>
        <v>372.61502800157672</v>
      </c>
      <c r="N146">
        <f t="shared" si="11"/>
        <v>455.33556421792673</v>
      </c>
    </row>
    <row r="147" spans="1:14" x14ac:dyDescent="0.35">
      <c r="A147" t="s">
        <v>49</v>
      </c>
      <c r="B147">
        <v>8</v>
      </c>
      <c r="C147" t="s">
        <v>50</v>
      </c>
      <c r="D147">
        <v>44</v>
      </c>
      <c r="E147">
        <v>90.011295000000004</v>
      </c>
      <c r="F147">
        <v>4.8202874458672298</v>
      </c>
      <c r="G147" t="s">
        <v>49</v>
      </c>
      <c r="H147">
        <v>8</v>
      </c>
      <c r="I147">
        <v>44</v>
      </c>
      <c r="J147">
        <v>2.7105612525164302</v>
      </c>
      <c r="K147" t="b">
        <f t="shared" si="8"/>
        <v>1</v>
      </c>
      <c r="L147">
        <f t="shared" si="9"/>
        <v>97.542143698383668</v>
      </c>
      <c r="M147">
        <f t="shared" si="10"/>
        <v>390.16857479353467</v>
      </c>
      <c r="N147">
        <f t="shared" si="11"/>
        <v>476.78599839769936</v>
      </c>
    </row>
    <row r="148" spans="1:14" x14ac:dyDescent="0.35">
      <c r="A148" t="s">
        <v>49</v>
      </c>
      <c r="B148">
        <v>8</v>
      </c>
      <c r="C148" t="s">
        <v>50</v>
      </c>
      <c r="D148">
        <v>45</v>
      </c>
      <c r="E148">
        <v>93.761513999999906</v>
      </c>
      <c r="F148">
        <v>5.16272633729122</v>
      </c>
      <c r="G148" t="s">
        <v>49</v>
      </c>
      <c r="H148">
        <v>8</v>
      </c>
      <c r="I148">
        <v>45</v>
      </c>
      <c r="J148">
        <v>2.83893284353569</v>
      </c>
      <c r="K148" t="b">
        <f t="shared" si="8"/>
        <v>1</v>
      </c>
      <c r="L148">
        <f t="shared" si="9"/>
        <v>101.76317318082681</v>
      </c>
      <c r="M148">
        <f t="shared" si="10"/>
        <v>407.05269272330725</v>
      </c>
      <c r="N148">
        <f t="shared" si="11"/>
        <v>497.41839050788144</v>
      </c>
    </row>
    <row r="149" spans="1:14" x14ac:dyDescent="0.35">
      <c r="A149" t="s">
        <v>49</v>
      </c>
      <c r="B149">
        <v>8</v>
      </c>
      <c r="C149" t="s">
        <v>50</v>
      </c>
      <c r="D149">
        <v>46</v>
      </c>
      <c r="E149">
        <v>97.511732999999893</v>
      </c>
      <c r="F149">
        <v>5.5143727077724796</v>
      </c>
      <c r="G149" t="s">
        <v>49</v>
      </c>
      <c r="H149">
        <v>8</v>
      </c>
      <c r="I149">
        <v>46</v>
      </c>
      <c r="J149">
        <v>2.9662548442265302</v>
      </c>
      <c r="K149" t="b">
        <f t="shared" si="8"/>
        <v>1</v>
      </c>
      <c r="L149">
        <f t="shared" si="9"/>
        <v>105.9923605519989</v>
      </c>
      <c r="M149">
        <f t="shared" si="10"/>
        <v>423.9694422079956</v>
      </c>
      <c r="N149">
        <f t="shared" si="11"/>
        <v>518.09065837817059</v>
      </c>
    </row>
    <row r="150" spans="1:14" x14ac:dyDescent="0.35">
      <c r="A150" t="s">
        <v>49</v>
      </c>
      <c r="B150">
        <v>8</v>
      </c>
      <c r="C150" t="s">
        <v>50</v>
      </c>
      <c r="D150">
        <v>47</v>
      </c>
      <c r="E150">
        <v>101.26195199999999</v>
      </c>
      <c r="F150">
        <v>5.8749503329393002</v>
      </c>
      <c r="G150" t="s">
        <v>49</v>
      </c>
      <c r="H150">
        <v>8</v>
      </c>
      <c r="I150">
        <v>47</v>
      </c>
      <c r="J150">
        <v>3.0929234110696799</v>
      </c>
      <c r="K150" t="b">
        <f t="shared" si="8"/>
        <v>1</v>
      </c>
      <c r="L150">
        <f t="shared" si="9"/>
        <v>110.22982574400898</v>
      </c>
      <c r="M150">
        <f t="shared" si="10"/>
        <v>440.91930297603591</v>
      </c>
      <c r="N150">
        <f t="shared" si="11"/>
        <v>538.80338823671582</v>
      </c>
    </row>
    <row r="151" spans="1:14" x14ac:dyDescent="0.35">
      <c r="A151" t="s">
        <v>49</v>
      </c>
      <c r="B151">
        <v>8</v>
      </c>
      <c r="C151" t="s">
        <v>50</v>
      </c>
      <c r="D151">
        <v>48</v>
      </c>
      <c r="E151">
        <v>105.012171</v>
      </c>
      <c r="F151">
        <v>6.2441912751511204</v>
      </c>
      <c r="G151" t="s">
        <v>49</v>
      </c>
      <c r="H151">
        <v>8</v>
      </c>
      <c r="I151">
        <v>48</v>
      </c>
      <c r="J151">
        <v>3.2191761973792201</v>
      </c>
      <c r="K151" t="b">
        <f t="shared" si="8"/>
        <v>1</v>
      </c>
      <c r="L151">
        <f t="shared" si="9"/>
        <v>114.47553847253035</v>
      </c>
      <c r="M151">
        <f t="shared" si="10"/>
        <v>457.90215389012138</v>
      </c>
      <c r="N151">
        <f t="shared" si="11"/>
        <v>559.55643205372837</v>
      </c>
    </row>
    <row r="152" spans="1:14" x14ac:dyDescent="0.35">
      <c r="A152" t="s">
        <v>49</v>
      </c>
      <c r="B152">
        <v>8</v>
      </c>
      <c r="C152" t="s">
        <v>50</v>
      </c>
      <c r="D152">
        <v>49</v>
      </c>
      <c r="E152">
        <v>108.76239</v>
      </c>
      <c r="F152">
        <v>6.6218356348965903</v>
      </c>
      <c r="G152" t="s">
        <v>49</v>
      </c>
      <c r="H152">
        <v>8</v>
      </c>
      <c r="I152">
        <v>49</v>
      </c>
      <c r="J152">
        <v>3.3451580303369499</v>
      </c>
      <c r="K152" t="b">
        <f t="shared" si="8"/>
        <v>1</v>
      </c>
      <c r="L152">
        <f t="shared" si="9"/>
        <v>118.72938366523353</v>
      </c>
      <c r="M152">
        <f t="shared" si="10"/>
        <v>474.91753466093411</v>
      </c>
      <c r="N152">
        <f t="shared" si="11"/>
        <v>580.34922735566147</v>
      </c>
    </row>
    <row r="153" spans="1:14" x14ac:dyDescent="0.35">
      <c r="A153" t="s">
        <v>49</v>
      </c>
      <c r="B153">
        <v>8</v>
      </c>
      <c r="C153" t="s">
        <v>50</v>
      </c>
      <c r="D153">
        <v>50</v>
      </c>
      <c r="E153">
        <v>112.20462000000001</v>
      </c>
      <c r="F153">
        <v>7.0060314498496901</v>
      </c>
      <c r="G153" t="s">
        <v>49</v>
      </c>
      <c r="H153">
        <v>8</v>
      </c>
      <c r="I153">
        <v>50</v>
      </c>
      <c r="J153">
        <v>3.46747470018708</v>
      </c>
      <c r="K153" t="b">
        <f t="shared" si="8"/>
        <v>1</v>
      </c>
      <c r="L153">
        <f t="shared" si="9"/>
        <v>122.67812615003677</v>
      </c>
      <c r="M153">
        <f t="shared" si="10"/>
        <v>490.7125046001471</v>
      </c>
      <c r="N153">
        <f t="shared" si="11"/>
        <v>599.65068062137971</v>
      </c>
    </row>
    <row r="154" spans="1:14" x14ac:dyDescent="0.35">
      <c r="A154" t="s">
        <v>49</v>
      </c>
      <c r="B154">
        <v>8</v>
      </c>
      <c r="C154" t="s">
        <v>50</v>
      </c>
      <c r="D154">
        <v>51</v>
      </c>
      <c r="E154">
        <v>115.557360594969</v>
      </c>
      <c r="F154">
        <v>7.4747359633395103</v>
      </c>
      <c r="G154" t="s">
        <v>49</v>
      </c>
      <c r="H154">
        <v>8</v>
      </c>
      <c r="I154">
        <v>51</v>
      </c>
      <c r="J154">
        <v>3.58646397785916</v>
      </c>
      <c r="K154" t="b">
        <f t="shared" si="8"/>
        <v>1</v>
      </c>
      <c r="L154">
        <f t="shared" si="9"/>
        <v>126.61856053616766</v>
      </c>
      <c r="M154">
        <f t="shared" si="10"/>
        <v>506.47424214467065</v>
      </c>
      <c r="N154">
        <f t="shared" si="11"/>
        <v>618.91152390078753</v>
      </c>
    </row>
    <row r="155" spans="1:14" x14ac:dyDescent="0.35">
      <c r="A155" t="s">
        <v>49</v>
      </c>
      <c r="B155">
        <v>8</v>
      </c>
      <c r="C155" t="s">
        <v>50</v>
      </c>
      <c r="D155">
        <v>52</v>
      </c>
      <c r="E155">
        <v>118.770435542234</v>
      </c>
      <c r="F155">
        <v>8.0677511583064305</v>
      </c>
      <c r="G155" t="s">
        <v>49</v>
      </c>
      <c r="H155">
        <v>8</v>
      </c>
      <c r="I155">
        <v>52</v>
      </c>
      <c r="J155">
        <v>3.7017399095979102</v>
      </c>
      <c r="K155" t="b">
        <f t="shared" si="8"/>
        <v>1</v>
      </c>
      <c r="L155">
        <f t="shared" si="9"/>
        <v>130.53992661013834</v>
      </c>
      <c r="M155">
        <f t="shared" si="10"/>
        <v>522.15970644055335</v>
      </c>
      <c r="N155">
        <f t="shared" si="11"/>
        <v>638.07916127035617</v>
      </c>
    </row>
    <row r="156" spans="1:14" x14ac:dyDescent="0.35">
      <c r="A156" t="s">
        <v>49</v>
      </c>
      <c r="B156">
        <v>8</v>
      </c>
      <c r="C156" t="s">
        <v>50</v>
      </c>
      <c r="D156">
        <v>53</v>
      </c>
      <c r="E156">
        <v>121.894923428881</v>
      </c>
      <c r="F156">
        <v>8.7344744867515107</v>
      </c>
      <c r="G156" t="s">
        <v>49</v>
      </c>
      <c r="H156">
        <v>8</v>
      </c>
      <c r="I156">
        <v>53</v>
      </c>
      <c r="J156">
        <v>3.8136185869352501</v>
      </c>
      <c r="K156" t="b">
        <f t="shared" si="8"/>
        <v>1</v>
      </c>
      <c r="L156">
        <f t="shared" si="9"/>
        <v>134.44301650256779</v>
      </c>
      <c r="M156">
        <f t="shared" si="10"/>
        <v>537.77206601027115</v>
      </c>
      <c r="N156">
        <f t="shared" si="11"/>
        <v>657.1574646645513</v>
      </c>
    </row>
    <row r="157" spans="1:14" x14ac:dyDescent="0.35">
      <c r="A157" t="s">
        <v>49</v>
      </c>
      <c r="B157">
        <v>8</v>
      </c>
      <c r="C157" t="s">
        <v>50</v>
      </c>
      <c r="D157">
        <v>54</v>
      </c>
      <c r="E157">
        <v>124.95998707808801</v>
      </c>
      <c r="F157">
        <v>9.4458833439961492</v>
      </c>
      <c r="G157" t="s">
        <v>49</v>
      </c>
      <c r="H157">
        <v>8</v>
      </c>
      <c r="I157">
        <v>54</v>
      </c>
      <c r="J157">
        <v>3.9226114746076601</v>
      </c>
      <c r="K157" t="b">
        <f t="shared" si="8"/>
        <v>1</v>
      </c>
      <c r="L157">
        <f t="shared" si="9"/>
        <v>138.32848189669181</v>
      </c>
      <c r="M157">
        <f t="shared" si="10"/>
        <v>553.31392758676725</v>
      </c>
      <c r="N157">
        <f t="shared" si="11"/>
        <v>676.14961951102953</v>
      </c>
    </row>
    <row r="158" spans="1:14" x14ac:dyDescent="0.35">
      <c r="A158" t="s">
        <v>49</v>
      </c>
      <c r="B158">
        <v>8</v>
      </c>
      <c r="C158" t="s">
        <v>50</v>
      </c>
      <c r="D158">
        <v>55</v>
      </c>
      <c r="E158">
        <v>127.640066810147</v>
      </c>
      <c r="F158">
        <v>10.1499014623426</v>
      </c>
      <c r="G158" t="s">
        <v>49</v>
      </c>
      <c r="H158">
        <v>8</v>
      </c>
      <c r="I158">
        <v>55</v>
      </c>
      <c r="J158">
        <v>4.0253478192253498</v>
      </c>
      <c r="K158" t="b">
        <f t="shared" si="8"/>
        <v>1</v>
      </c>
      <c r="L158">
        <f t="shared" si="9"/>
        <v>141.81531609171495</v>
      </c>
      <c r="M158">
        <f t="shared" si="10"/>
        <v>567.26126436685979</v>
      </c>
      <c r="N158">
        <f t="shared" si="11"/>
        <v>693.19326505630261</v>
      </c>
    </row>
    <row r="159" spans="1:14" x14ac:dyDescent="0.35">
      <c r="A159" t="s">
        <v>49</v>
      </c>
      <c r="B159">
        <v>8</v>
      </c>
      <c r="C159" t="s">
        <v>50</v>
      </c>
      <c r="D159">
        <v>56</v>
      </c>
      <c r="E159">
        <v>130.31162403840301</v>
      </c>
      <c r="F159">
        <v>10.8503588522813</v>
      </c>
      <c r="G159" t="s">
        <v>49</v>
      </c>
      <c r="H159">
        <v>8</v>
      </c>
      <c r="I159">
        <v>56</v>
      </c>
      <c r="J159">
        <v>4.1239644513319904</v>
      </c>
      <c r="K159" t="b">
        <f t="shared" si="8"/>
        <v>1</v>
      </c>
      <c r="L159">
        <f t="shared" si="9"/>
        <v>145.2859473420163</v>
      </c>
      <c r="M159">
        <f t="shared" si="10"/>
        <v>581.1437893680652</v>
      </c>
      <c r="N159">
        <f t="shared" si="11"/>
        <v>710.1577106077757</v>
      </c>
    </row>
    <row r="160" spans="1:14" x14ac:dyDescent="0.35">
      <c r="A160" t="s">
        <v>49</v>
      </c>
      <c r="B160">
        <v>8</v>
      </c>
      <c r="C160" t="s">
        <v>50</v>
      </c>
      <c r="D160">
        <v>57</v>
      </c>
      <c r="E160">
        <v>132.972263322446</v>
      </c>
      <c r="F160">
        <v>11.549499924726099</v>
      </c>
      <c r="G160" t="s">
        <v>49</v>
      </c>
      <c r="H160">
        <v>8</v>
      </c>
      <c r="I160">
        <v>57</v>
      </c>
      <c r="J160">
        <v>4.2197456283132304</v>
      </c>
      <c r="K160" t="b">
        <f t="shared" si="8"/>
        <v>1</v>
      </c>
      <c r="L160">
        <f t="shared" si="9"/>
        <v>148.74150887548532</v>
      </c>
      <c r="M160">
        <f t="shared" si="10"/>
        <v>594.96603550194129</v>
      </c>
      <c r="N160">
        <f t="shared" si="11"/>
        <v>727.04849538337226</v>
      </c>
    </row>
    <row r="161" spans="1:14" x14ac:dyDescent="0.35">
      <c r="A161" t="s">
        <v>49</v>
      </c>
      <c r="B161">
        <v>8</v>
      </c>
      <c r="C161" t="s">
        <v>50</v>
      </c>
      <c r="D161">
        <v>58</v>
      </c>
      <c r="E161">
        <v>135.620529063936</v>
      </c>
      <c r="F161">
        <v>12.248636823707001</v>
      </c>
      <c r="G161" t="s">
        <v>49</v>
      </c>
      <c r="H161">
        <v>8</v>
      </c>
      <c r="I161">
        <v>58</v>
      </c>
      <c r="J161">
        <v>4.31347876729994</v>
      </c>
      <c r="K161" t="b">
        <f t="shared" si="8"/>
        <v>1</v>
      </c>
      <c r="L161">
        <f t="shared" si="9"/>
        <v>152.18264465494292</v>
      </c>
      <c r="M161">
        <f t="shared" si="10"/>
        <v>608.73057861977168</v>
      </c>
      <c r="N161">
        <f t="shared" si="11"/>
        <v>743.86876707336103</v>
      </c>
    </row>
    <row r="162" spans="1:14" x14ac:dyDescent="0.35">
      <c r="A162" t="s">
        <v>49</v>
      </c>
      <c r="B162">
        <v>8</v>
      </c>
      <c r="C162" t="s">
        <v>50</v>
      </c>
      <c r="D162">
        <v>59</v>
      </c>
      <c r="E162">
        <v>138.25551759729299</v>
      </c>
      <c r="F162">
        <v>12.9485333029695</v>
      </c>
      <c r="G162" t="s">
        <v>49</v>
      </c>
      <c r="H162">
        <v>8</v>
      </c>
      <c r="I162">
        <v>59</v>
      </c>
      <c r="J162">
        <v>4.4056579027659497</v>
      </c>
      <c r="K162" t="b">
        <f t="shared" si="8"/>
        <v>1</v>
      </c>
      <c r="L162">
        <f t="shared" si="9"/>
        <v>155.60970880302844</v>
      </c>
      <c r="M162">
        <f t="shared" si="10"/>
        <v>622.43883521211376</v>
      </c>
      <c r="N162">
        <f t="shared" si="11"/>
        <v>760.62025662920303</v>
      </c>
    </row>
    <row r="163" spans="1:14" x14ac:dyDescent="0.35">
      <c r="A163" t="s">
        <v>49</v>
      </c>
      <c r="B163">
        <v>8</v>
      </c>
      <c r="C163" t="s">
        <v>50</v>
      </c>
      <c r="D163">
        <v>60</v>
      </c>
      <c r="E163">
        <v>140.52486480278199</v>
      </c>
      <c r="F163">
        <v>13.6120026291198</v>
      </c>
      <c r="G163" t="s">
        <v>49</v>
      </c>
      <c r="H163">
        <v>8</v>
      </c>
      <c r="I163">
        <v>60</v>
      </c>
      <c r="J163">
        <v>4.4926213293718904</v>
      </c>
      <c r="K163" t="b">
        <f t="shared" si="8"/>
        <v>1</v>
      </c>
      <c r="L163">
        <f t="shared" si="9"/>
        <v>158.62948876127371</v>
      </c>
      <c r="M163">
        <f t="shared" si="10"/>
        <v>634.51795504509482</v>
      </c>
      <c r="N163">
        <f t="shared" si="11"/>
        <v>775.38094106510584</v>
      </c>
    </row>
    <row r="164" spans="1:14" x14ac:dyDescent="0.35">
      <c r="A164" t="s">
        <v>49</v>
      </c>
      <c r="B164">
        <v>8</v>
      </c>
      <c r="C164" t="s">
        <v>50</v>
      </c>
      <c r="D164">
        <v>61</v>
      </c>
      <c r="E164">
        <v>142.80553073665101</v>
      </c>
      <c r="F164">
        <v>14.2543616702207</v>
      </c>
      <c r="G164" t="s">
        <v>49</v>
      </c>
      <c r="H164">
        <v>8</v>
      </c>
      <c r="I164">
        <v>61</v>
      </c>
      <c r="J164">
        <v>4.5763451028656501</v>
      </c>
      <c r="K164" t="b">
        <f t="shared" si="8"/>
        <v>1</v>
      </c>
      <c r="L164">
        <f t="shared" si="9"/>
        <v>161.63623750973736</v>
      </c>
      <c r="M164">
        <f t="shared" si="10"/>
        <v>646.54495003894942</v>
      </c>
      <c r="N164">
        <f t="shared" si="11"/>
        <v>790.07792894759621</v>
      </c>
    </row>
    <row r="165" spans="1:14" x14ac:dyDescent="0.35">
      <c r="A165" t="s">
        <v>49</v>
      </c>
      <c r="B165">
        <v>8</v>
      </c>
      <c r="C165" t="s">
        <v>50</v>
      </c>
      <c r="D165">
        <v>62</v>
      </c>
      <c r="E165">
        <v>145.088448460009</v>
      </c>
      <c r="F165">
        <v>14.8845023033467</v>
      </c>
      <c r="G165" t="s">
        <v>49</v>
      </c>
      <c r="H165">
        <v>8</v>
      </c>
      <c r="I165">
        <v>62</v>
      </c>
      <c r="J165">
        <v>4.6579461452595101</v>
      </c>
      <c r="K165" t="b">
        <f t="shared" si="8"/>
        <v>1</v>
      </c>
      <c r="L165">
        <f t="shared" si="9"/>
        <v>164.6308969086152</v>
      </c>
      <c r="M165">
        <f t="shared" si="10"/>
        <v>658.5235876344608</v>
      </c>
      <c r="N165">
        <f t="shared" si="11"/>
        <v>804.71582408931113</v>
      </c>
    </row>
    <row r="166" spans="1:14" x14ac:dyDescent="0.35">
      <c r="A166" t="s">
        <v>49</v>
      </c>
      <c r="B166">
        <v>8</v>
      </c>
      <c r="C166" t="s">
        <v>50</v>
      </c>
      <c r="D166">
        <v>63</v>
      </c>
      <c r="E166">
        <v>147.36834257114</v>
      </c>
      <c r="F166">
        <v>15.507574275282201</v>
      </c>
      <c r="G166" t="s">
        <v>49</v>
      </c>
      <c r="H166">
        <v>8</v>
      </c>
      <c r="I166">
        <v>63</v>
      </c>
      <c r="J166">
        <v>4.7380686051909002</v>
      </c>
      <c r="K166" t="b">
        <f t="shared" si="8"/>
        <v>1</v>
      </c>
      <c r="L166">
        <f t="shared" si="9"/>
        <v>167.6139854516131</v>
      </c>
      <c r="M166">
        <f t="shared" si="10"/>
        <v>670.45594180645242</v>
      </c>
      <c r="N166">
        <f t="shared" si="11"/>
        <v>819.29716088748478</v>
      </c>
    </row>
    <row r="167" spans="1:14" x14ac:dyDescent="0.35">
      <c r="A167" t="s">
        <v>49</v>
      </c>
      <c r="B167">
        <v>8</v>
      </c>
      <c r="C167" t="s">
        <v>50</v>
      </c>
      <c r="D167">
        <v>64</v>
      </c>
      <c r="E167">
        <v>149.64213807932501</v>
      </c>
      <c r="F167">
        <v>16.1265556358479</v>
      </c>
      <c r="G167" t="s">
        <v>49</v>
      </c>
      <c r="H167">
        <v>8</v>
      </c>
      <c r="I167">
        <v>64</v>
      </c>
      <c r="J167">
        <v>4.8170940460733798</v>
      </c>
      <c r="K167" t="b">
        <f t="shared" si="8"/>
        <v>1</v>
      </c>
      <c r="L167">
        <f t="shared" si="9"/>
        <v>170.58578776124628</v>
      </c>
      <c r="M167">
        <f t="shared" si="10"/>
        <v>682.34315104498512</v>
      </c>
      <c r="N167">
        <f t="shared" si="11"/>
        <v>833.82333057697178</v>
      </c>
    </row>
    <row r="168" spans="1:14" x14ac:dyDescent="0.35">
      <c r="A168" t="s">
        <v>49</v>
      </c>
      <c r="B168">
        <v>8</v>
      </c>
      <c r="C168" t="s">
        <v>50</v>
      </c>
      <c r="D168">
        <v>65</v>
      </c>
      <c r="E168">
        <v>151.56358011475299</v>
      </c>
      <c r="F168">
        <v>16.709747863549101</v>
      </c>
      <c r="G168" t="s">
        <v>49</v>
      </c>
      <c r="H168">
        <v>8</v>
      </c>
      <c r="I168">
        <v>65</v>
      </c>
      <c r="J168">
        <v>4.8913594059823096</v>
      </c>
      <c r="K168" t="b">
        <f t="shared" si="8"/>
        <v>1</v>
      </c>
      <c r="L168">
        <f t="shared" si="9"/>
        <v>173.16468738428441</v>
      </c>
      <c r="M168">
        <f t="shared" si="10"/>
        <v>692.65874953713762</v>
      </c>
      <c r="N168">
        <f t="shared" si="11"/>
        <v>846.42899193438211</v>
      </c>
    </row>
    <row r="169" spans="1:14" x14ac:dyDescent="0.35">
      <c r="A169" t="s">
        <v>49</v>
      </c>
      <c r="B169">
        <v>8</v>
      </c>
      <c r="C169" t="s">
        <v>50</v>
      </c>
      <c r="D169">
        <v>66</v>
      </c>
      <c r="E169">
        <v>153.498148022674</v>
      </c>
      <c r="F169">
        <v>17.271893947181901</v>
      </c>
      <c r="G169" t="s">
        <v>49</v>
      </c>
      <c r="H169">
        <v>8</v>
      </c>
      <c r="I169">
        <v>66</v>
      </c>
      <c r="J169">
        <v>4.9627091691951701</v>
      </c>
      <c r="K169" t="b">
        <f t="shared" si="8"/>
        <v>1</v>
      </c>
      <c r="L169">
        <f t="shared" si="9"/>
        <v>175.73275113905106</v>
      </c>
      <c r="M169">
        <f t="shared" si="10"/>
        <v>702.93100455620424</v>
      </c>
      <c r="N169">
        <f t="shared" si="11"/>
        <v>858.98168756768155</v>
      </c>
    </row>
    <row r="170" spans="1:14" x14ac:dyDescent="0.35">
      <c r="A170" t="s">
        <v>49</v>
      </c>
      <c r="B170">
        <v>8</v>
      </c>
      <c r="C170" t="s">
        <v>50</v>
      </c>
      <c r="D170">
        <v>67</v>
      </c>
      <c r="E170">
        <v>155.43720357663301</v>
      </c>
      <c r="F170">
        <v>17.821488170027699</v>
      </c>
      <c r="G170" t="s">
        <v>49</v>
      </c>
      <c r="H170">
        <v>8</v>
      </c>
      <c r="I170">
        <v>67</v>
      </c>
      <c r="J170">
        <v>5.0321817478845903</v>
      </c>
      <c r="K170" t="b">
        <f t="shared" si="8"/>
        <v>1</v>
      </c>
      <c r="L170">
        <f t="shared" si="9"/>
        <v>178.29087349454528</v>
      </c>
      <c r="M170">
        <f t="shared" si="10"/>
        <v>713.16349397818112</v>
      </c>
      <c r="N170">
        <f t="shared" si="11"/>
        <v>871.48578964133731</v>
      </c>
    </row>
    <row r="171" spans="1:14" x14ac:dyDescent="0.35">
      <c r="A171" t="s">
        <v>49</v>
      </c>
      <c r="B171">
        <v>8</v>
      </c>
      <c r="C171" t="s">
        <v>50</v>
      </c>
      <c r="D171">
        <v>68</v>
      </c>
      <c r="E171">
        <v>157.37576769061101</v>
      </c>
      <c r="F171">
        <v>18.3634188608061</v>
      </c>
      <c r="G171" t="s">
        <v>49</v>
      </c>
      <c r="H171">
        <v>8</v>
      </c>
      <c r="I171">
        <v>68</v>
      </c>
      <c r="J171">
        <v>5.10037361967923</v>
      </c>
      <c r="K171" t="b">
        <f t="shared" si="8"/>
        <v>1</v>
      </c>
      <c r="L171">
        <f t="shared" si="9"/>
        <v>180.83956017109634</v>
      </c>
      <c r="M171">
        <f t="shared" si="10"/>
        <v>723.35824068438535</v>
      </c>
      <c r="N171">
        <f t="shared" si="11"/>
        <v>883.94377011631889</v>
      </c>
    </row>
    <row r="172" spans="1:14" x14ac:dyDescent="0.35">
      <c r="A172" t="s">
        <v>49</v>
      </c>
      <c r="B172">
        <v>8</v>
      </c>
      <c r="C172" t="s">
        <v>50</v>
      </c>
      <c r="D172">
        <v>69</v>
      </c>
      <c r="E172">
        <v>159.31096785307801</v>
      </c>
      <c r="F172">
        <v>18.900498556771499</v>
      </c>
      <c r="G172" t="s">
        <v>49</v>
      </c>
      <c r="H172">
        <v>8</v>
      </c>
      <c r="I172">
        <v>69</v>
      </c>
      <c r="J172">
        <v>5.1676367527767404</v>
      </c>
      <c r="K172" t="b">
        <f t="shared" si="8"/>
        <v>1</v>
      </c>
      <c r="L172">
        <f t="shared" si="9"/>
        <v>183.37910316262625</v>
      </c>
      <c r="M172">
        <f t="shared" si="10"/>
        <v>733.516412650505</v>
      </c>
      <c r="N172">
        <f t="shared" si="11"/>
        <v>896.35705625891705</v>
      </c>
    </row>
    <row r="173" spans="1:14" x14ac:dyDescent="0.35">
      <c r="A173" t="s">
        <v>49</v>
      </c>
      <c r="B173">
        <v>8</v>
      </c>
      <c r="C173" t="s">
        <v>50</v>
      </c>
      <c r="D173">
        <v>70</v>
      </c>
      <c r="E173">
        <v>160.98349405862999</v>
      </c>
      <c r="F173">
        <v>19.404698939429601</v>
      </c>
      <c r="G173" t="s">
        <v>49</v>
      </c>
      <c r="H173">
        <v>8</v>
      </c>
      <c r="I173">
        <v>70</v>
      </c>
      <c r="J173">
        <v>5.2312712322462698</v>
      </c>
      <c r="K173" t="b">
        <f t="shared" si="8"/>
        <v>1</v>
      </c>
      <c r="L173">
        <f t="shared" si="9"/>
        <v>185.61946423030585</v>
      </c>
      <c r="M173">
        <f t="shared" si="10"/>
        <v>742.47785692122341</v>
      </c>
      <c r="N173">
        <f t="shared" si="11"/>
        <v>907.30794115773494</v>
      </c>
    </row>
    <row r="174" spans="1:14" x14ac:dyDescent="0.35">
      <c r="A174" t="s">
        <v>49</v>
      </c>
      <c r="B174">
        <v>8</v>
      </c>
      <c r="C174" t="s">
        <v>50</v>
      </c>
      <c r="D174">
        <v>71</v>
      </c>
      <c r="E174">
        <v>162.66943336031699</v>
      </c>
      <c r="F174">
        <v>19.8895723640026</v>
      </c>
      <c r="G174" t="s">
        <v>49</v>
      </c>
      <c r="H174">
        <v>8</v>
      </c>
      <c r="I174">
        <v>71</v>
      </c>
      <c r="J174">
        <v>5.2927144099296797</v>
      </c>
      <c r="K174" t="b">
        <f t="shared" si="8"/>
        <v>1</v>
      </c>
      <c r="L174">
        <f t="shared" si="9"/>
        <v>187.85172013424926</v>
      </c>
      <c r="M174">
        <f t="shared" si="10"/>
        <v>751.40688053699705</v>
      </c>
      <c r="N174">
        <f t="shared" si="11"/>
        <v>918.21920801621036</v>
      </c>
    </row>
    <row r="175" spans="1:14" x14ac:dyDescent="0.35">
      <c r="A175" t="s">
        <v>49</v>
      </c>
      <c r="B175">
        <v>8</v>
      </c>
      <c r="C175" t="s">
        <v>50</v>
      </c>
      <c r="D175">
        <v>72</v>
      </c>
      <c r="E175">
        <v>164.3608816272</v>
      </c>
      <c r="F175">
        <v>20.362881295733501</v>
      </c>
      <c r="G175" t="s">
        <v>49</v>
      </c>
      <c r="H175">
        <v>8</v>
      </c>
      <c r="I175">
        <v>72</v>
      </c>
      <c r="J175">
        <v>5.3527646652205298</v>
      </c>
      <c r="K175" t="b">
        <f t="shared" si="8"/>
        <v>1</v>
      </c>
      <c r="L175">
        <f t="shared" si="9"/>
        <v>190.07652758815402</v>
      </c>
      <c r="M175">
        <f t="shared" si="10"/>
        <v>760.30611035261609</v>
      </c>
      <c r="N175">
        <f t="shared" si="11"/>
        <v>929.09406685089687</v>
      </c>
    </row>
    <row r="176" spans="1:14" x14ac:dyDescent="0.35">
      <c r="A176" t="s">
        <v>49</v>
      </c>
      <c r="B176">
        <v>8</v>
      </c>
      <c r="C176" t="s">
        <v>50</v>
      </c>
      <c r="D176">
        <v>73</v>
      </c>
      <c r="E176">
        <v>166.053308982348</v>
      </c>
      <c r="F176">
        <v>20.829067169913198</v>
      </c>
      <c r="G176" t="s">
        <v>49</v>
      </c>
      <c r="H176">
        <v>8</v>
      </c>
      <c r="I176">
        <v>73</v>
      </c>
      <c r="J176">
        <v>5.41187441303504</v>
      </c>
      <c r="K176" t="b">
        <f t="shared" si="8"/>
        <v>1</v>
      </c>
      <c r="L176">
        <f t="shared" si="9"/>
        <v>192.29425056529624</v>
      </c>
      <c r="M176">
        <f t="shared" si="10"/>
        <v>769.17700226118495</v>
      </c>
      <c r="N176">
        <f t="shared" si="11"/>
        <v>939.93429676316805</v>
      </c>
    </row>
    <row r="177" spans="1:14" x14ac:dyDescent="0.35">
      <c r="A177" t="s">
        <v>49</v>
      </c>
      <c r="B177">
        <v>8</v>
      </c>
      <c r="C177" t="s">
        <v>50</v>
      </c>
      <c r="D177">
        <v>74</v>
      </c>
      <c r="E177">
        <v>167.744118094604</v>
      </c>
      <c r="F177">
        <v>21.290669960812899</v>
      </c>
      <c r="G177" t="s">
        <v>49</v>
      </c>
      <c r="H177">
        <v>8</v>
      </c>
      <c r="I177">
        <v>74</v>
      </c>
      <c r="J177">
        <v>5.4703072364526504</v>
      </c>
      <c r="K177" t="b">
        <f t="shared" si="8"/>
        <v>1</v>
      </c>
      <c r="L177">
        <f t="shared" si="9"/>
        <v>194.50509529186954</v>
      </c>
      <c r="M177">
        <f t="shared" si="10"/>
        <v>778.02038116747815</v>
      </c>
      <c r="N177">
        <f t="shared" si="11"/>
        <v>950.74090578665823</v>
      </c>
    </row>
    <row r="178" spans="1:14" x14ac:dyDescent="0.35">
      <c r="A178" t="s">
        <v>49</v>
      </c>
      <c r="B178">
        <v>8</v>
      </c>
      <c r="C178" t="s">
        <v>50</v>
      </c>
      <c r="D178">
        <v>75</v>
      </c>
      <c r="E178">
        <v>169.246248933229</v>
      </c>
      <c r="F178">
        <v>21.730820682609</v>
      </c>
      <c r="G178" t="s">
        <v>49</v>
      </c>
      <c r="H178">
        <v>8</v>
      </c>
      <c r="I178">
        <v>75</v>
      </c>
      <c r="J178">
        <v>5.5261229997374297</v>
      </c>
      <c r="K178" t="b">
        <f t="shared" si="8"/>
        <v>1</v>
      </c>
      <c r="L178">
        <f t="shared" si="9"/>
        <v>196.50319261557541</v>
      </c>
      <c r="M178">
        <f t="shared" si="10"/>
        <v>786.01277046230166</v>
      </c>
      <c r="N178">
        <f t="shared" si="11"/>
        <v>960.5076055049326</v>
      </c>
    </row>
    <row r="179" spans="1:14" x14ac:dyDescent="0.35">
      <c r="A179" t="s">
        <v>49</v>
      </c>
      <c r="B179">
        <v>8</v>
      </c>
      <c r="C179" t="s">
        <v>50</v>
      </c>
      <c r="D179">
        <v>76</v>
      </c>
      <c r="E179">
        <v>170.756180313199</v>
      </c>
      <c r="F179">
        <v>22.1582034474478</v>
      </c>
      <c r="G179" t="s">
        <v>49</v>
      </c>
      <c r="H179">
        <v>8</v>
      </c>
      <c r="I179">
        <v>76</v>
      </c>
      <c r="J179">
        <v>5.5803340590363799</v>
      </c>
      <c r="K179" t="b">
        <f t="shared" si="8"/>
        <v>1</v>
      </c>
      <c r="L179">
        <f t="shared" si="9"/>
        <v>198.49471781968316</v>
      </c>
      <c r="M179">
        <f t="shared" si="10"/>
        <v>793.97887127873264</v>
      </c>
      <c r="N179">
        <f t="shared" si="11"/>
        <v>970.24218070261122</v>
      </c>
    </row>
    <row r="180" spans="1:14" x14ac:dyDescent="0.35">
      <c r="A180" t="s">
        <v>49</v>
      </c>
      <c r="B180">
        <v>8</v>
      </c>
      <c r="C180" t="s">
        <v>50</v>
      </c>
      <c r="D180">
        <v>77</v>
      </c>
      <c r="E180">
        <v>172.26885860744301</v>
      </c>
      <c r="F180">
        <v>22.577771010609599</v>
      </c>
      <c r="G180" t="s">
        <v>49</v>
      </c>
      <c r="H180">
        <v>8</v>
      </c>
      <c r="I180">
        <v>77</v>
      </c>
      <c r="J180">
        <v>5.6335091350229396</v>
      </c>
      <c r="K180" t="b">
        <f t="shared" si="8"/>
        <v>1</v>
      </c>
      <c r="L180">
        <f t="shared" si="9"/>
        <v>200.48013875307555</v>
      </c>
      <c r="M180">
        <f t="shared" si="10"/>
        <v>801.9205550123022</v>
      </c>
      <c r="N180">
        <f t="shared" si="11"/>
        <v>979.9469182250333</v>
      </c>
    </row>
    <row r="181" spans="1:14" x14ac:dyDescent="0.35">
      <c r="A181" t="s">
        <v>49</v>
      </c>
      <c r="B181">
        <v>8</v>
      </c>
      <c r="C181" t="s">
        <v>50</v>
      </c>
      <c r="D181">
        <v>78</v>
      </c>
      <c r="E181">
        <v>173.78139694736601</v>
      </c>
      <c r="F181">
        <v>22.992345813719101</v>
      </c>
      <c r="G181" t="s">
        <v>49</v>
      </c>
      <c r="H181">
        <v>8</v>
      </c>
      <c r="I181">
        <v>78</v>
      </c>
      <c r="J181">
        <v>5.6859747658645103</v>
      </c>
      <c r="K181" t="b">
        <f t="shared" si="8"/>
        <v>1</v>
      </c>
      <c r="L181">
        <f t="shared" si="9"/>
        <v>202.45971752694962</v>
      </c>
      <c r="M181">
        <f t="shared" si="10"/>
        <v>809.83887010779847</v>
      </c>
      <c r="N181">
        <f t="shared" si="11"/>
        <v>989.62309927172976</v>
      </c>
    </row>
    <row r="182" spans="1:14" x14ac:dyDescent="0.35">
      <c r="A182" t="s">
        <v>49</v>
      </c>
      <c r="B182">
        <v>8</v>
      </c>
      <c r="C182" t="s">
        <v>50</v>
      </c>
      <c r="D182">
        <v>79</v>
      </c>
      <c r="E182">
        <v>175.29214483379999</v>
      </c>
      <c r="F182">
        <v>23.403535446785401</v>
      </c>
      <c r="G182" t="s">
        <v>49</v>
      </c>
      <c r="H182">
        <v>8</v>
      </c>
      <c r="I182">
        <v>79</v>
      </c>
      <c r="J182">
        <v>5.7379239535958702</v>
      </c>
      <c r="K182" t="b">
        <f t="shared" si="8"/>
        <v>1</v>
      </c>
      <c r="L182">
        <f t="shared" si="9"/>
        <v>204.43360423418127</v>
      </c>
      <c r="M182">
        <f t="shared" si="10"/>
        <v>817.7344169367251</v>
      </c>
      <c r="N182">
        <f t="shared" si="11"/>
        <v>999.27145749667807</v>
      </c>
    </row>
    <row r="183" spans="1:14" x14ac:dyDescent="0.35">
      <c r="A183" t="s">
        <v>49</v>
      </c>
      <c r="B183">
        <v>8</v>
      </c>
      <c r="C183" t="s">
        <v>50</v>
      </c>
      <c r="D183">
        <v>80</v>
      </c>
      <c r="E183">
        <v>176.625575820552</v>
      </c>
      <c r="F183">
        <v>23.820153755171098</v>
      </c>
      <c r="G183" t="s">
        <v>49</v>
      </c>
      <c r="H183">
        <v>8</v>
      </c>
      <c r="I183">
        <v>80</v>
      </c>
      <c r="J183">
        <v>5.7874999629960104</v>
      </c>
      <c r="K183" t="b">
        <f t="shared" si="8"/>
        <v>1</v>
      </c>
      <c r="L183">
        <f t="shared" si="9"/>
        <v>206.23322953871912</v>
      </c>
      <c r="M183">
        <f t="shared" si="10"/>
        <v>824.93291815487646</v>
      </c>
      <c r="N183">
        <f t="shared" si="11"/>
        <v>1008.0680259852591</v>
      </c>
    </row>
    <row r="184" spans="1:14" x14ac:dyDescent="0.35">
      <c r="A184" t="s">
        <v>49</v>
      </c>
      <c r="B184">
        <v>8</v>
      </c>
      <c r="C184" t="s">
        <v>50</v>
      </c>
      <c r="D184">
        <v>81</v>
      </c>
      <c r="E184">
        <v>177.93430574281001</v>
      </c>
      <c r="F184">
        <v>24.214635093406201</v>
      </c>
      <c r="G184" t="s">
        <v>49</v>
      </c>
      <c r="H184">
        <v>8</v>
      </c>
      <c r="I184">
        <v>81</v>
      </c>
      <c r="J184">
        <v>5.8352688165468498</v>
      </c>
      <c r="K184" t="b">
        <f t="shared" si="8"/>
        <v>1</v>
      </c>
      <c r="L184">
        <f t="shared" si="9"/>
        <v>207.98420965276307</v>
      </c>
      <c r="M184">
        <f t="shared" si="10"/>
        <v>831.93683861105228</v>
      </c>
      <c r="N184">
        <f t="shared" si="11"/>
        <v>1016.6268167827059</v>
      </c>
    </row>
    <row r="185" spans="1:14" x14ac:dyDescent="0.35">
      <c r="A185" t="s">
        <v>49</v>
      </c>
      <c r="B185">
        <v>8</v>
      </c>
      <c r="C185" t="s">
        <v>50</v>
      </c>
      <c r="D185">
        <v>82</v>
      </c>
      <c r="E185">
        <v>179.21425322531201</v>
      </c>
      <c r="F185">
        <v>24.592300245144799</v>
      </c>
      <c r="G185" t="s">
        <v>49</v>
      </c>
      <c r="H185">
        <v>8</v>
      </c>
      <c r="I185">
        <v>82</v>
      </c>
      <c r="J185">
        <v>5.8815284563498196</v>
      </c>
      <c r="K185" t="b">
        <f t="shared" si="8"/>
        <v>1</v>
      </c>
      <c r="L185">
        <f t="shared" si="9"/>
        <v>209.68808192680663</v>
      </c>
      <c r="M185">
        <f t="shared" si="10"/>
        <v>838.75232770722653</v>
      </c>
      <c r="N185">
        <f t="shared" si="11"/>
        <v>1024.9553444582307</v>
      </c>
    </row>
    <row r="186" spans="1:14" x14ac:dyDescent="0.35">
      <c r="A186" t="s">
        <v>49</v>
      </c>
      <c r="B186">
        <v>8</v>
      </c>
      <c r="C186" t="s">
        <v>50</v>
      </c>
      <c r="D186">
        <v>83</v>
      </c>
      <c r="E186">
        <v>180.46351700560899</v>
      </c>
      <c r="F186">
        <v>24.956288585018601</v>
      </c>
      <c r="G186" t="s">
        <v>49</v>
      </c>
      <c r="H186">
        <v>8</v>
      </c>
      <c r="I186">
        <v>83</v>
      </c>
      <c r="J186">
        <v>5.9264414101541298</v>
      </c>
      <c r="K186" t="b">
        <f t="shared" si="8"/>
        <v>1</v>
      </c>
      <c r="L186">
        <f t="shared" si="9"/>
        <v>211.34624700078172</v>
      </c>
      <c r="M186">
        <f t="shared" si="10"/>
        <v>845.38498800312686</v>
      </c>
      <c r="N186">
        <f t="shared" si="11"/>
        <v>1033.0604553398209</v>
      </c>
    </row>
    <row r="187" spans="1:14" x14ac:dyDescent="0.35">
      <c r="A187" t="s">
        <v>49</v>
      </c>
      <c r="B187">
        <v>8</v>
      </c>
      <c r="C187" t="s">
        <v>50</v>
      </c>
      <c r="D187">
        <v>84</v>
      </c>
      <c r="E187">
        <v>181.681424140562</v>
      </c>
      <c r="F187">
        <v>25.3084953747932</v>
      </c>
      <c r="G187" t="s">
        <v>49</v>
      </c>
      <c r="H187">
        <v>8</v>
      </c>
      <c r="I187">
        <v>84</v>
      </c>
      <c r="J187">
        <v>5.9701026084783004</v>
      </c>
      <c r="K187" t="b">
        <f t="shared" si="8"/>
        <v>1</v>
      </c>
      <c r="L187">
        <f t="shared" si="9"/>
        <v>212.96002212383351</v>
      </c>
      <c r="M187">
        <f t="shared" si="10"/>
        <v>851.84008849533404</v>
      </c>
      <c r="N187">
        <f t="shared" si="11"/>
        <v>1040.9485881412982</v>
      </c>
    </row>
    <row r="188" spans="1:14" x14ac:dyDescent="0.35">
      <c r="A188" t="s">
        <v>49</v>
      </c>
      <c r="B188">
        <v>8</v>
      </c>
      <c r="C188" t="s">
        <v>50</v>
      </c>
      <c r="D188">
        <v>85</v>
      </c>
      <c r="E188">
        <v>182.867987635059</v>
      </c>
      <c r="F188">
        <v>25.650106171930599</v>
      </c>
      <c r="G188" t="s">
        <v>49</v>
      </c>
      <c r="H188">
        <v>8</v>
      </c>
      <c r="I188">
        <v>85</v>
      </c>
      <c r="J188">
        <v>6.0125736274666099</v>
      </c>
      <c r="K188" t="b">
        <f t="shared" si="8"/>
        <v>1</v>
      </c>
      <c r="L188">
        <f t="shared" si="9"/>
        <v>214.53066743445621</v>
      </c>
      <c r="M188">
        <f t="shared" si="10"/>
        <v>858.12266973782482</v>
      </c>
      <c r="N188">
        <f t="shared" si="11"/>
        <v>1048.625902419622</v>
      </c>
    </row>
    <row r="189" spans="1:14" x14ac:dyDescent="0.35">
      <c r="A189" t="s">
        <v>49</v>
      </c>
      <c r="B189">
        <v>8</v>
      </c>
      <c r="C189" t="s">
        <v>50</v>
      </c>
      <c r="D189">
        <v>86</v>
      </c>
      <c r="E189">
        <v>184.012411071504</v>
      </c>
      <c r="F189">
        <v>25.981901146134302</v>
      </c>
      <c r="G189" t="s">
        <v>49</v>
      </c>
      <c r="H189">
        <v>8</v>
      </c>
      <c r="I189">
        <v>86</v>
      </c>
      <c r="J189">
        <v>6.0538997219868698</v>
      </c>
      <c r="K189" t="b">
        <f t="shared" si="8"/>
        <v>1</v>
      </c>
      <c r="L189">
        <f t="shared" si="9"/>
        <v>216.04821193962519</v>
      </c>
      <c r="M189">
        <f t="shared" si="10"/>
        <v>864.19284775850076</v>
      </c>
      <c r="N189">
        <f t="shared" si="11"/>
        <v>1056.0436599608879</v>
      </c>
    </row>
    <row r="190" spans="1:14" x14ac:dyDescent="0.35">
      <c r="A190" t="s">
        <v>49</v>
      </c>
      <c r="B190">
        <v>8</v>
      </c>
      <c r="C190" t="s">
        <v>50</v>
      </c>
      <c r="D190">
        <v>87</v>
      </c>
      <c r="E190">
        <v>185.12536311205</v>
      </c>
      <c r="F190">
        <v>26.304428188798099</v>
      </c>
      <c r="G190" t="s">
        <v>49</v>
      </c>
      <c r="H190">
        <v>8</v>
      </c>
      <c r="I190">
        <v>87</v>
      </c>
      <c r="J190">
        <v>6.09411814241607</v>
      </c>
      <c r="K190" t="b">
        <f t="shared" si="8"/>
        <v>1</v>
      </c>
      <c r="L190">
        <f t="shared" si="9"/>
        <v>217.52390944326416</v>
      </c>
      <c r="M190">
        <f t="shared" si="10"/>
        <v>870.09563777305664</v>
      </c>
      <c r="N190">
        <f t="shared" si="11"/>
        <v>1063.2568693586752</v>
      </c>
    </row>
    <row r="191" spans="1:14" x14ac:dyDescent="0.35">
      <c r="A191" t="s">
        <v>49</v>
      </c>
      <c r="B191">
        <v>8</v>
      </c>
      <c r="C191" t="s">
        <v>50</v>
      </c>
      <c r="D191">
        <v>88</v>
      </c>
      <c r="E191">
        <v>186.20897480007301</v>
      </c>
      <c r="F191">
        <v>26.6181012868329</v>
      </c>
      <c r="G191" t="s">
        <v>49</v>
      </c>
      <c r="H191">
        <v>8</v>
      </c>
      <c r="I191">
        <v>88</v>
      </c>
      <c r="J191">
        <v>6.1332621016177296</v>
      </c>
      <c r="K191" t="b">
        <f t="shared" si="8"/>
        <v>1</v>
      </c>
      <c r="L191">
        <f t="shared" si="9"/>
        <v>218.96033818852365</v>
      </c>
      <c r="M191">
        <f t="shared" si="10"/>
        <v>875.8413527540946</v>
      </c>
      <c r="N191">
        <f t="shared" si="11"/>
        <v>1070.2781330655037</v>
      </c>
    </row>
    <row r="192" spans="1:14" x14ac:dyDescent="0.35">
      <c r="A192" t="s">
        <v>49</v>
      </c>
      <c r="B192">
        <v>8</v>
      </c>
      <c r="C192" t="s">
        <v>50</v>
      </c>
      <c r="D192">
        <v>89</v>
      </c>
      <c r="E192">
        <v>187.26398111628299</v>
      </c>
      <c r="F192">
        <v>26.9232563665011</v>
      </c>
      <c r="G192" t="s">
        <v>49</v>
      </c>
      <c r="H192">
        <v>8</v>
      </c>
      <c r="I192">
        <v>89</v>
      </c>
      <c r="J192">
        <v>6.1713626114413502</v>
      </c>
      <c r="K192" t="b">
        <f t="shared" si="8"/>
        <v>1</v>
      </c>
      <c r="L192">
        <f t="shared" si="9"/>
        <v>220.35860009422544</v>
      </c>
      <c r="M192">
        <f t="shared" si="10"/>
        <v>881.43440037690175</v>
      </c>
      <c r="N192">
        <f t="shared" si="11"/>
        <v>1077.112837260574</v>
      </c>
    </row>
    <row r="193" spans="1:14" x14ac:dyDescent="0.35">
      <c r="A193" t="s">
        <v>49</v>
      </c>
      <c r="B193">
        <v>8</v>
      </c>
      <c r="C193" t="s">
        <v>50</v>
      </c>
      <c r="D193">
        <v>90</v>
      </c>
      <c r="E193">
        <v>188.29113272778</v>
      </c>
      <c r="F193">
        <v>27.220182955817702</v>
      </c>
      <c r="G193" t="s">
        <v>49</v>
      </c>
      <c r="H193">
        <v>8</v>
      </c>
      <c r="I193">
        <v>90</v>
      </c>
      <c r="J193">
        <v>6.2084493009841601</v>
      </c>
      <c r="K193" t="b">
        <f t="shared" si="8"/>
        <v>1</v>
      </c>
      <c r="L193">
        <f t="shared" si="9"/>
        <v>221.71976498458187</v>
      </c>
      <c r="M193">
        <f t="shared" si="10"/>
        <v>886.87905993832749</v>
      </c>
      <c r="N193">
        <f t="shared" si="11"/>
        <v>1083.7662112446362</v>
      </c>
    </row>
    <row r="194" spans="1:14" x14ac:dyDescent="0.35">
      <c r="A194" t="s">
        <v>49</v>
      </c>
      <c r="B194">
        <v>8</v>
      </c>
      <c r="C194" t="s">
        <v>50</v>
      </c>
      <c r="D194">
        <v>91</v>
      </c>
      <c r="E194">
        <v>189.291178783356</v>
      </c>
      <c r="F194">
        <v>27.5091421109551</v>
      </c>
      <c r="G194" t="s">
        <v>49</v>
      </c>
      <c r="H194">
        <v>8</v>
      </c>
      <c r="I194">
        <v>91</v>
      </c>
      <c r="J194">
        <v>6.2445507641783502</v>
      </c>
      <c r="K194" t="b">
        <f t="shared" si="8"/>
        <v>1</v>
      </c>
      <c r="L194">
        <f t="shared" si="9"/>
        <v>223.04487165848946</v>
      </c>
      <c r="M194">
        <f t="shared" si="10"/>
        <v>892.17948663395782</v>
      </c>
      <c r="N194">
        <f t="shared" si="11"/>
        <v>1090.2433326666965</v>
      </c>
    </row>
    <row r="195" spans="1:14" x14ac:dyDescent="0.35">
      <c r="A195" t="s">
        <v>49</v>
      </c>
      <c r="B195">
        <v>8</v>
      </c>
      <c r="C195" t="s">
        <v>50</v>
      </c>
      <c r="D195">
        <v>92</v>
      </c>
      <c r="E195">
        <v>190.264857536118</v>
      </c>
      <c r="F195">
        <v>27.790376548839799</v>
      </c>
      <c r="G195" t="s">
        <v>49</v>
      </c>
      <c r="H195">
        <v>8</v>
      </c>
      <c r="I195">
        <v>92</v>
      </c>
      <c r="J195">
        <v>6.2796947000504399</v>
      </c>
      <c r="K195" t="b">
        <f t="shared" ref="K195:K258" si="12">H195=B195</f>
        <v>1</v>
      </c>
      <c r="L195">
        <f t="shared" ref="L195:L258" si="13">E195+F195+J195</f>
        <v>224.33492878500823</v>
      </c>
      <c r="M195">
        <f t="shared" ref="M195:M258" si="14">(L195*2)*(100/50)</f>
        <v>897.33971514003292</v>
      </c>
      <c r="N195">
        <f t="shared" ref="N195:N258" si="15">M195*1.222</f>
        <v>1096.5491319011203</v>
      </c>
    </row>
    <row r="196" spans="1:14" x14ac:dyDescent="0.35">
      <c r="A196" t="s">
        <v>49</v>
      </c>
      <c r="B196">
        <v>8</v>
      </c>
      <c r="C196" t="s">
        <v>50</v>
      </c>
      <c r="D196">
        <v>93</v>
      </c>
      <c r="E196">
        <v>191.21289139496099</v>
      </c>
      <c r="F196">
        <v>28.064116364024599</v>
      </c>
      <c r="G196" t="s">
        <v>49</v>
      </c>
      <c r="H196">
        <v>8</v>
      </c>
      <c r="I196">
        <v>93</v>
      </c>
      <c r="J196">
        <v>6.3139079683213399</v>
      </c>
      <c r="K196" t="b">
        <f t="shared" si="12"/>
        <v>1</v>
      </c>
      <c r="L196">
        <f t="shared" si="13"/>
        <v>225.59091572730691</v>
      </c>
      <c r="M196">
        <f t="shared" si="14"/>
        <v>902.36366290922763</v>
      </c>
      <c r="N196">
        <f t="shared" si="15"/>
        <v>1102.6883960750761</v>
      </c>
    </row>
    <row r="197" spans="1:14" x14ac:dyDescent="0.35">
      <c r="A197" t="s">
        <v>49</v>
      </c>
      <c r="B197">
        <v>8</v>
      </c>
      <c r="C197" t="s">
        <v>50</v>
      </c>
      <c r="D197">
        <v>94</v>
      </c>
      <c r="E197">
        <v>192.135984473961</v>
      </c>
      <c r="F197">
        <v>28.3305822488533</v>
      </c>
      <c r="G197" t="s">
        <v>49</v>
      </c>
      <c r="H197">
        <v>8</v>
      </c>
      <c r="I197">
        <v>94</v>
      </c>
      <c r="J197">
        <v>6.3472166148883096</v>
      </c>
      <c r="K197" t="b">
        <f t="shared" si="12"/>
        <v>1</v>
      </c>
      <c r="L197">
        <f t="shared" si="13"/>
        <v>226.8137833377026</v>
      </c>
      <c r="M197">
        <f t="shared" si="14"/>
        <v>907.25513335081041</v>
      </c>
      <c r="N197">
        <f t="shared" si="15"/>
        <v>1108.6657729546903</v>
      </c>
    </row>
    <row r="198" spans="1:14" x14ac:dyDescent="0.35">
      <c r="A198" t="s">
        <v>49</v>
      </c>
      <c r="B198">
        <v>8</v>
      </c>
      <c r="C198" t="s">
        <v>50</v>
      </c>
      <c r="D198">
        <v>95</v>
      </c>
      <c r="E198">
        <v>193.03482154335799</v>
      </c>
      <c r="F198">
        <v>28.589987306141801</v>
      </c>
      <c r="G198" t="s">
        <v>49</v>
      </c>
      <c r="H198">
        <v>8</v>
      </c>
      <c r="I198">
        <v>95</v>
      </c>
      <c r="J198">
        <v>6.3796458897023403</v>
      </c>
      <c r="K198" t="b">
        <f t="shared" si="12"/>
        <v>1</v>
      </c>
      <c r="L198">
        <f t="shared" si="13"/>
        <v>228.00445473920215</v>
      </c>
      <c r="M198">
        <f t="shared" si="14"/>
        <v>912.01781895680858</v>
      </c>
      <c r="N198">
        <f t="shared" si="15"/>
        <v>1114.48577476522</v>
      </c>
    </row>
    <row r="199" spans="1:14" x14ac:dyDescent="0.35">
      <c r="A199" t="s">
        <v>49</v>
      </c>
      <c r="B199">
        <v>8</v>
      </c>
      <c r="C199" t="s">
        <v>50</v>
      </c>
      <c r="D199">
        <v>96</v>
      </c>
      <c r="E199">
        <v>193.91006776035701</v>
      </c>
      <c r="F199">
        <v>28.8425380719538</v>
      </c>
      <c r="G199" t="s">
        <v>49</v>
      </c>
      <c r="H199">
        <v>8</v>
      </c>
      <c r="I199">
        <v>96</v>
      </c>
      <c r="J199">
        <v>6.4112202651289198</v>
      </c>
      <c r="K199" t="b">
        <f t="shared" si="12"/>
        <v>1</v>
      </c>
      <c r="L199">
        <f t="shared" si="13"/>
        <v>229.16382609743974</v>
      </c>
      <c r="M199">
        <f t="shared" si="14"/>
        <v>916.65530438975895</v>
      </c>
      <c r="N199">
        <f t="shared" si="15"/>
        <v>1120.1527819642854</v>
      </c>
    </row>
    <row r="200" spans="1:14" x14ac:dyDescent="0.35">
      <c r="A200" t="s">
        <v>49</v>
      </c>
      <c r="B200">
        <v>8</v>
      </c>
      <c r="C200" t="s">
        <v>50</v>
      </c>
      <c r="D200">
        <v>97</v>
      </c>
      <c r="E200">
        <v>194.762368827572</v>
      </c>
      <c r="F200">
        <v>29.088435098110899</v>
      </c>
      <c r="G200" t="s">
        <v>49</v>
      </c>
      <c r="H200">
        <v>8</v>
      </c>
      <c r="I200">
        <v>97</v>
      </c>
      <c r="J200">
        <v>6.4419634568057997</v>
      </c>
      <c r="K200" t="b">
        <f t="shared" si="12"/>
        <v>1</v>
      </c>
      <c r="L200">
        <f t="shared" si="13"/>
        <v>230.29276738248871</v>
      </c>
      <c r="M200">
        <f t="shared" si="14"/>
        <v>921.17106952995482</v>
      </c>
      <c r="N200">
        <f t="shared" si="15"/>
        <v>1125.6710469656048</v>
      </c>
    </row>
    <row r="201" spans="1:14" x14ac:dyDescent="0.35">
      <c r="A201" t="s">
        <v>49</v>
      </c>
      <c r="B201">
        <v>8</v>
      </c>
      <c r="C201" t="s">
        <v>50</v>
      </c>
      <c r="D201">
        <v>98</v>
      </c>
      <c r="E201">
        <v>195.59235138</v>
      </c>
      <c r="F201">
        <v>29.3278732919715</v>
      </c>
      <c r="G201" t="s">
        <v>49</v>
      </c>
      <c r="H201">
        <v>8</v>
      </c>
      <c r="I201">
        <v>98</v>
      </c>
      <c r="J201">
        <v>6.4718984467489999</v>
      </c>
      <c r="K201" t="b">
        <f t="shared" si="12"/>
        <v>1</v>
      </c>
      <c r="L201">
        <f t="shared" si="13"/>
        <v>231.39212311872049</v>
      </c>
      <c r="M201">
        <f t="shared" si="14"/>
        <v>925.56849247488196</v>
      </c>
      <c r="N201">
        <f t="shared" si="15"/>
        <v>1131.0446978043058</v>
      </c>
    </row>
    <row r="202" spans="1:14" x14ac:dyDescent="0.35">
      <c r="A202" t="s">
        <v>49</v>
      </c>
      <c r="B202">
        <v>8</v>
      </c>
      <c r="C202" t="s">
        <v>50</v>
      </c>
      <c r="D202">
        <v>99</v>
      </c>
      <c r="E202">
        <v>196.40062348837299</v>
      </c>
      <c r="F202">
        <v>29.561042124716199</v>
      </c>
      <c r="G202" t="s">
        <v>49</v>
      </c>
      <c r="H202">
        <v>8</v>
      </c>
      <c r="I202">
        <v>99</v>
      </c>
      <c r="J202">
        <v>6.5010475078332997</v>
      </c>
      <c r="K202" t="b">
        <f t="shared" si="12"/>
        <v>1</v>
      </c>
      <c r="L202">
        <f t="shared" si="13"/>
        <v>232.4627131209225</v>
      </c>
      <c r="M202">
        <f t="shared" si="14"/>
        <v>929.85085248369001</v>
      </c>
      <c r="N202">
        <f t="shared" si="15"/>
        <v>1136.2777417350692</v>
      </c>
    </row>
    <row r="203" spans="1:14" x14ac:dyDescent="0.35">
      <c r="A203" t="s">
        <v>49</v>
      </c>
      <c r="B203">
        <v>8</v>
      </c>
      <c r="C203" t="s">
        <v>50</v>
      </c>
      <c r="D203">
        <v>100</v>
      </c>
      <c r="E203">
        <v>197.18777521595101</v>
      </c>
      <c r="F203">
        <v>29.788125770479901</v>
      </c>
      <c r="G203" t="s">
        <v>49</v>
      </c>
      <c r="H203">
        <v>8</v>
      </c>
      <c r="I203">
        <v>100</v>
      </c>
      <c r="J203">
        <v>6.5294322287836799</v>
      </c>
      <c r="K203" t="b">
        <f t="shared" si="12"/>
        <v>1</v>
      </c>
      <c r="L203">
        <f t="shared" si="13"/>
        <v>233.50533321521459</v>
      </c>
      <c r="M203">
        <f t="shared" si="14"/>
        <v>934.02133286085837</v>
      </c>
      <c r="N203">
        <f t="shared" si="15"/>
        <v>1141.3740687559689</v>
      </c>
    </row>
    <row r="204" spans="1:14" x14ac:dyDescent="0.35">
      <c r="A204" t="s">
        <v>49</v>
      </c>
      <c r="B204">
        <v>10</v>
      </c>
      <c r="C204" t="s">
        <v>50</v>
      </c>
      <c r="D204">
        <v>0</v>
      </c>
      <c r="E204">
        <v>0</v>
      </c>
      <c r="F204">
        <v>0</v>
      </c>
      <c r="G204" t="s">
        <v>49</v>
      </c>
      <c r="H204">
        <v>10</v>
      </c>
      <c r="I204">
        <v>0</v>
      </c>
      <c r="J204">
        <v>0</v>
      </c>
      <c r="K204" t="b">
        <f t="shared" si="12"/>
        <v>1</v>
      </c>
      <c r="L204">
        <f t="shared" si="13"/>
        <v>0</v>
      </c>
      <c r="M204">
        <f t="shared" si="14"/>
        <v>0</v>
      </c>
      <c r="N204">
        <f t="shared" si="15"/>
        <v>0</v>
      </c>
    </row>
    <row r="205" spans="1:14" x14ac:dyDescent="0.35">
      <c r="A205" t="s">
        <v>49</v>
      </c>
      <c r="B205">
        <v>10</v>
      </c>
      <c r="C205" t="s">
        <v>50</v>
      </c>
      <c r="D205">
        <v>1</v>
      </c>
      <c r="E205">
        <v>4.1333135533389097E-2</v>
      </c>
      <c r="F205" s="19">
        <v>2.1470644064502001E-4</v>
      </c>
      <c r="G205" t="s">
        <v>49</v>
      </c>
      <c r="H205">
        <v>10</v>
      </c>
      <c r="I205">
        <v>1</v>
      </c>
      <c r="J205" s="19">
        <v>4.6758271119636002E-4</v>
      </c>
      <c r="K205" t="b">
        <f t="shared" si="12"/>
        <v>1</v>
      </c>
      <c r="L205">
        <f t="shared" si="13"/>
        <v>4.2015424685230479E-2</v>
      </c>
      <c r="M205">
        <f t="shared" si="14"/>
        <v>0.16806169874092192</v>
      </c>
      <c r="N205">
        <f t="shared" si="15"/>
        <v>0.20537139586140657</v>
      </c>
    </row>
    <row r="206" spans="1:14" x14ac:dyDescent="0.35">
      <c r="A206" t="s">
        <v>49</v>
      </c>
      <c r="B206">
        <v>10</v>
      </c>
      <c r="C206" t="s">
        <v>50</v>
      </c>
      <c r="D206">
        <v>2</v>
      </c>
      <c r="E206">
        <v>9.2999554950125504E-2</v>
      </c>
      <c r="F206" s="19">
        <v>6.9135473887698003E-4</v>
      </c>
      <c r="G206" t="s">
        <v>49</v>
      </c>
      <c r="H206">
        <v>10</v>
      </c>
      <c r="I206">
        <v>2</v>
      </c>
      <c r="J206">
        <v>1.34610955747109E-3</v>
      </c>
      <c r="K206" t="b">
        <f t="shared" si="12"/>
        <v>1</v>
      </c>
      <c r="L206">
        <f t="shared" si="13"/>
        <v>9.5037019246473578E-2</v>
      </c>
      <c r="M206">
        <f t="shared" si="14"/>
        <v>0.38014807698589431</v>
      </c>
      <c r="N206">
        <f t="shared" si="15"/>
        <v>0.46454095007676283</v>
      </c>
    </row>
    <row r="207" spans="1:14" x14ac:dyDescent="0.35">
      <c r="A207" t="s">
        <v>49</v>
      </c>
      <c r="B207">
        <v>10</v>
      </c>
      <c r="C207" t="s">
        <v>50</v>
      </c>
      <c r="D207">
        <v>3</v>
      </c>
      <c r="E207">
        <v>0.15758257922104599</v>
      </c>
      <c r="F207">
        <v>1.4891824016698299E-3</v>
      </c>
      <c r="G207" t="s">
        <v>49</v>
      </c>
      <c r="H207">
        <v>10</v>
      </c>
      <c r="I207">
        <v>3</v>
      </c>
      <c r="J207">
        <v>2.6334714291500198E-3</v>
      </c>
      <c r="K207" t="b">
        <f t="shared" si="12"/>
        <v>1</v>
      </c>
      <c r="L207">
        <f t="shared" si="13"/>
        <v>0.16170523305186585</v>
      </c>
      <c r="M207">
        <f t="shared" si="14"/>
        <v>0.64682093220746339</v>
      </c>
      <c r="N207">
        <f t="shared" si="15"/>
        <v>0.79041517915752024</v>
      </c>
    </row>
    <row r="208" spans="1:14" x14ac:dyDescent="0.35">
      <c r="A208" t="s">
        <v>49</v>
      </c>
      <c r="B208">
        <v>10</v>
      </c>
      <c r="C208" t="s">
        <v>50</v>
      </c>
      <c r="D208">
        <v>4</v>
      </c>
      <c r="E208">
        <v>0.23831135955969601</v>
      </c>
      <c r="F208">
        <v>2.68242375146372E-3</v>
      </c>
      <c r="G208" t="s">
        <v>49</v>
      </c>
      <c r="H208">
        <v>10</v>
      </c>
      <c r="I208">
        <v>4</v>
      </c>
      <c r="J208">
        <v>4.3674354234550803E-3</v>
      </c>
      <c r="K208" t="b">
        <f t="shared" si="12"/>
        <v>1</v>
      </c>
      <c r="L208">
        <f t="shared" si="13"/>
        <v>0.24536121873461481</v>
      </c>
      <c r="M208">
        <f t="shared" si="14"/>
        <v>0.98144487493845922</v>
      </c>
      <c r="N208">
        <f t="shared" si="15"/>
        <v>1.1993256371747971</v>
      </c>
    </row>
    <row r="209" spans="1:14" x14ac:dyDescent="0.35">
      <c r="A209" t="s">
        <v>49</v>
      </c>
      <c r="B209">
        <v>10</v>
      </c>
      <c r="C209" t="s">
        <v>50</v>
      </c>
      <c r="D209">
        <v>5</v>
      </c>
      <c r="E209">
        <v>0.33922233498300902</v>
      </c>
      <c r="F209">
        <v>4.3640535068698002E-3</v>
      </c>
      <c r="G209" t="s">
        <v>49</v>
      </c>
      <c r="H209">
        <v>10</v>
      </c>
      <c r="I209">
        <v>5</v>
      </c>
      <c r="J209">
        <v>6.6192392722025199E-3</v>
      </c>
      <c r="K209" t="b">
        <f t="shared" si="12"/>
        <v>1</v>
      </c>
      <c r="L209">
        <f t="shared" si="13"/>
        <v>0.35020562776208136</v>
      </c>
      <c r="M209">
        <f t="shared" si="14"/>
        <v>1.4008225110483254</v>
      </c>
      <c r="N209">
        <f t="shared" si="15"/>
        <v>1.7118051085010537</v>
      </c>
    </row>
    <row r="210" spans="1:14" x14ac:dyDescent="0.35">
      <c r="A210" t="s">
        <v>49</v>
      </c>
      <c r="B210">
        <v>10</v>
      </c>
      <c r="C210" t="s">
        <v>50</v>
      </c>
      <c r="D210">
        <v>6</v>
      </c>
      <c r="E210">
        <v>0.46536105426215002</v>
      </c>
      <c r="F210">
        <v>6.6504664272462304E-3</v>
      </c>
      <c r="G210" t="s">
        <v>49</v>
      </c>
      <c r="H210">
        <v>10</v>
      </c>
      <c r="I210">
        <v>6</v>
      </c>
      <c r="J210">
        <v>9.4924189720323408E-3</v>
      </c>
      <c r="K210" t="b">
        <f t="shared" si="12"/>
        <v>1</v>
      </c>
      <c r="L210">
        <f t="shared" si="13"/>
        <v>0.48150393966142857</v>
      </c>
      <c r="M210">
        <f t="shared" si="14"/>
        <v>1.9260157586457143</v>
      </c>
      <c r="N210">
        <f t="shared" si="15"/>
        <v>2.3535912570650628</v>
      </c>
    </row>
    <row r="211" spans="1:14" x14ac:dyDescent="0.35">
      <c r="A211" t="s">
        <v>49</v>
      </c>
      <c r="B211">
        <v>10</v>
      </c>
      <c r="C211" t="s">
        <v>50</v>
      </c>
      <c r="D211">
        <v>7</v>
      </c>
      <c r="E211">
        <v>0.62303445336107799</v>
      </c>
      <c r="F211">
        <v>9.6873270320520198E-3</v>
      </c>
      <c r="G211" t="s">
        <v>49</v>
      </c>
      <c r="H211">
        <v>10</v>
      </c>
      <c r="I211">
        <v>7</v>
      </c>
      <c r="J211">
        <v>1.3125278744973099E-2</v>
      </c>
      <c r="K211" t="b">
        <f t="shared" si="12"/>
        <v>1</v>
      </c>
      <c r="L211">
        <f t="shared" si="13"/>
        <v>0.64584705913810303</v>
      </c>
      <c r="M211">
        <f t="shared" si="14"/>
        <v>2.5833882365524121</v>
      </c>
      <c r="N211">
        <f t="shared" si="15"/>
        <v>3.1569004250670476</v>
      </c>
    </row>
    <row r="212" spans="1:14" x14ac:dyDescent="0.35">
      <c r="A212" t="s">
        <v>49</v>
      </c>
      <c r="B212">
        <v>10</v>
      </c>
      <c r="C212" t="s">
        <v>50</v>
      </c>
      <c r="D212">
        <v>8</v>
      </c>
      <c r="E212">
        <v>0.82012620223473698</v>
      </c>
      <c r="F212">
        <v>1.36568819087645E-2</v>
      </c>
      <c r="G212" t="s">
        <v>49</v>
      </c>
      <c r="H212">
        <v>10</v>
      </c>
      <c r="I212">
        <v>8</v>
      </c>
      <c r="J212">
        <v>1.7696255120632599E-2</v>
      </c>
      <c r="K212" t="b">
        <f t="shared" si="12"/>
        <v>1</v>
      </c>
      <c r="L212">
        <f t="shared" si="13"/>
        <v>0.85147933926413399</v>
      </c>
      <c r="M212">
        <f t="shared" si="14"/>
        <v>3.405917357056536</v>
      </c>
      <c r="N212">
        <f t="shared" si="15"/>
        <v>4.1620310103230871</v>
      </c>
    </row>
    <row r="213" spans="1:14" x14ac:dyDescent="0.35">
      <c r="A213" t="s">
        <v>49</v>
      </c>
      <c r="B213">
        <v>10</v>
      </c>
      <c r="C213" t="s">
        <v>50</v>
      </c>
      <c r="D213">
        <v>9</v>
      </c>
      <c r="E213">
        <v>1.06649088832681</v>
      </c>
      <c r="F213">
        <v>1.8787100251738999E-2</v>
      </c>
      <c r="G213" t="s">
        <v>49</v>
      </c>
      <c r="H213">
        <v>10</v>
      </c>
      <c r="I213">
        <v>9</v>
      </c>
      <c r="J213">
        <v>2.3431947207101799E-2</v>
      </c>
      <c r="K213" t="b">
        <f t="shared" si="12"/>
        <v>1</v>
      </c>
      <c r="L213">
        <f t="shared" si="13"/>
        <v>1.1087099357856509</v>
      </c>
      <c r="M213">
        <f t="shared" si="14"/>
        <v>4.4348397431426037</v>
      </c>
      <c r="N213">
        <f t="shared" si="15"/>
        <v>5.4193741661202619</v>
      </c>
    </row>
    <row r="214" spans="1:14" x14ac:dyDescent="0.35">
      <c r="A214" t="s">
        <v>49</v>
      </c>
      <c r="B214">
        <v>10</v>
      </c>
      <c r="C214" t="s">
        <v>50</v>
      </c>
      <c r="D214">
        <v>10</v>
      </c>
      <c r="E214">
        <v>1.3744467459419001</v>
      </c>
      <c r="F214">
        <v>2.5363099685128801E-2</v>
      </c>
      <c r="G214" t="s">
        <v>49</v>
      </c>
      <c r="H214">
        <v>10</v>
      </c>
      <c r="I214">
        <v>10</v>
      </c>
      <c r="J214">
        <v>3.06179321143993E-2</v>
      </c>
      <c r="K214" t="b">
        <f t="shared" si="12"/>
        <v>1</v>
      </c>
      <c r="L214">
        <f t="shared" si="13"/>
        <v>1.4304277777414283</v>
      </c>
      <c r="M214">
        <f t="shared" si="14"/>
        <v>5.7217111109657131</v>
      </c>
      <c r="N214">
        <f t="shared" si="15"/>
        <v>6.9919309776001013</v>
      </c>
    </row>
    <row r="215" spans="1:14" x14ac:dyDescent="0.35">
      <c r="A215" t="s">
        <v>49</v>
      </c>
      <c r="B215">
        <v>10</v>
      </c>
      <c r="C215" t="s">
        <v>50</v>
      </c>
      <c r="D215">
        <v>11</v>
      </c>
      <c r="E215">
        <v>1.7593915679607599</v>
      </c>
      <c r="F215">
        <v>3.3741428686397401E-2</v>
      </c>
      <c r="G215" t="s">
        <v>49</v>
      </c>
      <c r="H215">
        <v>10</v>
      </c>
      <c r="I215">
        <v>11</v>
      </c>
      <c r="J215">
        <v>3.9612745257043301E-2</v>
      </c>
      <c r="K215" t="b">
        <f t="shared" si="12"/>
        <v>1</v>
      </c>
      <c r="L215">
        <f t="shared" si="13"/>
        <v>1.8327457419042006</v>
      </c>
      <c r="M215">
        <f t="shared" si="14"/>
        <v>7.3309829676168023</v>
      </c>
      <c r="N215">
        <f t="shared" si="15"/>
        <v>8.9584611864277317</v>
      </c>
    </row>
    <row r="216" spans="1:14" x14ac:dyDescent="0.35">
      <c r="A216" t="s">
        <v>49</v>
      </c>
      <c r="B216">
        <v>10</v>
      </c>
      <c r="C216" t="s">
        <v>50</v>
      </c>
      <c r="D216">
        <v>12</v>
      </c>
      <c r="E216">
        <v>2.2405725954843501</v>
      </c>
      <c r="F216">
        <v>4.4367919756228502E-2</v>
      </c>
      <c r="G216" t="s">
        <v>49</v>
      </c>
      <c r="H216">
        <v>10</v>
      </c>
      <c r="I216">
        <v>12</v>
      </c>
      <c r="J216">
        <v>5.0865632657175398E-2</v>
      </c>
      <c r="K216" t="b">
        <f t="shared" si="12"/>
        <v>1</v>
      </c>
      <c r="L216">
        <f t="shared" si="13"/>
        <v>2.3358061478977539</v>
      </c>
      <c r="M216">
        <f t="shared" si="14"/>
        <v>9.3432245915910155</v>
      </c>
      <c r="N216">
        <f t="shared" si="15"/>
        <v>11.417420450924221</v>
      </c>
    </row>
    <row r="217" spans="1:14" x14ac:dyDescent="0.35">
      <c r="A217" t="s">
        <v>49</v>
      </c>
      <c r="B217">
        <v>10</v>
      </c>
      <c r="C217" t="s">
        <v>50</v>
      </c>
      <c r="D217">
        <v>13</v>
      </c>
      <c r="E217">
        <v>2.8420488798888202</v>
      </c>
      <c r="F217">
        <v>5.7800006017215501E-2</v>
      </c>
      <c r="G217" t="s">
        <v>49</v>
      </c>
      <c r="H217">
        <v>10</v>
      </c>
      <c r="I217">
        <v>13</v>
      </c>
      <c r="J217">
        <v>6.4938910347588599E-2</v>
      </c>
      <c r="K217" t="b">
        <f t="shared" si="12"/>
        <v>1</v>
      </c>
      <c r="L217">
        <f t="shared" si="13"/>
        <v>2.9647877962536242</v>
      </c>
      <c r="M217">
        <f t="shared" si="14"/>
        <v>11.859151185014497</v>
      </c>
      <c r="N217">
        <f t="shared" si="15"/>
        <v>14.491882748087715</v>
      </c>
    </row>
    <row r="218" spans="1:14" x14ac:dyDescent="0.35">
      <c r="A218" t="s">
        <v>49</v>
      </c>
      <c r="B218">
        <v>10</v>
      </c>
      <c r="C218" t="s">
        <v>50</v>
      </c>
      <c r="D218">
        <v>14</v>
      </c>
      <c r="E218">
        <v>3.5938942353944099</v>
      </c>
      <c r="F218">
        <v>7.4734617094436406E-2</v>
      </c>
      <c r="G218" t="s">
        <v>49</v>
      </c>
      <c r="H218">
        <v>10</v>
      </c>
      <c r="I218">
        <v>14</v>
      </c>
      <c r="J218">
        <v>8.2536018770471301E-2</v>
      </c>
      <c r="K218" t="b">
        <f t="shared" si="12"/>
        <v>1</v>
      </c>
      <c r="L218">
        <f t="shared" si="13"/>
        <v>3.7511648712593173</v>
      </c>
      <c r="M218">
        <f t="shared" si="14"/>
        <v>15.004659485037269</v>
      </c>
      <c r="N218">
        <f t="shared" si="15"/>
        <v>18.335693890715543</v>
      </c>
    </row>
    <row r="219" spans="1:14" x14ac:dyDescent="0.35">
      <c r="A219" t="s">
        <v>49</v>
      </c>
      <c r="B219">
        <v>10</v>
      </c>
      <c r="C219" t="s">
        <v>50</v>
      </c>
      <c r="D219">
        <v>15</v>
      </c>
      <c r="E219">
        <v>4.5337009297764101</v>
      </c>
      <c r="F219">
        <v>9.6043049094420005E-2</v>
      </c>
      <c r="G219" t="s">
        <v>49</v>
      </c>
      <c r="H219">
        <v>10</v>
      </c>
      <c r="I219">
        <v>15</v>
      </c>
      <c r="J219">
        <v>0.104536657620693</v>
      </c>
      <c r="K219" t="b">
        <f t="shared" si="12"/>
        <v>1</v>
      </c>
      <c r="L219">
        <f t="shared" si="13"/>
        <v>4.7342806364915235</v>
      </c>
      <c r="M219">
        <f t="shared" si="14"/>
        <v>18.937122545966094</v>
      </c>
      <c r="N219">
        <f t="shared" si="15"/>
        <v>23.141163751170566</v>
      </c>
    </row>
    <row r="220" spans="1:14" x14ac:dyDescent="0.35">
      <c r="A220" t="s">
        <v>49</v>
      </c>
      <c r="B220">
        <v>10</v>
      </c>
      <c r="C220" t="s">
        <v>50</v>
      </c>
      <c r="D220">
        <v>16</v>
      </c>
      <c r="E220">
        <v>5.7084592977539002</v>
      </c>
      <c r="F220">
        <v>0.12281455220325301</v>
      </c>
      <c r="G220" t="s">
        <v>49</v>
      </c>
      <c r="H220">
        <v>10</v>
      </c>
      <c r="I220">
        <v>16</v>
      </c>
      <c r="J220">
        <v>0.13204074791988199</v>
      </c>
      <c r="K220" t="b">
        <f t="shared" si="12"/>
        <v>1</v>
      </c>
      <c r="L220">
        <f t="shared" si="13"/>
        <v>5.9633145978770354</v>
      </c>
      <c r="M220">
        <f t="shared" si="14"/>
        <v>23.853258391508142</v>
      </c>
      <c r="N220">
        <f t="shared" si="15"/>
        <v>29.148681754422949</v>
      </c>
    </row>
    <row r="221" spans="1:14" x14ac:dyDescent="0.35">
      <c r="A221" t="s">
        <v>49</v>
      </c>
      <c r="B221">
        <v>10</v>
      </c>
      <c r="C221" t="s">
        <v>50</v>
      </c>
      <c r="D221">
        <v>17</v>
      </c>
      <c r="E221">
        <v>7.1769072577257704</v>
      </c>
      <c r="F221">
        <v>0.15641081530488299</v>
      </c>
      <c r="G221" t="s">
        <v>49</v>
      </c>
      <c r="H221">
        <v>10</v>
      </c>
      <c r="I221">
        <v>17</v>
      </c>
      <c r="J221">
        <v>0.16642341365703001</v>
      </c>
      <c r="K221" t="b">
        <f t="shared" si="12"/>
        <v>1</v>
      </c>
      <c r="L221">
        <f t="shared" si="13"/>
        <v>7.4997414866876841</v>
      </c>
      <c r="M221">
        <f t="shared" si="14"/>
        <v>29.998965946750737</v>
      </c>
      <c r="N221">
        <f t="shared" si="15"/>
        <v>36.658736386929398</v>
      </c>
    </row>
    <row r="222" spans="1:14" x14ac:dyDescent="0.35">
      <c r="A222" t="s">
        <v>49</v>
      </c>
      <c r="B222">
        <v>10</v>
      </c>
      <c r="C222" t="s">
        <v>50</v>
      </c>
      <c r="D222">
        <v>18</v>
      </c>
      <c r="E222">
        <v>9.0124672076905998</v>
      </c>
      <c r="F222">
        <v>0.198534071871041</v>
      </c>
      <c r="G222" t="s">
        <v>49</v>
      </c>
      <c r="H222">
        <v>10</v>
      </c>
      <c r="I222">
        <v>18</v>
      </c>
      <c r="J222">
        <v>0.20940372871374299</v>
      </c>
      <c r="K222" t="b">
        <f t="shared" si="12"/>
        <v>1</v>
      </c>
      <c r="L222">
        <f t="shared" si="13"/>
        <v>9.4204050082753845</v>
      </c>
      <c r="M222">
        <f t="shared" si="14"/>
        <v>37.681620033101538</v>
      </c>
      <c r="N222">
        <f t="shared" si="15"/>
        <v>46.04693968045008</v>
      </c>
    </row>
    <row r="223" spans="1:14" x14ac:dyDescent="0.35">
      <c r="A223" t="s">
        <v>49</v>
      </c>
      <c r="B223">
        <v>10</v>
      </c>
      <c r="C223" t="s">
        <v>50</v>
      </c>
      <c r="D223">
        <v>19</v>
      </c>
      <c r="E223">
        <v>11.306917145146601</v>
      </c>
      <c r="F223">
        <v>0.25131223243718498</v>
      </c>
      <c r="G223" t="s">
        <v>49</v>
      </c>
      <c r="H223">
        <v>10</v>
      </c>
      <c r="I223">
        <v>19</v>
      </c>
      <c r="J223">
        <v>0.26313066444159</v>
      </c>
      <c r="K223" t="b">
        <f t="shared" si="12"/>
        <v>1</v>
      </c>
      <c r="L223">
        <f t="shared" si="13"/>
        <v>11.821360042025375</v>
      </c>
      <c r="M223">
        <f t="shared" si="14"/>
        <v>47.285440168101502</v>
      </c>
      <c r="N223">
        <f t="shared" si="15"/>
        <v>57.782807885420034</v>
      </c>
    </row>
    <row r="224" spans="1:14" x14ac:dyDescent="0.35">
      <c r="A224" t="s">
        <v>49</v>
      </c>
      <c r="B224">
        <v>10</v>
      </c>
      <c r="C224" t="s">
        <v>50</v>
      </c>
      <c r="D224">
        <v>20</v>
      </c>
      <c r="E224">
        <v>14.1749795669666</v>
      </c>
      <c r="F224">
        <v>0.31740530030755898</v>
      </c>
      <c r="G224" t="s">
        <v>49</v>
      </c>
      <c r="H224">
        <v>10</v>
      </c>
      <c r="I224">
        <v>20</v>
      </c>
      <c r="J224">
        <v>0.33029053409339199</v>
      </c>
      <c r="K224" t="b">
        <f t="shared" si="12"/>
        <v>1</v>
      </c>
      <c r="L224">
        <f t="shared" si="13"/>
        <v>14.822675401367551</v>
      </c>
      <c r="M224">
        <f t="shared" si="14"/>
        <v>59.290701605470204</v>
      </c>
      <c r="N224">
        <f t="shared" si="15"/>
        <v>72.45323736188459</v>
      </c>
    </row>
    <row r="225" spans="1:14" x14ac:dyDescent="0.35">
      <c r="A225" t="s">
        <v>49</v>
      </c>
      <c r="B225">
        <v>10</v>
      </c>
      <c r="C225" t="s">
        <v>50</v>
      </c>
      <c r="D225">
        <v>21</v>
      </c>
      <c r="E225">
        <v>17.664075</v>
      </c>
      <c r="F225">
        <v>0.39963980629833201</v>
      </c>
      <c r="G225" t="s">
        <v>49</v>
      </c>
      <c r="H225">
        <v>10</v>
      </c>
      <c r="I225">
        <v>21</v>
      </c>
      <c r="J225">
        <v>0.41315549877151098</v>
      </c>
      <c r="K225" t="b">
        <f t="shared" si="12"/>
        <v>1</v>
      </c>
      <c r="L225">
        <f t="shared" si="13"/>
        <v>18.476870305069845</v>
      </c>
      <c r="M225">
        <f t="shared" si="14"/>
        <v>73.907481220279379</v>
      </c>
      <c r="N225">
        <f t="shared" si="15"/>
        <v>90.314942051181404</v>
      </c>
    </row>
    <row r="226" spans="1:14" x14ac:dyDescent="0.35">
      <c r="A226" t="s">
        <v>49</v>
      </c>
      <c r="B226">
        <v>10</v>
      </c>
      <c r="C226" t="s">
        <v>50</v>
      </c>
      <c r="D226">
        <v>22</v>
      </c>
      <c r="E226">
        <v>21.257280000000002</v>
      </c>
      <c r="F226">
        <v>0.49807230810938202</v>
      </c>
      <c r="G226" t="s">
        <v>49</v>
      </c>
      <c r="H226">
        <v>10</v>
      </c>
      <c r="I226">
        <v>22</v>
      </c>
      <c r="J226">
        <v>0.50736471336353595</v>
      </c>
      <c r="K226" t="b">
        <f t="shared" si="12"/>
        <v>1</v>
      </c>
      <c r="L226">
        <f t="shared" si="13"/>
        <v>22.26271702147292</v>
      </c>
      <c r="M226">
        <f t="shared" si="14"/>
        <v>89.050868085891679</v>
      </c>
      <c r="N226">
        <f t="shared" si="15"/>
        <v>108.82016080095963</v>
      </c>
    </row>
    <row r="227" spans="1:14" x14ac:dyDescent="0.35">
      <c r="A227" t="s">
        <v>49</v>
      </c>
      <c r="B227">
        <v>10</v>
      </c>
      <c r="C227" t="s">
        <v>50</v>
      </c>
      <c r="D227">
        <v>23</v>
      </c>
      <c r="E227">
        <v>24.850484999999999</v>
      </c>
      <c r="F227">
        <v>0.61221686586610102</v>
      </c>
      <c r="G227" t="s">
        <v>49</v>
      </c>
      <c r="H227">
        <v>10</v>
      </c>
      <c r="I227">
        <v>23</v>
      </c>
      <c r="J227">
        <v>0.60906056359714</v>
      </c>
      <c r="K227" t="b">
        <f t="shared" si="12"/>
        <v>1</v>
      </c>
      <c r="L227">
        <f t="shared" si="13"/>
        <v>26.071762429463242</v>
      </c>
      <c r="M227">
        <f t="shared" si="14"/>
        <v>104.28704971785297</v>
      </c>
      <c r="N227">
        <f t="shared" si="15"/>
        <v>127.43877475521633</v>
      </c>
    </row>
    <row r="228" spans="1:14" x14ac:dyDescent="0.35">
      <c r="A228" t="s">
        <v>49</v>
      </c>
      <c r="B228">
        <v>10</v>
      </c>
      <c r="C228" t="s">
        <v>50</v>
      </c>
      <c r="D228">
        <v>24</v>
      </c>
      <c r="E228">
        <v>28.44369</v>
      </c>
      <c r="F228">
        <v>0.74160211789011798</v>
      </c>
      <c r="G228" t="s">
        <v>49</v>
      </c>
      <c r="H228">
        <v>10</v>
      </c>
      <c r="I228">
        <v>24</v>
      </c>
      <c r="J228">
        <v>0.71582213071495904</v>
      </c>
      <c r="K228" t="b">
        <f t="shared" si="12"/>
        <v>1</v>
      </c>
      <c r="L228">
        <f t="shared" si="13"/>
        <v>29.901114248605076</v>
      </c>
      <c r="M228">
        <f t="shared" si="14"/>
        <v>119.6044569944203</v>
      </c>
      <c r="N228">
        <f t="shared" si="15"/>
        <v>146.1566464471816</v>
      </c>
    </row>
    <row r="229" spans="1:14" x14ac:dyDescent="0.35">
      <c r="A229" t="s">
        <v>49</v>
      </c>
      <c r="B229">
        <v>10</v>
      </c>
      <c r="C229" t="s">
        <v>50</v>
      </c>
      <c r="D229">
        <v>25</v>
      </c>
      <c r="E229">
        <v>32.036895000000001</v>
      </c>
      <c r="F229">
        <v>0.88577084335341405</v>
      </c>
      <c r="G229" t="s">
        <v>49</v>
      </c>
      <c r="H229">
        <v>10</v>
      </c>
      <c r="I229">
        <v>25</v>
      </c>
      <c r="J229">
        <v>0.82609522814687297</v>
      </c>
      <c r="K229" t="b">
        <f t="shared" si="12"/>
        <v>1</v>
      </c>
      <c r="L229">
        <f t="shared" si="13"/>
        <v>33.74876107150029</v>
      </c>
      <c r="M229">
        <f t="shared" si="14"/>
        <v>134.99504428600116</v>
      </c>
      <c r="N229">
        <f t="shared" si="15"/>
        <v>164.96394411749341</v>
      </c>
    </row>
    <row r="230" spans="1:14" x14ac:dyDescent="0.35">
      <c r="A230" t="s">
        <v>49</v>
      </c>
      <c r="B230">
        <v>10</v>
      </c>
      <c r="C230" t="s">
        <v>50</v>
      </c>
      <c r="D230">
        <v>26</v>
      </c>
      <c r="E230">
        <v>35.630099999999999</v>
      </c>
      <c r="F230">
        <v>1.04427953805281</v>
      </c>
      <c r="G230" t="s">
        <v>49</v>
      </c>
      <c r="H230">
        <v>10</v>
      </c>
      <c r="I230">
        <v>26</v>
      </c>
      <c r="J230">
        <v>0.938857452662331</v>
      </c>
      <c r="K230" t="b">
        <f t="shared" si="12"/>
        <v>1</v>
      </c>
      <c r="L230">
        <f t="shared" si="13"/>
        <v>37.613236990715144</v>
      </c>
      <c r="M230">
        <f t="shared" si="14"/>
        <v>150.45294796286058</v>
      </c>
      <c r="N230">
        <f t="shared" si="15"/>
        <v>183.85350241061562</v>
      </c>
    </row>
    <row r="231" spans="1:14" x14ac:dyDescent="0.35">
      <c r="A231" t="s">
        <v>49</v>
      </c>
      <c r="B231">
        <v>10</v>
      </c>
      <c r="C231" t="s">
        <v>50</v>
      </c>
      <c r="D231">
        <v>27</v>
      </c>
      <c r="E231">
        <v>39.881555999999897</v>
      </c>
      <c r="F231">
        <v>1.22011731111123</v>
      </c>
      <c r="G231" t="s">
        <v>49</v>
      </c>
      <c r="H231">
        <v>10</v>
      </c>
      <c r="I231">
        <v>27</v>
      </c>
      <c r="J231">
        <v>1.0608657051132</v>
      </c>
      <c r="K231" t="b">
        <f t="shared" si="12"/>
        <v>1</v>
      </c>
      <c r="L231">
        <f t="shared" si="13"/>
        <v>42.162539016224329</v>
      </c>
      <c r="M231">
        <f t="shared" si="14"/>
        <v>168.65015606489732</v>
      </c>
      <c r="N231">
        <f t="shared" si="15"/>
        <v>206.09049071130451</v>
      </c>
    </row>
    <row r="232" spans="1:14" x14ac:dyDescent="0.35">
      <c r="A232" t="s">
        <v>49</v>
      </c>
      <c r="B232">
        <v>10</v>
      </c>
      <c r="C232" t="s">
        <v>50</v>
      </c>
      <c r="D232">
        <v>28</v>
      </c>
      <c r="E232">
        <v>44.133012000000001</v>
      </c>
      <c r="F232">
        <v>1.4127642901778901</v>
      </c>
      <c r="G232" t="s">
        <v>49</v>
      </c>
      <c r="H232">
        <v>10</v>
      </c>
      <c r="I232">
        <v>28</v>
      </c>
      <c r="J232">
        <v>1.1888797889169</v>
      </c>
      <c r="K232" t="b">
        <f t="shared" si="12"/>
        <v>1</v>
      </c>
      <c r="L232">
        <f t="shared" si="13"/>
        <v>46.73465607909479</v>
      </c>
      <c r="M232">
        <f t="shared" si="14"/>
        <v>186.93862431637916</v>
      </c>
      <c r="N232">
        <f t="shared" si="15"/>
        <v>228.43899891461533</v>
      </c>
    </row>
    <row r="233" spans="1:14" x14ac:dyDescent="0.35">
      <c r="A233" t="s">
        <v>49</v>
      </c>
      <c r="B233">
        <v>10</v>
      </c>
      <c r="C233" t="s">
        <v>50</v>
      </c>
      <c r="D233">
        <v>29</v>
      </c>
      <c r="E233">
        <v>48.384467999999998</v>
      </c>
      <c r="F233">
        <v>1.6217161990725499</v>
      </c>
      <c r="G233" t="s">
        <v>49</v>
      </c>
      <c r="H233">
        <v>10</v>
      </c>
      <c r="I233">
        <v>29</v>
      </c>
      <c r="J233">
        <v>1.32089309732434</v>
      </c>
      <c r="K233" t="b">
        <f t="shared" si="12"/>
        <v>1</v>
      </c>
      <c r="L233">
        <f t="shared" si="13"/>
        <v>51.327077296396887</v>
      </c>
      <c r="M233">
        <f t="shared" si="14"/>
        <v>205.30830918558755</v>
      </c>
      <c r="N233">
        <f t="shared" si="15"/>
        <v>250.88675382478797</v>
      </c>
    </row>
    <row r="234" spans="1:14" x14ac:dyDescent="0.35">
      <c r="A234" t="s">
        <v>49</v>
      </c>
      <c r="B234">
        <v>10</v>
      </c>
      <c r="C234" t="s">
        <v>50</v>
      </c>
      <c r="D234">
        <v>30</v>
      </c>
      <c r="E234">
        <v>52.635923999999903</v>
      </c>
      <c r="F234">
        <v>1.8464838899003799</v>
      </c>
      <c r="G234" t="s">
        <v>49</v>
      </c>
      <c r="H234">
        <v>10</v>
      </c>
      <c r="I234">
        <v>30</v>
      </c>
      <c r="J234">
        <v>1.4556363802329699</v>
      </c>
      <c r="K234" t="b">
        <f t="shared" si="12"/>
        <v>1</v>
      </c>
      <c r="L234">
        <f t="shared" si="13"/>
        <v>55.938044270133247</v>
      </c>
      <c r="M234">
        <f t="shared" si="14"/>
        <v>223.75217708053299</v>
      </c>
      <c r="N234">
        <f t="shared" si="15"/>
        <v>273.42516039241133</v>
      </c>
    </row>
    <row r="235" spans="1:14" x14ac:dyDescent="0.35">
      <c r="A235" t="s">
        <v>49</v>
      </c>
      <c r="B235">
        <v>10</v>
      </c>
      <c r="C235" t="s">
        <v>50</v>
      </c>
      <c r="D235">
        <v>31</v>
      </c>
      <c r="E235">
        <v>56.88738</v>
      </c>
      <c r="F235">
        <v>2.08659288920337</v>
      </c>
      <c r="G235" t="s">
        <v>49</v>
      </c>
      <c r="H235">
        <v>10</v>
      </c>
      <c r="I235">
        <v>31</v>
      </c>
      <c r="J235">
        <v>1.59228776323539</v>
      </c>
      <c r="K235" t="b">
        <f t="shared" si="12"/>
        <v>1</v>
      </c>
      <c r="L235">
        <f t="shared" si="13"/>
        <v>60.566260652438757</v>
      </c>
      <c r="M235">
        <f t="shared" si="14"/>
        <v>242.26504260975503</v>
      </c>
      <c r="N235">
        <f t="shared" si="15"/>
        <v>296.04788206912065</v>
      </c>
    </row>
    <row r="236" spans="1:14" x14ac:dyDescent="0.35">
      <c r="A236" t="s">
        <v>49</v>
      </c>
      <c r="B236">
        <v>10</v>
      </c>
      <c r="C236" t="s">
        <v>50</v>
      </c>
      <c r="D236">
        <v>32</v>
      </c>
      <c r="E236">
        <v>61.543448999999903</v>
      </c>
      <c r="F236">
        <v>2.34368473432726</v>
      </c>
      <c r="G236" t="s">
        <v>49</v>
      </c>
      <c r="H236">
        <v>10</v>
      </c>
      <c r="I236">
        <v>32</v>
      </c>
      <c r="J236">
        <v>1.7348789270282301</v>
      </c>
      <c r="K236" t="b">
        <f t="shared" si="12"/>
        <v>1</v>
      </c>
      <c r="L236">
        <f t="shared" si="13"/>
        <v>65.622012661355399</v>
      </c>
      <c r="M236">
        <f t="shared" si="14"/>
        <v>262.48805064542159</v>
      </c>
      <c r="N236">
        <f t="shared" si="15"/>
        <v>320.7603978887052</v>
      </c>
    </row>
    <row r="237" spans="1:14" x14ac:dyDescent="0.35">
      <c r="A237" t="s">
        <v>49</v>
      </c>
      <c r="B237">
        <v>10</v>
      </c>
      <c r="C237" t="s">
        <v>50</v>
      </c>
      <c r="D237">
        <v>33</v>
      </c>
      <c r="E237">
        <v>66.199517999999998</v>
      </c>
      <c r="F237">
        <v>2.6172499398974498</v>
      </c>
      <c r="G237" t="s">
        <v>49</v>
      </c>
      <c r="H237">
        <v>10</v>
      </c>
      <c r="I237">
        <v>33</v>
      </c>
      <c r="J237">
        <v>1.8813399170329299</v>
      </c>
      <c r="K237" t="b">
        <f t="shared" si="12"/>
        <v>1</v>
      </c>
      <c r="L237">
        <f t="shared" si="13"/>
        <v>70.698107856930378</v>
      </c>
      <c r="M237">
        <f t="shared" si="14"/>
        <v>282.79243142772151</v>
      </c>
      <c r="N237">
        <f t="shared" si="15"/>
        <v>345.57235120467567</v>
      </c>
    </row>
    <row r="238" spans="1:14" x14ac:dyDescent="0.35">
      <c r="A238" t="s">
        <v>49</v>
      </c>
      <c r="B238">
        <v>10</v>
      </c>
      <c r="C238" t="s">
        <v>50</v>
      </c>
      <c r="D238">
        <v>34</v>
      </c>
      <c r="E238">
        <v>70.855587</v>
      </c>
      <c r="F238">
        <v>2.9067943051005201</v>
      </c>
      <c r="G238" t="s">
        <v>49</v>
      </c>
      <c r="H238">
        <v>10</v>
      </c>
      <c r="I238">
        <v>34</v>
      </c>
      <c r="J238">
        <v>2.0303856977358201</v>
      </c>
      <c r="K238" t="b">
        <f t="shared" si="12"/>
        <v>1</v>
      </c>
      <c r="L238">
        <f t="shared" si="13"/>
        <v>75.792767002836342</v>
      </c>
      <c r="M238">
        <f t="shared" si="14"/>
        <v>303.17106801134537</v>
      </c>
      <c r="N238">
        <f t="shared" si="15"/>
        <v>370.47504510986403</v>
      </c>
    </row>
    <row r="239" spans="1:14" x14ac:dyDescent="0.35">
      <c r="A239" t="s">
        <v>49</v>
      </c>
      <c r="B239">
        <v>10</v>
      </c>
      <c r="C239" t="s">
        <v>50</v>
      </c>
      <c r="D239">
        <v>35</v>
      </c>
      <c r="E239">
        <v>75.511656000000002</v>
      </c>
      <c r="F239">
        <v>3.2118384551475101</v>
      </c>
      <c r="G239" t="s">
        <v>49</v>
      </c>
      <c r="H239">
        <v>10</v>
      </c>
      <c r="I239">
        <v>35</v>
      </c>
      <c r="J239">
        <v>2.1812011893083798</v>
      </c>
      <c r="K239" t="b">
        <f t="shared" si="12"/>
        <v>1</v>
      </c>
      <c r="L239">
        <f t="shared" si="13"/>
        <v>80.904695644455899</v>
      </c>
      <c r="M239">
        <f t="shared" si="14"/>
        <v>323.61878257782359</v>
      </c>
      <c r="N239">
        <f t="shared" si="15"/>
        <v>395.46215231010041</v>
      </c>
    </row>
    <row r="240" spans="1:14" x14ac:dyDescent="0.35">
      <c r="A240" t="s">
        <v>49</v>
      </c>
      <c r="B240">
        <v>10</v>
      </c>
      <c r="C240" t="s">
        <v>50</v>
      </c>
      <c r="D240">
        <v>36</v>
      </c>
      <c r="E240">
        <v>80.167725000000004</v>
      </c>
      <c r="F240">
        <v>3.5319173964930801</v>
      </c>
      <c r="G240" t="s">
        <v>49</v>
      </c>
      <c r="H240">
        <v>10</v>
      </c>
      <c r="I240">
        <v>36</v>
      </c>
      <c r="J240">
        <v>2.3332570291016599</v>
      </c>
      <c r="K240" t="b">
        <f t="shared" si="12"/>
        <v>1</v>
      </c>
      <c r="L240">
        <f t="shared" si="13"/>
        <v>86.032899425594749</v>
      </c>
      <c r="M240">
        <f t="shared" si="14"/>
        <v>344.131597702379</v>
      </c>
      <c r="N240">
        <f t="shared" si="15"/>
        <v>420.52881239230715</v>
      </c>
    </row>
    <row r="241" spans="1:14" x14ac:dyDescent="0.35">
      <c r="A241" t="s">
        <v>49</v>
      </c>
      <c r="B241">
        <v>10</v>
      </c>
      <c r="C241" t="s">
        <v>50</v>
      </c>
      <c r="D241">
        <v>37</v>
      </c>
      <c r="E241">
        <v>84.944574000000003</v>
      </c>
      <c r="F241">
        <v>3.8672074813982902</v>
      </c>
      <c r="G241" t="s">
        <v>49</v>
      </c>
      <c r="H241">
        <v>10</v>
      </c>
      <c r="I241">
        <v>37</v>
      </c>
      <c r="J241">
        <v>2.4875671020376098</v>
      </c>
      <c r="K241" t="b">
        <f t="shared" si="12"/>
        <v>1</v>
      </c>
      <c r="L241">
        <f t="shared" si="13"/>
        <v>91.299348583435915</v>
      </c>
      <c r="M241">
        <f t="shared" si="14"/>
        <v>365.19739433374366</v>
      </c>
      <c r="N241">
        <f t="shared" si="15"/>
        <v>446.27121587583474</v>
      </c>
    </row>
    <row r="242" spans="1:14" x14ac:dyDescent="0.35">
      <c r="A242" t="s">
        <v>49</v>
      </c>
      <c r="B242">
        <v>10</v>
      </c>
      <c r="C242" t="s">
        <v>50</v>
      </c>
      <c r="D242">
        <v>38</v>
      </c>
      <c r="E242">
        <v>89.721423000000001</v>
      </c>
      <c r="F242">
        <v>4.21725237555634</v>
      </c>
      <c r="G242" t="s">
        <v>49</v>
      </c>
      <c r="H242">
        <v>10</v>
      </c>
      <c r="I242">
        <v>38</v>
      </c>
      <c r="J242">
        <v>2.6433837705582302</v>
      </c>
      <c r="K242" t="b">
        <f t="shared" si="12"/>
        <v>1</v>
      </c>
      <c r="L242">
        <f t="shared" si="13"/>
        <v>96.582059146114574</v>
      </c>
      <c r="M242">
        <f t="shared" si="14"/>
        <v>386.3282365844583</v>
      </c>
      <c r="N242">
        <f t="shared" si="15"/>
        <v>472.09310510620804</v>
      </c>
    </row>
    <row r="243" spans="1:14" x14ac:dyDescent="0.35">
      <c r="A243" t="s">
        <v>49</v>
      </c>
      <c r="B243">
        <v>10</v>
      </c>
      <c r="C243" t="s">
        <v>50</v>
      </c>
      <c r="D243">
        <v>39</v>
      </c>
      <c r="E243">
        <v>94.498272</v>
      </c>
      <c r="F243">
        <v>4.5816094346896499</v>
      </c>
      <c r="G243" t="s">
        <v>49</v>
      </c>
      <c r="H243">
        <v>10</v>
      </c>
      <c r="I243">
        <v>39</v>
      </c>
      <c r="J243">
        <v>2.8002325569070901</v>
      </c>
      <c r="K243" t="b">
        <f t="shared" si="12"/>
        <v>1</v>
      </c>
      <c r="L243">
        <f t="shared" si="13"/>
        <v>101.88011399159674</v>
      </c>
      <c r="M243">
        <f t="shared" si="14"/>
        <v>407.52045596638698</v>
      </c>
      <c r="N243">
        <f t="shared" si="15"/>
        <v>497.9899971909249</v>
      </c>
    </row>
    <row r="244" spans="1:14" x14ac:dyDescent="0.35">
      <c r="A244" t="s">
        <v>49</v>
      </c>
      <c r="B244">
        <v>10</v>
      </c>
      <c r="C244" t="s">
        <v>50</v>
      </c>
      <c r="D244">
        <v>40</v>
      </c>
      <c r="E244">
        <v>99.275120999999999</v>
      </c>
      <c r="F244">
        <v>4.9598492938489596</v>
      </c>
      <c r="G244" t="s">
        <v>49</v>
      </c>
      <c r="H244">
        <v>10</v>
      </c>
      <c r="I244">
        <v>40</v>
      </c>
      <c r="J244">
        <v>2.95780512326857</v>
      </c>
      <c r="K244" t="b">
        <f t="shared" si="12"/>
        <v>1</v>
      </c>
      <c r="L244">
        <f t="shared" si="13"/>
        <v>107.19277541711753</v>
      </c>
      <c r="M244">
        <f t="shared" si="14"/>
        <v>428.77110166847012</v>
      </c>
      <c r="N244">
        <f t="shared" si="15"/>
        <v>523.95828623887053</v>
      </c>
    </row>
    <row r="245" spans="1:14" x14ac:dyDescent="0.35">
      <c r="A245" t="s">
        <v>49</v>
      </c>
      <c r="B245">
        <v>10</v>
      </c>
      <c r="C245" t="s">
        <v>50</v>
      </c>
      <c r="D245">
        <v>41</v>
      </c>
      <c r="E245">
        <v>104.05197</v>
      </c>
      <c r="F245">
        <v>5.3515554690334897</v>
      </c>
      <c r="G245" t="s">
        <v>49</v>
      </c>
      <c r="H245">
        <v>10</v>
      </c>
      <c r="I245">
        <v>41</v>
      </c>
      <c r="J245">
        <v>3.1158960570165801</v>
      </c>
      <c r="K245" t="b">
        <f t="shared" si="12"/>
        <v>1</v>
      </c>
      <c r="L245">
        <f t="shared" si="13"/>
        <v>112.51942152605007</v>
      </c>
      <c r="M245">
        <f t="shared" si="14"/>
        <v>450.07768610420027</v>
      </c>
      <c r="N245">
        <f t="shared" si="15"/>
        <v>549.99493241933271</v>
      </c>
    </row>
    <row r="246" spans="1:14" x14ac:dyDescent="0.35">
      <c r="A246" t="s">
        <v>49</v>
      </c>
      <c r="B246">
        <v>10</v>
      </c>
      <c r="C246" t="s">
        <v>50</v>
      </c>
      <c r="D246">
        <v>42</v>
      </c>
      <c r="E246">
        <v>108.689922</v>
      </c>
      <c r="F246">
        <v>5.7556024653624904</v>
      </c>
      <c r="G246" t="s">
        <v>49</v>
      </c>
      <c r="H246">
        <v>10</v>
      </c>
      <c r="I246">
        <v>42</v>
      </c>
      <c r="J246">
        <v>3.2727937982014499</v>
      </c>
      <c r="K246" t="b">
        <f t="shared" si="12"/>
        <v>1</v>
      </c>
      <c r="L246">
        <f t="shared" si="13"/>
        <v>117.71831826356393</v>
      </c>
      <c r="M246">
        <f t="shared" si="14"/>
        <v>470.87327305425572</v>
      </c>
      <c r="N246">
        <f t="shared" si="15"/>
        <v>575.40713967230045</v>
      </c>
    </row>
    <row r="247" spans="1:14" x14ac:dyDescent="0.35">
      <c r="A247" t="s">
        <v>49</v>
      </c>
      <c r="B247">
        <v>10</v>
      </c>
      <c r="C247" t="s">
        <v>50</v>
      </c>
      <c r="D247">
        <v>43</v>
      </c>
      <c r="E247">
        <v>113.32787399999999</v>
      </c>
      <c r="F247">
        <v>6.1716200582016203</v>
      </c>
      <c r="G247" t="s">
        <v>49</v>
      </c>
      <c r="H247">
        <v>10</v>
      </c>
      <c r="I247">
        <v>43</v>
      </c>
      <c r="J247">
        <v>3.42898340623326</v>
      </c>
      <c r="K247" t="b">
        <f t="shared" si="12"/>
        <v>1</v>
      </c>
      <c r="L247">
        <f t="shared" si="13"/>
        <v>122.92847746443488</v>
      </c>
      <c r="M247">
        <f t="shared" si="14"/>
        <v>491.71390985773951</v>
      </c>
      <c r="N247">
        <f t="shared" si="15"/>
        <v>600.87439784615765</v>
      </c>
    </row>
    <row r="248" spans="1:14" x14ac:dyDescent="0.35">
      <c r="A248" t="s">
        <v>49</v>
      </c>
      <c r="B248">
        <v>10</v>
      </c>
      <c r="C248" t="s">
        <v>50</v>
      </c>
      <c r="D248">
        <v>44</v>
      </c>
      <c r="E248">
        <v>117.73910090839</v>
      </c>
      <c r="F248">
        <v>6.7972549663002901</v>
      </c>
      <c r="G248" t="s">
        <v>49</v>
      </c>
      <c r="H248">
        <v>10</v>
      </c>
      <c r="I248">
        <v>44</v>
      </c>
      <c r="J248">
        <v>3.5821822972492701</v>
      </c>
      <c r="K248" t="b">
        <f t="shared" si="12"/>
        <v>1</v>
      </c>
      <c r="L248">
        <f t="shared" si="13"/>
        <v>128.11853817193955</v>
      </c>
      <c r="M248">
        <f t="shared" si="14"/>
        <v>512.47415268775819</v>
      </c>
      <c r="N248">
        <f t="shared" si="15"/>
        <v>626.24341458444053</v>
      </c>
    </row>
    <row r="249" spans="1:14" x14ac:dyDescent="0.35">
      <c r="A249" t="s">
        <v>49</v>
      </c>
      <c r="B249">
        <v>10</v>
      </c>
      <c r="C249" t="s">
        <v>50</v>
      </c>
      <c r="D249">
        <v>45</v>
      </c>
      <c r="E249">
        <v>121.983903262558</v>
      </c>
      <c r="F249">
        <v>7.5697987089563101</v>
      </c>
      <c r="G249" t="s">
        <v>49</v>
      </c>
      <c r="H249">
        <v>10</v>
      </c>
      <c r="I249">
        <v>45</v>
      </c>
      <c r="J249">
        <v>3.73162523008184</v>
      </c>
      <c r="K249" t="b">
        <f t="shared" si="12"/>
        <v>1</v>
      </c>
      <c r="L249">
        <f t="shared" si="13"/>
        <v>133.28532720159615</v>
      </c>
      <c r="M249">
        <f t="shared" si="14"/>
        <v>533.14130880638459</v>
      </c>
      <c r="N249">
        <f t="shared" si="15"/>
        <v>651.49867936140197</v>
      </c>
    </row>
    <row r="250" spans="1:14" x14ac:dyDescent="0.35">
      <c r="A250" t="s">
        <v>49</v>
      </c>
      <c r="B250">
        <v>10</v>
      </c>
      <c r="C250" t="s">
        <v>50</v>
      </c>
      <c r="D250">
        <v>46</v>
      </c>
      <c r="E250">
        <v>126.116169636946</v>
      </c>
      <c r="F250">
        <v>8.4351499651916999</v>
      </c>
      <c r="G250" t="s">
        <v>49</v>
      </c>
      <c r="H250">
        <v>10</v>
      </c>
      <c r="I250">
        <v>46</v>
      </c>
      <c r="J250">
        <v>3.877411071849</v>
      </c>
      <c r="K250" t="b">
        <f t="shared" si="12"/>
        <v>1</v>
      </c>
      <c r="L250">
        <f t="shared" si="13"/>
        <v>138.42873067398671</v>
      </c>
      <c r="M250">
        <f t="shared" si="14"/>
        <v>553.71492269594683</v>
      </c>
      <c r="N250">
        <f t="shared" si="15"/>
        <v>676.63963553444705</v>
      </c>
    </row>
    <row r="251" spans="1:14" x14ac:dyDescent="0.35">
      <c r="A251" t="s">
        <v>49</v>
      </c>
      <c r="B251">
        <v>10</v>
      </c>
      <c r="C251" t="s">
        <v>50</v>
      </c>
      <c r="D251">
        <v>47</v>
      </c>
      <c r="E251">
        <v>129.87170156681501</v>
      </c>
      <c r="F251">
        <v>9.30128074573798</v>
      </c>
      <c r="G251" t="s">
        <v>49</v>
      </c>
      <c r="H251">
        <v>10</v>
      </c>
      <c r="I251">
        <v>47</v>
      </c>
      <c r="J251">
        <v>4.0165849981584998</v>
      </c>
      <c r="K251" t="b">
        <f t="shared" si="12"/>
        <v>1</v>
      </c>
      <c r="L251">
        <f t="shared" si="13"/>
        <v>143.18956731071148</v>
      </c>
      <c r="M251">
        <f t="shared" si="14"/>
        <v>572.75826924284593</v>
      </c>
      <c r="N251">
        <f t="shared" si="15"/>
        <v>699.91060501475772</v>
      </c>
    </row>
    <row r="252" spans="1:14" x14ac:dyDescent="0.35">
      <c r="A252" t="s">
        <v>49</v>
      </c>
      <c r="B252">
        <v>10</v>
      </c>
      <c r="C252" t="s">
        <v>50</v>
      </c>
      <c r="D252">
        <v>48</v>
      </c>
      <c r="E252">
        <v>133.60789156466601</v>
      </c>
      <c r="F252">
        <v>10.172515790191699</v>
      </c>
      <c r="G252" t="s">
        <v>49</v>
      </c>
      <c r="H252">
        <v>10</v>
      </c>
      <c r="I252">
        <v>48</v>
      </c>
      <c r="J252">
        <v>4.1513124160479702</v>
      </c>
      <c r="K252" t="b">
        <f t="shared" si="12"/>
        <v>1</v>
      </c>
      <c r="L252">
        <f t="shared" si="13"/>
        <v>147.93171977090569</v>
      </c>
      <c r="M252">
        <f t="shared" si="14"/>
        <v>591.72687908362275</v>
      </c>
      <c r="N252">
        <f t="shared" si="15"/>
        <v>723.09024624018696</v>
      </c>
    </row>
    <row r="253" spans="1:14" x14ac:dyDescent="0.35">
      <c r="A253" t="s">
        <v>49</v>
      </c>
      <c r="B253">
        <v>10</v>
      </c>
      <c r="C253" t="s">
        <v>50</v>
      </c>
      <c r="D253">
        <v>49</v>
      </c>
      <c r="E253">
        <v>137.321663409895</v>
      </c>
      <c r="F253">
        <v>11.051328806806501</v>
      </c>
      <c r="G253" t="s">
        <v>49</v>
      </c>
      <c r="H253">
        <v>10</v>
      </c>
      <c r="I253">
        <v>49</v>
      </c>
      <c r="J253">
        <v>4.2828792403442799</v>
      </c>
      <c r="K253" t="b">
        <f t="shared" si="12"/>
        <v>1</v>
      </c>
      <c r="L253">
        <f t="shared" si="13"/>
        <v>152.65587145704578</v>
      </c>
      <c r="M253">
        <f t="shared" si="14"/>
        <v>610.62348582818311</v>
      </c>
      <c r="N253">
        <f t="shared" si="15"/>
        <v>746.18189968203978</v>
      </c>
    </row>
    <row r="254" spans="1:14" x14ac:dyDescent="0.35">
      <c r="A254" t="s">
        <v>49</v>
      </c>
      <c r="B254">
        <v>10</v>
      </c>
      <c r="C254" t="s">
        <v>50</v>
      </c>
      <c r="D254">
        <v>50</v>
      </c>
      <c r="E254">
        <v>141.01106280317799</v>
      </c>
      <c r="F254">
        <v>11.9390864599587</v>
      </c>
      <c r="G254" t="s">
        <v>49</v>
      </c>
      <c r="H254">
        <v>10</v>
      </c>
      <c r="I254">
        <v>50</v>
      </c>
      <c r="J254">
        <v>4.4120623556257303</v>
      </c>
      <c r="K254" t="b">
        <f t="shared" si="12"/>
        <v>1</v>
      </c>
      <c r="L254">
        <f t="shared" si="13"/>
        <v>157.36221161876242</v>
      </c>
      <c r="M254">
        <f t="shared" si="14"/>
        <v>629.44884647504966</v>
      </c>
      <c r="N254">
        <f t="shared" si="15"/>
        <v>769.18649039251068</v>
      </c>
    </row>
    <row r="255" spans="1:14" x14ac:dyDescent="0.35">
      <c r="A255" t="s">
        <v>49</v>
      </c>
      <c r="B255">
        <v>10</v>
      </c>
      <c r="C255" t="s">
        <v>50</v>
      </c>
      <c r="D255">
        <v>51</v>
      </c>
      <c r="E255">
        <v>144.67480956276</v>
      </c>
      <c r="F255">
        <v>12.836493078097201</v>
      </c>
      <c r="G255" t="s">
        <v>49</v>
      </c>
      <c r="H255">
        <v>10</v>
      </c>
      <c r="I255">
        <v>51</v>
      </c>
      <c r="J255">
        <v>4.5393406604329902</v>
      </c>
      <c r="K255" t="b">
        <f t="shared" si="12"/>
        <v>1</v>
      </c>
      <c r="L255">
        <f t="shared" si="13"/>
        <v>162.05064330129019</v>
      </c>
      <c r="M255">
        <f t="shared" si="14"/>
        <v>648.20257320516077</v>
      </c>
      <c r="N255">
        <f t="shared" si="15"/>
        <v>792.10354445670646</v>
      </c>
    </row>
    <row r="256" spans="1:14" x14ac:dyDescent="0.35">
      <c r="A256" t="s">
        <v>49</v>
      </c>
      <c r="B256">
        <v>10</v>
      </c>
      <c r="C256" t="s">
        <v>50</v>
      </c>
      <c r="D256">
        <v>52</v>
      </c>
      <c r="E256">
        <v>147.90209264135299</v>
      </c>
      <c r="F256">
        <v>13.682739751520501</v>
      </c>
      <c r="G256" t="s">
        <v>49</v>
      </c>
      <c r="H256">
        <v>10</v>
      </c>
      <c r="I256">
        <v>52</v>
      </c>
      <c r="J256">
        <v>4.6603785918017602</v>
      </c>
      <c r="K256" t="b">
        <f t="shared" si="12"/>
        <v>1</v>
      </c>
      <c r="L256">
        <f t="shared" si="13"/>
        <v>166.24521098467525</v>
      </c>
      <c r="M256">
        <f t="shared" si="14"/>
        <v>664.98084393870101</v>
      </c>
      <c r="N256">
        <f t="shared" si="15"/>
        <v>812.60659129309261</v>
      </c>
    </row>
    <row r="257" spans="1:14" x14ac:dyDescent="0.35">
      <c r="A257" t="s">
        <v>49</v>
      </c>
      <c r="B257">
        <v>10</v>
      </c>
      <c r="C257" t="s">
        <v>50</v>
      </c>
      <c r="D257">
        <v>53</v>
      </c>
      <c r="E257">
        <v>151.145249268588</v>
      </c>
      <c r="F257">
        <v>14.5019049740933</v>
      </c>
      <c r="G257" t="s">
        <v>49</v>
      </c>
      <c r="H257">
        <v>10</v>
      </c>
      <c r="I257">
        <v>53</v>
      </c>
      <c r="J257">
        <v>4.7775787352861601</v>
      </c>
      <c r="K257" t="b">
        <f t="shared" si="12"/>
        <v>1</v>
      </c>
      <c r="L257">
        <f t="shared" si="13"/>
        <v>170.42473297796747</v>
      </c>
      <c r="M257">
        <f t="shared" si="14"/>
        <v>681.69893191186986</v>
      </c>
      <c r="N257">
        <f t="shared" si="15"/>
        <v>833.03609479630495</v>
      </c>
    </row>
    <row r="258" spans="1:14" x14ac:dyDescent="0.35">
      <c r="A258" t="s">
        <v>49</v>
      </c>
      <c r="B258">
        <v>10</v>
      </c>
      <c r="C258" t="s">
        <v>50</v>
      </c>
      <c r="D258">
        <v>54</v>
      </c>
      <c r="E258">
        <v>154.38971621582499</v>
      </c>
      <c r="F258">
        <v>15.308008253554799</v>
      </c>
      <c r="G258" t="s">
        <v>49</v>
      </c>
      <c r="H258">
        <v>10</v>
      </c>
      <c r="I258">
        <v>54</v>
      </c>
      <c r="J258">
        <v>4.8922561588501496</v>
      </c>
      <c r="K258" t="b">
        <f t="shared" si="12"/>
        <v>1</v>
      </c>
      <c r="L258">
        <f t="shared" si="13"/>
        <v>174.58998062822994</v>
      </c>
      <c r="M258">
        <f t="shared" si="14"/>
        <v>698.35992251291975</v>
      </c>
      <c r="N258">
        <f t="shared" si="15"/>
        <v>853.39582531078793</v>
      </c>
    </row>
    <row r="259" spans="1:14" x14ac:dyDescent="0.35">
      <c r="A259" t="s">
        <v>49</v>
      </c>
      <c r="B259">
        <v>10</v>
      </c>
      <c r="C259" t="s">
        <v>50</v>
      </c>
      <c r="D259">
        <v>55</v>
      </c>
      <c r="E259">
        <v>157.62693310539601</v>
      </c>
      <c r="F259">
        <v>16.109144699591099</v>
      </c>
      <c r="G259" t="s">
        <v>49</v>
      </c>
      <c r="H259">
        <v>10</v>
      </c>
      <c r="I259">
        <v>55</v>
      </c>
      <c r="J259">
        <v>5.0051406775160601</v>
      </c>
      <c r="K259" t="b">
        <f t="shared" ref="K259:K322" si="16">H259=B259</f>
        <v>1</v>
      </c>
      <c r="L259">
        <f t="shared" ref="L259:L322" si="17">E259+F259+J259</f>
        <v>178.74121848250317</v>
      </c>
      <c r="M259">
        <f t="shared" ref="M259:M322" si="18">(L259*2)*(100/50)</f>
        <v>714.96487393001269</v>
      </c>
      <c r="N259">
        <f t="shared" ref="N259:N322" si="19">M259*1.222</f>
        <v>873.68707594247553</v>
      </c>
    </row>
    <row r="260" spans="1:14" x14ac:dyDescent="0.35">
      <c r="A260" t="s">
        <v>49</v>
      </c>
      <c r="B260">
        <v>10</v>
      </c>
      <c r="C260" t="s">
        <v>50</v>
      </c>
      <c r="D260">
        <v>56</v>
      </c>
      <c r="E260">
        <v>160.85185776344801</v>
      </c>
      <c r="F260">
        <v>16.9099412890046</v>
      </c>
      <c r="G260" t="s">
        <v>49</v>
      </c>
      <c r="H260">
        <v>10</v>
      </c>
      <c r="I260">
        <v>56</v>
      </c>
      <c r="J260">
        <v>5.11664600922317</v>
      </c>
      <c r="K260" t="b">
        <f t="shared" si="16"/>
        <v>1</v>
      </c>
      <c r="L260">
        <f t="shared" si="17"/>
        <v>182.87844506167576</v>
      </c>
      <c r="M260">
        <f t="shared" si="18"/>
        <v>731.51378024670305</v>
      </c>
      <c r="N260">
        <f t="shared" si="19"/>
        <v>893.90983946147117</v>
      </c>
    </row>
    <row r="261" spans="1:14" x14ac:dyDescent="0.35">
      <c r="A261" t="s">
        <v>49</v>
      </c>
      <c r="B261">
        <v>10</v>
      </c>
      <c r="C261" t="s">
        <v>50</v>
      </c>
      <c r="D261">
        <v>57</v>
      </c>
      <c r="E261">
        <v>163.62344884184799</v>
      </c>
      <c r="F261">
        <v>17.665830066199401</v>
      </c>
      <c r="G261" t="s">
        <v>49</v>
      </c>
      <c r="H261">
        <v>10</v>
      </c>
      <c r="I261">
        <v>57</v>
      </c>
      <c r="J261">
        <v>5.2220582075476596</v>
      </c>
      <c r="K261" t="b">
        <f t="shared" si="16"/>
        <v>1</v>
      </c>
      <c r="L261">
        <f t="shared" si="17"/>
        <v>186.51133711559504</v>
      </c>
      <c r="M261">
        <f t="shared" si="18"/>
        <v>746.04534846238016</v>
      </c>
      <c r="N261">
        <f t="shared" si="19"/>
        <v>911.6674158210285</v>
      </c>
    </row>
    <row r="262" spans="1:14" x14ac:dyDescent="0.35">
      <c r="A262" t="s">
        <v>49</v>
      </c>
      <c r="B262">
        <v>10</v>
      </c>
      <c r="C262" t="s">
        <v>50</v>
      </c>
      <c r="D262">
        <v>58</v>
      </c>
      <c r="E262">
        <v>166.409888687739</v>
      </c>
      <c r="F262">
        <v>18.3972582556924</v>
      </c>
      <c r="G262" t="s">
        <v>49</v>
      </c>
      <c r="H262">
        <v>10</v>
      </c>
      <c r="I262">
        <v>58</v>
      </c>
      <c r="J262">
        <v>5.3237238559010098</v>
      </c>
      <c r="K262" t="b">
        <f t="shared" si="16"/>
        <v>1</v>
      </c>
      <c r="L262">
        <f t="shared" si="17"/>
        <v>190.13087079933243</v>
      </c>
      <c r="M262">
        <f t="shared" si="18"/>
        <v>760.52348319732971</v>
      </c>
      <c r="N262">
        <f t="shared" si="19"/>
        <v>929.35969646713693</v>
      </c>
    </row>
    <row r="263" spans="1:14" x14ac:dyDescent="0.35">
      <c r="A263" t="s">
        <v>49</v>
      </c>
      <c r="B263">
        <v>10</v>
      </c>
      <c r="C263" t="s">
        <v>50</v>
      </c>
      <c r="D263">
        <v>59</v>
      </c>
      <c r="E263">
        <v>169.19900440206999</v>
      </c>
      <c r="F263">
        <v>19.115994207302599</v>
      </c>
      <c r="G263" t="s">
        <v>49</v>
      </c>
      <c r="H263">
        <v>10</v>
      </c>
      <c r="I263">
        <v>59</v>
      </c>
      <c r="J263">
        <v>5.4229483216708996</v>
      </c>
      <c r="K263" t="b">
        <f t="shared" si="16"/>
        <v>1</v>
      </c>
      <c r="L263">
        <f t="shared" si="17"/>
        <v>193.7379469310435</v>
      </c>
      <c r="M263">
        <f t="shared" si="18"/>
        <v>774.95178772417398</v>
      </c>
      <c r="N263">
        <f t="shared" si="19"/>
        <v>946.99108459894057</v>
      </c>
    </row>
    <row r="264" spans="1:14" x14ac:dyDescent="0.35">
      <c r="A264" t="s">
        <v>49</v>
      </c>
      <c r="B264">
        <v>10</v>
      </c>
      <c r="C264" t="s">
        <v>50</v>
      </c>
      <c r="D264">
        <v>60</v>
      </c>
      <c r="E264">
        <v>171.98373465245999</v>
      </c>
      <c r="F264">
        <v>19.828771338081001</v>
      </c>
      <c r="G264" t="s">
        <v>49</v>
      </c>
      <c r="H264">
        <v>10</v>
      </c>
      <c r="I264">
        <v>60</v>
      </c>
      <c r="J264">
        <v>5.5204706684951796</v>
      </c>
      <c r="K264" t="b">
        <f t="shared" si="16"/>
        <v>1</v>
      </c>
      <c r="L264">
        <f t="shared" si="17"/>
        <v>197.33297665903618</v>
      </c>
      <c r="M264">
        <f t="shared" si="18"/>
        <v>789.33190663614471</v>
      </c>
      <c r="N264">
        <f t="shared" si="19"/>
        <v>964.56358990936883</v>
      </c>
    </row>
    <row r="265" spans="1:14" x14ac:dyDescent="0.35">
      <c r="A265" t="s">
        <v>49</v>
      </c>
      <c r="B265">
        <v>10</v>
      </c>
      <c r="C265" t="s">
        <v>50</v>
      </c>
      <c r="D265">
        <v>61</v>
      </c>
      <c r="E265">
        <v>174.759976429978</v>
      </c>
      <c r="F265">
        <v>20.539411986140799</v>
      </c>
      <c r="G265" t="s">
        <v>49</v>
      </c>
      <c r="H265">
        <v>10</v>
      </c>
      <c r="I265">
        <v>61</v>
      </c>
      <c r="J265">
        <v>5.61671980847456</v>
      </c>
      <c r="K265" t="b">
        <f t="shared" si="16"/>
        <v>1</v>
      </c>
      <c r="L265">
        <f t="shared" si="17"/>
        <v>200.91610822459336</v>
      </c>
      <c r="M265">
        <f t="shared" si="18"/>
        <v>803.66443289837343</v>
      </c>
      <c r="N265">
        <f t="shared" si="19"/>
        <v>982.0779370018123</v>
      </c>
    </row>
    <row r="266" spans="1:14" x14ac:dyDescent="0.35">
      <c r="A266" t="s">
        <v>49</v>
      </c>
      <c r="B266">
        <v>10</v>
      </c>
      <c r="C266" t="s">
        <v>50</v>
      </c>
      <c r="D266">
        <v>62</v>
      </c>
      <c r="E266">
        <v>177.131962669888</v>
      </c>
      <c r="F266">
        <v>21.2116142016997</v>
      </c>
      <c r="G266" t="s">
        <v>49</v>
      </c>
      <c r="H266">
        <v>10</v>
      </c>
      <c r="I266">
        <v>62</v>
      </c>
      <c r="J266">
        <v>5.7075027056159202</v>
      </c>
      <c r="K266" t="b">
        <f t="shared" si="16"/>
        <v>1</v>
      </c>
      <c r="L266">
        <f t="shared" si="17"/>
        <v>204.05107957720361</v>
      </c>
      <c r="M266">
        <f t="shared" si="18"/>
        <v>816.20431830881444</v>
      </c>
      <c r="N266">
        <f t="shared" si="19"/>
        <v>997.4016769733712</v>
      </c>
    </row>
    <row r="267" spans="1:14" x14ac:dyDescent="0.35">
      <c r="A267" t="s">
        <v>49</v>
      </c>
      <c r="B267">
        <v>10</v>
      </c>
      <c r="C267" t="s">
        <v>50</v>
      </c>
      <c r="D267">
        <v>63</v>
      </c>
      <c r="E267">
        <v>179.51705120774</v>
      </c>
      <c r="F267">
        <v>21.862404558304</v>
      </c>
      <c r="G267" t="s">
        <v>49</v>
      </c>
      <c r="H267">
        <v>10</v>
      </c>
      <c r="I267">
        <v>63</v>
      </c>
      <c r="J267">
        <v>5.79491812894919</v>
      </c>
      <c r="K267" t="b">
        <f t="shared" si="16"/>
        <v>1</v>
      </c>
      <c r="L267">
        <f t="shared" si="17"/>
        <v>207.17437389499318</v>
      </c>
      <c r="M267">
        <f t="shared" si="18"/>
        <v>828.69749557997272</v>
      </c>
      <c r="N267">
        <f t="shared" si="19"/>
        <v>1012.6683395987267</v>
      </c>
    </row>
    <row r="268" spans="1:14" x14ac:dyDescent="0.35">
      <c r="A268" t="s">
        <v>49</v>
      </c>
      <c r="B268">
        <v>10</v>
      </c>
      <c r="C268" t="s">
        <v>50</v>
      </c>
      <c r="D268">
        <v>64</v>
      </c>
      <c r="E268">
        <v>181.9052041601</v>
      </c>
      <c r="F268">
        <v>22.501512912988499</v>
      </c>
      <c r="G268" t="s">
        <v>49</v>
      </c>
      <c r="H268">
        <v>10</v>
      </c>
      <c r="I268">
        <v>64</v>
      </c>
      <c r="J268">
        <v>5.8801442094729701</v>
      </c>
      <c r="K268" t="b">
        <f t="shared" si="16"/>
        <v>1</v>
      </c>
      <c r="L268">
        <f t="shared" si="17"/>
        <v>210.28686128256146</v>
      </c>
      <c r="M268">
        <f t="shared" si="18"/>
        <v>841.14744513024584</v>
      </c>
      <c r="N268">
        <f t="shared" si="19"/>
        <v>1027.8821779491605</v>
      </c>
    </row>
    <row r="269" spans="1:14" x14ac:dyDescent="0.35">
      <c r="A269" t="s">
        <v>49</v>
      </c>
      <c r="B269">
        <v>10</v>
      </c>
      <c r="C269" t="s">
        <v>50</v>
      </c>
      <c r="D269">
        <v>65</v>
      </c>
      <c r="E269">
        <v>184.276542469106</v>
      </c>
      <c r="F269">
        <v>23.134474317186001</v>
      </c>
      <c r="G269" t="s">
        <v>49</v>
      </c>
      <c r="H269">
        <v>10</v>
      </c>
      <c r="I269">
        <v>65</v>
      </c>
      <c r="J269">
        <v>5.9638554960159897</v>
      </c>
      <c r="K269" t="b">
        <f t="shared" si="16"/>
        <v>1</v>
      </c>
      <c r="L269">
        <f t="shared" si="17"/>
        <v>213.37487228230799</v>
      </c>
      <c r="M269">
        <f t="shared" si="18"/>
        <v>853.49948912923196</v>
      </c>
      <c r="N269">
        <f t="shared" si="19"/>
        <v>1042.9763757159214</v>
      </c>
    </row>
    <row r="270" spans="1:14" x14ac:dyDescent="0.35">
      <c r="A270" t="s">
        <v>49</v>
      </c>
      <c r="B270">
        <v>10</v>
      </c>
      <c r="C270" t="s">
        <v>50</v>
      </c>
      <c r="D270">
        <v>66</v>
      </c>
      <c r="E270">
        <v>186.62994752772599</v>
      </c>
      <c r="F270">
        <v>23.764417435027902</v>
      </c>
      <c r="G270" t="s">
        <v>49</v>
      </c>
      <c r="H270">
        <v>10</v>
      </c>
      <c r="I270">
        <v>66</v>
      </c>
      <c r="J270">
        <v>6.0464486354097202</v>
      </c>
      <c r="K270" t="b">
        <f t="shared" si="16"/>
        <v>1</v>
      </c>
      <c r="L270">
        <f t="shared" si="17"/>
        <v>216.4408135981636</v>
      </c>
      <c r="M270">
        <f t="shared" si="18"/>
        <v>865.7632543926544</v>
      </c>
      <c r="N270">
        <f t="shared" si="19"/>
        <v>1057.9626968678238</v>
      </c>
    </row>
    <row r="271" spans="1:14" x14ac:dyDescent="0.35">
      <c r="A271" t="s">
        <v>49</v>
      </c>
      <c r="B271">
        <v>10</v>
      </c>
      <c r="C271" t="s">
        <v>50</v>
      </c>
      <c r="D271">
        <v>67</v>
      </c>
      <c r="E271">
        <v>188.66374621254599</v>
      </c>
      <c r="F271">
        <v>24.355332471987499</v>
      </c>
      <c r="G271" t="s">
        <v>49</v>
      </c>
      <c r="H271">
        <v>10</v>
      </c>
      <c r="I271">
        <v>67</v>
      </c>
      <c r="J271">
        <v>6.1245992358667003</v>
      </c>
      <c r="K271" t="b">
        <f t="shared" si="16"/>
        <v>1</v>
      </c>
      <c r="L271">
        <f t="shared" si="17"/>
        <v>219.14367792040019</v>
      </c>
      <c r="M271">
        <f t="shared" si="18"/>
        <v>876.57471168160077</v>
      </c>
      <c r="N271">
        <f t="shared" si="19"/>
        <v>1071.174297674916</v>
      </c>
    </row>
    <row r="272" spans="1:14" x14ac:dyDescent="0.35">
      <c r="A272" t="s">
        <v>49</v>
      </c>
      <c r="B272">
        <v>10</v>
      </c>
      <c r="C272" t="s">
        <v>50</v>
      </c>
      <c r="D272">
        <v>68</v>
      </c>
      <c r="E272">
        <v>190.71305479570401</v>
      </c>
      <c r="F272">
        <v>24.924289240007301</v>
      </c>
      <c r="G272" t="s">
        <v>49</v>
      </c>
      <c r="H272">
        <v>10</v>
      </c>
      <c r="I272">
        <v>68</v>
      </c>
      <c r="J272">
        <v>6.200062881789</v>
      </c>
      <c r="K272" t="b">
        <f t="shared" si="16"/>
        <v>1</v>
      </c>
      <c r="L272">
        <f t="shared" si="17"/>
        <v>221.83740691750032</v>
      </c>
      <c r="M272">
        <f t="shared" si="18"/>
        <v>887.34962767000127</v>
      </c>
      <c r="N272">
        <f t="shared" si="19"/>
        <v>1084.3412450127416</v>
      </c>
    </row>
    <row r="273" spans="1:14" x14ac:dyDescent="0.35">
      <c r="A273" t="s">
        <v>49</v>
      </c>
      <c r="B273">
        <v>10</v>
      </c>
      <c r="C273" t="s">
        <v>50</v>
      </c>
      <c r="D273">
        <v>69</v>
      </c>
      <c r="E273">
        <v>192.76798413210901</v>
      </c>
      <c r="F273">
        <v>25.4809977056821</v>
      </c>
      <c r="G273" t="s">
        <v>49</v>
      </c>
      <c r="H273">
        <v>10</v>
      </c>
      <c r="I273">
        <v>69</v>
      </c>
      <c r="J273">
        <v>6.2738095902264801</v>
      </c>
      <c r="K273" t="b">
        <f t="shared" si="16"/>
        <v>1</v>
      </c>
      <c r="L273">
        <f t="shared" si="17"/>
        <v>224.5227914280176</v>
      </c>
      <c r="M273">
        <f t="shared" si="18"/>
        <v>898.09116571207039</v>
      </c>
      <c r="N273">
        <f t="shared" si="19"/>
        <v>1097.46740450015</v>
      </c>
    </row>
    <row r="274" spans="1:14" x14ac:dyDescent="0.35">
      <c r="A274" t="s">
        <v>49</v>
      </c>
      <c r="B274">
        <v>10</v>
      </c>
      <c r="C274" t="s">
        <v>50</v>
      </c>
      <c r="D274">
        <v>70</v>
      </c>
      <c r="E274">
        <v>194.82287984165799</v>
      </c>
      <c r="F274">
        <v>26.030959934454</v>
      </c>
      <c r="G274" t="s">
        <v>49</v>
      </c>
      <c r="H274">
        <v>10</v>
      </c>
      <c r="I274">
        <v>70</v>
      </c>
      <c r="J274">
        <v>6.3463857514442701</v>
      </c>
      <c r="K274" t="b">
        <f t="shared" si="16"/>
        <v>1</v>
      </c>
      <c r="L274">
        <f t="shared" si="17"/>
        <v>227.20022552755626</v>
      </c>
      <c r="M274">
        <f t="shared" si="18"/>
        <v>908.80090211022502</v>
      </c>
      <c r="N274">
        <f t="shared" si="19"/>
        <v>1110.5547023786949</v>
      </c>
    </row>
    <row r="275" spans="1:14" x14ac:dyDescent="0.35">
      <c r="A275" t="s">
        <v>49</v>
      </c>
      <c r="B275">
        <v>10</v>
      </c>
      <c r="C275" t="s">
        <v>50</v>
      </c>
      <c r="D275">
        <v>71</v>
      </c>
      <c r="E275">
        <v>196.87450701341101</v>
      </c>
      <c r="F275">
        <v>26.577276323657198</v>
      </c>
      <c r="G275" t="s">
        <v>49</v>
      </c>
      <c r="H275">
        <v>10</v>
      </c>
      <c r="I275">
        <v>71</v>
      </c>
      <c r="J275">
        <v>6.4181076182102501</v>
      </c>
      <c r="K275" t="b">
        <f t="shared" si="16"/>
        <v>1</v>
      </c>
      <c r="L275">
        <f t="shared" si="17"/>
        <v>229.86989095527846</v>
      </c>
      <c r="M275">
        <f t="shared" si="18"/>
        <v>919.47956382111386</v>
      </c>
      <c r="N275">
        <f t="shared" si="19"/>
        <v>1123.6040269894011</v>
      </c>
    </row>
    <row r="276" spans="1:14" x14ac:dyDescent="0.35">
      <c r="A276" t="s">
        <v>49</v>
      </c>
      <c r="B276">
        <v>10</v>
      </c>
      <c r="C276" t="s">
        <v>50</v>
      </c>
      <c r="D276">
        <v>72</v>
      </c>
      <c r="E276">
        <v>198.65337185296499</v>
      </c>
      <c r="F276">
        <v>27.082117983954301</v>
      </c>
      <c r="G276" t="s">
        <v>49</v>
      </c>
      <c r="H276">
        <v>10</v>
      </c>
      <c r="I276">
        <v>72</v>
      </c>
      <c r="J276">
        <v>6.4861036713256102</v>
      </c>
      <c r="K276" t="b">
        <f t="shared" si="16"/>
        <v>1</v>
      </c>
      <c r="L276">
        <f t="shared" si="17"/>
        <v>232.22159350824492</v>
      </c>
      <c r="M276">
        <f t="shared" si="18"/>
        <v>928.88637403297969</v>
      </c>
      <c r="N276">
        <f t="shared" si="19"/>
        <v>1135.0991490683011</v>
      </c>
    </row>
    <row r="277" spans="1:14" x14ac:dyDescent="0.35">
      <c r="A277" t="s">
        <v>49</v>
      </c>
      <c r="B277">
        <v>10</v>
      </c>
      <c r="C277" t="s">
        <v>50</v>
      </c>
      <c r="D277">
        <v>73</v>
      </c>
      <c r="E277">
        <v>200.45154622976801</v>
      </c>
      <c r="F277">
        <v>27.563759619746701</v>
      </c>
      <c r="G277" t="s">
        <v>49</v>
      </c>
      <c r="H277">
        <v>10</v>
      </c>
      <c r="I277">
        <v>73</v>
      </c>
      <c r="J277">
        <v>6.55192017491746</v>
      </c>
      <c r="K277" t="b">
        <f t="shared" si="16"/>
        <v>1</v>
      </c>
      <c r="L277">
        <f t="shared" si="17"/>
        <v>234.56722602443216</v>
      </c>
      <c r="M277">
        <f t="shared" si="18"/>
        <v>938.26890409772864</v>
      </c>
      <c r="N277">
        <f t="shared" si="19"/>
        <v>1146.5646008074243</v>
      </c>
    </row>
    <row r="278" spans="1:14" x14ac:dyDescent="0.35">
      <c r="A278" t="s">
        <v>49</v>
      </c>
      <c r="B278">
        <v>10</v>
      </c>
      <c r="C278" t="s">
        <v>50</v>
      </c>
      <c r="D278">
        <v>74</v>
      </c>
      <c r="E278">
        <v>202.25847712473501</v>
      </c>
      <c r="F278">
        <v>28.032555612720401</v>
      </c>
      <c r="G278" t="s">
        <v>49</v>
      </c>
      <c r="H278">
        <v>10</v>
      </c>
      <c r="I278">
        <v>74</v>
      </c>
      <c r="J278">
        <v>6.6163907763416896</v>
      </c>
      <c r="K278" t="b">
        <f t="shared" si="16"/>
        <v>1</v>
      </c>
      <c r="L278">
        <f t="shared" si="17"/>
        <v>236.90742351379708</v>
      </c>
      <c r="M278">
        <f t="shared" si="18"/>
        <v>947.62969405518834</v>
      </c>
      <c r="N278">
        <f t="shared" si="19"/>
        <v>1158.0034861354402</v>
      </c>
    </row>
    <row r="279" spans="1:14" x14ac:dyDescent="0.35">
      <c r="A279" t="s">
        <v>49</v>
      </c>
      <c r="B279">
        <v>10</v>
      </c>
      <c r="C279" t="s">
        <v>50</v>
      </c>
      <c r="D279">
        <v>75</v>
      </c>
      <c r="E279">
        <v>204.06815506043699</v>
      </c>
      <c r="F279">
        <v>28.494349298065501</v>
      </c>
      <c r="G279" t="s">
        <v>49</v>
      </c>
      <c r="H279">
        <v>10</v>
      </c>
      <c r="I279">
        <v>75</v>
      </c>
      <c r="J279">
        <v>6.6799721836397303</v>
      </c>
      <c r="K279" t="b">
        <f t="shared" si="16"/>
        <v>1</v>
      </c>
      <c r="L279">
        <f t="shared" si="17"/>
        <v>239.24247654214224</v>
      </c>
      <c r="M279">
        <f t="shared" si="18"/>
        <v>956.96990616856897</v>
      </c>
      <c r="N279">
        <f t="shared" si="19"/>
        <v>1169.4172253379913</v>
      </c>
    </row>
    <row r="280" spans="1:14" x14ac:dyDescent="0.35">
      <c r="A280" t="s">
        <v>49</v>
      </c>
      <c r="B280">
        <v>10</v>
      </c>
      <c r="C280" t="s">
        <v>50</v>
      </c>
      <c r="D280">
        <v>76</v>
      </c>
      <c r="E280">
        <v>205.87715738892601</v>
      </c>
      <c r="F280">
        <v>28.952418711042899</v>
      </c>
      <c r="G280" t="s">
        <v>49</v>
      </c>
      <c r="H280">
        <v>10</v>
      </c>
      <c r="I280">
        <v>76</v>
      </c>
      <c r="J280">
        <v>6.7429209533724999</v>
      </c>
      <c r="K280" t="b">
        <f t="shared" si="16"/>
        <v>1</v>
      </c>
      <c r="L280">
        <f t="shared" si="17"/>
        <v>241.57249705334141</v>
      </c>
      <c r="M280">
        <f t="shared" si="18"/>
        <v>966.28998821336563</v>
      </c>
      <c r="N280">
        <f t="shared" si="19"/>
        <v>1180.8063655967328</v>
      </c>
    </row>
    <row r="281" spans="1:14" x14ac:dyDescent="0.35">
      <c r="A281" t="s">
        <v>49</v>
      </c>
      <c r="B281">
        <v>10</v>
      </c>
      <c r="C281" t="s">
        <v>50</v>
      </c>
      <c r="D281">
        <v>77</v>
      </c>
      <c r="E281">
        <v>207.484881830479</v>
      </c>
      <c r="F281">
        <v>29.4341186894634</v>
      </c>
      <c r="G281" t="s">
        <v>49</v>
      </c>
      <c r="H281">
        <v>10</v>
      </c>
      <c r="I281">
        <v>77</v>
      </c>
      <c r="J281">
        <v>6.8031143250776198</v>
      </c>
      <c r="K281" t="b">
        <f t="shared" si="16"/>
        <v>1</v>
      </c>
      <c r="L281">
        <f t="shared" si="17"/>
        <v>243.72211484502</v>
      </c>
      <c r="M281">
        <f t="shared" si="18"/>
        <v>974.88845938008001</v>
      </c>
      <c r="N281">
        <f t="shared" si="19"/>
        <v>1191.3136973624578</v>
      </c>
    </row>
    <row r="282" spans="1:14" x14ac:dyDescent="0.35">
      <c r="A282" t="s">
        <v>49</v>
      </c>
      <c r="B282">
        <v>10</v>
      </c>
      <c r="C282" t="s">
        <v>50</v>
      </c>
      <c r="D282">
        <v>78</v>
      </c>
      <c r="E282">
        <v>209.06459282888201</v>
      </c>
      <c r="F282">
        <v>29.887202464436101</v>
      </c>
      <c r="G282" t="s">
        <v>49</v>
      </c>
      <c r="H282">
        <v>10</v>
      </c>
      <c r="I282">
        <v>78</v>
      </c>
      <c r="J282">
        <v>6.8612088359835699</v>
      </c>
      <c r="K282" t="b">
        <f t="shared" si="16"/>
        <v>1</v>
      </c>
      <c r="L282">
        <f t="shared" si="17"/>
        <v>245.8130041293017</v>
      </c>
      <c r="M282">
        <f t="shared" si="18"/>
        <v>983.25201651720681</v>
      </c>
      <c r="N282">
        <f t="shared" si="19"/>
        <v>1201.5339641840267</v>
      </c>
    </row>
    <row r="283" spans="1:14" x14ac:dyDescent="0.35">
      <c r="A283" t="s">
        <v>49</v>
      </c>
      <c r="B283">
        <v>10</v>
      </c>
      <c r="C283" t="s">
        <v>50</v>
      </c>
      <c r="D283">
        <v>79</v>
      </c>
      <c r="E283">
        <v>210.61053132823599</v>
      </c>
      <c r="F283">
        <v>30.3190058491295</v>
      </c>
      <c r="G283" t="s">
        <v>49</v>
      </c>
      <c r="H283">
        <v>10</v>
      </c>
      <c r="I283">
        <v>79</v>
      </c>
      <c r="J283">
        <v>6.9175390575207496</v>
      </c>
      <c r="K283" t="b">
        <f t="shared" si="16"/>
        <v>1</v>
      </c>
      <c r="L283">
        <f t="shared" si="17"/>
        <v>247.84707623488623</v>
      </c>
      <c r="M283">
        <f t="shared" si="18"/>
        <v>991.38830493954492</v>
      </c>
      <c r="N283">
        <f t="shared" si="19"/>
        <v>1211.476508636124</v>
      </c>
    </row>
    <row r="284" spans="1:14" x14ac:dyDescent="0.35">
      <c r="A284" t="s">
        <v>49</v>
      </c>
      <c r="B284">
        <v>10</v>
      </c>
      <c r="C284" t="s">
        <v>50</v>
      </c>
      <c r="D284">
        <v>80</v>
      </c>
      <c r="E284">
        <v>212.11994316355299</v>
      </c>
      <c r="F284">
        <v>30.733831409652002</v>
      </c>
      <c r="G284" t="s">
        <v>49</v>
      </c>
      <c r="H284">
        <v>10</v>
      </c>
      <c r="I284">
        <v>80</v>
      </c>
      <c r="J284">
        <v>6.9722809620376998</v>
      </c>
      <c r="K284" t="b">
        <f t="shared" si="16"/>
        <v>1</v>
      </c>
      <c r="L284">
        <f t="shared" si="17"/>
        <v>249.82605553524269</v>
      </c>
      <c r="M284">
        <f t="shared" si="18"/>
        <v>999.30422214097075</v>
      </c>
      <c r="N284">
        <f t="shared" si="19"/>
        <v>1221.1497594562663</v>
      </c>
    </row>
    <row r="285" spans="1:14" x14ac:dyDescent="0.35">
      <c r="A285" t="s">
        <v>49</v>
      </c>
      <c r="B285">
        <v>10</v>
      </c>
      <c r="C285" t="s">
        <v>50</v>
      </c>
      <c r="D285">
        <v>81</v>
      </c>
      <c r="E285">
        <v>213.59176451491399</v>
      </c>
      <c r="F285">
        <v>31.134256584003101</v>
      </c>
      <c r="G285" t="s">
        <v>49</v>
      </c>
      <c r="H285">
        <v>10</v>
      </c>
      <c r="I285">
        <v>81</v>
      </c>
      <c r="J285">
        <v>7.0255340052572102</v>
      </c>
      <c r="K285" t="b">
        <f t="shared" si="16"/>
        <v>1</v>
      </c>
      <c r="L285">
        <f t="shared" si="17"/>
        <v>251.75155510417432</v>
      </c>
      <c r="M285">
        <f t="shared" si="18"/>
        <v>1007.0062204166973</v>
      </c>
      <c r="N285">
        <f t="shared" si="19"/>
        <v>1230.561601349204</v>
      </c>
    </row>
    <row r="286" spans="1:14" x14ac:dyDescent="0.35">
      <c r="A286" t="s">
        <v>49</v>
      </c>
      <c r="B286">
        <v>10</v>
      </c>
      <c r="C286" t="s">
        <v>50</v>
      </c>
      <c r="D286">
        <v>82</v>
      </c>
      <c r="E286">
        <v>215.02587483725901</v>
      </c>
      <c r="F286">
        <v>31.521877472079201</v>
      </c>
      <c r="G286" t="s">
        <v>49</v>
      </c>
      <c r="H286">
        <v>10</v>
      </c>
      <c r="I286">
        <v>82</v>
      </c>
      <c r="J286">
        <v>7.07736165611131</v>
      </c>
      <c r="K286" t="b">
        <f t="shared" si="16"/>
        <v>1</v>
      </c>
      <c r="L286">
        <f t="shared" si="17"/>
        <v>253.62511396544954</v>
      </c>
      <c r="M286">
        <f t="shared" si="18"/>
        <v>1014.5004558617982</v>
      </c>
      <c r="N286">
        <f t="shared" si="19"/>
        <v>1239.7195570631172</v>
      </c>
    </row>
    <row r="287" spans="1:14" x14ac:dyDescent="0.35">
      <c r="A287" t="s">
        <v>49</v>
      </c>
      <c r="B287">
        <v>10</v>
      </c>
      <c r="C287" t="s">
        <v>50</v>
      </c>
      <c r="D287">
        <v>83</v>
      </c>
      <c r="E287">
        <v>216.42267297842</v>
      </c>
      <c r="F287">
        <v>31.897731277388999</v>
      </c>
      <c r="G287" t="s">
        <v>49</v>
      </c>
      <c r="H287">
        <v>10</v>
      </c>
      <c r="I287">
        <v>83</v>
      </c>
      <c r="J287">
        <v>7.1278109582770899</v>
      </c>
      <c r="K287" t="b">
        <f t="shared" si="16"/>
        <v>1</v>
      </c>
      <c r="L287">
        <f t="shared" si="17"/>
        <v>255.44821521408608</v>
      </c>
      <c r="M287">
        <f t="shared" si="18"/>
        <v>1021.7928608563443</v>
      </c>
      <c r="N287">
        <f t="shared" si="19"/>
        <v>1248.6308759664528</v>
      </c>
    </row>
    <row r="288" spans="1:14" x14ac:dyDescent="0.35">
      <c r="A288" t="s">
        <v>49</v>
      </c>
      <c r="B288">
        <v>10</v>
      </c>
      <c r="C288" t="s">
        <v>50</v>
      </c>
      <c r="D288">
        <v>84</v>
      </c>
      <c r="E288">
        <v>217.78283711093701</v>
      </c>
      <c r="F288">
        <v>32.2625359999914</v>
      </c>
      <c r="G288" t="s">
        <v>49</v>
      </c>
      <c r="H288">
        <v>10</v>
      </c>
      <c r="I288">
        <v>84</v>
      </c>
      <c r="J288">
        <v>7.1769216818171797</v>
      </c>
      <c r="K288" t="b">
        <f t="shared" si="16"/>
        <v>1</v>
      </c>
      <c r="L288">
        <f t="shared" si="17"/>
        <v>257.22229479274557</v>
      </c>
      <c r="M288">
        <f t="shared" si="18"/>
        <v>1028.8891791709823</v>
      </c>
      <c r="N288">
        <f t="shared" si="19"/>
        <v>1257.3025769469402</v>
      </c>
    </row>
    <row r="289" spans="1:14" x14ac:dyDescent="0.35">
      <c r="A289" t="s">
        <v>49</v>
      </c>
      <c r="B289">
        <v>10</v>
      </c>
      <c r="C289" t="s">
        <v>50</v>
      </c>
      <c r="D289">
        <v>85</v>
      </c>
      <c r="E289">
        <v>219.10718909970001</v>
      </c>
      <c r="F289">
        <v>32.6168263047512</v>
      </c>
      <c r="G289" t="s">
        <v>49</v>
      </c>
      <c r="H289">
        <v>10</v>
      </c>
      <c r="I289">
        <v>85</v>
      </c>
      <c r="J289">
        <v>7.22473041556038</v>
      </c>
      <c r="K289" t="b">
        <f t="shared" si="16"/>
        <v>1</v>
      </c>
      <c r="L289">
        <f t="shared" si="17"/>
        <v>258.9487458200116</v>
      </c>
      <c r="M289">
        <f t="shared" si="18"/>
        <v>1035.7949832800464</v>
      </c>
      <c r="N289">
        <f t="shared" si="19"/>
        <v>1265.7414695682166</v>
      </c>
    </row>
    <row r="290" spans="1:14" x14ac:dyDescent="0.35">
      <c r="A290" t="s">
        <v>49</v>
      </c>
      <c r="B290">
        <v>10</v>
      </c>
      <c r="C290" t="s">
        <v>50</v>
      </c>
      <c r="D290">
        <v>86</v>
      </c>
      <c r="E290">
        <v>220.396618151485</v>
      </c>
      <c r="F290">
        <v>32.961030454710802</v>
      </c>
      <c r="G290" t="s">
        <v>49</v>
      </c>
      <c r="H290">
        <v>10</v>
      </c>
      <c r="I290">
        <v>86</v>
      </c>
      <c r="J290">
        <v>7.2712722710722497</v>
      </c>
      <c r="K290" t="b">
        <f t="shared" si="16"/>
        <v>1</v>
      </c>
      <c r="L290">
        <f t="shared" si="17"/>
        <v>260.62892087726806</v>
      </c>
      <c r="M290">
        <f t="shared" si="18"/>
        <v>1042.5156835090722</v>
      </c>
      <c r="N290">
        <f t="shared" si="19"/>
        <v>1273.9541652480862</v>
      </c>
    </row>
    <row r="291" spans="1:14" x14ac:dyDescent="0.35">
      <c r="A291" t="s">
        <v>49</v>
      </c>
      <c r="B291">
        <v>10</v>
      </c>
      <c r="C291" t="s">
        <v>50</v>
      </c>
      <c r="D291">
        <v>87</v>
      </c>
      <c r="E291">
        <v>221.65203808366701</v>
      </c>
      <c r="F291">
        <v>33.295513819024499</v>
      </c>
      <c r="G291" t="s">
        <v>49</v>
      </c>
      <c r="H291">
        <v>10</v>
      </c>
      <c r="I291">
        <v>87</v>
      </c>
      <c r="J291">
        <v>7.3165815056268304</v>
      </c>
      <c r="K291" t="b">
        <f t="shared" si="16"/>
        <v>1</v>
      </c>
      <c r="L291">
        <f t="shared" si="17"/>
        <v>262.26413340831834</v>
      </c>
      <c r="M291">
        <f t="shared" si="18"/>
        <v>1049.0565336332734</v>
      </c>
      <c r="N291">
        <f t="shared" si="19"/>
        <v>1281.9470840998601</v>
      </c>
    </row>
    <row r="292" spans="1:14" x14ac:dyDescent="0.35">
      <c r="A292" t="s">
        <v>49</v>
      </c>
      <c r="B292">
        <v>10</v>
      </c>
      <c r="C292" t="s">
        <v>50</v>
      </c>
      <c r="D292">
        <v>88</v>
      </c>
      <c r="E292">
        <v>222.874363637676</v>
      </c>
      <c r="F292">
        <v>33.620603440994302</v>
      </c>
      <c r="G292" t="s">
        <v>49</v>
      </c>
      <c r="H292">
        <v>10</v>
      </c>
      <c r="I292">
        <v>88</v>
      </c>
      <c r="J292">
        <v>7.3606916875483197</v>
      </c>
      <c r="K292" t="b">
        <f t="shared" si="16"/>
        <v>1</v>
      </c>
      <c r="L292">
        <f t="shared" si="17"/>
        <v>263.8556587662186</v>
      </c>
      <c r="M292">
        <f t="shared" si="18"/>
        <v>1055.4226350648744</v>
      </c>
      <c r="N292">
        <f t="shared" si="19"/>
        <v>1289.7264600492765</v>
      </c>
    </row>
    <row r="293" spans="1:14" x14ac:dyDescent="0.35">
      <c r="A293" t="s">
        <v>49</v>
      </c>
      <c r="B293">
        <v>10</v>
      </c>
      <c r="C293" t="s">
        <v>50</v>
      </c>
      <c r="D293">
        <v>89</v>
      </c>
      <c r="E293">
        <v>224.06449756549901</v>
      </c>
      <c r="F293">
        <v>33.936601886303499</v>
      </c>
      <c r="G293" t="s">
        <v>49</v>
      </c>
      <c r="H293">
        <v>10</v>
      </c>
      <c r="I293">
        <v>89</v>
      </c>
      <c r="J293">
        <v>7.4036356902040898</v>
      </c>
      <c r="K293" t="b">
        <f t="shared" si="16"/>
        <v>1</v>
      </c>
      <c r="L293">
        <f t="shared" si="17"/>
        <v>265.40473514200664</v>
      </c>
      <c r="M293">
        <f t="shared" si="18"/>
        <v>1061.6189405680266</v>
      </c>
      <c r="N293">
        <f t="shared" si="19"/>
        <v>1297.2983453741285</v>
      </c>
    </row>
    <row r="294" spans="1:14" x14ac:dyDescent="0.35">
      <c r="A294" t="s">
        <v>49</v>
      </c>
      <c r="B294">
        <v>10</v>
      </c>
      <c r="C294" t="s">
        <v>50</v>
      </c>
      <c r="D294">
        <v>90</v>
      </c>
      <c r="E294">
        <v>225.22332379760701</v>
      </c>
      <c r="F294">
        <v>34.243795032981197</v>
      </c>
      <c r="G294" t="s">
        <v>49</v>
      </c>
      <c r="H294">
        <v>10</v>
      </c>
      <c r="I294">
        <v>90</v>
      </c>
      <c r="J294">
        <v>7.4454456387297103</v>
      </c>
      <c r="K294" t="b">
        <f t="shared" si="16"/>
        <v>1</v>
      </c>
      <c r="L294">
        <f t="shared" si="17"/>
        <v>266.91256446931794</v>
      </c>
      <c r="M294">
        <f t="shared" si="18"/>
        <v>1067.6502578772718</v>
      </c>
      <c r="N294">
        <f t="shared" si="19"/>
        <v>1304.668615126026</v>
      </c>
    </row>
    <row r="295" spans="1:14" x14ac:dyDescent="0.35">
      <c r="A295" t="s">
        <v>49</v>
      </c>
      <c r="B295">
        <v>10</v>
      </c>
      <c r="C295" t="s">
        <v>50</v>
      </c>
      <c r="D295">
        <v>91</v>
      </c>
      <c r="E295">
        <v>226.351704033103</v>
      </c>
      <c r="F295">
        <v>34.542456444686898</v>
      </c>
      <c r="G295" t="s">
        <v>49</v>
      </c>
      <c r="H295">
        <v>10</v>
      </c>
      <c r="I295">
        <v>91</v>
      </c>
      <c r="J295">
        <v>7.4861528580765402</v>
      </c>
      <c r="K295" t="b">
        <f t="shared" si="16"/>
        <v>1</v>
      </c>
      <c r="L295">
        <f t="shared" si="17"/>
        <v>268.38031333586645</v>
      </c>
      <c r="M295">
        <f t="shared" si="18"/>
        <v>1073.5212533434658</v>
      </c>
      <c r="N295">
        <f t="shared" si="19"/>
        <v>1311.8429715857151</v>
      </c>
    </row>
    <row r="296" spans="1:14" x14ac:dyDescent="0.35">
      <c r="A296" t="s">
        <v>49</v>
      </c>
      <c r="B296">
        <v>10</v>
      </c>
      <c r="C296" t="s">
        <v>50</v>
      </c>
      <c r="D296">
        <v>92</v>
      </c>
      <c r="E296">
        <v>227.45047624606599</v>
      </c>
      <c r="F296">
        <v>34.832849822956597</v>
      </c>
      <c r="G296" t="s">
        <v>49</v>
      </c>
      <c r="H296">
        <v>10</v>
      </c>
      <c r="I296">
        <v>92</v>
      </c>
      <c r="J296">
        <v>7.5257878375516798</v>
      </c>
      <c r="K296" t="b">
        <f t="shared" si="16"/>
        <v>1</v>
      </c>
      <c r="L296">
        <f t="shared" si="17"/>
        <v>269.80911390657423</v>
      </c>
      <c r="M296">
        <f t="shared" si="18"/>
        <v>1079.2364556262969</v>
      </c>
      <c r="N296">
        <f t="shared" si="19"/>
        <v>1318.8269487753348</v>
      </c>
    </row>
    <row r="297" spans="1:14" x14ac:dyDescent="0.35">
      <c r="A297" t="s">
        <v>49</v>
      </c>
      <c r="B297">
        <v>10</v>
      </c>
      <c r="C297" t="s">
        <v>50</v>
      </c>
      <c r="D297">
        <v>93</v>
      </c>
      <c r="E297">
        <v>228.52045425594599</v>
      </c>
      <c r="F297">
        <v>35.115230384300297</v>
      </c>
      <c r="G297" t="s">
        <v>49</v>
      </c>
      <c r="H297">
        <v>10</v>
      </c>
      <c r="I297">
        <v>93</v>
      </c>
      <c r="J297">
        <v>7.5643802134120497</v>
      </c>
      <c r="K297" t="b">
        <f t="shared" si="16"/>
        <v>1</v>
      </c>
      <c r="L297">
        <f t="shared" si="17"/>
        <v>271.20006485365832</v>
      </c>
      <c r="M297">
        <f t="shared" si="18"/>
        <v>1084.8002594146333</v>
      </c>
      <c r="N297">
        <f t="shared" si="19"/>
        <v>1325.6259170046819</v>
      </c>
    </row>
    <row r="298" spans="1:14" x14ac:dyDescent="0.35">
      <c r="A298" t="s">
        <v>49</v>
      </c>
      <c r="B298">
        <v>10</v>
      </c>
      <c r="C298" t="s">
        <v>50</v>
      </c>
      <c r="D298">
        <v>94</v>
      </c>
      <c r="E298">
        <v>229.562427880624</v>
      </c>
      <c r="F298">
        <v>35.389845639834903</v>
      </c>
      <c r="G298" t="s">
        <v>49</v>
      </c>
      <c r="H298">
        <v>10</v>
      </c>
      <c r="I298">
        <v>94</v>
      </c>
      <c r="J298">
        <v>7.6019587663988002</v>
      </c>
      <c r="K298" t="b">
        <f t="shared" si="16"/>
        <v>1</v>
      </c>
      <c r="L298">
        <f t="shared" si="17"/>
        <v>272.55423228685771</v>
      </c>
      <c r="M298">
        <f t="shared" si="18"/>
        <v>1090.2169291474308</v>
      </c>
      <c r="N298">
        <f t="shared" si="19"/>
        <v>1332.2450874181604</v>
      </c>
    </row>
    <row r="299" spans="1:14" x14ac:dyDescent="0.35">
      <c r="A299" t="s">
        <v>49</v>
      </c>
      <c r="B299">
        <v>10</v>
      </c>
      <c r="C299" t="s">
        <v>50</v>
      </c>
      <c r="D299">
        <v>95</v>
      </c>
      <c r="E299">
        <v>230.57716340063999</v>
      </c>
      <c r="F299">
        <v>35.656935846618403</v>
      </c>
      <c r="G299" t="s">
        <v>49</v>
      </c>
      <c r="H299">
        <v>10</v>
      </c>
      <c r="I299">
        <v>95</v>
      </c>
      <c r="J299">
        <v>7.6385514301781701</v>
      </c>
      <c r="K299" t="b">
        <f t="shared" si="16"/>
        <v>1</v>
      </c>
      <c r="L299">
        <f t="shared" si="17"/>
        <v>273.87265067743652</v>
      </c>
      <c r="M299">
        <f t="shared" si="18"/>
        <v>1095.4906027097461</v>
      </c>
      <c r="N299">
        <f t="shared" si="19"/>
        <v>1338.6895165113096</v>
      </c>
    </row>
    <row r="300" spans="1:14" x14ac:dyDescent="0.35">
      <c r="A300" t="s">
        <v>49</v>
      </c>
      <c r="B300">
        <v>10</v>
      </c>
      <c r="C300" t="s">
        <v>50</v>
      </c>
      <c r="D300">
        <v>96</v>
      </c>
      <c r="E300">
        <v>231.56540418198799</v>
      </c>
      <c r="F300">
        <v>35.916734281852399</v>
      </c>
      <c r="G300" t="s">
        <v>49</v>
      </c>
      <c r="H300">
        <v>10</v>
      </c>
      <c r="I300">
        <v>96</v>
      </c>
      <c r="J300">
        <v>7.6741853071181803</v>
      </c>
      <c r="K300" t="b">
        <f t="shared" si="16"/>
        <v>1</v>
      </c>
      <c r="L300">
        <f t="shared" si="17"/>
        <v>275.15632377095858</v>
      </c>
      <c r="M300">
        <f t="shared" si="18"/>
        <v>1100.6252950838343</v>
      </c>
      <c r="N300">
        <f t="shared" si="19"/>
        <v>1344.9641105924454</v>
      </c>
    </row>
    <row r="301" spans="1:14" x14ac:dyDescent="0.35">
      <c r="A301" t="s">
        <v>49</v>
      </c>
      <c r="B301">
        <v>10</v>
      </c>
      <c r="C301" t="s">
        <v>50</v>
      </c>
      <c r="D301">
        <v>97</v>
      </c>
      <c r="E301">
        <v>232.52787137215901</v>
      </c>
      <c r="F301">
        <v>36.169467424416197</v>
      </c>
      <c r="G301" t="s">
        <v>49</v>
      </c>
      <c r="H301">
        <v>10</v>
      </c>
      <c r="I301">
        <v>97</v>
      </c>
      <c r="J301">
        <v>7.7088866886548901</v>
      </c>
      <c r="K301" t="b">
        <f t="shared" si="16"/>
        <v>1</v>
      </c>
      <c r="L301">
        <f t="shared" si="17"/>
        <v>276.4062254852301</v>
      </c>
      <c r="M301">
        <f t="shared" si="18"/>
        <v>1105.6249019409204</v>
      </c>
      <c r="N301">
        <f t="shared" si="19"/>
        <v>1351.0736301718048</v>
      </c>
    </row>
    <row r="302" spans="1:14" x14ac:dyDescent="0.35">
      <c r="A302" t="s">
        <v>49</v>
      </c>
      <c r="B302">
        <v>10</v>
      </c>
      <c r="C302" t="s">
        <v>50</v>
      </c>
      <c r="D302">
        <v>98</v>
      </c>
      <c r="E302">
        <v>233.46526462203701</v>
      </c>
      <c r="F302">
        <v>36.415355090533701</v>
      </c>
      <c r="G302" t="s">
        <v>49</v>
      </c>
      <c r="H302">
        <v>10</v>
      </c>
      <c r="I302">
        <v>98</v>
      </c>
      <c r="J302">
        <v>7.7426810782882596</v>
      </c>
      <c r="K302" t="b">
        <f t="shared" si="16"/>
        <v>1</v>
      </c>
      <c r="L302">
        <f t="shared" si="17"/>
        <v>277.62330079085899</v>
      </c>
      <c r="M302">
        <f t="shared" si="18"/>
        <v>1110.493203163436</v>
      </c>
      <c r="N302">
        <f t="shared" si="19"/>
        <v>1357.0226942657187</v>
      </c>
    </row>
    <row r="303" spans="1:14" x14ac:dyDescent="0.35">
      <c r="A303" t="s">
        <v>49</v>
      </c>
      <c r="B303">
        <v>10</v>
      </c>
      <c r="C303" t="s">
        <v>50</v>
      </c>
      <c r="D303">
        <v>99</v>
      </c>
      <c r="E303">
        <v>234.37826280778199</v>
      </c>
      <c r="F303">
        <v>36.6546105491595</v>
      </c>
      <c r="G303" t="s">
        <v>49</v>
      </c>
      <c r="H303">
        <v>10</v>
      </c>
      <c r="I303">
        <v>99</v>
      </c>
      <c r="J303">
        <v>7.7755932158759196</v>
      </c>
      <c r="K303" t="b">
        <f t="shared" si="16"/>
        <v>1</v>
      </c>
      <c r="L303">
        <f t="shared" si="17"/>
        <v>278.80846657281739</v>
      </c>
      <c r="M303">
        <f t="shared" si="18"/>
        <v>1115.2338662912696</v>
      </c>
      <c r="N303">
        <f t="shared" si="19"/>
        <v>1362.8157846079314</v>
      </c>
    </row>
    <row r="304" spans="1:14" x14ac:dyDescent="0.35">
      <c r="A304" t="s">
        <v>49</v>
      </c>
      <c r="B304">
        <v>10</v>
      </c>
      <c r="C304" t="s">
        <v>50</v>
      </c>
      <c r="D304">
        <v>100</v>
      </c>
      <c r="E304">
        <v>235.267524738833</v>
      </c>
      <c r="F304">
        <v>36.887440630751698</v>
      </c>
      <c r="G304" t="s">
        <v>49</v>
      </c>
      <c r="H304">
        <v>10</v>
      </c>
      <c r="I304">
        <v>100</v>
      </c>
      <c r="J304">
        <v>7.8076471023531999</v>
      </c>
      <c r="K304" t="b">
        <f t="shared" si="16"/>
        <v>1</v>
      </c>
      <c r="L304">
        <f t="shared" si="17"/>
        <v>279.96261247193792</v>
      </c>
      <c r="M304">
        <f t="shared" si="18"/>
        <v>1119.8504498877517</v>
      </c>
      <c r="N304">
        <f t="shared" si="19"/>
        <v>1368.4572497628326</v>
      </c>
    </row>
    <row r="305" spans="1:14" x14ac:dyDescent="0.35">
      <c r="A305" t="s">
        <v>49</v>
      </c>
      <c r="B305">
        <v>12</v>
      </c>
      <c r="C305" t="s">
        <v>50</v>
      </c>
      <c r="D305">
        <v>0</v>
      </c>
      <c r="E305">
        <v>0</v>
      </c>
      <c r="F305">
        <v>0</v>
      </c>
      <c r="G305" t="s">
        <v>49</v>
      </c>
      <c r="H305">
        <v>12</v>
      </c>
      <c r="I305">
        <v>0</v>
      </c>
      <c r="J305">
        <v>0</v>
      </c>
      <c r="K305" t="b">
        <f t="shared" si="16"/>
        <v>1</v>
      </c>
      <c r="L305">
        <f t="shared" si="17"/>
        <v>0</v>
      </c>
      <c r="M305">
        <f t="shared" si="18"/>
        <v>0</v>
      </c>
      <c r="N305">
        <f t="shared" si="19"/>
        <v>0</v>
      </c>
    </row>
    <row r="306" spans="1:14" x14ac:dyDescent="0.35">
      <c r="A306" t="s">
        <v>49</v>
      </c>
      <c r="B306">
        <v>12</v>
      </c>
      <c r="C306" t="s">
        <v>50</v>
      </c>
      <c r="D306">
        <v>1</v>
      </c>
      <c r="E306">
        <v>6.9740312142158395E-2</v>
      </c>
      <c r="F306" s="19">
        <v>3.6226852853735002E-4</v>
      </c>
      <c r="G306" t="s">
        <v>49</v>
      </c>
      <c r="H306">
        <v>12</v>
      </c>
      <c r="I306">
        <v>1</v>
      </c>
      <c r="J306" s="19">
        <v>7.8894000685645997E-4</v>
      </c>
      <c r="K306" t="b">
        <f t="shared" si="16"/>
        <v>1</v>
      </c>
      <c r="L306">
        <f t="shared" si="17"/>
        <v>7.0891520677552208E-2</v>
      </c>
      <c r="M306">
        <f t="shared" si="18"/>
        <v>0.28356608271020883</v>
      </c>
      <c r="N306">
        <f t="shared" si="19"/>
        <v>0.34651775307187521</v>
      </c>
    </row>
    <row r="307" spans="1:14" x14ac:dyDescent="0.35">
      <c r="A307" t="s">
        <v>49</v>
      </c>
      <c r="B307">
        <v>12</v>
      </c>
      <c r="C307" t="s">
        <v>50</v>
      </c>
      <c r="D307">
        <v>2</v>
      </c>
      <c r="E307">
        <v>0.15691570231985599</v>
      </c>
      <c r="F307">
        <v>1.1665046618902801E-3</v>
      </c>
      <c r="G307" t="s">
        <v>49</v>
      </c>
      <c r="H307">
        <v>12</v>
      </c>
      <c r="I307">
        <v>2</v>
      </c>
      <c r="J307">
        <v>2.2712552412033002E-3</v>
      </c>
      <c r="K307" t="b">
        <f t="shared" si="16"/>
        <v>1</v>
      </c>
      <c r="L307">
        <f t="shared" si="17"/>
        <v>0.16035346222294958</v>
      </c>
      <c r="M307">
        <f t="shared" si="18"/>
        <v>0.64141384889179831</v>
      </c>
      <c r="N307">
        <f t="shared" si="19"/>
        <v>0.78380772334577753</v>
      </c>
    </row>
    <row r="308" spans="1:14" x14ac:dyDescent="0.35">
      <c r="A308" t="s">
        <v>49</v>
      </c>
      <c r="B308">
        <v>12</v>
      </c>
      <c r="C308" t="s">
        <v>50</v>
      </c>
      <c r="D308">
        <v>3</v>
      </c>
      <c r="E308">
        <v>0.26588494004197799</v>
      </c>
      <c r="F308">
        <v>2.51265828708223E-3</v>
      </c>
      <c r="G308" t="s">
        <v>49</v>
      </c>
      <c r="H308">
        <v>12</v>
      </c>
      <c r="I308">
        <v>3</v>
      </c>
      <c r="J308">
        <v>4.4433870577763801E-3</v>
      </c>
      <c r="K308" t="b">
        <f t="shared" si="16"/>
        <v>1</v>
      </c>
      <c r="L308">
        <f t="shared" si="17"/>
        <v>0.2728409853868366</v>
      </c>
      <c r="M308">
        <f t="shared" si="18"/>
        <v>1.0913639415473464</v>
      </c>
      <c r="N308">
        <f t="shared" si="19"/>
        <v>1.3336467365708573</v>
      </c>
    </row>
    <row r="309" spans="1:14" x14ac:dyDescent="0.35">
      <c r="A309" t="s">
        <v>49</v>
      </c>
      <c r="B309">
        <v>12</v>
      </c>
      <c r="C309" t="s">
        <v>50</v>
      </c>
      <c r="D309">
        <v>4</v>
      </c>
      <c r="E309">
        <v>0.40209648719463198</v>
      </c>
      <c r="F309">
        <v>4.5259830233179404E-3</v>
      </c>
      <c r="G309" t="s">
        <v>49</v>
      </c>
      <c r="H309">
        <v>12</v>
      </c>
      <c r="I309">
        <v>4</v>
      </c>
      <c r="J309">
        <v>7.3690588860946798E-3</v>
      </c>
      <c r="K309" t="b">
        <f t="shared" si="16"/>
        <v>1</v>
      </c>
      <c r="L309">
        <f t="shared" si="17"/>
        <v>0.41399152910404458</v>
      </c>
      <c r="M309">
        <f t="shared" si="18"/>
        <v>1.6559661164161783</v>
      </c>
      <c r="N309">
        <f t="shared" si="19"/>
        <v>2.0235905942605696</v>
      </c>
    </row>
    <row r="310" spans="1:14" x14ac:dyDescent="0.35">
      <c r="A310" t="s">
        <v>49</v>
      </c>
      <c r="B310">
        <v>12</v>
      </c>
      <c r="C310" t="s">
        <v>50</v>
      </c>
      <c r="D310">
        <v>5</v>
      </c>
      <c r="E310">
        <v>0.57236092113544701</v>
      </c>
      <c r="F310">
        <v>7.3633526672159796E-3</v>
      </c>
      <c r="G310" t="s">
        <v>49</v>
      </c>
      <c r="H310">
        <v>12</v>
      </c>
      <c r="I310">
        <v>5</v>
      </c>
      <c r="J310">
        <v>1.1168468276841301E-2</v>
      </c>
      <c r="K310" t="b">
        <f t="shared" si="16"/>
        <v>1</v>
      </c>
      <c r="L310">
        <f t="shared" si="17"/>
        <v>0.59089274207950426</v>
      </c>
      <c r="M310">
        <f t="shared" si="18"/>
        <v>2.3635709683180171</v>
      </c>
      <c r="N310">
        <f t="shared" si="19"/>
        <v>2.8882837232846166</v>
      </c>
    </row>
    <row r="311" spans="1:14" x14ac:dyDescent="0.35">
      <c r="A311" t="s">
        <v>49</v>
      </c>
      <c r="B311">
        <v>12</v>
      </c>
      <c r="C311" t="s">
        <v>50</v>
      </c>
      <c r="D311">
        <v>6</v>
      </c>
      <c r="E311">
        <v>0.78519146356146796</v>
      </c>
      <c r="F311">
        <v>1.1221157033983801E-2</v>
      </c>
      <c r="G311" t="s">
        <v>49</v>
      </c>
      <c r="H311">
        <v>12</v>
      </c>
      <c r="I311">
        <v>6</v>
      </c>
      <c r="J311">
        <v>1.60163087931935E-2</v>
      </c>
      <c r="K311" t="b">
        <f t="shared" si="16"/>
        <v>1</v>
      </c>
      <c r="L311">
        <f t="shared" si="17"/>
        <v>0.8124289293886453</v>
      </c>
      <c r="M311">
        <f t="shared" si="18"/>
        <v>3.2497157175545812</v>
      </c>
      <c r="N311">
        <f t="shared" si="19"/>
        <v>3.9711526068516982</v>
      </c>
    </row>
    <row r="312" spans="1:14" x14ac:dyDescent="0.35">
      <c r="A312" t="s">
        <v>49</v>
      </c>
      <c r="B312">
        <v>12</v>
      </c>
      <c r="C312" t="s">
        <v>50</v>
      </c>
      <c r="D312">
        <v>7</v>
      </c>
      <c r="E312">
        <v>1.0512296415939899</v>
      </c>
      <c r="F312">
        <v>1.6345172034982099E-2</v>
      </c>
      <c r="G312" t="s">
        <v>49</v>
      </c>
      <c r="H312">
        <v>12</v>
      </c>
      <c r="I312">
        <v>7</v>
      </c>
      <c r="J312">
        <v>2.2145937510301601E-2</v>
      </c>
      <c r="K312" t="b">
        <f t="shared" si="16"/>
        <v>1</v>
      </c>
      <c r="L312">
        <f t="shared" si="17"/>
        <v>1.0897207511392737</v>
      </c>
      <c r="M312">
        <f t="shared" si="18"/>
        <v>4.3588830045570948</v>
      </c>
      <c r="N312">
        <f t="shared" si="19"/>
        <v>5.3265550315687697</v>
      </c>
    </row>
    <row r="313" spans="1:14" x14ac:dyDescent="0.35">
      <c r="A313" t="s">
        <v>49</v>
      </c>
      <c r="B313">
        <v>12</v>
      </c>
      <c r="C313" t="s">
        <v>50</v>
      </c>
      <c r="D313">
        <v>8</v>
      </c>
      <c r="E313">
        <v>1.38377736413465</v>
      </c>
      <c r="F313">
        <v>2.30428975424922E-2</v>
      </c>
      <c r="G313" t="s">
        <v>49</v>
      </c>
      <c r="H313">
        <v>12</v>
      </c>
      <c r="I313">
        <v>8</v>
      </c>
      <c r="J313">
        <v>2.9858425690043301E-2</v>
      </c>
      <c r="K313" t="b">
        <f t="shared" si="16"/>
        <v>1</v>
      </c>
      <c r="L313">
        <f t="shared" si="17"/>
        <v>1.4366786873671855</v>
      </c>
      <c r="M313">
        <f t="shared" si="18"/>
        <v>5.7467147494687421</v>
      </c>
      <c r="N313">
        <f t="shared" si="19"/>
        <v>7.022485423850803</v>
      </c>
    </row>
    <row r="314" spans="1:14" x14ac:dyDescent="0.35">
      <c r="A314" t="s">
        <v>49</v>
      </c>
      <c r="B314">
        <v>12</v>
      </c>
      <c r="C314" t="s">
        <v>50</v>
      </c>
      <c r="D314">
        <v>9</v>
      </c>
      <c r="E314">
        <v>1.7994620173104701</v>
      </c>
      <c r="F314">
        <v>3.1698979980454199E-2</v>
      </c>
      <c r="G314" t="s">
        <v>49</v>
      </c>
      <c r="H314">
        <v>12</v>
      </c>
      <c r="I314">
        <v>9</v>
      </c>
      <c r="J314">
        <v>3.9536108045850497E-2</v>
      </c>
      <c r="K314" t="b">
        <f t="shared" si="16"/>
        <v>1</v>
      </c>
      <c r="L314">
        <f t="shared" si="17"/>
        <v>1.8706971053367747</v>
      </c>
      <c r="M314">
        <f t="shared" si="18"/>
        <v>7.4827884213470988</v>
      </c>
      <c r="N314">
        <f t="shared" si="19"/>
        <v>9.143967450886155</v>
      </c>
    </row>
    <row r="315" spans="1:14" x14ac:dyDescent="0.35">
      <c r="A315" t="s">
        <v>49</v>
      </c>
      <c r="B315">
        <v>12</v>
      </c>
      <c r="C315" t="s">
        <v>50</v>
      </c>
      <c r="D315">
        <v>10</v>
      </c>
      <c r="E315">
        <v>2.31906783378024</v>
      </c>
      <c r="F315">
        <v>4.2794490814873902E-2</v>
      </c>
      <c r="G315" t="s">
        <v>49</v>
      </c>
      <c r="H315">
        <v>12</v>
      </c>
      <c r="I315">
        <v>10</v>
      </c>
      <c r="J315">
        <v>5.1660831322141297E-2</v>
      </c>
      <c r="K315" t="b">
        <f t="shared" si="16"/>
        <v>1</v>
      </c>
      <c r="L315">
        <f t="shared" si="17"/>
        <v>2.4135231559172552</v>
      </c>
      <c r="M315">
        <f t="shared" si="18"/>
        <v>9.6540926236690208</v>
      </c>
      <c r="N315">
        <f t="shared" si="19"/>
        <v>11.797301186123542</v>
      </c>
    </row>
    <row r="316" spans="1:14" x14ac:dyDescent="0.35">
      <c r="A316" t="s">
        <v>49</v>
      </c>
      <c r="B316">
        <v>12</v>
      </c>
      <c r="C316" t="s">
        <v>50</v>
      </c>
      <c r="D316">
        <v>11</v>
      </c>
      <c r="E316">
        <v>2.96857510436746</v>
      </c>
      <c r="F316">
        <v>5.6931024911256699E-2</v>
      </c>
      <c r="G316" t="s">
        <v>49</v>
      </c>
      <c r="H316">
        <v>12</v>
      </c>
      <c r="I316">
        <v>11</v>
      </c>
      <c r="J316">
        <v>6.6837542891038396E-2</v>
      </c>
      <c r="K316" t="b">
        <f t="shared" si="16"/>
        <v>1</v>
      </c>
      <c r="L316">
        <f t="shared" si="17"/>
        <v>3.092343672169755</v>
      </c>
      <c r="M316">
        <f t="shared" si="18"/>
        <v>12.36937468867902</v>
      </c>
      <c r="N316">
        <f t="shared" si="19"/>
        <v>15.115375869565762</v>
      </c>
    </row>
    <row r="317" spans="1:14" x14ac:dyDescent="0.35">
      <c r="A317" t="s">
        <v>49</v>
      </c>
      <c r="B317">
        <v>12</v>
      </c>
      <c r="C317" t="s">
        <v>50</v>
      </c>
      <c r="D317">
        <v>12</v>
      </c>
      <c r="E317">
        <v>3.7804591926014899</v>
      </c>
      <c r="F317">
        <v>7.4860823718492703E-2</v>
      </c>
      <c r="G317" t="s">
        <v>49</v>
      </c>
      <c r="H317">
        <v>12</v>
      </c>
      <c r="I317">
        <v>12</v>
      </c>
      <c r="J317">
        <v>8.5824243746380702E-2</v>
      </c>
      <c r="K317" t="b">
        <f t="shared" si="16"/>
        <v>1</v>
      </c>
      <c r="L317">
        <f t="shared" si="17"/>
        <v>3.9411442600663631</v>
      </c>
      <c r="M317">
        <f t="shared" si="18"/>
        <v>15.764577040265452</v>
      </c>
      <c r="N317">
        <f t="shared" si="19"/>
        <v>19.264313143204383</v>
      </c>
    </row>
    <row r="318" spans="1:14" x14ac:dyDescent="0.35">
      <c r="A318" t="s">
        <v>49</v>
      </c>
      <c r="B318">
        <v>12</v>
      </c>
      <c r="C318" t="s">
        <v>50</v>
      </c>
      <c r="D318">
        <v>13</v>
      </c>
      <c r="E318">
        <v>4.7953143028940204</v>
      </c>
      <c r="F318">
        <v>9.7524429478692304E-2</v>
      </c>
      <c r="G318" t="s">
        <v>49</v>
      </c>
      <c r="H318">
        <v>12</v>
      </c>
      <c r="I318">
        <v>13</v>
      </c>
      <c r="J318">
        <v>0.109569714936193</v>
      </c>
      <c r="K318" t="b">
        <f t="shared" si="16"/>
        <v>1</v>
      </c>
      <c r="L318">
        <f t="shared" si="17"/>
        <v>5.0024084473089063</v>
      </c>
      <c r="M318">
        <f t="shared" si="18"/>
        <v>20.009633789235625</v>
      </c>
      <c r="N318">
        <f t="shared" si="19"/>
        <v>24.451772490445933</v>
      </c>
    </row>
    <row r="319" spans="1:14" x14ac:dyDescent="0.35">
      <c r="A319" t="s">
        <v>49</v>
      </c>
      <c r="B319">
        <v>12</v>
      </c>
      <c r="C319" t="s">
        <v>50</v>
      </c>
      <c r="D319">
        <v>14</v>
      </c>
      <c r="E319">
        <v>6.0638831907596904</v>
      </c>
      <c r="F319">
        <v>0.126097753212562</v>
      </c>
      <c r="G319" t="s">
        <v>49</v>
      </c>
      <c r="H319">
        <v>12</v>
      </c>
      <c r="I319">
        <v>14</v>
      </c>
      <c r="J319">
        <v>0.13926085301159699</v>
      </c>
      <c r="K319" t="b">
        <f t="shared" si="16"/>
        <v>1</v>
      </c>
      <c r="L319">
        <f t="shared" si="17"/>
        <v>6.3292417969838493</v>
      </c>
      <c r="M319">
        <f t="shared" si="18"/>
        <v>25.316967187935397</v>
      </c>
      <c r="N319">
        <f t="shared" si="19"/>
        <v>30.937333903657056</v>
      </c>
    </row>
    <row r="320" spans="1:14" x14ac:dyDescent="0.35">
      <c r="A320" t="s">
        <v>49</v>
      </c>
      <c r="B320">
        <v>12</v>
      </c>
      <c r="C320" t="s">
        <v>50</v>
      </c>
      <c r="D320">
        <v>15</v>
      </c>
      <c r="E320">
        <v>7.6495943005917599</v>
      </c>
      <c r="F320">
        <v>0.16205090991751001</v>
      </c>
      <c r="G320" t="s">
        <v>49</v>
      </c>
      <c r="H320">
        <v>12</v>
      </c>
      <c r="I320">
        <v>15</v>
      </c>
      <c r="J320">
        <v>0.17638195212351701</v>
      </c>
      <c r="K320" t="b">
        <f t="shared" si="16"/>
        <v>1</v>
      </c>
      <c r="L320">
        <f t="shared" si="17"/>
        <v>7.988027162632787</v>
      </c>
      <c r="M320">
        <f t="shared" si="18"/>
        <v>31.952108650531148</v>
      </c>
      <c r="N320">
        <f t="shared" si="19"/>
        <v>39.045476770949065</v>
      </c>
    </row>
    <row r="321" spans="1:14" x14ac:dyDescent="0.35">
      <c r="A321" t="s">
        <v>49</v>
      </c>
      <c r="B321">
        <v>12</v>
      </c>
      <c r="C321" t="s">
        <v>50</v>
      </c>
      <c r="D321">
        <v>16</v>
      </c>
      <c r="E321">
        <v>9.6317331878818706</v>
      </c>
      <c r="F321">
        <v>0.20722176277517901</v>
      </c>
      <c r="G321" t="s">
        <v>49</v>
      </c>
      <c r="H321">
        <v>12</v>
      </c>
      <c r="I321">
        <v>16</v>
      </c>
      <c r="J321">
        <v>0.22278888007366199</v>
      </c>
      <c r="K321" t="b">
        <f t="shared" si="16"/>
        <v>1</v>
      </c>
      <c r="L321">
        <f t="shared" si="17"/>
        <v>10.061743830730711</v>
      </c>
      <c r="M321">
        <f t="shared" si="18"/>
        <v>40.246975322922843</v>
      </c>
      <c r="N321">
        <f t="shared" si="19"/>
        <v>49.181803844611714</v>
      </c>
    </row>
    <row r="322" spans="1:14" x14ac:dyDescent="0.35">
      <c r="A322" t="s">
        <v>49</v>
      </c>
      <c r="B322">
        <v>12</v>
      </c>
      <c r="C322" t="s">
        <v>50</v>
      </c>
      <c r="D322">
        <v>17</v>
      </c>
      <c r="E322">
        <v>12.109406796994501</v>
      </c>
      <c r="F322">
        <v>0.26390785361445401</v>
      </c>
      <c r="G322" t="s">
        <v>49</v>
      </c>
      <c r="H322">
        <v>12</v>
      </c>
      <c r="I322">
        <v>17</v>
      </c>
      <c r="J322">
        <v>0.28080184739018998</v>
      </c>
      <c r="K322" t="b">
        <f t="shared" si="16"/>
        <v>1</v>
      </c>
      <c r="L322">
        <f t="shared" si="17"/>
        <v>12.654116497999144</v>
      </c>
      <c r="M322">
        <f t="shared" si="18"/>
        <v>50.616465991996577</v>
      </c>
      <c r="N322">
        <f t="shared" si="19"/>
        <v>61.853321442219816</v>
      </c>
    </row>
    <row r="323" spans="1:14" x14ac:dyDescent="0.35">
      <c r="A323" t="s">
        <v>49</v>
      </c>
      <c r="B323">
        <v>12</v>
      </c>
      <c r="C323" t="s">
        <v>50</v>
      </c>
      <c r="D323">
        <v>18</v>
      </c>
      <c r="E323">
        <v>15.2064988083852</v>
      </c>
      <c r="F323">
        <v>0.33498131618771998</v>
      </c>
      <c r="G323" t="s">
        <v>49</v>
      </c>
      <c r="H323">
        <v>12</v>
      </c>
      <c r="I323">
        <v>18</v>
      </c>
      <c r="J323">
        <v>0.35332140220601499</v>
      </c>
      <c r="K323" t="b">
        <f t="shared" ref="K323:K386" si="20">H323=B323</f>
        <v>1</v>
      </c>
      <c r="L323">
        <f t="shared" ref="L323:L386" si="21">E323+F323+J323</f>
        <v>15.894801526778936</v>
      </c>
      <c r="M323">
        <f t="shared" ref="M323:M386" si="22">(L323*2)*(100/50)</f>
        <v>63.579206107115745</v>
      </c>
      <c r="N323">
        <f t="shared" ref="N323:N386" si="23">M323*1.222</f>
        <v>77.693789862895443</v>
      </c>
    </row>
    <row r="324" spans="1:14" x14ac:dyDescent="0.35">
      <c r="A324" t="s">
        <v>49</v>
      </c>
      <c r="B324">
        <v>12</v>
      </c>
      <c r="C324" t="s">
        <v>50</v>
      </c>
      <c r="D324">
        <v>19</v>
      </c>
      <c r="E324">
        <v>19.022849999999998</v>
      </c>
      <c r="F324">
        <v>0.42374674670208801</v>
      </c>
      <c r="G324" t="s">
        <v>49</v>
      </c>
      <c r="H324">
        <v>12</v>
      </c>
      <c r="I324">
        <v>19</v>
      </c>
      <c r="J324">
        <v>0.44335110132622801</v>
      </c>
      <c r="K324" t="b">
        <f t="shared" si="20"/>
        <v>1</v>
      </c>
      <c r="L324">
        <f t="shared" si="21"/>
        <v>19.889947848028314</v>
      </c>
      <c r="M324">
        <f t="shared" si="22"/>
        <v>79.559791392113254</v>
      </c>
      <c r="N324">
        <f t="shared" si="23"/>
        <v>97.222065081162398</v>
      </c>
    </row>
    <row r="325" spans="1:14" x14ac:dyDescent="0.35">
      <c r="A325" t="s">
        <v>49</v>
      </c>
      <c r="B325">
        <v>12</v>
      </c>
      <c r="C325" t="s">
        <v>50</v>
      </c>
      <c r="D325">
        <v>20</v>
      </c>
      <c r="E325">
        <v>23.020668000000001</v>
      </c>
      <c r="F325">
        <v>0.53061602190102597</v>
      </c>
      <c r="G325" t="s">
        <v>49</v>
      </c>
      <c r="H325">
        <v>12</v>
      </c>
      <c r="I325">
        <v>20</v>
      </c>
      <c r="J325">
        <v>0.54675857043520104</v>
      </c>
      <c r="K325" t="b">
        <f t="shared" si="20"/>
        <v>1</v>
      </c>
      <c r="L325">
        <f t="shared" si="21"/>
        <v>24.098042592336228</v>
      </c>
      <c r="M325">
        <f t="shared" si="22"/>
        <v>96.39217036934491</v>
      </c>
      <c r="N325">
        <f t="shared" si="23"/>
        <v>117.79123219133947</v>
      </c>
    </row>
    <row r="326" spans="1:14" x14ac:dyDescent="0.35">
      <c r="A326" t="s">
        <v>49</v>
      </c>
      <c r="B326">
        <v>12</v>
      </c>
      <c r="C326" t="s">
        <v>50</v>
      </c>
      <c r="D326">
        <v>21</v>
      </c>
      <c r="E326">
        <v>27.018485999999999</v>
      </c>
      <c r="F326">
        <v>0.65504602644399501</v>
      </c>
      <c r="G326" t="s">
        <v>49</v>
      </c>
      <c r="H326">
        <v>12</v>
      </c>
      <c r="I326">
        <v>21</v>
      </c>
      <c r="J326">
        <v>0.65896477805131304</v>
      </c>
      <c r="K326" t="b">
        <f t="shared" si="20"/>
        <v>1</v>
      </c>
      <c r="L326">
        <f t="shared" si="21"/>
        <v>28.332496804495307</v>
      </c>
      <c r="M326">
        <f t="shared" si="22"/>
        <v>113.32998721798123</v>
      </c>
      <c r="N326">
        <f t="shared" si="23"/>
        <v>138.48924438037307</v>
      </c>
    </row>
    <row r="327" spans="1:14" x14ac:dyDescent="0.35">
      <c r="A327" t="s">
        <v>49</v>
      </c>
      <c r="B327">
        <v>12</v>
      </c>
      <c r="C327" t="s">
        <v>50</v>
      </c>
      <c r="D327">
        <v>22</v>
      </c>
      <c r="E327">
        <v>31.016303999999899</v>
      </c>
      <c r="F327">
        <v>0.79650993845067497</v>
      </c>
      <c r="G327" t="s">
        <v>49</v>
      </c>
      <c r="H327">
        <v>12</v>
      </c>
      <c r="I327">
        <v>22</v>
      </c>
      <c r="J327">
        <v>0.77710442380344902</v>
      </c>
      <c r="K327" t="b">
        <f t="shared" si="20"/>
        <v>1</v>
      </c>
      <c r="L327">
        <f t="shared" si="21"/>
        <v>32.589918362254025</v>
      </c>
      <c r="M327">
        <f t="shared" si="22"/>
        <v>130.3596734490161</v>
      </c>
      <c r="N327">
        <f t="shared" si="23"/>
        <v>159.29952095469767</v>
      </c>
    </row>
    <row r="328" spans="1:14" x14ac:dyDescent="0.35">
      <c r="A328" t="s">
        <v>49</v>
      </c>
      <c r="B328">
        <v>12</v>
      </c>
      <c r="C328" t="s">
        <v>50</v>
      </c>
      <c r="D328">
        <v>23</v>
      </c>
      <c r="E328">
        <v>35.014122</v>
      </c>
      <c r="F328">
        <v>0.95449674069715496</v>
      </c>
      <c r="G328" t="s">
        <v>49</v>
      </c>
      <c r="H328">
        <v>12</v>
      </c>
      <c r="I328">
        <v>23</v>
      </c>
      <c r="J328">
        <v>0.89934393844868599</v>
      </c>
      <c r="K328" t="b">
        <f t="shared" si="20"/>
        <v>1</v>
      </c>
      <c r="L328">
        <f t="shared" si="21"/>
        <v>36.86796267914584</v>
      </c>
      <c r="M328">
        <f t="shared" si="22"/>
        <v>147.47185071658336</v>
      </c>
      <c r="N328">
        <f t="shared" si="23"/>
        <v>180.21060157566487</v>
      </c>
    </row>
    <row r="329" spans="1:14" x14ac:dyDescent="0.35">
      <c r="A329" t="s">
        <v>49</v>
      </c>
      <c r="B329">
        <v>12</v>
      </c>
      <c r="C329" t="s">
        <v>50</v>
      </c>
      <c r="D329">
        <v>24</v>
      </c>
      <c r="E329">
        <v>39.011940000000003</v>
      </c>
      <c r="F329">
        <v>1.1285107464762401</v>
      </c>
      <c r="G329" t="s">
        <v>49</v>
      </c>
      <c r="H329">
        <v>12</v>
      </c>
      <c r="I329">
        <v>24</v>
      </c>
      <c r="J329">
        <v>1.02448120512117</v>
      </c>
      <c r="K329" t="b">
        <f t="shared" si="20"/>
        <v>1</v>
      </c>
      <c r="L329">
        <f t="shared" si="21"/>
        <v>41.16493195159741</v>
      </c>
      <c r="M329">
        <f t="shared" si="22"/>
        <v>164.65972780638964</v>
      </c>
      <c r="N329">
        <f t="shared" si="23"/>
        <v>201.21418737940814</v>
      </c>
    </row>
    <row r="330" spans="1:14" x14ac:dyDescent="0.35">
      <c r="A330" t="s">
        <v>49</v>
      </c>
      <c r="B330">
        <v>12</v>
      </c>
      <c r="C330" t="s">
        <v>50</v>
      </c>
      <c r="D330">
        <v>25</v>
      </c>
      <c r="E330">
        <v>43.915607999999999</v>
      </c>
      <c r="F330">
        <v>1.32277660968195</v>
      </c>
      <c r="G330" t="s">
        <v>49</v>
      </c>
      <c r="H330">
        <v>12</v>
      </c>
      <c r="I330">
        <v>25</v>
      </c>
      <c r="J330">
        <v>1.1619556304944001</v>
      </c>
      <c r="K330" t="b">
        <f t="shared" si="20"/>
        <v>1</v>
      </c>
      <c r="L330">
        <f t="shared" si="21"/>
        <v>46.400340240176348</v>
      </c>
      <c r="M330">
        <f t="shared" si="22"/>
        <v>185.60136096070539</v>
      </c>
      <c r="N330">
        <f t="shared" si="23"/>
        <v>226.80486309398199</v>
      </c>
    </row>
    <row r="331" spans="1:14" x14ac:dyDescent="0.35">
      <c r="A331" t="s">
        <v>49</v>
      </c>
      <c r="B331">
        <v>12</v>
      </c>
      <c r="C331" t="s">
        <v>50</v>
      </c>
      <c r="D331">
        <v>26</v>
      </c>
      <c r="E331">
        <v>48.819276000000002</v>
      </c>
      <c r="F331">
        <v>1.5366867745914901</v>
      </c>
      <c r="G331" t="s">
        <v>49</v>
      </c>
      <c r="H331">
        <v>12</v>
      </c>
      <c r="I331">
        <v>26</v>
      </c>
      <c r="J331">
        <v>1.3074074220958201</v>
      </c>
      <c r="K331" t="b">
        <f t="shared" si="20"/>
        <v>1</v>
      </c>
      <c r="L331">
        <f t="shared" si="21"/>
        <v>51.66337019668731</v>
      </c>
      <c r="M331">
        <f t="shared" si="22"/>
        <v>206.65348078674924</v>
      </c>
      <c r="N331">
        <f t="shared" si="23"/>
        <v>252.53055352140757</v>
      </c>
    </row>
    <row r="332" spans="1:14" x14ac:dyDescent="0.35">
      <c r="A332" t="s">
        <v>49</v>
      </c>
      <c r="B332">
        <v>12</v>
      </c>
      <c r="C332" t="s">
        <v>50</v>
      </c>
      <c r="D332">
        <v>27</v>
      </c>
      <c r="E332">
        <v>53.722943999999998</v>
      </c>
      <c r="F332">
        <v>1.76965191215375</v>
      </c>
      <c r="G332" t="s">
        <v>49</v>
      </c>
      <c r="H332">
        <v>12</v>
      </c>
      <c r="I332">
        <v>27</v>
      </c>
      <c r="J332">
        <v>1.4581464722088</v>
      </c>
      <c r="K332" t="b">
        <f t="shared" si="20"/>
        <v>1</v>
      </c>
      <c r="L332">
        <f t="shared" si="21"/>
        <v>56.950742384362549</v>
      </c>
      <c r="M332">
        <f t="shared" si="22"/>
        <v>227.8029695374502</v>
      </c>
      <c r="N332">
        <f t="shared" si="23"/>
        <v>278.37522877476414</v>
      </c>
    </row>
    <row r="333" spans="1:14" x14ac:dyDescent="0.35">
      <c r="A333" t="s">
        <v>49</v>
      </c>
      <c r="B333">
        <v>12</v>
      </c>
      <c r="C333" t="s">
        <v>50</v>
      </c>
      <c r="D333">
        <v>28</v>
      </c>
      <c r="E333">
        <v>58.626612000000002</v>
      </c>
      <c r="F333">
        <v>2.0211003731891402</v>
      </c>
      <c r="G333" t="s">
        <v>49</v>
      </c>
      <c r="H333">
        <v>12</v>
      </c>
      <c r="I333">
        <v>28</v>
      </c>
      <c r="J333">
        <v>1.61247824059554</v>
      </c>
      <c r="K333" t="b">
        <f t="shared" si="20"/>
        <v>1</v>
      </c>
      <c r="L333">
        <f t="shared" si="21"/>
        <v>62.260190613784687</v>
      </c>
      <c r="M333">
        <f t="shared" si="22"/>
        <v>249.04076245513875</v>
      </c>
      <c r="N333">
        <f t="shared" si="23"/>
        <v>304.32781172017957</v>
      </c>
    </row>
    <row r="334" spans="1:14" x14ac:dyDescent="0.35">
      <c r="A334" t="s">
        <v>49</v>
      </c>
      <c r="B334">
        <v>12</v>
      </c>
      <c r="C334" t="s">
        <v>50</v>
      </c>
      <c r="D334">
        <v>29</v>
      </c>
      <c r="E334">
        <v>63.530279999999998</v>
      </c>
      <c r="F334">
        <v>2.2904776579934598</v>
      </c>
      <c r="G334" t="s">
        <v>49</v>
      </c>
      <c r="H334">
        <v>12</v>
      </c>
      <c r="I334">
        <v>29</v>
      </c>
      <c r="J334">
        <v>1.7693104046795001</v>
      </c>
      <c r="K334" t="b">
        <f t="shared" si="20"/>
        <v>1</v>
      </c>
      <c r="L334">
        <f t="shared" si="21"/>
        <v>67.590068062672955</v>
      </c>
      <c r="M334">
        <f t="shared" si="22"/>
        <v>270.36027225069182</v>
      </c>
      <c r="N334">
        <f t="shared" si="23"/>
        <v>330.3802526903454</v>
      </c>
    </row>
    <row r="335" spans="1:14" x14ac:dyDescent="0.35">
      <c r="A335" t="s">
        <v>49</v>
      </c>
      <c r="B335">
        <v>12</v>
      </c>
      <c r="C335" t="s">
        <v>50</v>
      </c>
      <c r="D335">
        <v>30</v>
      </c>
      <c r="E335">
        <v>69.007653000000005</v>
      </c>
      <c r="F335">
        <v>2.5802260328536599</v>
      </c>
      <c r="G335" t="s">
        <v>49</v>
      </c>
      <c r="H335">
        <v>12</v>
      </c>
      <c r="I335">
        <v>30</v>
      </c>
      <c r="J335">
        <v>1.9344113754407199</v>
      </c>
      <c r="K335" t="b">
        <f t="shared" si="20"/>
        <v>1</v>
      </c>
      <c r="L335">
        <f t="shared" si="21"/>
        <v>73.522290408294381</v>
      </c>
      <c r="M335">
        <f t="shared" si="22"/>
        <v>294.08916163317753</v>
      </c>
      <c r="N335">
        <f t="shared" si="23"/>
        <v>359.37695551574291</v>
      </c>
    </row>
    <row r="336" spans="1:14" x14ac:dyDescent="0.35">
      <c r="A336" t="s">
        <v>49</v>
      </c>
      <c r="B336">
        <v>12</v>
      </c>
      <c r="C336" t="s">
        <v>50</v>
      </c>
      <c r="D336">
        <v>31</v>
      </c>
      <c r="E336">
        <v>74.485026000000005</v>
      </c>
      <c r="F336">
        <v>2.8897343650680498</v>
      </c>
      <c r="G336" t="s">
        <v>49</v>
      </c>
      <c r="H336">
        <v>12</v>
      </c>
      <c r="I336">
        <v>31</v>
      </c>
      <c r="J336">
        <v>2.10488368211927</v>
      </c>
      <c r="K336" t="b">
        <f t="shared" si="20"/>
        <v>1</v>
      </c>
      <c r="L336">
        <f t="shared" si="21"/>
        <v>79.479644047187321</v>
      </c>
      <c r="M336">
        <f t="shared" si="22"/>
        <v>317.91857618874928</v>
      </c>
      <c r="N336">
        <f t="shared" si="23"/>
        <v>388.49650010265162</v>
      </c>
    </row>
    <row r="337" spans="1:14" x14ac:dyDescent="0.35">
      <c r="A337" t="s">
        <v>49</v>
      </c>
      <c r="B337">
        <v>12</v>
      </c>
      <c r="C337" t="s">
        <v>50</v>
      </c>
      <c r="D337">
        <v>32</v>
      </c>
      <c r="E337">
        <v>79.962399000000005</v>
      </c>
      <c r="F337">
        <v>3.2184098559160099</v>
      </c>
      <c r="G337" t="s">
        <v>49</v>
      </c>
      <c r="H337">
        <v>12</v>
      </c>
      <c r="I337">
        <v>32</v>
      </c>
      <c r="J337">
        <v>2.2789328908758</v>
      </c>
      <c r="K337" t="b">
        <f t="shared" si="20"/>
        <v>1</v>
      </c>
      <c r="L337">
        <f t="shared" si="21"/>
        <v>85.459741746791806</v>
      </c>
      <c r="M337">
        <f t="shared" si="22"/>
        <v>341.83896698716723</v>
      </c>
      <c r="N337">
        <f t="shared" si="23"/>
        <v>417.72721765831835</v>
      </c>
    </row>
    <row r="338" spans="1:14" x14ac:dyDescent="0.35">
      <c r="A338" t="s">
        <v>49</v>
      </c>
      <c r="B338">
        <v>12</v>
      </c>
      <c r="C338" t="s">
        <v>50</v>
      </c>
      <c r="D338">
        <v>33</v>
      </c>
      <c r="E338">
        <v>85.439772000000005</v>
      </c>
      <c r="F338">
        <v>3.5656774906385298</v>
      </c>
      <c r="G338" t="s">
        <v>49</v>
      </c>
      <c r="H338">
        <v>12</v>
      </c>
      <c r="I338">
        <v>33</v>
      </c>
      <c r="J338">
        <v>2.4554239068273902</v>
      </c>
      <c r="K338" t="b">
        <f t="shared" si="20"/>
        <v>1</v>
      </c>
      <c r="L338">
        <f t="shared" si="21"/>
        <v>91.460873397465932</v>
      </c>
      <c r="M338">
        <f t="shared" si="22"/>
        <v>365.84349358986373</v>
      </c>
      <c r="N338">
        <f t="shared" si="23"/>
        <v>447.06074916681348</v>
      </c>
    </row>
    <row r="339" spans="1:14" x14ac:dyDescent="0.35">
      <c r="A339" t="s">
        <v>49</v>
      </c>
      <c r="B339">
        <v>12</v>
      </c>
      <c r="C339" t="s">
        <v>50</v>
      </c>
      <c r="D339">
        <v>34</v>
      </c>
      <c r="E339">
        <v>90.917144999999906</v>
      </c>
      <c r="F339">
        <v>3.9309795049193701</v>
      </c>
      <c r="G339" t="s">
        <v>49</v>
      </c>
      <c r="H339">
        <v>12</v>
      </c>
      <c r="I339">
        <v>34</v>
      </c>
      <c r="J339">
        <v>2.63362168854899</v>
      </c>
      <c r="K339" t="b">
        <f t="shared" si="20"/>
        <v>1</v>
      </c>
      <c r="L339">
        <f t="shared" si="21"/>
        <v>97.481746193468254</v>
      </c>
      <c r="M339">
        <f t="shared" si="22"/>
        <v>389.92698477387302</v>
      </c>
      <c r="N339">
        <f t="shared" si="23"/>
        <v>476.49077539367283</v>
      </c>
    </row>
    <row r="340" spans="1:14" x14ac:dyDescent="0.35">
      <c r="A340" t="s">
        <v>49</v>
      </c>
      <c r="B340">
        <v>12</v>
      </c>
      <c r="C340" t="s">
        <v>50</v>
      </c>
      <c r="D340">
        <v>35</v>
      </c>
      <c r="E340">
        <v>96.563609999999997</v>
      </c>
      <c r="F340">
        <v>4.3146532217717901</v>
      </c>
      <c r="G340" t="s">
        <v>49</v>
      </c>
      <c r="H340">
        <v>12</v>
      </c>
      <c r="I340">
        <v>35</v>
      </c>
      <c r="J340">
        <v>2.8149511868783499</v>
      </c>
      <c r="K340" t="b">
        <f t="shared" si="20"/>
        <v>1</v>
      </c>
      <c r="L340">
        <f t="shared" si="21"/>
        <v>103.69321440865014</v>
      </c>
      <c r="M340">
        <f t="shared" si="22"/>
        <v>414.77285763460054</v>
      </c>
      <c r="N340">
        <f t="shared" si="23"/>
        <v>506.85243202948186</v>
      </c>
    </row>
    <row r="341" spans="1:14" x14ac:dyDescent="0.35">
      <c r="A341" t="s">
        <v>49</v>
      </c>
      <c r="B341">
        <v>12</v>
      </c>
      <c r="C341" t="s">
        <v>50</v>
      </c>
      <c r="D341">
        <v>36</v>
      </c>
      <c r="E341">
        <v>102.210075</v>
      </c>
      <c r="F341">
        <v>4.7161474901186402</v>
      </c>
      <c r="G341" t="s">
        <v>49</v>
      </c>
      <c r="H341">
        <v>12</v>
      </c>
      <c r="I341">
        <v>36</v>
      </c>
      <c r="J341">
        <v>2.9983704519110299</v>
      </c>
      <c r="K341" t="b">
        <f t="shared" si="20"/>
        <v>1</v>
      </c>
      <c r="L341">
        <f t="shared" si="21"/>
        <v>109.92459294202968</v>
      </c>
      <c r="M341">
        <f t="shared" si="22"/>
        <v>439.6983717681187</v>
      </c>
      <c r="N341">
        <f t="shared" si="23"/>
        <v>537.311410300641</v>
      </c>
    </row>
    <row r="342" spans="1:14" x14ac:dyDescent="0.35">
      <c r="A342" t="s">
        <v>49</v>
      </c>
      <c r="B342">
        <v>12</v>
      </c>
      <c r="C342" t="s">
        <v>50</v>
      </c>
      <c r="D342">
        <v>37</v>
      </c>
      <c r="E342">
        <v>107.85654</v>
      </c>
      <c r="F342">
        <v>5.1349276934150803</v>
      </c>
      <c r="G342" t="s">
        <v>49</v>
      </c>
      <c r="H342">
        <v>12</v>
      </c>
      <c r="I342">
        <v>37</v>
      </c>
      <c r="J342">
        <v>3.18321916600474</v>
      </c>
      <c r="K342" t="b">
        <f t="shared" si="20"/>
        <v>1</v>
      </c>
      <c r="L342">
        <f t="shared" si="21"/>
        <v>116.17468685941981</v>
      </c>
      <c r="M342">
        <f t="shared" si="22"/>
        <v>464.69874743767923</v>
      </c>
      <c r="N342">
        <f t="shared" si="23"/>
        <v>567.86186936884405</v>
      </c>
    </row>
    <row r="343" spans="1:14" x14ac:dyDescent="0.35">
      <c r="A343" t="s">
        <v>49</v>
      </c>
      <c r="B343">
        <v>12</v>
      </c>
      <c r="C343" t="s">
        <v>50</v>
      </c>
      <c r="D343">
        <v>38</v>
      </c>
      <c r="E343">
        <v>113.503005</v>
      </c>
      <c r="F343">
        <v>5.5704752536126296</v>
      </c>
      <c r="G343" t="s">
        <v>49</v>
      </c>
      <c r="H343">
        <v>12</v>
      </c>
      <c r="I343">
        <v>38</v>
      </c>
      <c r="J343">
        <v>3.3690688813198602</v>
      </c>
      <c r="K343" t="b">
        <f t="shared" si="20"/>
        <v>1</v>
      </c>
      <c r="L343">
        <f t="shared" si="21"/>
        <v>122.44254913493249</v>
      </c>
      <c r="M343">
        <f t="shared" si="22"/>
        <v>489.77019653972997</v>
      </c>
      <c r="N343">
        <f t="shared" si="23"/>
        <v>598.49918017155005</v>
      </c>
    </row>
    <row r="344" spans="1:14" x14ac:dyDescent="0.35">
      <c r="A344" t="s">
        <v>49</v>
      </c>
      <c r="B344">
        <v>12</v>
      </c>
      <c r="C344" t="s">
        <v>50</v>
      </c>
      <c r="D344">
        <v>39</v>
      </c>
      <c r="E344">
        <v>118.89278103549699</v>
      </c>
      <c r="F344">
        <v>6.2464613373997899</v>
      </c>
      <c r="G344" t="s">
        <v>49</v>
      </c>
      <c r="H344">
        <v>12</v>
      </c>
      <c r="I344">
        <v>39</v>
      </c>
      <c r="J344">
        <v>3.5527308131598501</v>
      </c>
      <c r="K344" t="b">
        <f t="shared" si="20"/>
        <v>1</v>
      </c>
      <c r="L344">
        <f t="shared" si="21"/>
        <v>128.69197318605663</v>
      </c>
      <c r="M344">
        <f t="shared" si="22"/>
        <v>514.76789274422651</v>
      </c>
      <c r="N344">
        <f t="shared" si="23"/>
        <v>629.04636493344481</v>
      </c>
    </row>
    <row r="345" spans="1:14" x14ac:dyDescent="0.35">
      <c r="A345" t="s">
        <v>49</v>
      </c>
      <c r="B345">
        <v>12</v>
      </c>
      <c r="C345" t="s">
        <v>50</v>
      </c>
      <c r="D345">
        <v>40</v>
      </c>
      <c r="E345">
        <v>123.937386557975</v>
      </c>
      <c r="F345">
        <v>7.0748351906853699</v>
      </c>
      <c r="G345" t="s">
        <v>49</v>
      </c>
      <c r="H345">
        <v>12</v>
      </c>
      <c r="I345">
        <v>40</v>
      </c>
      <c r="J345">
        <v>3.7311835738464998</v>
      </c>
      <c r="K345" t="b">
        <f t="shared" si="20"/>
        <v>1</v>
      </c>
      <c r="L345">
        <f t="shared" si="21"/>
        <v>134.74340532250687</v>
      </c>
      <c r="M345">
        <f t="shared" si="22"/>
        <v>538.97362129002749</v>
      </c>
      <c r="N345">
        <f t="shared" si="23"/>
        <v>658.62576521641358</v>
      </c>
    </row>
    <row r="346" spans="1:14" x14ac:dyDescent="0.35">
      <c r="A346" t="s">
        <v>49</v>
      </c>
      <c r="B346">
        <v>12</v>
      </c>
      <c r="C346" t="s">
        <v>50</v>
      </c>
      <c r="D346">
        <v>41</v>
      </c>
      <c r="E346">
        <v>128.86350338129299</v>
      </c>
      <c r="F346">
        <v>8.0033295971637095</v>
      </c>
      <c r="G346" t="s">
        <v>49</v>
      </c>
      <c r="H346">
        <v>12</v>
      </c>
      <c r="I346">
        <v>41</v>
      </c>
      <c r="J346">
        <v>3.9050513600866101</v>
      </c>
      <c r="K346" t="b">
        <f t="shared" si="20"/>
        <v>1</v>
      </c>
      <c r="L346">
        <f t="shared" si="21"/>
        <v>140.77188433854332</v>
      </c>
      <c r="M346">
        <f t="shared" si="22"/>
        <v>563.08753735417326</v>
      </c>
      <c r="N346">
        <f t="shared" si="23"/>
        <v>688.0929706467997</v>
      </c>
    </row>
    <row r="347" spans="1:14" x14ac:dyDescent="0.35">
      <c r="A347" t="s">
        <v>49</v>
      </c>
      <c r="B347">
        <v>12</v>
      </c>
      <c r="C347" t="s">
        <v>50</v>
      </c>
      <c r="D347">
        <v>42</v>
      </c>
      <c r="E347">
        <v>133.700867389584</v>
      </c>
      <c r="F347">
        <v>9.0012393612590902</v>
      </c>
      <c r="G347" t="s">
        <v>49</v>
      </c>
      <c r="H347">
        <v>12</v>
      </c>
      <c r="I347">
        <v>42</v>
      </c>
      <c r="J347">
        <v>4.0750065679360903</v>
      </c>
      <c r="K347" t="b">
        <f t="shared" si="20"/>
        <v>1</v>
      </c>
      <c r="L347">
        <f t="shared" si="21"/>
        <v>146.77711331877919</v>
      </c>
      <c r="M347">
        <f t="shared" si="22"/>
        <v>587.10845327511674</v>
      </c>
      <c r="N347">
        <f t="shared" si="23"/>
        <v>717.44652990219265</v>
      </c>
    </row>
    <row r="348" spans="1:14" x14ac:dyDescent="0.35">
      <c r="A348" t="s">
        <v>49</v>
      </c>
      <c r="B348">
        <v>12</v>
      </c>
      <c r="C348" t="s">
        <v>50</v>
      </c>
      <c r="D348">
        <v>43</v>
      </c>
      <c r="E348">
        <v>138.46670196703599</v>
      </c>
      <c r="F348">
        <v>10.050255648473399</v>
      </c>
      <c r="G348" t="s">
        <v>49</v>
      </c>
      <c r="H348">
        <v>12</v>
      </c>
      <c r="I348">
        <v>43</v>
      </c>
      <c r="J348">
        <v>4.2416319417129902</v>
      </c>
      <c r="K348" t="b">
        <f t="shared" si="20"/>
        <v>1</v>
      </c>
      <c r="L348">
        <f t="shared" si="21"/>
        <v>152.75858955722239</v>
      </c>
      <c r="M348">
        <f t="shared" si="22"/>
        <v>611.03435822888957</v>
      </c>
      <c r="N348">
        <f t="shared" si="23"/>
        <v>746.68398575570302</v>
      </c>
    </row>
    <row r="349" spans="1:14" x14ac:dyDescent="0.35">
      <c r="A349" t="s">
        <v>49</v>
      </c>
      <c r="B349">
        <v>12</v>
      </c>
      <c r="C349" t="s">
        <v>50</v>
      </c>
      <c r="D349">
        <v>44</v>
      </c>
      <c r="E349">
        <v>143.17092847445099</v>
      </c>
      <c r="F349">
        <v>11.1393169265135</v>
      </c>
      <c r="G349" t="s">
        <v>49</v>
      </c>
      <c r="H349">
        <v>12</v>
      </c>
      <c r="I349">
        <v>44</v>
      </c>
      <c r="J349">
        <v>4.4053872114016501</v>
      </c>
      <c r="K349" t="b">
        <f t="shared" si="20"/>
        <v>1</v>
      </c>
      <c r="L349">
        <f t="shared" si="21"/>
        <v>158.71563261236614</v>
      </c>
      <c r="M349">
        <f t="shared" si="22"/>
        <v>634.86253044946454</v>
      </c>
      <c r="N349">
        <f t="shared" si="23"/>
        <v>775.80201220924562</v>
      </c>
    </row>
    <row r="350" spans="1:14" x14ac:dyDescent="0.35">
      <c r="A350" t="s">
        <v>49</v>
      </c>
      <c r="B350">
        <v>12</v>
      </c>
      <c r="C350" t="s">
        <v>50</v>
      </c>
      <c r="D350">
        <v>45</v>
      </c>
      <c r="E350">
        <v>147.483279463381</v>
      </c>
      <c r="F350">
        <v>12.183600483185</v>
      </c>
      <c r="G350" t="s">
        <v>49</v>
      </c>
      <c r="H350">
        <v>12</v>
      </c>
      <c r="I350">
        <v>45</v>
      </c>
      <c r="J350">
        <v>4.5628170138910402</v>
      </c>
      <c r="K350" t="b">
        <f t="shared" si="20"/>
        <v>1</v>
      </c>
      <c r="L350">
        <f t="shared" si="21"/>
        <v>164.22969696045703</v>
      </c>
      <c r="M350">
        <f t="shared" si="22"/>
        <v>656.91878784182813</v>
      </c>
      <c r="N350">
        <f t="shared" si="23"/>
        <v>802.75475874271399</v>
      </c>
    </row>
    <row r="351" spans="1:14" x14ac:dyDescent="0.35">
      <c r="A351" t="s">
        <v>49</v>
      </c>
      <c r="B351">
        <v>12</v>
      </c>
      <c r="C351" t="s">
        <v>50</v>
      </c>
      <c r="D351">
        <v>46</v>
      </c>
      <c r="E351">
        <v>151.79998158258499</v>
      </c>
      <c r="F351">
        <v>13.208470520315901</v>
      </c>
      <c r="G351" t="s">
        <v>49</v>
      </c>
      <c r="H351">
        <v>12</v>
      </c>
      <c r="I351">
        <v>46</v>
      </c>
      <c r="J351">
        <v>4.7162289420493897</v>
      </c>
      <c r="K351" t="b">
        <f t="shared" si="20"/>
        <v>1</v>
      </c>
      <c r="L351">
        <f t="shared" si="21"/>
        <v>169.72468104495027</v>
      </c>
      <c r="M351">
        <f t="shared" si="22"/>
        <v>678.89872417980109</v>
      </c>
      <c r="N351">
        <f t="shared" si="23"/>
        <v>829.61424094771689</v>
      </c>
    </row>
    <row r="352" spans="1:14" x14ac:dyDescent="0.35">
      <c r="A352" t="s">
        <v>49</v>
      </c>
      <c r="B352">
        <v>12</v>
      </c>
      <c r="C352" t="s">
        <v>50</v>
      </c>
      <c r="D352">
        <v>47</v>
      </c>
      <c r="E352">
        <v>156.10512425779601</v>
      </c>
      <c r="F352">
        <v>14.2288049165128</v>
      </c>
      <c r="G352" t="s">
        <v>49</v>
      </c>
      <c r="H352">
        <v>12</v>
      </c>
      <c r="I352">
        <v>47</v>
      </c>
      <c r="J352">
        <v>4.8668612448912603</v>
      </c>
      <c r="K352" t="b">
        <f t="shared" si="20"/>
        <v>1</v>
      </c>
      <c r="L352">
        <f t="shared" si="21"/>
        <v>175.20079041920008</v>
      </c>
      <c r="M352">
        <f t="shared" si="22"/>
        <v>700.8031616768003</v>
      </c>
      <c r="N352">
        <f t="shared" si="23"/>
        <v>856.38146356904997</v>
      </c>
    </row>
    <row r="353" spans="1:14" x14ac:dyDescent="0.35">
      <c r="A353" t="s">
        <v>49</v>
      </c>
      <c r="B353">
        <v>12</v>
      </c>
      <c r="C353" t="s">
        <v>50</v>
      </c>
      <c r="D353">
        <v>48</v>
      </c>
      <c r="E353">
        <v>160.38915960348399</v>
      </c>
      <c r="F353">
        <v>15.253196191844999</v>
      </c>
      <c r="G353" t="s">
        <v>49</v>
      </c>
      <c r="H353">
        <v>12</v>
      </c>
      <c r="I353">
        <v>48</v>
      </c>
      <c r="J353">
        <v>5.0153820636131297</v>
      </c>
      <c r="K353" t="b">
        <f t="shared" si="20"/>
        <v>1</v>
      </c>
      <c r="L353">
        <f t="shared" si="21"/>
        <v>180.65773785894211</v>
      </c>
      <c r="M353">
        <f t="shared" si="22"/>
        <v>722.63095143576845</v>
      </c>
      <c r="N353">
        <f t="shared" si="23"/>
        <v>883.055022654509</v>
      </c>
    </row>
    <row r="354" spans="1:14" x14ac:dyDescent="0.35">
      <c r="A354" t="s">
        <v>49</v>
      </c>
      <c r="B354">
        <v>12</v>
      </c>
      <c r="C354" t="s">
        <v>50</v>
      </c>
      <c r="D354">
        <v>49</v>
      </c>
      <c r="E354">
        <v>164.64633128157899</v>
      </c>
      <c r="F354">
        <v>16.286500789544601</v>
      </c>
      <c r="G354" t="s">
        <v>49</v>
      </c>
      <c r="H354">
        <v>12</v>
      </c>
      <c r="I354">
        <v>49</v>
      </c>
      <c r="J354">
        <v>5.1621559704144602</v>
      </c>
      <c r="K354" t="b">
        <f t="shared" si="20"/>
        <v>1</v>
      </c>
      <c r="L354">
        <f t="shared" si="21"/>
        <v>186.09498804153804</v>
      </c>
      <c r="M354">
        <f t="shared" si="22"/>
        <v>744.37995216615218</v>
      </c>
      <c r="N354">
        <f t="shared" si="23"/>
        <v>909.63230154703797</v>
      </c>
    </row>
    <row r="355" spans="1:14" x14ac:dyDescent="0.35">
      <c r="A355" t="s">
        <v>49</v>
      </c>
      <c r="B355">
        <v>12</v>
      </c>
      <c r="C355" t="s">
        <v>50</v>
      </c>
      <c r="D355">
        <v>50</v>
      </c>
      <c r="E355">
        <v>168.40424985670799</v>
      </c>
      <c r="F355">
        <v>17.258063440996501</v>
      </c>
      <c r="G355" t="s">
        <v>49</v>
      </c>
      <c r="H355">
        <v>12</v>
      </c>
      <c r="I355">
        <v>50</v>
      </c>
      <c r="J355">
        <v>5.3020812793975001</v>
      </c>
      <c r="K355" t="b">
        <f t="shared" si="20"/>
        <v>1</v>
      </c>
      <c r="L355">
        <f t="shared" si="21"/>
        <v>190.96439457710198</v>
      </c>
      <c r="M355">
        <f t="shared" si="22"/>
        <v>763.85757830840794</v>
      </c>
      <c r="N355">
        <f t="shared" si="23"/>
        <v>933.43396069287451</v>
      </c>
    </row>
    <row r="356" spans="1:14" x14ac:dyDescent="0.35">
      <c r="A356" t="s">
        <v>49</v>
      </c>
      <c r="B356">
        <v>12</v>
      </c>
      <c r="C356" t="s">
        <v>50</v>
      </c>
      <c r="D356">
        <v>51</v>
      </c>
      <c r="E356">
        <v>172.18103005047999</v>
      </c>
      <c r="F356">
        <v>18.198320634211601</v>
      </c>
      <c r="G356" t="s">
        <v>49</v>
      </c>
      <c r="H356">
        <v>12</v>
      </c>
      <c r="I356">
        <v>51</v>
      </c>
      <c r="J356">
        <v>5.4378235605649801</v>
      </c>
      <c r="K356" t="b">
        <f t="shared" si="20"/>
        <v>1</v>
      </c>
      <c r="L356">
        <f t="shared" si="21"/>
        <v>195.81717424525658</v>
      </c>
      <c r="M356">
        <f t="shared" si="22"/>
        <v>783.26869698102632</v>
      </c>
      <c r="N356">
        <f t="shared" si="23"/>
        <v>957.15434771081414</v>
      </c>
    </row>
    <row r="357" spans="1:14" x14ac:dyDescent="0.35">
      <c r="A357" t="s">
        <v>49</v>
      </c>
      <c r="B357">
        <v>12</v>
      </c>
      <c r="C357" t="s">
        <v>50</v>
      </c>
      <c r="D357">
        <v>52</v>
      </c>
      <c r="E357">
        <v>175.95823336583501</v>
      </c>
      <c r="F357">
        <v>19.124882378706602</v>
      </c>
      <c r="G357" t="s">
        <v>49</v>
      </c>
      <c r="H357">
        <v>12</v>
      </c>
      <c r="I357">
        <v>52</v>
      </c>
      <c r="J357">
        <v>5.5708128829337697</v>
      </c>
      <c r="K357" t="b">
        <f t="shared" si="20"/>
        <v>1</v>
      </c>
      <c r="L357">
        <f t="shared" si="21"/>
        <v>200.65392862747538</v>
      </c>
      <c r="M357">
        <f t="shared" si="22"/>
        <v>802.61571450990152</v>
      </c>
      <c r="N357">
        <f t="shared" si="23"/>
        <v>980.79640313109962</v>
      </c>
    </row>
    <row r="358" spans="1:14" x14ac:dyDescent="0.35">
      <c r="A358" t="s">
        <v>49</v>
      </c>
      <c r="B358">
        <v>12</v>
      </c>
      <c r="C358" t="s">
        <v>50</v>
      </c>
      <c r="D358">
        <v>53</v>
      </c>
      <c r="E358">
        <v>179.72505532161799</v>
      </c>
      <c r="F358">
        <v>20.0478346618691</v>
      </c>
      <c r="G358" t="s">
        <v>49</v>
      </c>
      <c r="H358">
        <v>12</v>
      </c>
      <c r="I358">
        <v>53</v>
      </c>
      <c r="J358">
        <v>5.7018236992771802</v>
      </c>
      <c r="K358" t="b">
        <f t="shared" si="20"/>
        <v>1</v>
      </c>
      <c r="L358">
        <f t="shared" si="21"/>
        <v>205.47471368276427</v>
      </c>
      <c r="M358">
        <f t="shared" si="22"/>
        <v>821.8988547310571</v>
      </c>
      <c r="N358">
        <f t="shared" si="23"/>
        <v>1004.3604004813518</v>
      </c>
    </row>
    <row r="359" spans="1:14" x14ac:dyDescent="0.35">
      <c r="A359" t="s">
        <v>49</v>
      </c>
      <c r="B359">
        <v>12</v>
      </c>
      <c r="C359" t="s">
        <v>50</v>
      </c>
      <c r="D359">
        <v>54</v>
      </c>
      <c r="E359">
        <v>183.46996000292799</v>
      </c>
      <c r="F359">
        <v>20.9728737994254</v>
      </c>
      <c r="G359" t="s">
        <v>49</v>
      </c>
      <c r="H359">
        <v>12</v>
      </c>
      <c r="I359">
        <v>54</v>
      </c>
      <c r="J359">
        <v>5.8312824853751302</v>
      </c>
      <c r="K359" t="b">
        <f t="shared" si="20"/>
        <v>1</v>
      </c>
      <c r="L359">
        <f t="shared" si="21"/>
        <v>210.27411628772853</v>
      </c>
      <c r="M359">
        <f t="shared" si="22"/>
        <v>841.09646515091413</v>
      </c>
      <c r="N359">
        <f t="shared" si="23"/>
        <v>1027.819880414417</v>
      </c>
    </row>
    <row r="360" spans="1:14" x14ac:dyDescent="0.35">
      <c r="A360" t="s">
        <v>49</v>
      </c>
      <c r="B360">
        <v>12</v>
      </c>
      <c r="C360" t="s">
        <v>50</v>
      </c>
      <c r="D360">
        <v>55</v>
      </c>
      <c r="E360">
        <v>186.63646270792501</v>
      </c>
      <c r="F360">
        <v>21.839148098619699</v>
      </c>
      <c r="G360" t="s">
        <v>49</v>
      </c>
      <c r="H360">
        <v>12</v>
      </c>
      <c r="I360">
        <v>55</v>
      </c>
      <c r="J360">
        <v>5.9534556630957702</v>
      </c>
      <c r="K360" t="b">
        <f t="shared" si="20"/>
        <v>1</v>
      </c>
      <c r="L360">
        <f t="shared" si="21"/>
        <v>214.42906646964047</v>
      </c>
      <c r="M360">
        <f t="shared" si="22"/>
        <v>857.7162658785619</v>
      </c>
      <c r="N360">
        <f t="shared" si="23"/>
        <v>1048.1292769036027</v>
      </c>
    </row>
    <row r="361" spans="1:14" x14ac:dyDescent="0.35">
      <c r="A361" t="s">
        <v>49</v>
      </c>
      <c r="B361">
        <v>12</v>
      </c>
      <c r="C361" t="s">
        <v>50</v>
      </c>
      <c r="D361">
        <v>56</v>
      </c>
      <c r="E361">
        <v>189.82345332237</v>
      </c>
      <c r="F361">
        <v>22.674376635607398</v>
      </c>
      <c r="G361" t="s">
        <v>49</v>
      </c>
      <c r="H361">
        <v>12</v>
      </c>
      <c r="I361">
        <v>56</v>
      </c>
      <c r="J361">
        <v>6.0711928285716503</v>
      </c>
      <c r="K361" t="b">
        <f t="shared" si="20"/>
        <v>1</v>
      </c>
      <c r="L361">
        <f t="shared" si="21"/>
        <v>218.56902278654903</v>
      </c>
      <c r="M361">
        <f t="shared" si="22"/>
        <v>874.27609114619611</v>
      </c>
      <c r="N361">
        <f t="shared" si="23"/>
        <v>1068.3653833806516</v>
      </c>
    </row>
    <row r="362" spans="1:14" x14ac:dyDescent="0.35">
      <c r="A362" t="s">
        <v>49</v>
      </c>
      <c r="B362">
        <v>12</v>
      </c>
      <c r="C362" t="s">
        <v>50</v>
      </c>
      <c r="D362">
        <v>57</v>
      </c>
      <c r="E362">
        <v>193.01460176350301</v>
      </c>
      <c r="F362">
        <v>23.494429429725098</v>
      </c>
      <c r="G362" t="s">
        <v>49</v>
      </c>
      <c r="H362">
        <v>12</v>
      </c>
      <c r="I362">
        <v>57</v>
      </c>
      <c r="J362">
        <v>6.1860573375492303</v>
      </c>
      <c r="K362" t="b">
        <f t="shared" si="20"/>
        <v>1</v>
      </c>
      <c r="L362">
        <f t="shared" si="21"/>
        <v>222.69508853077735</v>
      </c>
      <c r="M362">
        <f t="shared" si="22"/>
        <v>890.78035412310942</v>
      </c>
      <c r="N362">
        <f t="shared" si="23"/>
        <v>1088.5335927384397</v>
      </c>
    </row>
    <row r="363" spans="1:14" x14ac:dyDescent="0.35">
      <c r="A363" t="s">
        <v>49</v>
      </c>
      <c r="B363">
        <v>12</v>
      </c>
      <c r="C363" t="s">
        <v>50</v>
      </c>
      <c r="D363">
        <v>58</v>
      </c>
      <c r="E363">
        <v>196.200466336875</v>
      </c>
      <c r="F363">
        <v>24.308324206296898</v>
      </c>
      <c r="G363" t="s">
        <v>49</v>
      </c>
      <c r="H363">
        <v>12</v>
      </c>
      <c r="I363">
        <v>58</v>
      </c>
      <c r="J363">
        <v>6.2989203269857699</v>
      </c>
      <c r="K363" t="b">
        <f t="shared" si="20"/>
        <v>1</v>
      </c>
      <c r="L363">
        <f t="shared" si="21"/>
        <v>226.80771087015768</v>
      </c>
      <c r="M363">
        <f t="shared" si="22"/>
        <v>907.23084348063071</v>
      </c>
      <c r="N363">
        <f t="shared" si="23"/>
        <v>1108.6360907333308</v>
      </c>
    </row>
    <row r="364" spans="1:14" x14ac:dyDescent="0.35">
      <c r="A364" t="s">
        <v>49</v>
      </c>
      <c r="B364">
        <v>12</v>
      </c>
      <c r="C364" t="s">
        <v>50</v>
      </c>
      <c r="D364">
        <v>59</v>
      </c>
      <c r="E364">
        <v>199.375581683148</v>
      </c>
      <c r="F364">
        <v>25.121128905831799</v>
      </c>
      <c r="G364" t="s">
        <v>49</v>
      </c>
      <c r="H364">
        <v>12</v>
      </c>
      <c r="I364">
        <v>59</v>
      </c>
      <c r="J364">
        <v>6.4102785538854601</v>
      </c>
      <c r="K364" t="b">
        <f t="shared" si="20"/>
        <v>1</v>
      </c>
      <c r="L364">
        <f t="shared" si="21"/>
        <v>230.90698914286526</v>
      </c>
      <c r="M364">
        <f t="shared" si="22"/>
        <v>923.62795657146103</v>
      </c>
      <c r="N364">
        <f t="shared" si="23"/>
        <v>1128.6733629303253</v>
      </c>
    </row>
    <row r="365" spans="1:14" x14ac:dyDescent="0.35">
      <c r="A365" t="s">
        <v>49</v>
      </c>
      <c r="B365">
        <v>12</v>
      </c>
      <c r="C365" t="s">
        <v>50</v>
      </c>
      <c r="D365">
        <v>60</v>
      </c>
      <c r="E365">
        <v>202.06082166954201</v>
      </c>
      <c r="F365">
        <v>25.883715215452298</v>
      </c>
      <c r="G365" t="s">
        <v>49</v>
      </c>
      <c r="H365">
        <v>12</v>
      </c>
      <c r="I365">
        <v>60</v>
      </c>
      <c r="J365">
        <v>6.51498059964322</v>
      </c>
      <c r="K365" t="b">
        <f t="shared" si="20"/>
        <v>1</v>
      </c>
      <c r="L365">
        <f t="shared" si="21"/>
        <v>234.45951748463753</v>
      </c>
      <c r="M365">
        <f t="shared" si="22"/>
        <v>937.83806993855012</v>
      </c>
      <c r="N365">
        <f t="shared" si="23"/>
        <v>1146.0381214649083</v>
      </c>
    </row>
    <row r="366" spans="1:14" x14ac:dyDescent="0.35">
      <c r="A366" t="s">
        <v>49</v>
      </c>
      <c r="B366">
        <v>12</v>
      </c>
      <c r="C366" t="s">
        <v>50</v>
      </c>
      <c r="D366">
        <v>61</v>
      </c>
      <c r="E366">
        <v>204.76428459388001</v>
      </c>
      <c r="F366">
        <v>26.619178562506502</v>
      </c>
      <c r="G366" t="s">
        <v>49</v>
      </c>
      <c r="H366">
        <v>12</v>
      </c>
      <c r="I366">
        <v>61</v>
      </c>
      <c r="J366">
        <v>6.6156145026756299</v>
      </c>
      <c r="K366" t="b">
        <f t="shared" si="20"/>
        <v>1</v>
      </c>
      <c r="L366">
        <f t="shared" si="21"/>
        <v>237.99907765906215</v>
      </c>
      <c r="M366">
        <f t="shared" si="22"/>
        <v>951.99631063624861</v>
      </c>
      <c r="N366">
        <f t="shared" si="23"/>
        <v>1163.3394915974957</v>
      </c>
    </row>
    <row r="367" spans="1:14" x14ac:dyDescent="0.35">
      <c r="A367" t="s">
        <v>49</v>
      </c>
      <c r="B367">
        <v>12</v>
      </c>
      <c r="C367" t="s">
        <v>50</v>
      </c>
      <c r="D367">
        <v>62</v>
      </c>
      <c r="E367">
        <v>207.47249465377101</v>
      </c>
      <c r="F367">
        <v>27.340647224142899</v>
      </c>
      <c r="G367" t="s">
        <v>49</v>
      </c>
      <c r="H367">
        <v>12</v>
      </c>
      <c r="I367">
        <v>62</v>
      </c>
      <c r="J367">
        <v>6.7136181234795798</v>
      </c>
      <c r="K367" t="b">
        <f t="shared" si="20"/>
        <v>1</v>
      </c>
      <c r="L367">
        <f t="shared" si="21"/>
        <v>241.52676000139348</v>
      </c>
      <c r="M367">
        <f t="shared" si="22"/>
        <v>966.10704000557394</v>
      </c>
      <c r="N367">
        <f t="shared" si="23"/>
        <v>1180.5828028868114</v>
      </c>
    </row>
    <row r="368" spans="1:14" x14ac:dyDescent="0.35">
      <c r="A368" t="s">
        <v>49</v>
      </c>
      <c r="B368">
        <v>12</v>
      </c>
      <c r="C368" t="s">
        <v>50</v>
      </c>
      <c r="D368">
        <v>63</v>
      </c>
      <c r="E368">
        <v>210.177725811676</v>
      </c>
      <c r="F368">
        <v>28.055537171880101</v>
      </c>
      <c r="G368" t="s">
        <v>49</v>
      </c>
      <c r="H368">
        <v>12</v>
      </c>
      <c r="I368">
        <v>63</v>
      </c>
      <c r="J368">
        <v>6.8098054686343099</v>
      </c>
      <c r="K368" t="b">
        <f t="shared" si="20"/>
        <v>1</v>
      </c>
      <c r="L368">
        <f t="shared" si="21"/>
        <v>245.04306845219043</v>
      </c>
      <c r="M368">
        <f t="shared" si="22"/>
        <v>980.1722738087617</v>
      </c>
      <c r="N368">
        <f t="shared" si="23"/>
        <v>1197.7705185943068</v>
      </c>
    </row>
    <row r="369" spans="1:14" x14ac:dyDescent="0.35">
      <c r="A369" t="s">
        <v>49</v>
      </c>
      <c r="B369">
        <v>12</v>
      </c>
      <c r="C369" t="s">
        <v>50</v>
      </c>
      <c r="D369">
        <v>64</v>
      </c>
      <c r="E369">
        <v>212.87554497021</v>
      </c>
      <c r="F369">
        <v>28.767997506975899</v>
      </c>
      <c r="G369" t="s">
        <v>49</v>
      </c>
      <c r="H369">
        <v>12</v>
      </c>
      <c r="I369">
        <v>64</v>
      </c>
      <c r="J369">
        <v>6.9046495827565701</v>
      </c>
      <c r="K369" t="b">
        <f t="shared" si="20"/>
        <v>1</v>
      </c>
      <c r="L369">
        <f t="shared" si="21"/>
        <v>248.54819205994247</v>
      </c>
      <c r="M369">
        <f t="shared" si="22"/>
        <v>994.19276823976986</v>
      </c>
      <c r="N369">
        <f t="shared" si="23"/>
        <v>1214.9035627889987</v>
      </c>
    </row>
    <row r="370" spans="1:14" x14ac:dyDescent="0.35">
      <c r="A370" t="s">
        <v>49</v>
      </c>
      <c r="B370">
        <v>12</v>
      </c>
      <c r="C370" t="s">
        <v>50</v>
      </c>
      <c r="D370">
        <v>65</v>
      </c>
      <c r="E370">
        <v>215.194297868631</v>
      </c>
      <c r="F370">
        <v>29.429540847434101</v>
      </c>
      <c r="G370" t="s">
        <v>49</v>
      </c>
      <c r="H370">
        <v>12</v>
      </c>
      <c r="I370">
        <v>65</v>
      </c>
      <c r="J370">
        <v>6.9942131193952699</v>
      </c>
      <c r="K370" t="b">
        <f t="shared" si="20"/>
        <v>1</v>
      </c>
      <c r="L370">
        <f t="shared" si="21"/>
        <v>251.61805183546039</v>
      </c>
      <c r="M370">
        <f t="shared" si="22"/>
        <v>1006.4722073418416</v>
      </c>
      <c r="N370">
        <f t="shared" si="23"/>
        <v>1229.9090373717304</v>
      </c>
    </row>
    <row r="371" spans="1:14" x14ac:dyDescent="0.35">
      <c r="A371" t="s">
        <v>49</v>
      </c>
      <c r="B371">
        <v>12</v>
      </c>
      <c r="C371" t="s">
        <v>50</v>
      </c>
      <c r="D371">
        <v>66</v>
      </c>
      <c r="E371">
        <v>217.534602009944</v>
      </c>
      <c r="F371">
        <v>30.063253367710601</v>
      </c>
      <c r="G371" t="s">
        <v>49</v>
      </c>
      <c r="H371">
        <v>12</v>
      </c>
      <c r="I371">
        <v>66</v>
      </c>
      <c r="J371">
        <v>7.0806179114456702</v>
      </c>
      <c r="K371" t="b">
        <f t="shared" si="20"/>
        <v>1</v>
      </c>
      <c r="L371">
        <f t="shared" si="21"/>
        <v>254.67847328910025</v>
      </c>
      <c r="M371">
        <f t="shared" si="22"/>
        <v>1018.713893156401</v>
      </c>
      <c r="N371">
        <f t="shared" si="23"/>
        <v>1244.868377437122</v>
      </c>
    </row>
    <row r="372" spans="1:14" x14ac:dyDescent="0.35">
      <c r="A372" t="s">
        <v>49</v>
      </c>
      <c r="B372">
        <v>12</v>
      </c>
      <c r="C372" t="s">
        <v>50</v>
      </c>
      <c r="D372">
        <v>67</v>
      </c>
      <c r="E372">
        <v>219.88307498870799</v>
      </c>
      <c r="F372">
        <v>30.682202679999801</v>
      </c>
      <c r="G372" t="s">
        <v>49</v>
      </c>
      <c r="H372">
        <v>12</v>
      </c>
      <c r="I372">
        <v>67</v>
      </c>
      <c r="J372">
        <v>7.1650205566544498</v>
      </c>
      <c r="K372" t="b">
        <f t="shared" si="20"/>
        <v>1</v>
      </c>
      <c r="L372">
        <f t="shared" si="21"/>
        <v>257.73029822536222</v>
      </c>
      <c r="M372">
        <f t="shared" si="22"/>
        <v>1030.9211929014489</v>
      </c>
      <c r="N372">
        <f t="shared" si="23"/>
        <v>1259.7856977255706</v>
      </c>
    </row>
    <row r="373" spans="1:14" x14ac:dyDescent="0.35">
      <c r="A373" t="s">
        <v>49</v>
      </c>
      <c r="B373">
        <v>12</v>
      </c>
      <c r="C373" t="s">
        <v>50</v>
      </c>
      <c r="D373">
        <v>68</v>
      </c>
      <c r="E373">
        <v>222.23208741693099</v>
      </c>
      <c r="F373">
        <v>31.2937454423801</v>
      </c>
      <c r="G373" t="s">
        <v>49</v>
      </c>
      <c r="H373">
        <v>12</v>
      </c>
      <c r="I373">
        <v>68</v>
      </c>
      <c r="J373">
        <v>7.24806282293941</v>
      </c>
      <c r="K373" t="b">
        <f t="shared" si="20"/>
        <v>1</v>
      </c>
      <c r="L373">
        <f t="shared" si="21"/>
        <v>260.7738956822505</v>
      </c>
      <c r="M373">
        <f t="shared" si="22"/>
        <v>1043.095582729002</v>
      </c>
      <c r="N373">
        <f t="shared" si="23"/>
        <v>1274.6628020948403</v>
      </c>
    </row>
    <row r="374" spans="1:14" x14ac:dyDescent="0.35">
      <c r="A374" t="s">
        <v>49</v>
      </c>
      <c r="B374">
        <v>12</v>
      </c>
      <c r="C374" t="s">
        <v>50</v>
      </c>
      <c r="D374">
        <v>69</v>
      </c>
      <c r="E374">
        <v>224.57728834445899</v>
      </c>
      <c r="F374">
        <v>31.901988390964501</v>
      </c>
      <c r="G374" t="s">
        <v>49</v>
      </c>
      <c r="H374">
        <v>12</v>
      </c>
      <c r="I374">
        <v>69</v>
      </c>
      <c r="J374">
        <v>7.3301103429921302</v>
      </c>
      <c r="K374" t="b">
        <f t="shared" si="20"/>
        <v>1</v>
      </c>
      <c r="L374">
        <f t="shared" si="21"/>
        <v>263.80938707841563</v>
      </c>
      <c r="M374">
        <f t="shared" si="22"/>
        <v>1055.2375483136625</v>
      </c>
      <c r="N374">
        <f t="shared" si="23"/>
        <v>1289.5002840392956</v>
      </c>
    </row>
    <row r="375" spans="1:14" x14ac:dyDescent="0.35">
      <c r="A375" t="s">
        <v>49</v>
      </c>
      <c r="B375">
        <v>12</v>
      </c>
      <c r="C375" t="s">
        <v>50</v>
      </c>
      <c r="D375">
        <v>70</v>
      </c>
      <c r="E375">
        <v>226.65996851902199</v>
      </c>
      <c r="F375">
        <v>32.464857616899202</v>
      </c>
      <c r="G375" t="s">
        <v>49</v>
      </c>
      <c r="H375">
        <v>12</v>
      </c>
      <c r="I375">
        <v>70</v>
      </c>
      <c r="J375">
        <v>7.4084484309778498</v>
      </c>
      <c r="K375" t="b">
        <f t="shared" si="20"/>
        <v>1</v>
      </c>
      <c r="L375">
        <f t="shared" si="21"/>
        <v>266.53327456689902</v>
      </c>
      <c r="M375">
        <f t="shared" si="22"/>
        <v>1066.1330982675961</v>
      </c>
      <c r="N375">
        <f t="shared" si="23"/>
        <v>1302.8146460830023</v>
      </c>
    </row>
    <row r="376" spans="1:14" x14ac:dyDescent="0.35">
      <c r="A376" t="s">
        <v>49</v>
      </c>
      <c r="B376">
        <v>12</v>
      </c>
      <c r="C376" t="s">
        <v>50</v>
      </c>
      <c r="D376">
        <v>71</v>
      </c>
      <c r="E376">
        <v>228.76356704732899</v>
      </c>
      <c r="F376">
        <v>33.003157151485198</v>
      </c>
      <c r="G376" t="s">
        <v>49</v>
      </c>
      <c r="H376">
        <v>12</v>
      </c>
      <c r="I376">
        <v>71</v>
      </c>
      <c r="J376">
        <v>7.4846254426288299</v>
      </c>
      <c r="K376" t="b">
        <f t="shared" si="20"/>
        <v>1</v>
      </c>
      <c r="L376">
        <f t="shared" si="21"/>
        <v>269.25134964144303</v>
      </c>
      <c r="M376">
        <f t="shared" si="22"/>
        <v>1077.0053985657721</v>
      </c>
      <c r="N376">
        <f t="shared" si="23"/>
        <v>1316.1005970473734</v>
      </c>
    </row>
    <row r="377" spans="1:14" x14ac:dyDescent="0.35">
      <c r="A377" t="s">
        <v>49</v>
      </c>
      <c r="B377">
        <v>12</v>
      </c>
      <c r="C377" t="s">
        <v>50</v>
      </c>
      <c r="D377">
        <v>72</v>
      </c>
      <c r="E377">
        <v>230.87604505595499</v>
      </c>
      <c r="F377">
        <v>33.528611686497399</v>
      </c>
      <c r="G377" t="s">
        <v>49</v>
      </c>
      <c r="H377">
        <v>12</v>
      </c>
      <c r="I377">
        <v>72</v>
      </c>
      <c r="J377">
        <v>7.5594623671005401</v>
      </c>
      <c r="K377" t="b">
        <f t="shared" si="20"/>
        <v>1</v>
      </c>
      <c r="L377">
        <f t="shared" si="21"/>
        <v>271.96411910955294</v>
      </c>
      <c r="M377">
        <f t="shared" si="22"/>
        <v>1087.8564764382118</v>
      </c>
      <c r="N377">
        <f t="shared" si="23"/>
        <v>1329.3606142074948</v>
      </c>
    </row>
    <row r="378" spans="1:14" x14ac:dyDescent="0.35">
      <c r="A378" t="s">
        <v>49</v>
      </c>
      <c r="B378">
        <v>12</v>
      </c>
      <c r="C378" t="s">
        <v>50</v>
      </c>
      <c r="D378">
        <v>73</v>
      </c>
      <c r="E378">
        <v>232.990562505296</v>
      </c>
      <c r="F378">
        <v>34.047789822861098</v>
      </c>
      <c r="G378" t="s">
        <v>49</v>
      </c>
      <c r="H378">
        <v>12</v>
      </c>
      <c r="I378">
        <v>73</v>
      </c>
      <c r="J378">
        <v>7.6334006448242304</v>
      </c>
      <c r="K378" t="b">
        <f t="shared" si="20"/>
        <v>1</v>
      </c>
      <c r="L378">
        <f t="shared" si="21"/>
        <v>274.67175297298132</v>
      </c>
      <c r="M378">
        <f t="shared" si="22"/>
        <v>1098.6870118919253</v>
      </c>
      <c r="N378">
        <f t="shared" si="23"/>
        <v>1342.5955285319326</v>
      </c>
    </row>
    <row r="379" spans="1:14" x14ac:dyDescent="0.35">
      <c r="A379" t="s">
        <v>49</v>
      </c>
      <c r="B379">
        <v>12</v>
      </c>
      <c r="C379" t="s">
        <v>50</v>
      </c>
      <c r="D379">
        <v>74</v>
      </c>
      <c r="E379">
        <v>235.10323229163399</v>
      </c>
      <c r="F379">
        <v>34.564336355087597</v>
      </c>
      <c r="G379" t="s">
        <v>49</v>
      </c>
      <c r="H379">
        <v>12</v>
      </c>
      <c r="I379">
        <v>74</v>
      </c>
      <c r="J379">
        <v>7.70668337986341</v>
      </c>
      <c r="K379" t="b">
        <f t="shared" si="20"/>
        <v>1</v>
      </c>
      <c r="L379">
        <f t="shared" si="21"/>
        <v>277.374252026585</v>
      </c>
      <c r="M379">
        <f t="shared" si="22"/>
        <v>1109.49700810634</v>
      </c>
      <c r="N379">
        <f t="shared" si="23"/>
        <v>1355.8053439059474</v>
      </c>
    </row>
    <row r="380" spans="1:14" x14ac:dyDescent="0.35">
      <c r="A380" t="s">
        <v>49</v>
      </c>
      <c r="B380">
        <v>12</v>
      </c>
      <c r="C380" t="s">
        <v>50</v>
      </c>
      <c r="D380">
        <v>75</v>
      </c>
      <c r="E380">
        <v>237.013057741247</v>
      </c>
      <c r="F380">
        <v>35.043548380099502</v>
      </c>
      <c r="G380" t="s">
        <v>49</v>
      </c>
      <c r="H380">
        <v>12</v>
      </c>
      <c r="I380">
        <v>75</v>
      </c>
      <c r="J380">
        <v>7.77717575210412</v>
      </c>
      <c r="K380" t="b">
        <f t="shared" si="20"/>
        <v>1</v>
      </c>
      <c r="L380">
        <f t="shared" si="21"/>
        <v>279.83378187345062</v>
      </c>
      <c r="M380">
        <f t="shared" si="22"/>
        <v>1119.3351274938025</v>
      </c>
      <c r="N380">
        <f t="shared" si="23"/>
        <v>1367.8275257974267</v>
      </c>
    </row>
    <row r="381" spans="1:14" x14ac:dyDescent="0.35">
      <c r="A381" t="s">
        <v>49</v>
      </c>
      <c r="B381">
        <v>12</v>
      </c>
      <c r="C381" t="s">
        <v>50</v>
      </c>
      <c r="D381">
        <v>76</v>
      </c>
      <c r="E381">
        <v>238.941096010048</v>
      </c>
      <c r="F381">
        <v>35.502914010649398</v>
      </c>
      <c r="G381" t="s">
        <v>49</v>
      </c>
      <c r="H381">
        <v>12</v>
      </c>
      <c r="I381">
        <v>76</v>
      </c>
      <c r="J381">
        <v>7.8460738779900403</v>
      </c>
      <c r="K381" t="b">
        <f t="shared" si="20"/>
        <v>1</v>
      </c>
      <c r="L381">
        <f t="shared" si="21"/>
        <v>282.29008389868744</v>
      </c>
      <c r="M381">
        <f t="shared" si="22"/>
        <v>1129.1603355947498</v>
      </c>
      <c r="N381">
        <f t="shared" si="23"/>
        <v>1379.8339300967841</v>
      </c>
    </row>
    <row r="382" spans="1:14" x14ac:dyDescent="0.35">
      <c r="A382" t="s">
        <v>49</v>
      </c>
      <c r="B382">
        <v>12</v>
      </c>
      <c r="C382" t="s">
        <v>50</v>
      </c>
      <c r="D382">
        <v>77</v>
      </c>
      <c r="E382">
        <v>240.87722033814001</v>
      </c>
      <c r="F382">
        <v>35.952246650116599</v>
      </c>
      <c r="G382" t="s">
        <v>49</v>
      </c>
      <c r="H382">
        <v>12</v>
      </c>
      <c r="I382">
        <v>77</v>
      </c>
      <c r="J382">
        <v>7.9140019702878899</v>
      </c>
      <c r="K382" t="b">
        <f t="shared" si="20"/>
        <v>1</v>
      </c>
      <c r="L382">
        <f t="shared" si="21"/>
        <v>284.7434689585445</v>
      </c>
      <c r="M382">
        <f t="shared" si="22"/>
        <v>1138.973875834178</v>
      </c>
      <c r="N382">
        <f t="shared" si="23"/>
        <v>1391.8260762693656</v>
      </c>
    </row>
    <row r="383" spans="1:14" x14ac:dyDescent="0.35">
      <c r="A383" t="s">
        <v>49</v>
      </c>
      <c r="B383">
        <v>12</v>
      </c>
      <c r="C383" t="s">
        <v>50</v>
      </c>
      <c r="D383">
        <v>78</v>
      </c>
      <c r="E383">
        <v>242.81569046905699</v>
      </c>
      <c r="F383">
        <v>36.397013557059303</v>
      </c>
      <c r="G383" t="s">
        <v>49</v>
      </c>
      <c r="H383">
        <v>12</v>
      </c>
      <c r="I383">
        <v>78</v>
      </c>
      <c r="J383">
        <v>7.9812891352995701</v>
      </c>
      <c r="K383" t="b">
        <f t="shared" si="20"/>
        <v>1</v>
      </c>
      <c r="L383">
        <f t="shared" si="21"/>
        <v>287.19399316141585</v>
      </c>
      <c r="M383">
        <f t="shared" si="22"/>
        <v>1148.7759726456634</v>
      </c>
      <c r="N383">
        <f t="shared" si="23"/>
        <v>1403.8042385730007</v>
      </c>
    </row>
    <row r="384" spans="1:14" x14ac:dyDescent="0.35">
      <c r="A384" t="s">
        <v>49</v>
      </c>
      <c r="B384">
        <v>12</v>
      </c>
      <c r="C384" t="s">
        <v>50</v>
      </c>
      <c r="D384">
        <v>79</v>
      </c>
      <c r="E384">
        <v>244.753251894909</v>
      </c>
      <c r="F384">
        <v>36.840224221493003</v>
      </c>
      <c r="G384" t="s">
        <v>49</v>
      </c>
      <c r="H384">
        <v>12</v>
      </c>
      <c r="I384">
        <v>79</v>
      </c>
      <c r="J384">
        <v>8.0481124265587702</v>
      </c>
      <c r="K384" t="b">
        <f t="shared" si="20"/>
        <v>1</v>
      </c>
      <c r="L384">
        <f t="shared" si="21"/>
        <v>289.64158854296079</v>
      </c>
      <c r="M384">
        <f t="shared" si="22"/>
        <v>1158.5663541718432</v>
      </c>
      <c r="N384">
        <f t="shared" si="23"/>
        <v>1415.7680847979923</v>
      </c>
    </row>
    <row r="385" spans="1:14" x14ac:dyDescent="0.35">
      <c r="A385" t="s">
        <v>49</v>
      </c>
      <c r="B385">
        <v>12</v>
      </c>
      <c r="C385" t="s">
        <v>50</v>
      </c>
      <c r="D385">
        <v>80</v>
      </c>
      <c r="E385">
        <v>246.38051423500701</v>
      </c>
      <c r="F385">
        <v>37.310900741758402</v>
      </c>
      <c r="G385" t="s">
        <v>49</v>
      </c>
      <c r="H385">
        <v>12</v>
      </c>
      <c r="I385">
        <v>80</v>
      </c>
      <c r="J385">
        <v>8.1110527991675099</v>
      </c>
      <c r="K385" t="b">
        <f t="shared" si="20"/>
        <v>1</v>
      </c>
      <c r="L385">
        <f t="shared" si="21"/>
        <v>291.80246777593294</v>
      </c>
      <c r="M385">
        <f t="shared" si="22"/>
        <v>1167.2098711037318</v>
      </c>
      <c r="N385">
        <f t="shared" si="23"/>
        <v>1426.3304624887601</v>
      </c>
    </row>
    <row r="386" spans="1:14" x14ac:dyDescent="0.35">
      <c r="A386" t="s">
        <v>49</v>
      </c>
      <c r="B386">
        <v>12</v>
      </c>
      <c r="C386" t="s">
        <v>50</v>
      </c>
      <c r="D386">
        <v>81</v>
      </c>
      <c r="E386">
        <v>247.98375070592999</v>
      </c>
      <c r="F386">
        <v>37.748832271431802</v>
      </c>
      <c r="G386" t="s">
        <v>49</v>
      </c>
      <c r="H386">
        <v>12</v>
      </c>
      <c r="I386">
        <v>81</v>
      </c>
      <c r="J386">
        <v>8.1712419578916506</v>
      </c>
      <c r="K386" t="b">
        <f t="shared" si="20"/>
        <v>1</v>
      </c>
      <c r="L386">
        <f t="shared" si="21"/>
        <v>293.90382493525345</v>
      </c>
      <c r="M386">
        <f t="shared" si="22"/>
        <v>1175.6152997410138</v>
      </c>
      <c r="N386">
        <f t="shared" si="23"/>
        <v>1436.601896283519</v>
      </c>
    </row>
    <row r="387" spans="1:14" x14ac:dyDescent="0.35">
      <c r="A387" t="s">
        <v>49</v>
      </c>
      <c r="B387">
        <v>12</v>
      </c>
      <c r="C387" t="s">
        <v>50</v>
      </c>
      <c r="D387">
        <v>82</v>
      </c>
      <c r="E387">
        <v>249.55530418145</v>
      </c>
      <c r="F387">
        <v>38.163255598486998</v>
      </c>
      <c r="G387" t="s">
        <v>49</v>
      </c>
      <c r="H387">
        <v>12</v>
      </c>
      <c r="I387">
        <v>82</v>
      </c>
      <c r="J387">
        <v>8.2292781341838701</v>
      </c>
      <c r="K387" t="b">
        <f t="shared" ref="K387:K450" si="24">H387=B387</f>
        <v>1</v>
      </c>
      <c r="L387">
        <f t="shared" ref="L387:L450" si="25">E387+F387+J387</f>
        <v>295.94783791412084</v>
      </c>
      <c r="M387">
        <f t="shared" ref="M387:M450" si="26">(L387*2)*(100/50)</f>
        <v>1183.7913516564834</v>
      </c>
      <c r="N387">
        <f t="shared" ref="N387:N450" si="27">M387*1.222</f>
        <v>1446.5930317242226</v>
      </c>
    </row>
    <row r="388" spans="1:14" x14ac:dyDescent="0.35">
      <c r="A388" t="s">
        <v>49</v>
      </c>
      <c r="B388">
        <v>12</v>
      </c>
      <c r="C388" t="s">
        <v>50</v>
      </c>
      <c r="D388">
        <v>83</v>
      </c>
      <c r="E388">
        <v>251.091357494123</v>
      </c>
      <c r="F388">
        <v>38.559544587247402</v>
      </c>
      <c r="G388" t="s">
        <v>49</v>
      </c>
      <c r="H388">
        <v>12</v>
      </c>
      <c r="I388">
        <v>83</v>
      </c>
      <c r="J388">
        <v>8.28548563003325</v>
      </c>
      <c r="K388" t="b">
        <f t="shared" si="24"/>
        <v>1</v>
      </c>
      <c r="L388">
        <f t="shared" si="25"/>
        <v>297.93638771140365</v>
      </c>
      <c r="M388">
        <f t="shared" si="26"/>
        <v>1191.7455508456146</v>
      </c>
      <c r="N388">
        <f t="shared" si="27"/>
        <v>1456.3130631333411</v>
      </c>
    </row>
    <row r="389" spans="1:14" x14ac:dyDescent="0.35">
      <c r="A389" t="s">
        <v>49</v>
      </c>
      <c r="B389">
        <v>12</v>
      </c>
      <c r="C389" t="s">
        <v>50</v>
      </c>
      <c r="D389">
        <v>84</v>
      </c>
      <c r="E389">
        <v>252.59024902915399</v>
      </c>
      <c r="F389">
        <v>38.940884992870799</v>
      </c>
      <c r="G389" t="s">
        <v>49</v>
      </c>
      <c r="H389">
        <v>12</v>
      </c>
      <c r="I389">
        <v>84</v>
      </c>
      <c r="J389">
        <v>8.3400489332342396</v>
      </c>
      <c r="K389" t="b">
        <f t="shared" si="24"/>
        <v>1</v>
      </c>
      <c r="L389">
        <f t="shared" si="25"/>
        <v>299.87118295525903</v>
      </c>
      <c r="M389">
        <f t="shared" si="26"/>
        <v>1199.4847318210361</v>
      </c>
      <c r="N389">
        <f t="shared" si="27"/>
        <v>1465.770342285306</v>
      </c>
    </row>
    <row r="390" spans="1:14" x14ac:dyDescent="0.35">
      <c r="A390" t="s">
        <v>49</v>
      </c>
      <c r="B390">
        <v>12</v>
      </c>
      <c r="C390" t="s">
        <v>50</v>
      </c>
      <c r="D390">
        <v>85</v>
      </c>
      <c r="E390">
        <v>254.051519924243</v>
      </c>
      <c r="F390">
        <v>39.309222292074601</v>
      </c>
      <c r="G390" t="s">
        <v>49</v>
      </c>
      <c r="H390">
        <v>12</v>
      </c>
      <c r="I390">
        <v>85</v>
      </c>
      <c r="J390">
        <v>8.3930814619344893</v>
      </c>
      <c r="K390" t="b">
        <f t="shared" si="24"/>
        <v>1</v>
      </c>
      <c r="L390">
        <f t="shared" si="25"/>
        <v>301.7538236782521</v>
      </c>
      <c r="M390">
        <f t="shared" si="26"/>
        <v>1207.0152947130084</v>
      </c>
      <c r="N390">
        <f t="shared" si="27"/>
        <v>1474.9726901392962</v>
      </c>
    </row>
    <row r="391" spans="1:14" x14ac:dyDescent="0.35">
      <c r="A391" t="s">
        <v>49</v>
      </c>
      <c r="B391">
        <v>12</v>
      </c>
      <c r="C391" t="s">
        <v>50</v>
      </c>
      <c r="D391">
        <v>86</v>
      </c>
      <c r="E391">
        <v>255.47537571420801</v>
      </c>
      <c r="F391">
        <v>39.665797722106198</v>
      </c>
      <c r="G391" t="s">
        <v>49</v>
      </c>
      <c r="H391">
        <v>12</v>
      </c>
      <c r="I391">
        <v>86</v>
      </c>
      <c r="J391">
        <v>8.4446604875470701</v>
      </c>
      <c r="K391" t="b">
        <f t="shared" si="24"/>
        <v>1</v>
      </c>
      <c r="L391">
        <f t="shared" si="25"/>
        <v>303.58583392386129</v>
      </c>
      <c r="M391">
        <f t="shared" si="26"/>
        <v>1214.3433356954451</v>
      </c>
      <c r="N391">
        <f t="shared" si="27"/>
        <v>1483.9275562198338</v>
      </c>
    </row>
    <row r="392" spans="1:14" x14ac:dyDescent="0.35">
      <c r="A392" t="s">
        <v>49</v>
      </c>
      <c r="B392">
        <v>12</v>
      </c>
      <c r="C392" t="s">
        <v>50</v>
      </c>
      <c r="D392">
        <v>87</v>
      </c>
      <c r="E392">
        <v>256.86238254666699</v>
      </c>
      <c r="F392">
        <v>40.011451260921</v>
      </c>
      <c r="G392" t="s">
        <v>49</v>
      </c>
      <c r="H392">
        <v>12</v>
      </c>
      <c r="I392">
        <v>87</v>
      </c>
      <c r="J392">
        <v>8.4948447048571296</v>
      </c>
      <c r="K392" t="b">
        <f t="shared" si="24"/>
        <v>1</v>
      </c>
      <c r="L392">
        <f t="shared" si="25"/>
        <v>305.36867851244511</v>
      </c>
      <c r="M392">
        <f t="shared" si="26"/>
        <v>1221.4747140497805</v>
      </c>
      <c r="N392">
        <f t="shared" si="27"/>
        <v>1492.6421005688317</v>
      </c>
    </row>
    <row r="393" spans="1:14" x14ac:dyDescent="0.35">
      <c r="A393" t="s">
        <v>49</v>
      </c>
      <c r="B393">
        <v>12</v>
      </c>
      <c r="C393" t="s">
        <v>50</v>
      </c>
      <c r="D393">
        <v>88</v>
      </c>
      <c r="E393">
        <v>258.21329606869199</v>
      </c>
      <c r="F393">
        <v>40.346792791965299</v>
      </c>
      <c r="G393" t="s">
        <v>49</v>
      </c>
      <c r="H393">
        <v>12</v>
      </c>
      <c r="I393">
        <v>88</v>
      </c>
      <c r="J393">
        <v>8.5436829843976607</v>
      </c>
      <c r="K393" t="b">
        <f t="shared" si="24"/>
        <v>1</v>
      </c>
      <c r="L393">
        <f t="shared" si="25"/>
        <v>307.10377184505495</v>
      </c>
      <c r="M393">
        <f t="shared" si="26"/>
        <v>1228.4150873802198</v>
      </c>
      <c r="N393">
        <f t="shared" si="27"/>
        <v>1501.1232367786286</v>
      </c>
    </row>
    <row r="394" spans="1:14" x14ac:dyDescent="0.35">
      <c r="A394" t="s">
        <v>49</v>
      </c>
      <c r="B394">
        <v>12</v>
      </c>
      <c r="C394" t="s">
        <v>50</v>
      </c>
      <c r="D394">
        <v>89</v>
      </c>
      <c r="E394">
        <v>259.52896530233397</v>
      </c>
      <c r="F394">
        <v>40.6722987589404</v>
      </c>
      <c r="G394" t="s">
        <v>49</v>
      </c>
      <c r="H394">
        <v>12</v>
      </c>
      <c r="I394">
        <v>89</v>
      </c>
      <c r="J394">
        <v>8.5912186937013608</v>
      </c>
      <c r="K394" t="b">
        <f t="shared" si="24"/>
        <v>1</v>
      </c>
      <c r="L394">
        <f t="shared" si="25"/>
        <v>308.79248275497577</v>
      </c>
      <c r="M394">
        <f t="shared" si="26"/>
        <v>1235.1699310199031</v>
      </c>
      <c r="N394">
        <f t="shared" si="27"/>
        <v>1509.3776557063215</v>
      </c>
    </row>
    <row r="395" spans="1:14" x14ac:dyDescent="0.35">
      <c r="A395" t="s">
        <v>49</v>
      </c>
      <c r="B395">
        <v>12</v>
      </c>
      <c r="C395" t="s">
        <v>50</v>
      </c>
      <c r="D395">
        <v>90</v>
      </c>
      <c r="E395">
        <v>260.81027887708899</v>
      </c>
      <c r="F395">
        <v>40.988366726790403</v>
      </c>
      <c r="G395" t="s">
        <v>49</v>
      </c>
      <c r="H395">
        <v>12</v>
      </c>
      <c r="I395">
        <v>90</v>
      </c>
      <c r="J395">
        <v>8.6374918200374307</v>
      </c>
      <c r="K395" t="b">
        <f t="shared" si="24"/>
        <v>1</v>
      </c>
      <c r="L395">
        <f t="shared" si="25"/>
        <v>310.43613742391682</v>
      </c>
      <c r="M395">
        <f t="shared" si="26"/>
        <v>1241.7445496956673</v>
      </c>
      <c r="N395">
        <f t="shared" si="27"/>
        <v>1517.4118397281054</v>
      </c>
    </row>
    <row r="396" spans="1:14" x14ac:dyDescent="0.35">
      <c r="A396" t="s">
        <v>49</v>
      </c>
      <c r="B396">
        <v>12</v>
      </c>
      <c r="C396" t="s">
        <v>50</v>
      </c>
      <c r="D396">
        <v>91</v>
      </c>
      <c r="E396">
        <v>262.058135168229</v>
      </c>
      <c r="F396">
        <v>41.295346176541898</v>
      </c>
      <c r="G396" t="s">
        <v>49</v>
      </c>
      <c r="H396">
        <v>12</v>
      </c>
      <c r="I396">
        <v>91</v>
      </c>
      <c r="J396">
        <v>8.6825400179273799</v>
      </c>
      <c r="K396" t="b">
        <f t="shared" si="24"/>
        <v>1</v>
      </c>
      <c r="L396">
        <f t="shared" si="25"/>
        <v>312.03602136269831</v>
      </c>
      <c r="M396">
        <f t="shared" si="26"/>
        <v>1248.1440854507932</v>
      </c>
      <c r="N396">
        <f t="shared" si="27"/>
        <v>1525.2320724208694</v>
      </c>
    </row>
    <row r="397" spans="1:14" x14ac:dyDescent="0.35">
      <c r="A397" t="s">
        <v>49</v>
      </c>
      <c r="B397">
        <v>12</v>
      </c>
      <c r="C397" t="s">
        <v>50</v>
      </c>
      <c r="D397">
        <v>92</v>
      </c>
      <c r="E397">
        <v>263.27342591325299</v>
      </c>
      <c r="F397">
        <v>41.593555891203401</v>
      </c>
      <c r="G397" t="s">
        <v>49</v>
      </c>
      <c r="H397">
        <v>12</v>
      </c>
      <c r="I397">
        <v>92</v>
      </c>
      <c r="J397">
        <v>8.7263991389050108</v>
      </c>
      <c r="K397" t="b">
        <f t="shared" si="24"/>
        <v>1</v>
      </c>
      <c r="L397">
        <f t="shared" si="25"/>
        <v>313.59338094336141</v>
      </c>
      <c r="M397">
        <f t="shared" si="26"/>
        <v>1254.3735237734456</v>
      </c>
      <c r="N397">
        <f t="shared" si="27"/>
        <v>1532.8444460511505</v>
      </c>
    </row>
    <row r="398" spans="1:14" x14ac:dyDescent="0.35">
      <c r="A398" t="s">
        <v>49</v>
      </c>
      <c r="B398">
        <v>12</v>
      </c>
      <c r="C398" t="s">
        <v>50</v>
      </c>
      <c r="D398">
        <v>93</v>
      </c>
      <c r="E398">
        <v>264.45702741580902</v>
      </c>
      <c r="F398">
        <v>41.8832937829401</v>
      </c>
      <c r="G398" t="s">
        <v>49</v>
      </c>
      <c r="H398">
        <v>12</v>
      </c>
      <c r="I398">
        <v>93</v>
      </c>
      <c r="J398">
        <v>8.7691035156694195</v>
      </c>
      <c r="K398" t="b">
        <f t="shared" si="24"/>
        <v>1</v>
      </c>
      <c r="L398">
        <f t="shared" si="25"/>
        <v>315.10942471441854</v>
      </c>
      <c r="M398">
        <f t="shared" si="26"/>
        <v>1260.4376988576741</v>
      </c>
      <c r="N398">
        <f t="shared" si="27"/>
        <v>1540.2548680040777</v>
      </c>
    </row>
    <row r="399" spans="1:14" x14ac:dyDescent="0.35">
      <c r="A399" t="s">
        <v>49</v>
      </c>
      <c r="B399">
        <v>12</v>
      </c>
      <c r="C399" t="s">
        <v>50</v>
      </c>
      <c r="D399">
        <v>94</v>
      </c>
      <c r="E399">
        <v>265.60979601122801</v>
      </c>
      <c r="F399">
        <v>42.164842464306503</v>
      </c>
      <c r="G399" t="s">
        <v>49</v>
      </c>
      <c r="H399">
        <v>12</v>
      </c>
      <c r="I399">
        <v>94</v>
      </c>
      <c r="J399">
        <v>8.8106861308971691</v>
      </c>
      <c r="K399" t="b">
        <f t="shared" si="24"/>
        <v>1</v>
      </c>
      <c r="L399">
        <f t="shared" si="25"/>
        <v>316.5853246064317</v>
      </c>
      <c r="M399">
        <f t="shared" si="26"/>
        <v>1266.3412984257268</v>
      </c>
      <c r="N399">
        <f t="shared" si="27"/>
        <v>1547.4690666762381</v>
      </c>
    </row>
    <row r="400" spans="1:14" x14ac:dyDescent="0.35">
      <c r="A400" t="s">
        <v>49</v>
      </c>
      <c r="B400">
        <v>12</v>
      </c>
      <c r="C400" t="s">
        <v>50</v>
      </c>
      <c r="D400">
        <v>95</v>
      </c>
      <c r="E400">
        <v>266.73256591690898</v>
      </c>
      <c r="F400">
        <v>42.438472427039798</v>
      </c>
      <c r="G400" t="s">
        <v>49</v>
      </c>
      <c r="H400">
        <v>12</v>
      </c>
      <c r="I400">
        <v>95</v>
      </c>
      <c r="J400">
        <v>8.8511787316197204</v>
      </c>
      <c r="K400" t="b">
        <f t="shared" si="24"/>
        <v>1</v>
      </c>
      <c r="L400">
        <f t="shared" si="25"/>
        <v>318.02221707556851</v>
      </c>
      <c r="M400">
        <f t="shared" si="26"/>
        <v>1272.088868302274</v>
      </c>
      <c r="N400">
        <f t="shared" si="27"/>
        <v>1554.4925970653787</v>
      </c>
    </row>
    <row r="401" spans="1:14" x14ac:dyDescent="0.35">
      <c r="A401" t="s">
        <v>49</v>
      </c>
      <c r="B401">
        <v>12</v>
      </c>
      <c r="C401" t="s">
        <v>50</v>
      </c>
      <c r="D401">
        <v>96</v>
      </c>
      <c r="E401">
        <v>267.826148409334</v>
      </c>
      <c r="F401">
        <v>42.704443879076898</v>
      </c>
      <c r="G401" t="s">
        <v>49</v>
      </c>
      <c r="H401">
        <v>12</v>
      </c>
      <c r="I401">
        <v>96</v>
      </c>
      <c r="J401">
        <v>8.8906119168832607</v>
      </c>
      <c r="K401" t="b">
        <f t="shared" si="24"/>
        <v>1</v>
      </c>
      <c r="L401">
        <f t="shared" si="25"/>
        <v>319.42120420529415</v>
      </c>
      <c r="M401">
        <f t="shared" si="26"/>
        <v>1277.6848168211766</v>
      </c>
      <c r="N401">
        <f t="shared" si="27"/>
        <v>1561.3308461554777</v>
      </c>
    </row>
    <row r="402" spans="1:14" x14ac:dyDescent="0.35">
      <c r="A402" t="s">
        <v>49</v>
      </c>
      <c r="B402">
        <v>12</v>
      </c>
      <c r="C402" t="s">
        <v>50</v>
      </c>
      <c r="D402">
        <v>97</v>
      </c>
      <c r="E402">
        <v>268.89133173160502</v>
      </c>
      <c r="F402">
        <v>42.963007831584001</v>
      </c>
      <c r="G402" t="s">
        <v>49</v>
      </c>
      <c r="H402">
        <v>12</v>
      </c>
      <c r="I402">
        <v>97</v>
      </c>
      <c r="J402">
        <v>8.9290152109537004</v>
      </c>
      <c r="K402" t="b">
        <f t="shared" si="24"/>
        <v>1</v>
      </c>
      <c r="L402">
        <f t="shared" si="25"/>
        <v>320.78335477414271</v>
      </c>
      <c r="M402">
        <f t="shared" si="26"/>
        <v>1283.1334190965708</v>
      </c>
      <c r="N402">
        <f t="shared" si="27"/>
        <v>1567.9890381360094</v>
      </c>
    </row>
    <row r="403" spans="1:14" x14ac:dyDescent="0.35">
      <c r="A403" t="s">
        <v>49</v>
      </c>
      <c r="B403">
        <v>12</v>
      </c>
      <c r="C403" t="s">
        <v>50</v>
      </c>
      <c r="D403">
        <v>98</v>
      </c>
      <c r="E403">
        <v>269.92888139621698</v>
      </c>
      <c r="F403">
        <v>43.214406768870901</v>
      </c>
      <c r="G403" t="s">
        <v>49</v>
      </c>
      <c r="H403">
        <v>12</v>
      </c>
      <c r="I403">
        <v>98</v>
      </c>
      <c r="J403">
        <v>8.9664171273850695</v>
      </c>
      <c r="K403" t="b">
        <f t="shared" si="24"/>
        <v>1</v>
      </c>
      <c r="L403">
        <f t="shared" si="25"/>
        <v>322.10970529247294</v>
      </c>
      <c r="M403">
        <f t="shared" si="26"/>
        <v>1288.4388211698918</v>
      </c>
      <c r="N403">
        <f t="shared" si="27"/>
        <v>1574.4722394696078</v>
      </c>
    </row>
    <row r="404" spans="1:14" x14ac:dyDescent="0.35">
      <c r="A404" t="s">
        <v>49</v>
      </c>
      <c r="B404">
        <v>12</v>
      </c>
      <c r="C404" t="s">
        <v>50</v>
      </c>
      <c r="D404">
        <v>99</v>
      </c>
      <c r="E404">
        <v>270.93954069488802</v>
      </c>
      <c r="F404">
        <v>43.458875088036898</v>
      </c>
      <c r="G404" t="s">
        <v>49</v>
      </c>
      <c r="H404">
        <v>12</v>
      </c>
      <c r="I404">
        <v>99</v>
      </c>
      <c r="J404">
        <v>9.0028452262925995</v>
      </c>
      <c r="K404" t="b">
        <f t="shared" si="24"/>
        <v>1</v>
      </c>
      <c r="L404">
        <f t="shared" si="25"/>
        <v>323.40126100921754</v>
      </c>
      <c r="M404">
        <f t="shared" si="26"/>
        <v>1293.6050440368701</v>
      </c>
      <c r="N404">
        <f t="shared" si="27"/>
        <v>1580.7853638130553</v>
      </c>
    </row>
    <row r="405" spans="1:14" x14ac:dyDescent="0.35">
      <c r="A405" t="s">
        <v>49</v>
      </c>
      <c r="B405">
        <v>12</v>
      </c>
      <c r="C405" t="s">
        <v>50</v>
      </c>
      <c r="D405">
        <v>100</v>
      </c>
      <c r="E405">
        <v>271.924031310224</v>
      </c>
      <c r="F405">
        <v>43.696639412907302</v>
      </c>
      <c r="G405" t="s">
        <v>49</v>
      </c>
      <c r="H405">
        <v>12</v>
      </c>
      <c r="I405">
        <v>100</v>
      </c>
      <c r="J405">
        <v>9.0383261659748904</v>
      </c>
      <c r="K405" t="b">
        <f t="shared" si="24"/>
        <v>1</v>
      </c>
      <c r="L405">
        <f t="shared" si="25"/>
        <v>324.65899688910616</v>
      </c>
      <c r="M405">
        <f t="shared" si="26"/>
        <v>1298.6359875564247</v>
      </c>
      <c r="N405">
        <f t="shared" si="27"/>
        <v>1586.9331767939509</v>
      </c>
    </row>
    <row r="406" spans="1:14" x14ac:dyDescent="0.35">
      <c r="A406" t="s">
        <v>49</v>
      </c>
      <c r="B406">
        <v>14</v>
      </c>
      <c r="C406" t="s">
        <v>50</v>
      </c>
      <c r="D406">
        <v>0</v>
      </c>
      <c r="E406">
        <v>0</v>
      </c>
      <c r="F406">
        <v>0</v>
      </c>
      <c r="G406" t="s">
        <v>49</v>
      </c>
      <c r="H406">
        <v>14</v>
      </c>
      <c r="I406">
        <v>0</v>
      </c>
      <c r="J406">
        <v>0</v>
      </c>
      <c r="K406" t="b">
        <f t="shared" si="24"/>
        <v>1</v>
      </c>
      <c r="L406">
        <f t="shared" si="25"/>
        <v>0</v>
      </c>
      <c r="M406">
        <f t="shared" si="26"/>
        <v>0</v>
      </c>
      <c r="N406">
        <f t="shared" si="27"/>
        <v>0</v>
      </c>
    </row>
    <row r="407" spans="1:14" x14ac:dyDescent="0.35">
      <c r="A407" t="s">
        <v>49</v>
      </c>
      <c r="B407">
        <v>14</v>
      </c>
      <c r="C407" t="s">
        <v>50</v>
      </c>
      <c r="D407">
        <v>1</v>
      </c>
      <c r="E407">
        <v>0.108175770009506</v>
      </c>
      <c r="F407" s="19">
        <v>5.6192287962315E-4</v>
      </c>
      <c r="G407" t="s">
        <v>49</v>
      </c>
      <c r="H407">
        <v>14</v>
      </c>
      <c r="I407">
        <v>1</v>
      </c>
      <c r="J407">
        <v>1.2237426262021701E-3</v>
      </c>
      <c r="K407" t="b">
        <f t="shared" si="24"/>
        <v>1</v>
      </c>
      <c r="L407">
        <f t="shared" si="25"/>
        <v>0.10996143551533132</v>
      </c>
      <c r="M407">
        <f t="shared" si="26"/>
        <v>0.43984574206132526</v>
      </c>
      <c r="N407">
        <f t="shared" si="27"/>
        <v>0.53749149679893948</v>
      </c>
    </row>
    <row r="408" spans="1:14" x14ac:dyDescent="0.35">
      <c r="A408" t="s">
        <v>49</v>
      </c>
      <c r="B408">
        <v>14</v>
      </c>
      <c r="C408" t="s">
        <v>50</v>
      </c>
      <c r="D408">
        <v>2</v>
      </c>
      <c r="E408">
        <v>0.24339548252138801</v>
      </c>
      <c r="F408">
        <v>1.8093916723865399E-3</v>
      </c>
      <c r="G408" t="s">
        <v>49</v>
      </c>
      <c r="H408">
        <v>14</v>
      </c>
      <c r="I408">
        <v>2</v>
      </c>
      <c r="J408">
        <v>3.52299519543976E-3</v>
      </c>
      <c r="K408" t="b">
        <f t="shared" si="24"/>
        <v>1</v>
      </c>
      <c r="L408">
        <f t="shared" si="25"/>
        <v>0.24872786938921429</v>
      </c>
      <c r="M408">
        <f t="shared" si="26"/>
        <v>0.99491147755685716</v>
      </c>
      <c r="N408">
        <f t="shared" si="27"/>
        <v>1.2157818255744794</v>
      </c>
    </row>
    <row r="409" spans="1:14" x14ac:dyDescent="0.35">
      <c r="A409" t="s">
        <v>49</v>
      </c>
      <c r="B409">
        <v>14</v>
      </c>
      <c r="C409" t="s">
        <v>50</v>
      </c>
      <c r="D409">
        <v>3</v>
      </c>
      <c r="E409">
        <v>0.41242012316124099</v>
      </c>
      <c r="F409">
        <v>3.8974409007782101E-3</v>
      </c>
      <c r="G409" t="s">
        <v>49</v>
      </c>
      <c r="H409">
        <v>14</v>
      </c>
      <c r="I409">
        <v>3</v>
      </c>
      <c r="J409">
        <v>6.8922378128369304E-3</v>
      </c>
      <c r="K409" t="b">
        <f t="shared" si="24"/>
        <v>1</v>
      </c>
      <c r="L409">
        <f t="shared" si="25"/>
        <v>0.42320980187485613</v>
      </c>
      <c r="M409">
        <f t="shared" si="26"/>
        <v>1.6928392074994245</v>
      </c>
      <c r="N409">
        <f t="shared" si="27"/>
        <v>2.0686495115642969</v>
      </c>
    </row>
    <row r="410" spans="1:14" x14ac:dyDescent="0.35">
      <c r="A410" t="s">
        <v>49</v>
      </c>
      <c r="B410">
        <v>14</v>
      </c>
      <c r="C410" t="s">
        <v>50</v>
      </c>
      <c r="D410">
        <v>4</v>
      </c>
      <c r="E410">
        <v>0.62370092396105903</v>
      </c>
      <c r="F410">
        <v>7.02035427658209E-3</v>
      </c>
      <c r="G410" t="s">
        <v>49</v>
      </c>
      <c r="H410">
        <v>14</v>
      </c>
      <c r="I410">
        <v>4</v>
      </c>
      <c r="J410">
        <v>1.14303133261545E-2</v>
      </c>
      <c r="K410" t="b">
        <f t="shared" si="24"/>
        <v>1</v>
      </c>
      <c r="L410">
        <f t="shared" si="25"/>
        <v>0.64215159156379564</v>
      </c>
      <c r="M410">
        <f t="shared" si="26"/>
        <v>2.5686063662551826</v>
      </c>
      <c r="N410">
        <f t="shared" si="27"/>
        <v>3.1388369795638331</v>
      </c>
    </row>
    <row r="411" spans="1:14" x14ac:dyDescent="0.35">
      <c r="A411" t="s">
        <v>49</v>
      </c>
      <c r="B411">
        <v>14</v>
      </c>
      <c r="C411" t="s">
        <v>50</v>
      </c>
      <c r="D411">
        <v>5</v>
      </c>
      <c r="E411">
        <v>0.88780192496082999</v>
      </c>
      <c r="F411">
        <v>1.1421462281441801E-2</v>
      </c>
      <c r="G411" t="s">
        <v>49</v>
      </c>
      <c r="H411">
        <v>14</v>
      </c>
      <c r="I411">
        <v>5</v>
      </c>
      <c r="J411">
        <v>1.73236628653359E-2</v>
      </c>
      <c r="K411" t="b">
        <f t="shared" si="24"/>
        <v>1</v>
      </c>
      <c r="L411">
        <f t="shared" si="25"/>
        <v>0.91654705010760773</v>
      </c>
      <c r="M411">
        <f t="shared" si="26"/>
        <v>3.6661882004304309</v>
      </c>
      <c r="N411">
        <f t="shared" si="27"/>
        <v>4.4800819809259869</v>
      </c>
    </row>
    <row r="412" spans="1:14" x14ac:dyDescent="0.35">
      <c r="A412" t="s">
        <v>49</v>
      </c>
      <c r="B412">
        <v>14</v>
      </c>
      <c r="C412" t="s">
        <v>50</v>
      </c>
      <c r="D412">
        <v>6</v>
      </c>
      <c r="E412">
        <v>1.2179281762105401</v>
      </c>
      <c r="F412">
        <v>1.74053895840682E-2</v>
      </c>
      <c r="G412" t="s">
        <v>49</v>
      </c>
      <c r="H412">
        <v>14</v>
      </c>
      <c r="I412">
        <v>6</v>
      </c>
      <c r="J412">
        <v>2.48432575535661E-2</v>
      </c>
      <c r="K412" t="b">
        <f t="shared" si="24"/>
        <v>1</v>
      </c>
      <c r="L412">
        <f t="shared" si="25"/>
        <v>1.2601768233481745</v>
      </c>
      <c r="M412">
        <f t="shared" si="26"/>
        <v>5.040707293392698</v>
      </c>
      <c r="N412">
        <f t="shared" si="27"/>
        <v>6.1597443125258771</v>
      </c>
    </row>
    <row r="413" spans="1:14" x14ac:dyDescent="0.35">
      <c r="A413" t="s">
        <v>49</v>
      </c>
      <c r="B413">
        <v>14</v>
      </c>
      <c r="C413" t="s">
        <v>50</v>
      </c>
      <c r="D413">
        <v>7</v>
      </c>
      <c r="E413">
        <v>1.63058599027268</v>
      </c>
      <c r="F413">
        <v>2.5353364740006299E-2</v>
      </c>
      <c r="G413" t="s">
        <v>49</v>
      </c>
      <c r="H413">
        <v>14</v>
      </c>
      <c r="I413">
        <v>7</v>
      </c>
      <c r="J413">
        <v>3.4351062809641397E-2</v>
      </c>
      <c r="K413" t="b">
        <f t="shared" si="24"/>
        <v>1</v>
      </c>
      <c r="L413">
        <f t="shared" si="25"/>
        <v>1.6902904178223279</v>
      </c>
      <c r="M413">
        <f t="shared" si="26"/>
        <v>6.7611616712893117</v>
      </c>
      <c r="N413">
        <f t="shared" si="27"/>
        <v>8.2621395623155394</v>
      </c>
    </row>
    <row r="414" spans="1:14" x14ac:dyDescent="0.35">
      <c r="A414" t="s">
        <v>49</v>
      </c>
      <c r="B414">
        <v>14</v>
      </c>
      <c r="C414" t="s">
        <v>50</v>
      </c>
      <c r="D414">
        <v>8</v>
      </c>
      <c r="E414">
        <v>2.1464082578503598</v>
      </c>
      <c r="F414">
        <v>3.57423577317545E-2</v>
      </c>
      <c r="G414" t="s">
        <v>49</v>
      </c>
      <c r="H414">
        <v>14</v>
      </c>
      <c r="I414">
        <v>8</v>
      </c>
      <c r="J414">
        <v>4.6314077053571601E-2</v>
      </c>
      <c r="K414" t="b">
        <f t="shared" si="24"/>
        <v>1</v>
      </c>
      <c r="L414">
        <f t="shared" si="25"/>
        <v>2.2284646926356859</v>
      </c>
      <c r="M414">
        <f t="shared" si="26"/>
        <v>8.9138587705427437</v>
      </c>
      <c r="N414">
        <f t="shared" si="27"/>
        <v>10.892735417603232</v>
      </c>
    </row>
    <row r="415" spans="1:14" x14ac:dyDescent="0.35">
      <c r="A415" t="s">
        <v>49</v>
      </c>
      <c r="B415">
        <v>14</v>
      </c>
      <c r="C415" t="s">
        <v>50</v>
      </c>
      <c r="D415">
        <v>9</v>
      </c>
      <c r="E415">
        <v>2.7911860923224499</v>
      </c>
      <c r="F415">
        <v>4.9169002296860498E-2</v>
      </c>
      <c r="G415" t="s">
        <v>49</v>
      </c>
      <c r="H415">
        <v>14</v>
      </c>
      <c r="I415">
        <v>9</v>
      </c>
      <c r="J415">
        <v>6.1325348276632302E-2</v>
      </c>
      <c r="K415" t="b">
        <f t="shared" si="24"/>
        <v>1</v>
      </c>
      <c r="L415">
        <f t="shared" si="25"/>
        <v>2.9016804428959428</v>
      </c>
      <c r="M415">
        <f t="shared" si="26"/>
        <v>11.606721771583771</v>
      </c>
      <c r="N415">
        <f t="shared" si="27"/>
        <v>14.183414004875369</v>
      </c>
    </row>
    <row r="416" spans="1:14" x14ac:dyDescent="0.35">
      <c r="A416" t="s">
        <v>49</v>
      </c>
      <c r="B416">
        <v>14</v>
      </c>
      <c r="C416" t="s">
        <v>50</v>
      </c>
      <c r="D416">
        <v>10</v>
      </c>
      <c r="E416">
        <v>3.5971583854125799</v>
      </c>
      <c r="F416">
        <v>6.6379499228901101E-2</v>
      </c>
      <c r="G416" t="s">
        <v>49</v>
      </c>
      <c r="H416">
        <v>14</v>
      </c>
      <c r="I416">
        <v>10</v>
      </c>
      <c r="J416">
        <v>8.0132279824219596E-2</v>
      </c>
      <c r="K416" t="b">
        <f t="shared" si="24"/>
        <v>1</v>
      </c>
      <c r="L416">
        <f t="shared" si="25"/>
        <v>3.7436701644657009</v>
      </c>
      <c r="M416">
        <f t="shared" si="26"/>
        <v>14.974680657862804</v>
      </c>
      <c r="N416">
        <f t="shared" si="27"/>
        <v>18.299059763908346</v>
      </c>
    </row>
    <row r="417" spans="1:14" x14ac:dyDescent="0.35">
      <c r="A417" t="s">
        <v>49</v>
      </c>
      <c r="B417">
        <v>14</v>
      </c>
      <c r="C417" t="s">
        <v>50</v>
      </c>
      <c r="D417">
        <v>11</v>
      </c>
      <c r="E417">
        <v>4.6046237517752298</v>
      </c>
      <c r="F417">
        <v>8.83069958828403E-2</v>
      </c>
      <c r="G417" t="s">
        <v>49</v>
      </c>
      <c r="H417">
        <v>14</v>
      </c>
      <c r="I417">
        <v>11</v>
      </c>
      <c r="J417">
        <v>0.103673219199872</v>
      </c>
      <c r="K417" t="b">
        <f t="shared" si="24"/>
        <v>1</v>
      </c>
      <c r="L417">
        <f t="shared" si="25"/>
        <v>4.7966039668579423</v>
      </c>
      <c r="M417">
        <f t="shared" si="26"/>
        <v>19.186415867431769</v>
      </c>
      <c r="N417">
        <f t="shared" si="27"/>
        <v>23.44580019000162</v>
      </c>
    </row>
    <row r="418" spans="1:14" x14ac:dyDescent="0.35">
      <c r="A418" t="s">
        <v>49</v>
      </c>
      <c r="B418">
        <v>14</v>
      </c>
      <c r="C418" t="s">
        <v>50</v>
      </c>
      <c r="D418">
        <v>12</v>
      </c>
      <c r="E418">
        <v>5.8639554597285404</v>
      </c>
      <c r="F418">
        <v>0.116118310924486</v>
      </c>
      <c r="G418" t="s">
        <v>49</v>
      </c>
      <c r="H418">
        <v>14</v>
      </c>
      <c r="I418">
        <v>12</v>
      </c>
      <c r="J418">
        <v>0.13312391882937899</v>
      </c>
      <c r="K418" t="b">
        <f t="shared" si="24"/>
        <v>1</v>
      </c>
      <c r="L418">
        <f t="shared" si="25"/>
        <v>6.1131976894824058</v>
      </c>
      <c r="M418">
        <f t="shared" si="26"/>
        <v>24.452790757929623</v>
      </c>
      <c r="N418">
        <f t="shared" si="27"/>
        <v>29.881310306189999</v>
      </c>
    </row>
    <row r="419" spans="1:14" x14ac:dyDescent="0.35">
      <c r="A419" t="s">
        <v>49</v>
      </c>
      <c r="B419">
        <v>14</v>
      </c>
      <c r="C419" t="s">
        <v>50</v>
      </c>
      <c r="D419">
        <v>13</v>
      </c>
      <c r="E419">
        <v>7.4381200946701798</v>
      </c>
      <c r="F419">
        <v>0.15127234062403799</v>
      </c>
      <c r="G419" t="s">
        <v>49</v>
      </c>
      <c r="H419">
        <v>14</v>
      </c>
      <c r="I419">
        <v>13</v>
      </c>
      <c r="J419">
        <v>0.169956054380486</v>
      </c>
      <c r="K419" t="b">
        <f t="shared" si="24"/>
        <v>1</v>
      </c>
      <c r="L419">
        <f t="shared" si="25"/>
        <v>7.7593484896747036</v>
      </c>
      <c r="M419">
        <f t="shared" si="26"/>
        <v>31.037393958698814</v>
      </c>
      <c r="N419">
        <f t="shared" si="27"/>
        <v>37.927695417529954</v>
      </c>
    </row>
    <row r="420" spans="1:14" x14ac:dyDescent="0.35">
      <c r="A420" t="s">
        <v>49</v>
      </c>
      <c r="B420">
        <v>14</v>
      </c>
      <c r="C420" t="s">
        <v>50</v>
      </c>
      <c r="D420">
        <v>14</v>
      </c>
      <c r="E420">
        <v>9.4058258883472305</v>
      </c>
      <c r="F420">
        <v>0.195593067069049</v>
      </c>
      <c r="G420" t="s">
        <v>49</v>
      </c>
      <c r="H420">
        <v>14</v>
      </c>
      <c r="I420">
        <v>14</v>
      </c>
      <c r="J420">
        <v>0.216010647844569</v>
      </c>
      <c r="K420" t="b">
        <f t="shared" si="24"/>
        <v>1</v>
      </c>
      <c r="L420">
        <f t="shared" si="25"/>
        <v>9.8174296032608499</v>
      </c>
      <c r="M420">
        <f t="shared" si="26"/>
        <v>39.2697184130434</v>
      </c>
      <c r="N420">
        <f t="shared" si="27"/>
        <v>47.987595900739031</v>
      </c>
    </row>
    <row r="421" spans="1:14" x14ac:dyDescent="0.35">
      <c r="A421" t="s">
        <v>49</v>
      </c>
      <c r="B421">
        <v>14</v>
      </c>
      <c r="C421" t="s">
        <v>50</v>
      </c>
      <c r="D421">
        <v>15</v>
      </c>
      <c r="E421">
        <v>11.8654581304435</v>
      </c>
      <c r="F421">
        <v>0.25136081876626498</v>
      </c>
      <c r="G421" t="s">
        <v>49</v>
      </c>
      <c r="H421">
        <v>14</v>
      </c>
      <c r="I421">
        <v>15</v>
      </c>
      <c r="J421">
        <v>0.273590021332973</v>
      </c>
      <c r="K421" t="b">
        <f t="shared" si="24"/>
        <v>1</v>
      </c>
      <c r="L421">
        <f t="shared" si="25"/>
        <v>12.390408970542738</v>
      </c>
      <c r="M421">
        <f t="shared" si="26"/>
        <v>49.561635882170954</v>
      </c>
      <c r="N421">
        <f t="shared" si="27"/>
        <v>60.564319048012905</v>
      </c>
    </row>
    <row r="422" spans="1:14" x14ac:dyDescent="0.35">
      <c r="A422" t="s">
        <v>49</v>
      </c>
      <c r="B422">
        <v>14</v>
      </c>
      <c r="C422" t="s">
        <v>50</v>
      </c>
      <c r="D422">
        <v>16</v>
      </c>
      <c r="E422">
        <v>14.9399984330639</v>
      </c>
      <c r="F422">
        <v>0.32142634671950998</v>
      </c>
      <c r="G422" t="s">
        <v>49</v>
      </c>
      <c r="H422">
        <v>14</v>
      </c>
      <c r="I422">
        <v>16</v>
      </c>
      <c r="J422">
        <v>0.345572853221503</v>
      </c>
      <c r="K422" t="b">
        <f t="shared" si="24"/>
        <v>1</v>
      </c>
      <c r="L422">
        <f t="shared" si="25"/>
        <v>15.606997633004914</v>
      </c>
      <c r="M422">
        <f t="shared" si="26"/>
        <v>62.427990532019656</v>
      </c>
      <c r="N422">
        <f t="shared" si="27"/>
        <v>76.287004430128022</v>
      </c>
    </row>
    <row r="423" spans="1:14" x14ac:dyDescent="0.35">
      <c r="A423" t="s">
        <v>49</v>
      </c>
      <c r="B423">
        <v>14</v>
      </c>
      <c r="C423" t="s">
        <v>50</v>
      </c>
      <c r="D423">
        <v>17</v>
      </c>
      <c r="E423">
        <v>18.783173811339399</v>
      </c>
      <c r="F423">
        <v>0.40935341984283902</v>
      </c>
      <c r="G423" t="s">
        <v>49</v>
      </c>
      <c r="H423">
        <v>14</v>
      </c>
      <c r="I423">
        <v>17</v>
      </c>
      <c r="J423">
        <v>0.435558074354577</v>
      </c>
      <c r="K423" t="b">
        <f t="shared" si="24"/>
        <v>1</v>
      </c>
      <c r="L423">
        <f t="shared" si="25"/>
        <v>19.628085305536818</v>
      </c>
      <c r="M423">
        <f t="shared" si="26"/>
        <v>78.512341222147271</v>
      </c>
      <c r="N423">
        <f t="shared" si="27"/>
        <v>95.942080973463959</v>
      </c>
    </row>
    <row r="424" spans="1:14" x14ac:dyDescent="0.35">
      <c r="A424" t="s">
        <v>49</v>
      </c>
      <c r="B424">
        <v>14</v>
      </c>
      <c r="C424" t="s">
        <v>50</v>
      </c>
      <c r="D424">
        <v>18</v>
      </c>
      <c r="E424">
        <v>23.129369999999899</v>
      </c>
      <c r="F424">
        <v>0.51721915124755302</v>
      </c>
      <c r="G424" t="s">
        <v>49</v>
      </c>
      <c r="H424">
        <v>14</v>
      </c>
      <c r="I424">
        <v>18</v>
      </c>
      <c r="J424">
        <v>0.54286621497439602</v>
      </c>
      <c r="K424" t="b">
        <f t="shared" si="24"/>
        <v>1</v>
      </c>
      <c r="L424">
        <f t="shared" si="25"/>
        <v>24.189455366221846</v>
      </c>
      <c r="M424">
        <f t="shared" si="26"/>
        <v>96.757821464887385</v>
      </c>
      <c r="N424">
        <f t="shared" si="27"/>
        <v>118.23805783009239</v>
      </c>
    </row>
    <row r="425" spans="1:14" x14ac:dyDescent="0.35">
      <c r="A425" t="s">
        <v>49</v>
      </c>
      <c r="B425">
        <v>14</v>
      </c>
      <c r="C425" t="s">
        <v>50</v>
      </c>
      <c r="D425">
        <v>19</v>
      </c>
      <c r="E425">
        <v>27.477450000000001</v>
      </c>
      <c r="F425">
        <v>0.64443516671012702</v>
      </c>
      <c r="G425" t="s">
        <v>49</v>
      </c>
      <c r="H425">
        <v>14</v>
      </c>
      <c r="I425">
        <v>19</v>
      </c>
      <c r="J425">
        <v>0.66147846075748495</v>
      </c>
      <c r="K425" t="b">
        <f t="shared" si="24"/>
        <v>1</v>
      </c>
      <c r="L425">
        <f t="shared" si="25"/>
        <v>28.783363627467615</v>
      </c>
      <c r="M425">
        <f t="shared" si="26"/>
        <v>115.13345450987046</v>
      </c>
      <c r="N425">
        <f t="shared" si="27"/>
        <v>140.69308141106171</v>
      </c>
    </row>
    <row r="426" spans="1:14" x14ac:dyDescent="0.35">
      <c r="A426" t="s">
        <v>49</v>
      </c>
      <c r="B426">
        <v>14</v>
      </c>
      <c r="C426" t="s">
        <v>50</v>
      </c>
      <c r="D426">
        <v>20</v>
      </c>
      <c r="E426">
        <v>31.825529999999901</v>
      </c>
      <c r="F426">
        <v>0.79042095770882304</v>
      </c>
      <c r="G426" t="s">
        <v>49</v>
      </c>
      <c r="H426">
        <v>14</v>
      </c>
      <c r="I426">
        <v>20</v>
      </c>
      <c r="J426">
        <v>0.78763805906330298</v>
      </c>
      <c r="K426" t="b">
        <f t="shared" si="24"/>
        <v>1</v>
      </c>
      <c r="L426">
        <f t="shared" si="25"/>
        <v>33.403589016772031</v>
      </c>
      <c r="M426">
        <f t="shared" si="26"/>
        <v>133.61435606708812</v>
      </c>
      <c r="N426">
        <f t="shared" si="27"/>
        <v>163.27674311398169</v>
      </c>
    </row>
    <row r="427" spans="1:14" x14ac:dyDescent="0.35">
      <c r="A427" t="s">
        <v>49</v>
      </c>
      <c r="B427">
        <v>14</v>
      </c>
      <c r="C427" t="s">
        <v>50</v>
      </c>
      <c r="D427">
        <v>21</v>
      </c>
      <c r="E427">
        <v>36.173609999999996</v>
      </c>
      <c r="F427">
        <v>0.95461343097755802</v>
      </c>
      <c r="G427" t="s">
        <v>49</v>
      </c>
      <c r="H427">
        <v>14</v>
      </c>
      <c r="I427">
        <v>21</v>
      </c>
      <c r="J427">
        <v>0.918963027387808</v>
      </c>
      <c r="K427" t="b">
        <f t="shared" si="24"/>
        <v>1</v>
      </c>
      <c r="L427">
        <f t="shared" si="25"/>
        <v>38.047186458365367</v>
      </c>
      <c r="M427">
        <f t="shared" si="26"/>
        <v>152.18874583346147</v>
      </c>
      <c r="N427">
        <f t="shared" si="27"/>
        <v>185.97464740848991</v>
      </c>
    </row>
    <row r="428" spans="1:14" x14ac:dyDescent="0.35">
      <c r="A428" t="s">
        <v>49</v>
      </c>
      <c r="B428">
        <v>14</v>
      </c>
      <c r="C428" t="s">
        <v>50</v>
      </c>
      <c r="D428">
        <v>22</v>
      </c>
      <c r="E428">
        <v>40.52169</v>
      </c>
      <c r="F428">
        <v>1.13646638604823</v>
      </c>
      <c r="G428" t="s">
        <v>49</v>
      </c>
      <c r="H428">
        <v>14</v>
      </c>
      <c r="I428">
        <v>22</v>
      </c>
      <c r="J428">
        <v>1.05390697040493</v>
      </c>
      <c r="K428" t="b">
        <f t="shared" si="24"/>
        <v>1</v>
      </c>
      <c r="L428">
        <f t="shared" si="25"/>
        <v>42.712063356453157</v>
      </c>
      <c r="M428">
        <f t="shared" si="26"/>
        <v>170.84825342581263</v>
      </c>
      <c r="N428">
        <f t="shared" si="27"/>
        <v>208.77656568634302</v>
      </c>
    </row>
    <row r="429" spans="1:14" x14ac:dyDescent="0.35">
      <c r="A429" t="s">
        <v>49</v>
      </c>
      <c r="B429">
        <v>14</v>
      </c>
      <c r="C429" t="s">
        <v>50</v>
      </c>
      <c r="D429">
        <v>23</v>
      </c>
      <c r="E429">
        <v>45.986984999999997</v>
      </c>
      <c r="F429">
        <v>1.3412534214667899</v>
      </c>
      <c r="G429" t="s">
        <v>49</v>
      </c>
      <c r="H429">
        <v>14</v>
      </c>
      <c r="I429">
        <v>23</v>
      </c>
      <c r="J429">
        <v>1.20407927035236</v>
      </c>
      <c r="K429" t="b">
        <f t="shared" si="24"/>
        <v>1</v>
      </c>
      <c r="L429">
        <f t="shared" si="25"/>
        <v>48.532317691819145</v>
      </c>
      <c r="M429">
        <f t="shared" si="26"/>
        <v>194.12927076727658</v>
      </c>
      <c r="N429">
        <f t="shared" si="27"/>
        <v>237.22596887761199</v>
      </c>
    </row>
    <row r="430" spans="1:14" x14ac:dyDescent="0.35">
      <c r="A430" t="s">
        <v>49</v>
      </c>
      <c r="B430">
        <v>14</v>
      </c>
      <c r="C430" t="s">
        <v>50</v>
      </c>
      <c r="D430">
        <v>24</v>
      </c>
      <c r="E430">
        <v>51.452280000000002</v>
      </c>
      <c r="F430">
        <v>1.56828651482278</v>
      </c>
      <c r="G430" t="s">
        <v>49</v>
      </c>
      <c r="H430">
        <v>14</v>
      </c>
      <c r="I430">
        <v>24</v>
      </c>
      <c r="J430">
        <v>1.3640872318916499</v>
      </c>
      <c r="K430" t="b">
        <f t="shared" si="24"/>
        <v>1</v>
      </c>
      <c r="L430">
        <f t="shared" si="25"/>
        <v>54.384653746714434</v>
      </c>
      <c r="M430">
        <f t="shared" si="26"/>
        <v>217.53861498685774</v>
      </c>
      <c r="N430">
        <f t="shared" si="27"/>
        <v>265.83218751394014</v>
      </c>
    </row>
    <row r="431" spans="1:14" x14ac:dyDescent="0.35">
      <c r="A431" t="s">
        <v>49</v>
      </c>
      <c r="B431">
        <v>14</v>
      </c>
      <c r="C431" t="s">
        <v>50</v>
      </c>
      <c r="D431">
        <v>25</v>
      </c>
      <c r="E431">
        <v>56.917574999999999</v>
      </c>
      <c r="F431">
        <v>1.8168982843781001</v>
      </c>
      <c r="G431" t="s">
        <v>49</v>
      </c>
      <c r="H431">
        <v>14</v>
      </c>
      <c r="I431">
        <v>25</v>
      </c>
      <c r="J431">
        <v>1.5306064268670401</v>
      </c>
      <c r="K431" t="b">
        <f t="shared" si="24"/>
        <v>1</v>
      </c>
      <c r="L431">
        <f t="shared" si="25"/>
        <v>60.265079711245136</v>
      </c>
      <c r="M431">
        <f t="shared" si="26"/>
        <v>241.06031884498054</v>
      </c>
      <c r="N431">
        <f t="shared" si="27"/>
        <v>294.57570962856624</v>
      </c>
    </row>
    <row r="432" spans="1:14" x14ac:dyDescent="0.35">
      <c r="A432" t="s">
        <v>49</v>
      </c>
      <c r="B432">
        <v>14</v>
      </c>
      <c r="C432" t="s">
        <v>50</v>
      </c>
      <c r="D432">
        <v>26</v>
      </c>
      <c r="E432">
        <v>62.382869999999997</v>
      </c>
      <c r="F432">
        <v>2.0864413698467601</v>
      </c>
      <c r="G432" t="s">
        <v>49</v>
      </c>
      <c r="H432">
        <v>14</v>
      </c>
      <c r="I432">
        <v>26</v>
      </c>
      <c r="J432">
        <v>1.7015449075629301</v>
      </c>
      <c r="K432" t="b">
        <f t="shared" si="24"/>
        <v>1</v>
      </c>
      <c r="L432">
        <f t="shared" si="25"/>
        <v>66.170856277409698</v>
      </c>
      <c r="M432">
        <f t="shared" si="26"/>
        <v>264.68342510963879</v>
      </c>
      <c r="N432">
        <f t="shared" si="27"/>
        <v>323.44314548397858</v>
      </c>
    </row>
    <row r="433" spans="1:14" x14ac:dyDescent="0.35">
      <c r="A433" t="s">
        <v>49</v>
      </c>
      <c r="B433">
        <v>14</v>
      </c>
      <c r="C433" t="s">
        <v>50</v>
      </c>
      <c r="D433">
        <v>27</v>
      </c>
      <c r="E433">
        <v>67.848164999999995</v>
      </c>
      <c r="F433">
        <v>2.3762878317513501</v>
      </c>
      <c r="G433" t="s">
        <v>49</v>
      </c>
      <c r="H433">
        <v>14</v>
      </c>
      <c r="I433">
        <v>27</v>
      </c>
      <c r="J433">
        <v>1.8755556977180401</v>
      </c>
      <c r="K433" t="b">
        <f t="shared" si="24"/>
        <v>1</v>
      </c>
      <c r="L433">
        <f t="shared" si="25"/>
        <v>72.100008529469392</v>
      </c>
      <c r="M433">
        <f t="shared" si="26"/>
        <v>288.40003411787757</v>
      </c>
      <c r="N433">
        <f t="shared" si="27"/>
        <v>352.42484169204636</v>
      </c>
    </row>
    <row r="434" spans="1:14" x14ac:dyDescent="0.35">
      <c r="A434" t="s">
        <v>49</v>
      </c>
      <c r="B434">
        <v>14</v>
      </c>
      <c r="C434" t="s">
        <v>50</v>
      </c>
      <c r="D434">
        <v>28</v>
      </c>
      <c r="E434">
        <v>74.068335000000005</v>
      </c>
      <c r="F434">
        <v>2.6897497937988102</v>
      </c>
      <c r="G434" t="s">
        <v>49</v>
      </c>
      <c r="H434">
        <v>14</v>
      </c>
      <c r="I434">
        <v>28</v>
      </c>
      <c r="J434">
        <v>2.0602895079136099</v>
      </c>
      <c r="K434" t="b">
        <f t="shared" si="24"/>
        <v>1</v>
      </c>
      <c r="L434">
        <f t="shared" si="25"/>
        <v>78.818374301712424</v>
      </c>
      <c r="M434">
        <f t="shared" si="26"/>
        <v>315.2734972068497</v>
      </c>
      <c r="N434">
        <f t="shared" si="27"/>
        <v>385.26421358677032</v>
      </c>
    </row>
    <row r="435" spans="1:14" x14ac:dyDescent="0.35">
      <c r="A435" t="s">
        <v>49</v>
      </c>
      <c r="B435">
        <v>14</v>
      </c>
      <c r="C435" t="s">
        <v>50</v>
      </c>
      <c r="D435">
        <v>29</v>
      </c>
      <c r="E435">
        <v>80.288505000000001</v>
      </c>
      <c r="F435">
        <v>3.0261187909848499</v>
      </c>
      <c r="G435" t="s">
        <v>49</v>
      </c>
      <c r="H435">
        <v>14</v>
      </c>
      <c r="I435">
        <v>29</v>
      </c>
      <c r="J435">
        <v>2.25197569057765</v>
      </c>
      <c r="K435" t="b">
        <f t="shared" si="24"/>
        <v>1</v>
      </c>
      <c r="L435">
        <f t="shared" si="25"/>
        <v>85.566599481562506</v>
      </c>
      <c r="M435">
        <f t="shared" si="26"/>
        <v>342.26639792625002</v>
      </c>
      <c r="N435">
        <f t="shared" si="27"/>
        <v>418.2495382658775</v>
      </c>
    </row>
    <row r="436" spans="1:14" x14ac:dyDescent="0.35">
      <c r="A436" t="s">
        <v>49</v>
      </c>
      <c r="B436">
        <v>14</v>
      </c>
      <c r="C436" t="s">
        <v>50</v>
      </c>
      <c r="D436">
        <v>30</v>
      </c>
      <c r="E436">
        <v>86.508674999999997</v>
      </c>
      <c r="F436">
        <v>3.3847076122552999</v>
      </c>
      <c r="G436" t="s">
        <v>49</v>
      </c>
      <c r="H436">
        <v>14</v>
      </c>
      <c r="I436">
        <v>30</v>
      </c>
      <c r="J436">
        <v>2.4482826216837901</v>
      </c>
      <c r="K436" t="b">
        <f t="shared" si="24"/>
        <v>1</v>
      </c>
      <c r="L436">
        <f t="shared" si="25"/>
        <v>92.341665233939082</v>
      </c>
      <c r="M436">
        <f t="shared" si="26"/>
        <v>369.36666093575633</v>
      </c>
      <c r="N436">
        <f t="shared" si="27"/>
        <v>451.36605966349424</v>
      </c>
    </row>
    <row r="437" spans="1:14" x14ac:dyDescent="0.35">
      <c r="A437" t="s">
        <v>49</v>
      </c>
      <c r="B437">
        <v>14</v>
      </c>
      <c r="C437" t="s">
        <v>50</v>
      </c>
      <c r="D437">
        <v>31</v>
      </c>
      <c r="E437">
        <v>92.728845000000007</v>
      </c>
      <c r="F437">
        <v>3.7648496628876398</v>
      </c>
      <c r="G437" t="s">
        <v>49</v>
      </c>
      <c r="H437">
        <v>14</v>
      </c>
      <c r="I437">
        <v>31</v>
      </c>
      <c r="J437">
        <v>2.64773795914072</v>
      </c>
      <c r="K437" t="b">
        <f t="shared" si="24"/>
        <v>1</v>
      </c>
      <c r="L437">
        <f t="shared" si="25"/>
        <v>99.141432622028361</v>
      </c>
      <c r="M437">
        <f t="shared" si="26"/>
        <v>396.56573048811345</v>
      </c>
      <c r="N437">
        <f t="shared" si="27"/>
        <v>484.60332265647463</v>
      </c>
    </row>
    <row r="438" spans="1:14" x14ac:dyDescent="0.35">
      <c r="A438" t="s">
        <v>49</v>
      </c>
      <c r="B438">
        <v>14</v>
      </c>
      <c r="C438" t="s">
        <v>50</v>
      </c>
      <c r="D438">
        <v>32</v>
      </c>
      <c r="E438">
        <v>98.949015000000003</v>
      </c>
      <c r="F438">
        <v>4.1658983460010104</v>
      </c>
      <c r="G438" t="s">
        <v>49</v>
      </c>
      <c r="H438">
        <v>14</v>
      </c>
      <c r="I438">
        <v>32</v>
      </c>
      <c r="J438">
        <v>2.8493900677267301</v>
      </c>
      <c r="K438" t="b">
        <f t="shared" si="24"/>
        <v>1</v>
      </c>
      <c r="L438">
        <f t="shared" si="25"/>
        <v>105.96430341372775</v>
      </c>
      <c r="M438">
        <f t="shared" si="26"/>
        <v>423.85721365491099</v>
      </c>
      <c r="N438">
        <f t="shared" si="27"/>
        <v>517.95351508630119</v>
      </c>
    </row>
    <row r="439" spans="1:14" x14ac:dyDescent="0.35">
      <c r="A439" t="s">
        <v>49</v>
      </c>
      <c r="B439">
        <v>14</v>
      </c>
      <c r="C439" t="s">
        <v>50</v>
      </c>
      <c r="D439">
        <v>33</v>
      </c>
      <c r="E439">
        <v>105.434901</v>
      </c>
      <c r="F439">
        <v>4.5886067338209804</v>
      </c>
      <c r="G439" t="s">
        <v>49</v>
      </c>
      <c r="H439">
        <v>14</v>
      </c>
      <c r="I439">
        <v>33</v>
      </c>
      <c r="J439">
        <v>3.05561441724711</v>
      </c>
      <c r="K439" t="b">
        <f t="shared" si="24"/>
        <v>1</v>
      </c>
      <c r="L439">
        <f t="shared" si="25"/>
        <v>113.07912215106809</v>
      </c>
      <c r="M439">
        <f t="shared" si="26"/>
        <v>452.31648860427237</v>
      </c>
      <c r="N439">
        <f t="shared" si="27"/>
        <v>552.73074907442083</v>
      </c>
    </row>
    <row r="440" spans="1:14" x14ac:dyDescent="0.35">
      <c r="A440" t="s">
        <v>49</v>
      </c>
      <c r="B440">
        <v>14</v>
      </c>
      <c r="C440" t="s">
        <v>50</v>
      </c>
      <c r="D440">
        <v>34</v>
      </c>
      <c r="E440">
        <v>111.920787</v>
      </c>
      <c r="F440">
        <v>5.03232503520635</v>
      </c>
      <c r="G440" t="s">
        <v>49</v>
      </c>
      <c r="H440">
        <v>14</v>
      </c>
      <c r="I440">
        <v>34</v>
      </c>
      <c r="J440">
        <v>3.2648672054483301</v>
      </c>
      <c r="K440" t="b">
        <f t="shared" si="24"/>
        <v>1</v>
      </c>
      <c r="L440">
        <f t="shared" si="25"/>
        <v>120.21797924065469</v>
      </c>
      <c r="M440">
        <f t="shared" si="26"/>
        <v>480.87191696261874</v>
      </c>
      <c r="N440">
        <f t="shared" si="27"/>
        <v>587.62548252832005</v>
      </c>
    </row>
    <row r="441" spans="1:14" x14ac:dyDescent="0.35">
      <c r="A441" t="s">
        <v>49</v>
      </c>
      <c r="B441">
        <v>14</v>
      </c>
      <c r="C441" t="s">
        <v>50</v>
      </c>
      <c r="D441">
        <v>35</v>
      </c>
      <c r="E441">
        <v>118.27697086509301</v>
      </c>
      <c r="F441">
        <v>5.6096957253159498</v>
      </c>
      <c r="G441" t="s">
        <v>49</v>
      </c>
      <c r="H441">
        <v>14</v>
      </c>
      <c r="I441">
        <v>35</v>
      </c>
      <c r="J441">
        <v>3.4747092598707701</v>
      </c>
      <c r="K441" t="b">
        <f t="shared" si="24"/>
        <v>1</v>
      </c>
      <c r="L441">
        <f t="shared" si="25"/>
        <v>127.36137585027971</v>
      </c>
      <c r="M441">
        <f t="shared" si="26"/>
        <v>509.44550340111886</v>
      </c>
      <c r="N441">
        <f t="shared" si="27"/>
        <v>622.54240515616721</v>
      </c>
    </row>
    <row r="442" spans="1:14" x14ac:dyDescent="0.35">
      <c r="A442" t="s">
        <v>49</v>
      </c>
      <c r="B442">
        <v>14</v>
      </c>
      <c r="C442" t="s">
        <v>50</v>
      </c>
      <c r="D442">
        <v>36</v>
      </c>
      <c r="E442">
        <v>124.308540915607</v>
      </c>
      <c r="F442">
        <v>6.4847818069308696</v>
      </c>
      <c r="G442" t="s">
        <v>49</v>
      </c>
      <c r="H442">
        <v>14</v>
      </c>
      <c r="I442">
        <v>36</v>
      </c>
      <c r="J442">
        <v>3.6813868012223199</v>
      </c>
      <c r="K442" t="b">
        <f t="shared" si="24"/>
        <v>1</v>
      </c>
      <c r="L442">
        <f t="shared" si="25"/>
        <v>134.4747095237602</v>
      </c>
      <c r="M442">
        <f t="shared" si="26"/>
        <v>537.89883809504079</v>
      </c>
      <c r="N442">
        <f t="shared" si="27"/>
        <v>657.31238015213978</v>
      </c>
    </row>
    <row r="443" spans="1:14" x14ac:dyDescent="0.35">
      <c r="A443" t="s">
        <v>49</v>
      </c>
      <c r="B443">
        <v>14</v>
      </c>
      <c r="C443" t="s">
        <v>50</v>
      </c>
      <c r="D443">
        <v>37</v>
      </c>
      <c r="E443">
        <v>130.118813294879</v>
      </c>
      <c r="F443">
        <v>7.5531151531227501</v>
      </c>
      <c r="G443" t="s">
        <v>49</v>
      </c>
      <c r="H443">
        <v>14</v>
      </c>
      <c r="I443">
        <v>37</v>
      </c>
      <c r="J443">
        <v>3.8836748789378199</v>
      </c>
      <c r="K443" t="b">
        <f t="shared" si="24"/>
        <v>1</v>
      </c>
      <c r="L443">
        <f t="shared" si="25"/>
        <v>141.55560332693958</v>
      </c>
      <c r="M443">
        <f t="shared" si="26"/>
        <v>566.2224133077583</v>
      </c>
      <c r="N443">
        <f t="shared" si="27"/>
        <v>691.92378906208069</v>
      </c>
    </row>
    <row r="444" spans="1:14" x14ac:dyDescent="0.35">
      <c r="A444" t="s">
        <v>49</v>
      </c>
      <c r="B444">
        <v>14</v>
      </c>
      <c r="C444" t="s">
        <v>50</v>
      </c>
      <c r="D444">
        <v>38</v>
      </c>
      <c r="E444">
        <v>135.69197507757201</v>
      </c>
      <c r="F444">
        <v>8.6654340087946604</v>
      </c>
      <c r="G444" t="s">
        <v>49</v>
      </c>
      <c r="H444">
        <v>14</v>
      </c>
      <c r="I444">
        <v>38</v>
      </c>
      <c r="J444">
        <v>4.0805660751096102</v>
      </c>
      <c r="K444" t="b">
        <f t="shared" si="24"/>
        <v>1</v>
      </c>
      <c r="L444">
        <f t="shared" si="25"/>
        <v>148.43797516147626</v>
      </c>
      <c r="M444">
        <f t="shared" si="26"/>
        <v>593.75190064590504</v>
      </c>
      <c r="N444">
        <f t="shared" si="27"/>
        <v>725.56482258929589</v>
      </c>
    </row>
    <row r="445" spans="1:14" x14ac:dyDescent="0.35">
      <c r="A445" t="s">
        <v>49</v>
      </c>
      <c r="B445">
        <v>14</v>
      </c>
      <c r="C445" t="s">
        <v>50</v>
      </c>
      <c r="D445">
        <v>39</v>
      </c>
      <c r="E445">
        <v>141.205047817863</v>
      </c>
      <c r="F445">
        <v>9.8181022458901097</v>
      </c>
      <c r="G445" t="s">
        <v>49</v>
      </c>
      <c r="H445">
        <v>14</v>
      </c>
      <c r="I445">
        <v>39</v>
      </c>
      <c r="J445">
        <v>4.2733763259773898</v>
      </c>
      <c r="K445" t="b">
        <f t="shared" si="24"/>
        <v>1</v>
      </c>
      <c r="L445">
        <f t="shared" si="25"/>
        <v>155.2965263897305</v>
      </c>
      <c r="M445">
        <f t="shared" si="26"/>
        <v>621.18610555892201</v>
      </c>
      <c r="N445">
        <f t="shared" si="27"/>
        <v>759.0894209930027</v>
      </c>
    </row>
    <row r="446" spans="1:14" x14ac:dyDescent="0.35">
      <c r="A446" t="s">
        <v>49</v>
      </c>
      <c r="B446">
        <v>14</v>
      </c>
      <c r="C446" t="s">
        <v>50</v>
      </c>
      <c r="D446">
        <v>40</v>
      </c>
      <c r="E446">
        <v>146.658734887831</v>
      </c>
      <c r="F446">
        <v>11.0086777744676</v>
      </c>
      <c r="G446" t="s">
        <v>49</v>
      </c>
      <c r="H446">
        <v>14</v>
      </c>
      <c r="I446">
        <v>40</v>
      </c>
      <c r="J446">
        <v>4.4628937151057704</v>
      </c>
      <c r="K446" t="b">
        <f t="shared" si="24"/>
        <v>1</v>
      </c>
      <c r="L446">
        <f t="shared" si="25"/>
        <v>162.13030637740437</v>
      </c>
      <c r="M446">
        <f t="shared" si="26"/>
        <v>648.52122550961747</v>
      </c>
      <c r="N446">
        <f t="shared" si="27"/>
        <v>792.49293757275257</v>
      </c>
    </row>
    <row r="447" spans="1:14" x14ac:dyDescent="0.35">
      <c r="A447" t="s">
        <v>49</v>
      </c>
      <c r="B447">
        <v>14</v>
      </c>
      <c r="C447" t="s">
        <v>50</v>
      </c>
      <c r="D447">
        <v>41</v>
      </c>
      <c r="E447">
        <v>152.05306567345801</v>
      </c>
      <c r="F447">
        <v>12.2354069725301</v>
      </c>
      <c r="G447" t="s">
        <v>49</v>
      </c>
      <c r="H447">
        <v>14</v>
      </c>
      <c r="I447">
        <v>41</v>
      </c>
      <c r="J447">
        <v>4.6495921207779602</v>
      </c>
      <c r="K447" t="b">
        <f t="shared" si="24"/>
        <v>1</v>
      </c>
      <c r="L447">
        <f t="shared" si="25"/>
        <v>168.93806476676608</v>
      </c>
      <c r="M447">
        <f t="shared" si="26"/>
        <v>675.7522590670643</v>
      </c>
      <c r="N447">
        <f t="shared" si="27"/>
        <v>825.76926057995252</v>
      </c>
    </row>
    <row r="448" spans="1:14" x14ac:dyDescent="0.35">
      <c r="A448" t="s">
        <v>49</v>
      </c>
      <c r="B448">
        <v>14</v>
      </c>
      <c r="C448" t="s">
        <v>50</v>
      </c>
      <c r="D448">
        <v>42</v>
      </c>
      <c r="E448">
        <v>157.387707400317</v>
      </c>
      <c r="F448">
        <v>13.496919407783601</v>
      </c>
      <c r="G448" t="s">
        <v>49</v>
      </c>
      <c r="H448">
        <v>14</v>
      </c>
      <c r="I448">
        <v>42</v>
      </c>
      <c r="J448">
        <v>4.8337571425079302</v>
      </c>
      <c r="K448" t="b">
        <f t="shared" si="24"/>
        <v>1</v>
      </c>
      <c r="L448">
        <f t="shared" si="25"/>
        <v>175.71838395060851</v>
      </c>
      <c r="M448">
        <f t="shared" si="26"/>
        <v>702.87353580243405</v>
      </c>
      <c r="N448">
        <f t="shared" si="27"/>
        <v>858.91146075057441</v>
      </c>
    </row>
    <row r="449" spans="1:14" x14ac:dyDescent="0.35">
      <c r="A449" t="s">
        <v>49</v>
      </c>
      <c r="B449">
        <v>14</v>
      </c>
      <c r="C449" t="s">
        <v>50</v>
      </c>
      <c r="D449">
        <v>43</v>
      </c>
      <c r="E449">
        <v>162.301997533243</v>
      </c>
      <c r="F449">
        <v>14.6927581889754</v>
      </c>
      <c r="G449" t="s">
        <v>49</v>
      </c>
      <c r="H449">
        <v>14</v>
      </c>
      <c r="I449">
        <v>43</v>
      </c>
      <c r="J449">
        <v>5.0114865012082399</v>
      </c>
      <c r="K449" t="b">
        <f t="shared" si="24"/>
        <v>1</v>
      </c>
      <c r="L449">
        <f t="shared" si="25"/>
        <v>182.00624222342665</v>
      </c>
      <c r="M449">
        <f t="shared" si="26"/>
        <v>728.02496889370661</v>
      </c>
      <c r="N449">
        <f t="shared" si="27"/>
        <v>889.64651198810941</v>
      </c>
    </row>
    <row r="450" spans="1:14" x14ac:dyDescent="0.35">
      <c r="A450" t="s">
        <v>49</v>
      </c>
      <c r="B450">
        <v>14</v>
      </c>
      <c r="C450" t="s">
        <v>50</v>
      </c>
      <c r="D450">
        <v>44</v>
      </c>
      <c r="E450">
        <v>167.22861622477399</v>
      </c>
      <c r="F450">
        <v>15.859669294083</v>
      </c>
      <c r="G450" t="s">
        <v>49</v>
      </c>
      <c r="H450">
        <v>14</v>
      </c>
      <c r="I450">
        <v>44</v>
      </c>
      <c r="J450">
        <v>5.1852221528499003</v>
      </c>
      <c r="K450" t="b">
        <f t="shared" si="24"/>
        <v>1</v>
      </c>
      <c r="L450">
        <f t="shared" si="25"/>
        <v>188.27350767170688</v>
      </c>
      <c r="M450">
        <f t="shared" si="26"/>
        <v>753.09403068682752</v>
      </c>
      <c r="N450">
        <f t="shared" si="27"/>
        <v>920.28090549930323</v>
      </c>
    </row>
    <row r="451" spans="1:14" x14ac:dyDescent="0.35">
      <c r="A451" t="s">
        <v>49</v>
      </c>
      <c r="B451">
        <v>14</v>
      </c>
      <c r="C451" t="s">
        <v>50</v>
      </c>
      <c r="D451">
        <v>45</v>
      </c>
      <c r="E451">
        <v>172.14457481673901</v>
      </c>
      <c r="F451">
        <v>17.019184985862999</v>
      </c>
      <c r="G451" t="s">
        <v>49</v>
      </c>
      <c r="H451">
        <v>14</v>
      </c>
      <c r="I451">
        <v>45</v>
      </c>
      <c r="J451">
        <v>5.3562048583140296</v>
      </c>
      <c r="K451" t="b">
        <f t="shared" ref="K451:K514" si="28">H451=B451</f>
        <v>1</v>
      </c>
      <c r="L451">
        <f t="shared" ref="L451:L514" si="29">E451+F451+J451</f>
        <v>194.51996466091606</v>
      </c>
      <c r="M451">
        <f t="shared" ref="M451:M514" si="30">(L451*2)*(100/50)</f>
        <v>778.07985864366424</v>
      </c>
      <c r="N451">
        <f t="shared" ref="N451:N514" si="31">M451*1.222</f>
        <v>950.81358726255769</v>
      </c>
    </row>
    <row r="452" spans="1:14" x14ac:dyDescent="0.35">
      <c r="A452" t="s">
        <v>49</v>
      </c>
      <c r="B452">
        <v>14</v>
      </c>
      <c r="C452" t="s">
        <v>50</v>
      </c>
      <c r="D452">
        <v>46</v>
      </c>
      <c r="E452">
        <v>177.03612520272699</v>
      </c>
      <c r="F452">
        <v>18.183714725995902</v>
      </c>
      <c r="G452" t="s">
        <v>49</v>
      </c>
      <c r="H452">
        <v>14</v>
      </c>
      <c r="I452">
        <v>46</v>
      </c>
      <c r="J452">
        <v>5.5250566778982604</v>
      </c>
      <c r="K452" t="b">
        <f t="shared" si="28"/>
        <v>1</v>
      </c>
      <c r="L452">
        <f t="shared" si="29"/>
        <v>200.74489660662115</v>
      </c>
      <c r="M452">
        <f t="shared" si="30"/>
        <v>802.97958642648462</v>
      </c>
      <c r="N452">
        <f t="shared" si="31"/>
        <v>981.24105461316412</v>
      </c>
    </row>
    <row r="453" spans="1:14" x14ac:dyDescent="0.35">
      <c r="A453" t="s">
        <v>49</v>
      </c>
      <c r="B453">
        <v>14</v>
      </c>
      <c r="C453" t="s">
        <v>50</v>
      </c>
      <c r="D453">
        <v>47</v>
      </c>
      <c r="E453">
        <v>181.89502453433201</v>
      </c>
      <c r="F453">
        <v>19.360248276884899</v>
      </c>
      <c r="G453" t="s">
        <v>49</v>
      </c>
      <c r="H453">
        <v>14</v>
      </c>
      <c r="I453">
        <v>47</v>
      </c>
      <c r="J453">
        <v>5.6920849946354499</v>
      </c>
      <c r="K453" t="b">
        <f t="shared" si="28"/>
        <v>1</v>
      </c>
      <c r="L453">
        <f t="shared" si="29"/>
        <v>206.94735780585236</v>
      </c>
      <c r="M453">
        <f t="shared" si="30"/>
        <v>827.78943122340945</v>
      </c>
      <c r="N453">
        <f t="shared" si="31"/>
        <v>1011.5586849550064</v>
      </c>
    </row>
    <row r="454" spans="1:14" x14ac:dyDescent="0.35">
      <c r="A454" t="s">
        <v>49</v>
      </c>
      <c r="B454">
        <v>14</v>
      </c>
      <c r="C454" t="s">
        <v>50</v>
      </c>
      <c r="D454">
        <v>48</v>
      </c>
      <c r="E454">
        <v>186.152967330227</v>
      </c>
      <c r="F454">
        <v>20.4623562827244</v>
      </c>
      <c r="G454" t="s">
        <v>49</v>
      </c>
      <c r="H454">
        <v>14</v>
      </c>
      <c r="I454">
        <v>48</v>
      </c>
      <c r="J454">
        <v>5.8514607453876701</v>
      </c>
      <c r="K454" t="b">
        <f t="shared" si="28"/>
        <v>1</v>
      </c>
      <c r="L454">
        <f t="shared" si="29"/>
        <v>212.46678435833905</v>
      </c>
      <c r="M454">
        <f t="shared" si="30"/>
        <v>849.86713743335622</v>
      </c>
      <c r="N454">
        <f t="shared" si="31"/>
        <v>1038.5376419435613</v>
      </c>
    </row>
    <row r="455" spans="1:14" x14ac:dyDescent="0.35">
      <c r="A455" t="s">
        <v>49</v>
      </c>
      <c r="B455">
        <v>14</v>
      </c>
      <c r="C455" t="s">
        <v>50</v>
      </c>
      <c r="D455">
        <v>49</v>
      </c>
      <c r="E455">
        <v>190.42126642789199</v>
      </c>
      <c r="F455">
        <v>21.527927665095099</v>
      </c>
      <c r="G455" t="s">
        <v>49</v>
      </c>
      <c r="H455">
        <v>14</v>
      </c>
      <c r="I455">
        <v>49</v>
      </c>
      <c r="J455">
        <v>6.0061908067559999</v>
      </c>
      <c r="K455" t="b">
        <f t="shared" si="28"/>
        <v>1</v>
      </c>
      <c r="L455">
        <f t="shared" si="29"/>
        <v>217.95538489974308</v>
      </c>
      <c r="M455">
        <f t="shared" si="30"/>
        <v>871.82153959897232</v>
      </c>
      <c r="N455">
        <f t="shared" si="31"/>
        <v>1065.3659213899441</v>
      </c>
    </row>
    <row r="456" spans="1:14" x14ac:dyDescent="0.35">
      <c r="A456" t="s">
        <v>49</v>
      </c>
      <c r="B456">
        <v>14</v>
      </c>
      <c r="C456" t="s">
        <v>50</v>
      </c>
      <c r="D456">
        <v>50</v>
      </c>
      <c r="E456">
        <v>194.68926557965</v>
      </c>
      <c r="F456">
        <v>22.578799187502</v>
      </c>
      <c r="G456" t="s">
        <v>49</v>
      </c>
      <c r="H456">
        <v>14</v>
      </c>
      <c r="I456">
        <v>50</v>
      </c>
      <c r="J456">
        <v>6.1578611754905799</v>
      </c>
      <c r="K456" t="b">
        <f t="shared" si="28"/>
        <v>1</v>
      </c>
      <c r="L456">
        <f t="shared" si="29"/>
        <v>223.42592594264258</v>
      </c>
      <c r="M456">
        <f t="shared" si="30"/>
        <v>893.70370377057031</v>
      </c>
      <c r="N456">
        <f t="shared" si="31"/>
        <v>1092.105926007637</v>
      </c>
    </row>
    <row r="457" spans="1:14" x14ac:dyDescent="0.35">
      <c r="A457" t="s">
        <v>49</v>
      </c>
      <c r="B457">
        <v>14</v>
      </c>
      <c r="C457" t="s">
        <v>50</v>
      </c>
      <c r="D457">
        <v>51</v>
      </c>
      <c r="E457">
        <v>198.94367072877699</v>
      </c>
      <c r="F457">
        <v>23.6274105748662</v>
      </c>
      <c r="G457" t="s">
        <v>49</v>
      </c>
      <c r="H457">
        <v>14</v>
      </c>
      <c r="I457">
        <v>51</v>
      </c>
      <c r="J457">
        <v>6.3073124196836199</v>
      </c>
      <c r="K457" t="b">
        <f t="shared" si="28"/>
        <v>1</v>
      </c>
      <c r="L457">
        <f t="shared" si="29"/>
        <v>228.87839372332681</v>
      </c>
      <c r="M457">
        <f t="shared" si="30"/>
        <v>915.51357489330724</v>
      </c>
      <c r="N457">
        <f t="shared" si="31"/>
        <v>1118.7575885196213</v>
      </c>
    </row>
    <row r="458" spans="1:14" x14ac:dyDescent="0.35">
      <c r="A458" t="s">
        <v>49</v>
      </c>
      <c r="B458">
        <v>14</v>
      </c>
      <c r="C458" t="s">
        <v>50</v>
      </c>
      <c r="D458">
        <v>52</v>
      </c>
      <c r="E458">
        <v>203.17669605004301</v>
      </c>
      <c r="F458">
        <v>24.680729049463402</v>
      </c>
      <c r="G458" t="s">
        <v>49</v>
      </c>
      <c r="H458">
        <v>14</v>
      </c>
      <c r="I458">
        <v>52</v>
      </c>
      <c r="J458">
        <v>6.4549952032714302</v>
      </c>
      <c r="K458" t="b">
        <f t="shared" si="28"/>
        <v>1</v>
      </c>
      <c r="L458">
        <f t="shared" si="29"/>
        <v>234.31242030277784</v>
      </c>
      <c r="M458">
        <f t="shared" si="30"/>
        <v>937.24968121111135</v>
      </c>
      <c r="N458">
        <f t="shared" si="31"/>
        <v>1145.319110439978</v>
      </c>
    </row>
    <row r="459" spans="1:14" x14ac:dyDescent="0.35">
      <c r="A459" t="s">
        <v>49</v>
      </c>
      <c r="B459">
        <v>14</v>
      </c>
      <c r="C459" t="s">
        <v>50</v>
      </c>
      <c r="D459">
        <v>53</v>
      </c>
      <c r="E459">
        <v>206.81433153233999</v>
      </c>
      <c r="F459">
        <v>25.667052619197499</v>
      </c>
      <c r="G459" t="s">
        <v>49</v>
      </c>
      <c r="H459">
        <v>14</v>
      </c>
      <c r="I459">
        <v>53</v>
      </c>
      <c r="J459">
        <v>6.5946433663255402</v>
      </c>
      <c r="K459" t="b">
        <f t="shared" si="28"/>
        <v>1</v>
      </c>
      <c r="L459">
        <f t="shared" si="29"/>
        <v>239.07602751786303</v>
      </c>
      <c r="M459">
        <f t="shared" si="30"/>
        <v>956.3041100714521</v>
      </c>
      <c r="N459">
        <f t="shared" si="31"/>
        <v>1168.6036225073144</v>
      </c>
    </row>
    <row r="460" spans="1:14" x14ac:dyDescent="0.35">
      <c r="A460" t="s">
        <v>49</v>
      </c>
      <c r="B460">
        <v>14</v>
      </c>
      <c r="C460" t="s">
        <v>50</v>
      </c>
      <c r="D460">
        <v>54</v>
      </c>
      <c r="E460">
        <v>210.47390301649301</v>
      </c>
      <c r="F460">
        <v>26.619355529302499</v>
      </c>
      <c r="G460" t="s">
        <v>49</v>
      </c>
      <c r="H460">
        <v>14</v>
      </c>
      <c r="I460">
        <v>54</v>
      </c>
      <c r="J460">
        <v>6.7293924207814797</v>
      </c>
      <c r="K460" t="b">
        <f t="shared" si="28"/>
        <v>1</v>
      </c>
      <c r="L460">
        <f t="shared" si="29"/>
        <v>243.82265096657699</v>
      </c>
      <c r="M460">
        <f t="shared" si="30"/>
        <v>975.29060386630795</v>
      </c>
      <c r="N460">
        <f t="shared" si="31"/>
        <v>1191.8051179246283</v>
      </c>
    </row>
    <row r="461" spans="1:14" x14ac:dyDescent="0.35">
      <c r="A461" t="s">
        <v>49</v>
      </c>
      <c r="B461">
        <v>14</v>
      </c>
      <c r="C461" t="s">
        <v>50</v>
      </c>
      <c r="D461">
        <v>55</v>
      </c>
      <c r="E461">
        <v>214.13592414764801</v>
      </c>
      <c r="F461">
        <v>27.556436048498799</v>
      </c>
      <c r="G461" t="s">
        <v>49</v>
      </c>
      <c r="H461">
        <v>14</v>
      </c>
      <c r="I461">
        <v>55</v>
      </c>
      <c r="J461">
        <v>6.8609449830617004</v>
      </c>
      <c r="K461" t="b">
        <f t="shared" si="28"/>
        <v>1</v>
      </c>
      <c r="L461">
        <f t="shared" si="29"/>
        <v>248.55330517920851</v>
      </c>
      <c r="M461">
        <f t="shared" si="30"/>
        <v>994.21322071683403</v>
      </c>
      <c r="N461">
        <f t="shared" si="31"/>
        <v>1214.9285557159712</v>
      </c>
    </row>
    <row r="462" spans="1:14" x14ac:dyDescent="0.35">
      <c r="A462" t="s">
        <v>49</v>
      </c>
      <c r="B462">
        <v>14</v>
      </c>
      <c r="C462" t="s">
        <v>50</v>
      </c>
      <c r="D462">
        <v>56</v>
      </c>
      <c r="E462">
        <v>217.78913911001499</v>
      </c>
      <c r="F462">
        <v>28.488912139068798</v>
      </c>
      <c r="G462" t="s">
        <v>49</v>
      </c>
      <c r="H462">
        <v>14</v>
      </c>
      <c r="I462">
        <v>56</v>
      </c>
      <c r="J462">
        <v>6.9902384419991703</v>
      </c>
      <c r="K462" t="b">
        <f t="shared" si="28"/>
        <v>1</v>
      </c>
      <c r="L462">
        <f t="shared" si="29"/>
        <v>253.26828969108294</v>
      </c>
      <c r="M462">
        <f t="shared" si="30"/>
        <v>1013.0731587643318</v>
      </c>
      <c r="N462">
        <f t="shared" si="31"/>
        <v>1237.9754000100133</v>
      </c>
    </row>
    <row r="463" spans="1:14" x14ac:dyDescent="0.35">
      <c r="A463" t="s">
        <v>49</v>
      </c>
      <c r="B463">
        <v>14</v>
      </c>
      <c r="C463" t="s">
        <v>50</v>
      </c>
      <c r="D463">
        <v>57</v>
      </c>
      <c r="E463">
        <v>221.427035859282</v>
      </c>
      <c r="F463">
        <v>29.422695649474701</v>
      </c>
      <c r="G463" t="s">
        <v>49</v>
      </c>
      <c r="H463">
        <v>14</v>
      </c>
      <c r="I463">
        <v>57</v>
      </c>
      <c r="J463">
        <v>7.1178001089322303</v>
      </c>
      <c r="K463" t="b">
        <f t="shared" si="28"/>
        <v>1</v>
      </c>
      <c r="L463">
        <f t="shared" si="29"/>
        <v>257.96753161768891</v>
      </c>
      <c r="M463">
        <f t="shared" si="30"/>
        <v>1031.8701264707556</v>
      </c>
      <c r="N463">
        <f t="shared" si="31"/>
        <v>1260.9452945472633</v>
      </c>
    </row>
    <row r="464" spans="1:14" x14ac:dyDescent="0.35">
      <c r="A464" t="s">
        <v>49</v>
      </c>
      <c r="B464">
        <v>14</v>
      </c>
      <c r="C464" t="s">
        <v>50</v>
      </c>
      <c r="D464">
        <v>58</v>
      </c>
      <c r="E464">
        <v>224.48637361985701</v>
      </c>
      <c r="F464">
        <v>30.287310040747499</v>
      </c>
      <c r="G464" t="s">
        <v>49</v>
      </c>
      <c r="H464">
        <v>14</v>
      </c>
      <c r="I464">
        <v>58</v>
      </c>
      <c r="J464">
        <v>7.23753694269588</v>
      </c>
      <c r="K464" t="b">
        <f t="shared" si="28"/>
        <v>1</v>
      </c>
      <c r="L464">
        <f t="shared" si="29"/>
        <v>262.01122060330039</v>
      </c>
      <c r="M464">
        <f t="shared" si="30"/>
        <v>1048.0448824132015</v>
      </c>
      <c r="N464">
        <f t="shared" si="31"/>
        <v>1280.7108463089323</v>
      </c>
    </row>
    <row r="465" spans="1:14" x14ac:dyDescent="0.35">
      <c r="A465" t="s">
        <v>49</v>
      </c>
      <c r="B465">
        <v>14</v>
      </c>
      <c r="C465" t="s">
        <v>50</v>
      </c>
      <c r="D465">
        <v>59</v>
      </c>
      <c r="E465">
        <v>227.57312805013501</v>
      </c>
      <c r="F465">
        <v>31.115271148535399</v>
      </c>
      <c r="G465" t="s">
        <v>49</v>
      </c>
      <c r="H465">
        <v>14</v>
      </c>
      <c r="I465">
        <v>59</v>
      </c>
      <c r="J465">
        <v>7.3525654631690003</v>
      </c>
      <c r="K465" t="b">
        <f t="shared" si="28"/>
        <v>1</v>
      </c>
      <c r="L465">
        <f t="shared" si="29"/>
        <v>266.04096466183944</v>
      </c>
      <c r="M465">
        <f t="shared" si="30"/>
        <v>1064.1638586473578</v>
      </c>
      <c r="N465">
        <f t="shared" si="31"/>
        <v>1300.4082352670712</v>
      </c>
    </row>
    <row r="466" spans="1:14" x14ac:dyDescent="0.35">
      <c r="A466" t="s">
        <v>49</v>
      </c>
      <c r="B466">
        <v>14</v>
      </c>
      <c r="C466" t="s">
        <v>50</v>
      </c>
      <c r="D466">
        <v>60</v>
      </c>
      <c r="E466">
        <v>230.66833639327101</v>
      </c>
      <c r="F466">
        <v>31.925007490012799</v>
      </c>
      <c r="G466" t="s">
        <v>49</v>
      </c>
      <c r="H466">
        <v>14</v>
      </c>
      <c r="I466">
        <v>60</v>
      </c>
      <c r="J466">
        <v>7.4645853262932</v>
      </c>
      <c r="K466" t="b">
        <f t="shared" si="28"/>
        <v>1</v>
      </c>
      <c r="L466">
        <f t="shared" si="29"/>
        <v>270.05792920957703</v>
      </c>
      <c r="M466">
        <f t="shared" si="30"/>
        <v>1080.2317168383081</v>
      </c>
      <c r="N466">
        <f t="shared" si="31"/>
        <v>1320.0431579764124</v>
      </c>
    </row>
    <row r="467" spans="1:14" x14ac:dyDescent="0.35">
      <c r="A467" t="s">
        <v>49</v>
      </c>
      <c r="B467">
        <v>14</v>
      </c>
      <c r="C467" t="s">
        <v>50</v>
      </c>
      <c r="D467">
        <v>61</v>
      </c>
      <c r="E467">
        <v>233.76115212457</v>
      </c>
      <c r="F467">
        <v>32.726888832201297</v>
      </c>
      <c r="G467" t="s">
        <v>49</v>
      </c>
      <c r="H467">
        <v>14</v>
      </c>
      <c r="I467">
        <v>61</v>
      </c>
      <c r="J467">
        <v>7.57453872040041</v>
      </c>
      <c r="K467" t="b">
        <f t="shared" si="28"/>
        <v>1</v>
      </c>
      <c r="L467">
        <f t="shared" si="29"/>
        <v>274.06257967717175</v>
      </c>
      <c r="M467">
        <f t="shared" si="30"/>
        <v>1096.250318708687</v>
      </c>
      <c r="N467">
        <f t="shared" si="31"/>
        <v>1339.6178894620155</v>
      </c>
    </row>
    <row r="468" spans="1:14" x14ac:dyDescent="0.35">
      <c r="A468" t="s">
        <v>49</v>
      </c>
      <c r="B468">
        <v>14</v>
      </c>
      <c r="C468" t="s">
        <v>50</v>
      </c>
      <c r="D468">
        <v>62</v>
      </c>
      <c r="E468">
        <v>236.845369058941</v>
      </c>
      <c r="F468">
        <v>33.526684886145603</v>
      </c>
      <c r="G468" t="s">
        <v>49</v>
      </c>
      <c r="H468">
        <v>14</v>
      </c>
      <c r="I468">
        <v>62</v>
      </c>
      <c r="J468">
        <v>7.68296087054315</v>
      </c>
      <c r="K468" t="b">
        <f t="shared" si="28"/>
        <v>1</v>
      </c>
      <c r="L468">
        <f t="shared" si="29"/>
        <v>278.0550148156297</v>
      </c>
      <c r="M468">
        <f t="shared" si="30"/>
        <v>1112.2200592625188</v>
      </c>
      <c r="N468">
        <f t="shared" si="31"/>
        <v>1359.132912418798</v>
      </c>
    </row>
    <row r="469" spans="1:14" x14ac:dyDescent="0.35">
      <c r="A469" t="s">
        <v>49</v>
      </c>
      <c r="B469">
        <v>14</v>
      </c>
      <c r="C469" t="s">
        <v>50</v>
      </c>
      <c r="D469">
        <v>63</v>
      </c>
      <c r="E469">
        <v>239.44901120084</v>
      </c>
      <c r="F469">
        <v>34.258358179340597</v>
      </c>
      <c r="G469" t="s">
        <v>49</v>
      </c>
      <c r="H469">
        <v>14</v>
      </c>
      <c r="I469">
        <v>63</v>
      </c>
      <c r="J469">
        <v>7.7848086058371004</v>
      </c>
      <c r="K469" t="b">
        <f t="shared" si="28"/>
        <v>1</v>
      </c>
      <c r="L469">
        <f t="shared" si="29"/>
        <v>281.49217798601768</v>
      </c>
      <c r="M469">
        <f t="shared" si="30"/>
        <v>1125.9687119440707</v>
      </c>
      <c r="N469">
        <f t="shared" si="31"/>
        <v>1375.9337659956543</v>
      </c>
    </row>
    <row r="470" spans="1:14" x14ac:dyDescent="0.35">
      <c r="A470" t="s">
        <v>49</v>
      </c>
      <c r="B470">
        <v>14</v>
      </c>
      <c r="C470" t="s">
        <v>50</v>
      </c>
      <c r="D470">
        <v>64</v>
      </c>
      <c r="E470">
        <v>242.08345792628</v>
      </c>
      <c r="F470">
        <v>34.953498742121297</v>
      </c>
      <c r="G470" t="s">
        <v>49</v>
      </c>
      <c r="H470">
        <v>14</v>
      </c>
      <c r="I470">
        <v>64</v>
      </c>
      <c r="J470">
        <v>7.88277755591026</v>
      </c>
      <c r="K470" t="b">
        <f t="shared" si="28"/>
        <v>1</v>
      </c>
      <c r="L470">
        <f t="shared" si="29"/>
        <v>284.91973422431158</v>
      </c>
      <c r="M470">
        <f t="shared" si="30"/>
        <v>1139.6789368972463</v>
      </c>
      <c r="N470">
        <f t="shared" si="31"/>
        <v>1392.6876608884349</v>
      </c>
    </row>
    <row r="471" spans="1:14" x14ac:dyDescent="0.35">
      <c r="A471" t="s">
        <v>49</v>
      </c>
      <c r="B471">
        <v>14</v>
      </c>
      <c r="C471" t="s">
        <v>50</v>
      </c>
      <c r="D471">
        <v>65</v>
      </c>
      <c r="E471">
        <v>244.73040718434501</v>
      </c>
      <c r="F471">
        <v>35.629930383307901</v>
      </c>
      <c r="G471" t="s">
        <v>49</v>
      </c>
      <c r="H471">
        <v>14</v>
      </c>
      <c r="I471">
        <v>65</v>
      </c>
      <c r="J471">
        <v>7.9783204653016604</v>
      </c>
      <c r="K471" t="b">
        <f t="shared" si="28"/>
        <v>1</v>
      </c>
      <c r="L471">
        <f t="shared" si="29"/>
        <v>288.33865803295453</v>
      </c>
      <c r="M471">
        <f t="shared" si="30"/>
        <v>1153.3546321318181</v>
      </c>
      <c r="N471">
        <f t="shared" si="31"/>
        <v>1409.3993604650816</v>
      </c>
    </row>
    <row r="472" spans="1:14" x14ac:dyDescent="0.35">
      <c r="A472" t="s">
        <v>49</v>
      </c>
      <c r="B472">
        <v>14</v>
      </c>
      <c r="C472" t="s">
        <v>50</v>
      </c>
      <c r="D472">
        <v>66</v>
      </c>
      <c r="E472">
        <v>247.379449185731</v>
      </c>
      <c r="F472">
        <v>36.297646889378299</v>
      </c>
      <c r="G472" t="s">
        <v>49</v>
      </c>
      <c r="H472">
        <v>14</v>
      </c>
      <c r="I472">
        <v>66</v>
      </c>
      <c r="J472">
        <v>8.0722327346903899</v>
      </c>
      <c r="K472" t="b">
        <f t="shared" si="28"/>
        <v>1</v>
      </c>
      <c r="L472">
        <f t="shared" si="29"/>
        <v>291.74932880979969</v>
      </c>
      <c r="M472">
        <f t="shared" si="30"/>
        <v>1166.9973152391988</v>
      </c>
      <c r="N472">
        <f t="shared" si="31"/>
        <v>1426.0707192223008</v>
      </c>
    </row>
    <row r="473" spans="1:14" x14ac:dyDescent="0.35">
      <c r="A473" t="s">
        <v>49</v>
      </c>
      <c r="B473">
        <v>14</v>
      </c>
      <c r="C473" t="s">
        <v>50</v>
      </c>
      <c r="D473">
        <v>67</v>
      </c>
      <c r="E473">
        <v>250.02466265291201</v>
      </c>
      <c r="F473">
        <v>36.962195942935097</v>
      </c>
      <c r="G473" t="s">
        <v>49</v>
      </c>
      <c r="H473">
        <v>14</v>
      </c>
      <c r="I473">
        <v>67</v>
      </c>
      <c r="J473">
        <v>8.1649607867900098</v>
      </c>
      <c r="K473" t="b">
        <f t="shared" si="28"/>
        <v>1</v>
      </c>
      <c r="L473">
        <f t="shared" si="29"/>
        <v>295.15181938263714</v>
      </c>
      <c r="M473">
        <f t="shared" si="30"/>
        <v>1180.6072775305486</v>
      </c>
      <c r="N473">
        <f t="shared" si="31"/>
        <v>1442.7020931423303</v>
      </c>
    </row>
    <row r="474" spans="1:14" x14ac:dyDescent="0.35">
      <c r="A474" t="s">
        <v>49</v>
      </c>
      <c r="B474">
        <v>14</v>
      </c>
      <c r="C474" t="s">
        <v>50</v>
      </c>
      <c r="D474">
        <v>68</v>
      </c>
      <c r="E474">
        <v>252.33564772603199</v>
      </c>
      <c r="F474">
        <v>37.575819186274401</v>
      </c>
      <c r="G474" t="s">
        <v>49</v>
      </c>
      <c r="H474">
        <v>14</v>
      </c>
      <c r="I474">
        <v>68</v>
      </c>
      <c r="J474">
        <v>8.2530237223533707</v>
      </c>
      <c r="K474" t="b">
        <f t="shared" si="28"/>
        <v>1</v>
      </c>
      <c r="L474">
        <f t="shared" si="29"/>
        <v>298.16449063465978</v>
      </c>
      <c r="M474">
        <f t="shared" si="30"/>
        <v>1192.6579625386391</v>
      </c>
      <c r="N474">
        <f t="shared" si="31"/>
        <v>1457.4280302222171</v>
      </c>
    </row>
    <row r="475" spans="1:14" x14ac:dyDescent="0.35">
      <c r="A475" t="s">
        <v>49</v>
      </c>
      <c r="B475">
        <v>14</v>
      </c>
      <c r="C475" t="s">
        <v>50</v>
      </c>
      <c r="D475">
        <v>69</v>
      </c>
      <c r="E475">
        <v>254.67016944636799</v>
      </c>
      <c r="F475">
        <v>38.162510297529302</v>
      </c>
      <c r="G475" t="s">
        <v>49</v>
      </c>
      <c r="H475">
        <v>14</v>
      </c>
      <c r="I475">
        <v>69</v>
      </c>
      <c r="J475">
        <v>8.3383410132354392</v>
      </c>
      <c r="K475" t="b">
        <f t="shared" si="28"/>
        <v>1</v>
      </c>
      <c r="L475">
        <f t="shared" si="29"/>
        <v>301.17102075713274</v>
      </c>
      <c r="M475">
        <f t="shared" si="30"/>
        <v>1204.6840830285309</v>
      </c>
      <c r="N475">
        <f t="shared" si="31"/>
        <v>1472.1239494608649</v>
      </c>
    </row>
    <row r="476" spans="1:14" x14ac:dyDescent="0.35">
      <c r="A476" t="s">
        <v>49</v>
      </c>
      <c r="B476">
        <v>14</v>
      </c>
      <c r="C476" t="s">
        <v>50</v>
      </c>
      <c r="D476">
        <v>70</v>
      </c>
      <c r="E476">
        <v>257.01433274124997</v>
      </c>
      <c r="F476">
        <v>38.735734200104901</v>
      </c>
      <c r="G476" t="s">
        <v>49</v>
      </c>
      <c r="H476">
        <v>14</v>
      </c>
      <c r="I476">
        <v>70</v>
      </c>
      <c r="J476">
        <v>8.4219408359943895</v>
      </c>
      <c r="K476" t="b">
        <f t="shared" si="28"/>
        <v>1</v>
      </c>
      <c r="L476">
        <f t="shared" si="29"/>
        <v>304.17200777734928</v>
      </c>
      <c r="M476">
        <f t="shared" si="30"/>
        <v>1216.6880311093971</v>
      </c>
      <c r="N476">
        <f t="shared" si="31"/>
        <v>1486.7927740156833</v>
      </c>
    </row>
    <row r="477" spans="1:14" x14ac:dyDescent="0.35">
      <c r="A477" t="s">
        <v>49</v>
      </c>
      <c r="B477">
        <v>14</v>
      </c>
      <c r="C477" t="s">
        <v>50</v>
      </c>
      <c r="D477">
        <v>71</v>
      </c>
      <c r="E477">
        <v>259.36026094712702</v>
      </c>
      <c r="F477">
        <v>39.302991936189898</v>
      </c>
      <c r="G477" t="s">
        <v>49</v>
      </c>
      <c r="H477">
        <v>14</v>
      </c>
      <c r="I477">
        <v>71</v>
      </c>
      <c r="J477">
        <v>8.5043828973983704</v>
      </c>
      <c r="K477" t="b">
        <f t="shared" si="28"/>
        <v>1</v>
      </c>
      <c r="L477">
        <f t="shared" si="29"/>
        <v>307.16763578071527</v>
      </c>
      <c r="M477">
        <f t="shared" si="30"/>
        <v>1228.6705431228611</v>
      </c>
      <c r="N477">
        <f t="shared" si="31"/>
        <v>1501.4354036961363</v>
      </c>
    </row>
    <row r="478" spans="1:14" x14ac:dyDescent="0.35">
      <c r="A478" t="s">
        <v>49</v>
      </c>
      <c r="B478">
        <v>14</v>
      </c>
      <c r="C478" t="s">
        <v>50</v>
      </c>
      <c r="D478">
        <v>72</v>
      </c>
      <c r="E478">
        <v>261.70348836906601</v>
      </c>
      <c r="F478">
        <v>39.868411242112202</v>
      </c>
      <c r="G478" t="s">
        <v>49</v>
      </c>
      <c r="H478">
        <v>14</v>
      </c>
      <c r="I478">
        <v>72</v>
      </c>
      <c r="J478">
        <v>8.5859798336853395</v>
      </c>
      <c r="K478" t="b">
        <f t="shared" si="28"/>
        <v>1</v>
      </c>
      <c r="L478">
        <f t="shared" si="29"/>
        <v>310.15787944486351</v>
      </c>
      <c r="M478">
        <f t="shared" si="30"/>
        <v>1240.631517779454</v>
      </c>
      <c r="N478">
        <f t="shared" si="31"/>
        <v>1516.0517147264927</v>
      </c>
    </row>
    <row r="479" spans="1:14" x14ac:dyDescent="0.35">
      <c r="A479" t="s">
        <v>49</v>
      </c>
      <c r="B479">
        <v>14</v>
      </c>
      <c r="C479" t="s">
        <v>50</v>
      </c>
      <c r="D479">
        <v>73</v>
      </c>
      <c r="E479">
        <v>263.817541772921</v>
      </c>
      <c r="F479">
        <v>40.414427824686001</v>
      </c>
      <c r="G479" t="s">
        <v>49</v>
      </c>
      <c r="H479">
        <v>14</v>
      </c>
      <c r="I479">
        <v>73</v>
      </c>
      <c r="J479">
        <v>8.6643515235080706</v>
      </c>
      <c r="K479" t="b">
        <f t="shared" si="28"/>
        <v>1</v>
      </c>
      <c r="L479">
        <f t="shared" si="29"/>
        <v>312.89632112111508</v>
      </c>
      <c r="M479">
        <f t="shared" si="30"/>
        <v>1251.5852844844603</v>
      </c>
      <c r="N479">
        <f t="shared" si="31"/>
        <v>1529.4372176400104</v>
      </c>
    </row>
    <row r="480" spans="1:14" x14ac:dyDescent="0.35">
      <c r="A480" t="s">
        <v>49</v>
      </c>
      <c r="B480">
        <v>14</v>
      </c>
      <c r="C480" t="s">
        <v>50</v>
      </c>
      <c r="D480">
        <v>74</v>
      </c>
      <c r="E480">
        <v>265.93713045620098</v>
      </c>
      <c r="F480">
        <v>40.950858148500899</v>
      </c>
      <c r="G480" t="s">
        <v>49</v>
      </c>
      <c r="H480">
        <v>14</v>
      </c>
      <c r="I480">
        <v>74</v>
      </c>
      <c r="J480">
        <v>8.7406983036260204</v>
      </c>
      <c r="K480" t="b">
        <f t="shared" si="28"/>
        <v>1</v>
      </c>
      <c r="L480">
        <f t="shared" si="29"/>
        <v>315.62868690832789</v>
      </c>
      <c r="M480">
        <f t="shared" si="30"/>
        <v>1262.5147476333116</v>
      </c>
      <c r="N480">
        <f t="shared" si="31"/>
        <v>1542.7930216079067</v>
      </c>
    </row>
    <row r="481" spans="1:14" x14ac:dyDescent="0.35">
      <c r="A481" t="s">
        <v>49</v>
      </c>
      <c r="B481">
        <v>14</v>
      </c>
      <c r="C481" t="s">
        <v>50</v>
      </c>
      <c r="D481">
        <v>75</v>
      </c>
      <c r="E481">
        <v>268.05648993173901</v>
      </c>
      <c r="F481">
        <v>41.483143627812801</v>
      </c>
      <c r="G481" t="s">
        <v>49</v>
      </c>
      <c r="H481">
        <v>14</v>
      </c>
      <c r="I481">
        <v>75</v>
      </c>
      <c r="J481">
        <v>8.8156963667090498</v>
      </c>
      <c r="K481" t="b">
        <f t="shared" si="28"/>
        <v>1</v>
      </c>
      <c r="L481">
        <f t="shared" si="29"/>
        <v>318.35532992626088</v>
      </c>
      <c r="M481">
        <f t="shared" si="30"/>
        <v>1273.4213197050435</v>
      </c>
      <c r="N481">
        <f t="shared" si="31"/>
        <v>1556.1208526795631</v>
      </c>
    </row>
    <row r="482" spans="1:14" x14ac:dyDescent="0.35">
      <c r="A482" t="s">
        <v>49</v>
      </c>
      <c r="B482">
        <v>14</v>
      </c>
      <c r="C482" t="s">
        <v>50</v>
      </c>
      <c r="D482">
        <v>76</v>
      </c>
      <c r="E482">
        <v>270.172354924947</v>
      </c>
      <c r="F482">
        <v>42.014257395240797</v>
      </c>
      <c r="G482" t="s">
        <v>49</v>
      </c>
      <c r="H482">
        <v>14</v>
      </c>
      <c r="I482">
        <v>76</v>
      </c>
      <c r="J482">
        <v>8.88973544556438</v>
      </c>
      <c r="K482" t="b">
        <f t="shared" si="28"/>
        <v>1</v>
      </c>
      <c r="L482">
        <f t="shared" si="29"/>
        <v>321.07634776575219</v>
      </c>
      <c r="M482">
        <f t="shared" si="30"/>
        <v>1284.3053910630088</v>
      </c>
      <c r="N482">
        <f t="shared" si="31"/>
        <v>1569.4211878789968</v>
      </c>
    </row>
    <row r="483" spans="1:14" x14ac:dyDescent="0.35">
      <c r="A483" t="s">
        <v>49</v>
      </c>
      <c r="B483">
        <v>14</v>
      </c>
      <c r="C483" t="s">
        <v>50</v>
      </c>
      <c r="D483">
        <v>77</v>
      </c>
      <c r="E483">
        <v>272.28287315913201</v>
      </c>
      <c r="F483">
        <v>42.545782675546398</v>
      </c>
      <c r="G483" t="s">
        <v>49</v>
      </c>
      <c r="H483">
        <v>14</v>
      </c>
      <c r="I483">
        <v>77</v>
      </c>
      <c r="J483">
        <v>8.9630469683364407</v>
      </c>
      <c r="K483" t="b">
        <f t="shared" si="28"/>
        <v>1</v>
      </c>
      <c r="L483">
        <f t="shared" si="29"/>
        <v>323.7917028030148</v>
      </c>
      <c r="M483">
        <f t="shared" si="30"/>
        <v>1295.1668112120592</v>
      </c>
      <c r="N483">
        <f t="shared" si="31"/>
        <v>1582.6938433011362</v>
      </c>
    </row>
    <row r="484" spans="1:14" x14ac:dyDescent="0.35">
      <c r="A484" t="s">
        <v>49</v>
      </c>
      <c r="B484">
        <v>14</v>
      </c>
      <c r="C484" t="s">
        <v>50</v>
      </c>
      <c r="D484">
        <v>78</v>
      </c>
      <c r="E484">
        <v>274.14209775840197</v>
      </c>
      <c r="F484">
        <v>43.020795904865501</v>
      </c>
      <c r="G484" t="s">
        <v>49</v>
      </c>
      <c r="H484">
        <v>14</v>
      </c>
      <c r="I484">
        <v>78</v>
      </c>
      <c r="J484">
        <v>9.0329724292109397</v>
      </c>
      <c r="K484" t="b">
        <f t="shared" si="28"/>
        <v>1</v>
      </c>
      <c r="L484">
        <f t="shared" si="29"/>
        <v>326.19586609247841</v>
      </c>
      <c r="M484">
        <f t="shared" si="30"/>
        <v>1304.7834643699136</v>
      </c>
      <c r="N484">
        <f t="shared" si="31"/>
        <v>1594.4453934600344</v>
      </c>
    </row>
    <row r="485" spans="1:14" x14ac:dyDescent="0.35">
      <c r="A485" t="s">
        <v>49</v>
      </c>
      <c r="B485">
        <v>14</v>
      </c>
      <c r="C485" t="s">
        <v>50</v>
      </c>
      <c r="D485">
        <v>79</v>
      </c>
      <c r="E485">
        <v>275.95887844346998</v>
      </c>
      <c r="F485">
        <v>43.4741372408077</v>
      </c>
      <c r="G485" t="s">
        <v>49</v>
      </c>
      <c r="H485">
        <v>14</v>
      </c>
      <c r="I485">
        <v>79</v>
      </c>
      <c r="J485">
        <v>9.1002372852993005</v>
      </c>
      <c r="K485" t="b">
        <f t="shared" si="28"/>
        <v>1</v>
      </c>
      <c r="L485">
        <f t="shared" si="29"/>
        <v>328.53325296957701</v>
      </c>
      <c r="M485">
        <f t="shared" si="30"/>
        <v>1314.133011878308</v>
      </c>
      <c r="N485">
        <f t="shared" si="31"/>
        <v>1605.8705405152923</v>
      </c>
    </row>
    <row r="486" spans="1:14" x14ac:dyDescent="0.35">
      <c r="A486" t="s">
        <v>49</v>
      </c>
      <c r="B486">
        <v>14</v>
      </c>
      <c r="C486" t="s">
        <v>50</v>
      </c>
      <c r="D486">
        <v>80</v>
      </c>
      <c r="E486">
        <v>277.73140999550998</v>
      </c>
      <c r="F486">
        <v>43.909474469304698</v>
      </c>
      <c r="G486" t="s">
        <v>49</v>
      </c>
      <c r="H486">
        <v>14</v>
      </c>
      <c r="I486">
        <v>80</v>
      </c>
      <c r="J486">
        <v>9.1652589171555601</v>
      </c>
      <c r="K486" t="b">
        <f t="shared" si="28"/>
        <v>1</v>
      </c>
      <c r="L486">
        <f t="shared" si="29"/>
        <v>330.80614338197023</v>
      </c>
      <c r="M486">
        <f t="shared" si="30"/>
        <v>1323.2245735278809</v>
      </c>
      <c r="N486">
        <f t="shared" si="31"/>
        <v>1616.9804288510704</v>
      </c>
    </row>
    <row r="487" spans="1:14" x14ac:dyDescent="0.35">
      <c r="A487" t="s">
        <v>49</v>
      </c>
      <c r="B487">
        <v>14</v>
      </c>
      <c r="C487" t="s">
        <v>50</v>
      </c>
      <c r="D487">
        <v>81</v>
      </c>
      <c r="E487">
        <v>279.45924977411897</v>
      </c>
      <c r="F487">
        <v>44.3290655653893</v>
      </c>
      <c r="G487" t="s">
        <v>49</v>
      </c>
      <c r="H487">
        <v>14</v>
      </c>
      <c r="I487">
        <v>81</v>
      </c>
      <c r="J487">
        <v>9.2282883033725192</v>
      </c>
      <c r="K487" t="b">
        <f t="shared" si="28"/>
        <v>1</v>
      </c>
      <c r="L487">
        <f t="shared" si="29"/>
        <v>333.01660364288074</v>
      </c>
      <c r="M487">
        <f t="shared" si="30"/>
        <v>1332.066414571523</v>
      </c>
      <c r="N487">
        <f t="shared" si="31"/>
        <v>1627.785158606401</v>
      </c>
    </row>
    <row r="488" spans="1:14" x14ac:dyDescent="0.35">
      <c r="A488" t="s">
        <v>49</v>
      </c>
      <c r="B488">
        <v>14</v>
      </c>
      <c r="C488" t="s">
        <v>50</v>
      </c>
      <c r="D488">
        <v>82</v>
      </c>
      <c r="E488">
        <v>281.14270523594598</v>
      </c>
      <c r="F488">
        <v>44.734368531063197</v>
      </c>
      <c r="G488" t="s">
        <v>49</v>
      </c>
      <c r="H488">
        <v>14</v>
      </c>
      <c r="I488">
        <v>82</v>
      </c>
      <c r="J488">
        <v>9.2894859882159206</v>
      </c>
      <c r="K488" t="b">
        <f t="shared" si="28"/>
        <v>1</v>
      </c>
      <c r="L488">
        <f t="shared" si="29"/>
        <v>335.16655975522508</v>
      </c>
      <c r="M488">
        <f t="shared" si="30"/>
        <v>1340.6662390209003</v>
      </c>
      <c r="N488">
        <f t="shared" si="31"/>
        <v>1638.2941440835402</v>
      </c>
    </row>
    <row r="489" spans="1:14" x14ac:dyDescent="0.35">
      <c r="A489" t="s">
        <v>49</v>
      </c>
      <c r="B489">
        <v>14</v>
      </c>
      <c r="C489" t="s">
        <v>50</v>
      </c>
      <c r="D489">
        <v>83</v>
      </c>
      <c r="E489">
        <v>282.78248887797997</v>
      </c>
      <c r="F489">
        <v>45.126385591906299</v>
      </c>
      <c r="G489" t="s">
        <v>49</v>
      </c>
      <c r="H489">
        <v>14</v>
      </c>
      <c r="I489">
        <v>83</v>
      </c>
      <c r="J489">
        <v>9.3489628032964198</v>
      </c>
      <c r="K489" t="b">
        <f t="shared" si="28"/>
        <v>1</v>
      </c>
      <c r="L489">
        <f t="shared" si="29"/>
        <v>337.2578372731827</v>
      </c>
      <c r="M489">
        <f t="shared" si="30"/>
        <v>1349.0313490927308</v>
      </c>
      <c r="N489">
        <f t="shared" si="31"/>
        <v>1648.5163085913171</v>
      </c>
    </row>
    <row r="490" spans="1:14" x14ac:dyDescent="0.35">
      <c r="A490" t="s">
        <v>49</v>
      </c>
      <c r="B490">
        <v>14</v>
      </c>
      <c r="C490" t="s">
        <v>50</v>
      </c>
      <c r="D490">
        <v>84</v>
      </c>
      <c r="E490">
        <v>284.37952422586699</v>
      </c>
      <c r="F490">
        <v>45.505857356594298</v>
      </c>
      <c r="G490" t="s">
        <v>49</v>
      </c>
      <c r="H490">
        <v>14</v>
      </c>
      <c r="I490">
        <v>84</v>
      </c>
      <c r="J490">
        <v>9.4068017194509803</v>
      </c>
      <c r="K490" t="b">
        <f t="shared" si="28"/>
        <v>1</v>
      </c>
      <c r="L490">
        <f t="shared" si="29"/>
        <v>339.29218330191225</v>
      </c>
      <c r="M490">
        <f t="shared" si="30"/>
        <v>1357.168733207649</v>
      </c>
      <c r="N490">
        <f t="shared" si="31"/>
        <v>1658.4601919797469</v>
      </c>
    </row>
    <row r="491" spans="1:14" x14ac:dyDescent="0.35">
      <c r="A491" t="s">
        <v>49</v>
      </c>
      <c r="B491">
        <v>14</v>
      </c>
      <c r="C491" t="s">
        <v>50</v>
      </c>
      <c r="D491">
        <v>85</v>
      </c>
      <c r="E491">
        <v>285.934837077579</v>
      </c>
      <c r="F491">
        <v>45.8733722848037</v>
      </c>
      <c r="G491" t="s">
        <v>49</v>
      </c>
      <c r="H491">
        <v>14</v>
      </c>
      <c r="I491">
        <v>85</v>
      </c>
      <c r="J491">
        <v>9.4630696118480007</v>
      </c>
      <c r="K491" t="b">
        <f t="shared" si="28"/>
        <v>1</v>
      </c>
      <c r="L491">
        <f t="shared" si="29"/>
        <v>341.27127897423071</v>
      </c>
      <c r="M491">
        <f t="shared" si="30"/>
        <v>1365.0851158969228</v>
      </c>
      <c r="N491">
        <f t="shared" si="31"/>
        <v>1668.1340116260396</v>
      </c>
    </row>
    <row r="492" spans="1:14" x14ac:dyDescent="0.35">
      <c r="A492" t="s">
        <v>49</v>
      </c>
      <c r="B492">
        <v>14</v>
      </c>
      <c r="C492" t="s">
        <v>50</v>
      </c>
      <c r="D492">
        <v>86</v>
      </c>
      <c r="E492">
        <v>287.44949483310103</v>
      </c>
      <c r="F492">
        <v>46.229428378659499</v>
      </c>
      <c r="G492" t="s">
        <v>49</v>
      </c>
      <c r="H492">
        <v>14</v>
      </c>
      <c r="I492">
        <v>86</v>
      </c>
      <c r="J492">
        <v>9.5178236377792906</v>
      </c>
      <c r="K492" t="b">
        <f t="shared" si="28"/>
        <v>1</v>
      </c>
      <c r="L492">
        <f t="shared" si="29"/>
        <v>343.19674684953986</v>
      </c>
      <c r="M492">
        <f t="shared" si="30"/>
        <v>1372.7869873981595</v>
      </c>
      <c r="N492">
        <f t="shared" si="31"/>
        <v>1677.5456986005508</v>
      </c>
    </row>
    <row r="493" spans="1:14" x14ac:dyDescent="0.35">
      <c r="A493" t="s">
        <v>49</v>
      </c>
      <c r="B493">
        <v>14</v>
      </c>
      <c r="C493" t="s">
        <v>50</v>
      </c>
      <c r="D493">
        <v>87</v>
      </c>
      <c r="E493">
        <v>288.92457292145002</v>
      </c>
      <c r="F493">
        <v>46.574467941000798</v>
      </c>
      <c r="G493" t="s">
        <v>49</v>
      </c>
      <c r="H493">
        <v>14</v>
      </c>
      <c r="I493">
        <v>87</v>
      </c>
      <c r="J493">
        <v>9.5711147360563196</v>
      </c>
      <c r="K493" t="b">
        <f t="shared" si="28"/>
        <v>1</v>
      </c>
      <c r="L493">
        <f t="shared" si="29"/>
        <v>345.07015559850714</v>
      </c>
      <c r="M493">
        <f t="shared" si="30"/>
        <v>1380.2806223940286</v>
      </c>
      <c r="N493">
        <f t="shared" si="31"/>
        <v>1686.7029205655028</v>
      </c>
    </row>
    <row r="494" spans="1:14" x14ac:dyDescent="0.35">
      <c r="A494" t="s">
        <v>49</v>
      </c>
      <c r="B494">
        <v>14</v>
      </c>
      <c r="C494" t="s">
        <v>50</v>
      </c>
      <c r="D494">
        <v>88</v>
      </c>
      <c r="E494">
        <v>290.36113647911498</v>
      </c>
      <c r="F494">
        <v>46.908897163151799</v>
      </c>
      <c r="G494" t="s">
        <v>49</v>
      </c>
      <c r="H494">
        <v>14</v>
      </c>
      <c r="I494">
        <v>88</v>
      </c>
      <c r="J494">
        <v>9.6229895849168194</v>
      </c>
      <c r="K494" t="b">
        <f t="shared" si="28"/>
        <v>1</v>
      </c>
      <c r="L494">
        <f t="shared" si="29"/>
        <v>346.89302322718356</v>
      </c>
      <c r="M494">
        <f t="shared" si="30"/>
        <v>1387.5720929087342</v>
      </c>
      <c r="N494">
        <f t="shared" si="31"/>
        <v>1695.6130975344731</v>
      </c>
    </row>
    <row r="495" spans="1:14" x14ac:dyDescent="0.35">
      <c r="A495" t="s">
        <v>49</v>
      </c>
      <c r="B495">
        <v>14</v>
      </c>
      <c r="C495" t="s">
        <v>50</v>
      </c>
      <c r="D495">
        <v>89</v>
      </c>
      <c r="E495">
        <v>291.76023059755897</v>
      </c>
      <c r="F495">
        <v>47.233097176869698</v>
      </c>
      <c r="G495" t="s">
        <v>49</v>
      </c>
      <c r="H495">
        <v>14</v>
      </c>
      <c r="I495">
        <v>89</v>
      </c>
      <c r="J495">
        <v>9.6734917299336107</v>
      </c>
      <c r="K495" t="b">
        <f t="shared" si="28"/>
        <v>1</v>
      </c>
      <c r="L495">
        <f t="shared" si="29"/>
        <v>348.66681950436231</v>
      </c>
      <c r="M495">
        <f t="shared" si="30"/>
        <v>1394.6672780174492</v>
      </c>
      <c r="N495">
        <f t="shared" si="31"/>
        <v>1704.2834137373229</v>
      </c>
    </row>
    <row r="496" spans="1:14" x14ac:dyDescent="0.35">
      <c r="A496" t="s">
        <v>49</v>
      </c>
      <c r="B496">
        <v>14</v>
      </c>
      <c r="C496" t="s">
        <v>50</v>
      </c>
      <c r="D496">
        <v>90</v>
      </c>
      <c r="E496">
        <v>293.12287537231998</v>
      </c>
      <c r="F496">
        <v>47.5474303105321</v>
      </c>
      <c r="G496" t="s">
        <v>49</v>
      </c>
      <c r="H496">
        <v>14</v>
      </c>
      <c r="I496">
        <v>90</v>
      </c>
      <c r="J496">
        <v>9.7226622605280308</v>
      </c>
      <c r="K496" t="b">
        <f t="shared" si="28"/>
        <v>1</v>
      </c>
      <c r="L496">
        <f t="shared" si="29"/>
        <v>350.39296794338009</v>
      </c>
      <c r="M496">
        <f t="shared" si="30"/>
        <v>1401.5718717735203</v>
      </c>
      <c r="N496">
        <f t="shared" si="31"/>
        <v>1712.7208273072417</v>
      </c>
    </row>
    <row r="497" spans="1:14" x14ac:dyDescent="0.35">
      <c r="A497" t="s">
        <v>49</v>
      </c>
      <c r="B497">
        <v>14</v>
      </c>
      <c r="C497" t="s">
        <v>50</v>
      </c>
      <c r="D497">
        <v>91</v>
      </c>
      <c r="E497">
        <v>294.45006363110298</v>
      </c>
      <c r="F497">
        <v>47.852243656436499</v>
      </c>
      <c r="G497" t="s">
        <v>49</v>
      </c>
      <c r="H497">
        <v>14</v>
      </c>
      <c r="I497">
        <v>91</v>
      </c>
      <c r="J497">
        <v>9.7705402369041892</v>
      </c>
      <c r="K497" t="b">
        <f t="shared" si="28"/>
        <v>1</v>
      </c>
      <c r="L497">
        <f t="shared" si="29"/>
        <v>352.07284752444366</v>
      </c>
      <c r="M497">
        <f t="shared" si="30"/>
        <v>1408.2913900977746</v>
      </c>
      <c r="N497">
        <f t="shared" si="31"/>
        <v>1720.9320786994806</v>
      </c>
    </row>
    <row r="498" spans="1:14" x14ac:dyDescent="0.35">
      <c r="A498" t="s">
        <v>49</v>
      </c>
      <c r="B498">
        <v>14</v>
      </c>
      <c r="C498" t="s">
        <v>50</v>
      </c>
      <c r="D498">
        <v>92</v>
      </c>
      <c r="E498">
        <v>295.74276014596302</v>
      </c>
      <c r="F498">
        <v>48.147871135006</v>
      </c>
      <c r="G498" t="s">
        <v>49</v>
      </c>
      <c r="H498">
        <v>14</v>
      </c>
      <c r="I498">
        <v>92</v>
      </c>
      <c r="J498">
        <v>9.8171629754927192</v>
      </c>
      <c r="K498" t="b">
        <f t="shared" si="28"/>
        <v>1</v>
      </c>
      <c r="L498">
        <f t="shared" si="29"/>
        <v>353.70779425646174</v>
      </c>
      <c r="M498">
        <f t="shared" si="30"/>
        <v>1414.831177025847</v>
      </c>
      <c r="N498">
        <f t="shared" si="31"/>
        <v>1728.9236983255848</v>
      </c>
    </row>
    <row r="499" spans="1:14" x14ac:dyDescent="0.35">
      <c r="A499" t="s">
        <v>49</v>
      </c>
      <c r="B499">
        <v>14</v>
      </c>
      <c r="C499" t="s">
        <v>50</v>
      </c>
      <c r="D499">
        <v>93</v>
      </c>
      <c r="E499">
        <v>297.00190165775803</v>
      </c>
      <c r="F499">
        <v>48.434634722486599</v>
      </c>
      <c r="G499" t="s">
        <v>49</v>
      </c>
      <c r="H499">
        <v>14</v>
      </c>
      <c r="I499">
        <v>93</v>
      </c>
      <c r="J499">
        <v>9.8625662513308807</v>
      </c>
      <c r="K499" t="b">
        <f t="shared" si="28"/>
        <v>1</v>
      </c>
      <c r="L499">
        <f t="shared" si="29"/>
        <v>355.29910263157547</v>
      </c>
      <c r="M499">
        <f t="shared" si="30"/>
        <v>1421.1964105263019</v>
      </c>
      <c r="N499">
        <f t="shared" si="31"/>
        <v>1736.7020136631409</v>
      </c>
    </row>
    <row r="500" spans="1:14" x14ac:dyDescent="0.35">
      <c r="A500" t="s">
        <v>49</v>
      </c>
      <c r="B500">
        <v>14</v>
      </c>
      <c r="C500" t="s">
        <v>50</v>
      </c>
      <c r="D500">
        <v>94</v>
      </c>
      <c r="E500">
        <v>298.22839733581799</v>
      </c>
      <c r="F500">
        <v>48.712845216200897</v>
      </c>
      <c r="G500" t="s">
        <v>49</v>
      </c>
      <c r="H500">
        <v>14</v>
      </c>
      <c r="I500">
        <v>94</v>
      </c>
      <c r="J500">
        <v>9.9067844494593693</v>
      </c>
      <c r="K500" t="b">
        <f t="shared" si="28"/>
        <v>1</v>
      </c>
      <c r="L500">
        <f t="shared" si="29"/>
        <v>356.84802700147827</v>
      </c>
      <c r="M500">
        <f t="shared" si="30"/>
        <v>1427.3921080059131</v>
      </c>
      <c r="N500">
        <f t="shared" si="31"/>
        <v>1744.2731559832257</v>
      </c>
    </row>
    <row r="501" spans="1:14" x14ac:dyDescent="0.35">
      <c r="A501" t="s">
        <v>49</v>
      </c>
      <c r="B501">
        <v>14</v>
      </c>
      <c r="C501" t="s">
        <v>50</v>
      </c>
      <c r="D501">
        <v>95</v>
      </c>
      <c r="E501">
        <v>299.42312946178299</v>
      </c>
      <c r="F501">
        <v>48.9828027467141</v>
      </c>
      <c r="G501" t="s">
        <v>49</v>
      </c>
      <c r="H501">
        <v>14</v>
      </c>
      <c r="I501">
        <v>95</v>
      </c>
      <c r="J501">
        <v>9.9498506833807294</v>
      </c>
      <c r="K501" t="b">
        <f t="shared" si="28"/>
        <v>1</v>
      </c>
      <c r="L501">
        <f t="shared" si="29"/>
        <v>358.35578289187782</v>
      </c>
      <c r="M501">
        <f t="shared" si="30"/>
        <v>1433.4231315675113</v>
      </c>
      <c r="N501">
        <f t="shared" si="31"/>
        <v>1751.6430667754987</v>
      </c>
    </row>
    <row r="502" spans="1:14" x14ac:dyDescent="0.35">
      <c r="A502" t="s">
        <v>49</v>
      </c>
      <c r="B502">
        <v>14</v>
      </c>
      <c r="C502" t="s">
        <v>50</v>
      </c>
      <c r="D502">
        <v>96</v>
      </c>
      <c r="E502">
        <v>300.58695421997601</v>
      </c>
      <c r="F502">
        <v>49.244797153621697</v>
      </c>
      <c r="G502" t="s">
        <v>49</v>
      </c>
      <c r="H502">
        <v>14</v>
      </c>
      <c r="I502">
        <v>96</v>
      </c>
      <c r="J502">
        <v>9.9917968910802095</v>
      </c>
      <c r="K502" t="b">
        <f t="shared" si="28"/>
        <v>1</v>
      </c>
      <c r="L502">
        <f t="shared" si="29"/>
        <v>359.82354826467787</v>
      </c>
      <c r="M502">
        <f t="shared" si="30"/>
        <v>1439.2941930587115</v>
      </c>
      <c r="N502">
        <f t="shared" si="31"/>
        <v>1758.8175039177454</v>
      </c>
    </row>
    <row r="503" spans="1:14" x14ac:dyDescent="0.35">
      <c r="A503" t="s">
        <v>49</v>
      </c>
      <c r="B503">
        <v>14</v>
      </c>
      <c r="C503" t="s">
        <v>50</v>
      </c>
      <c r="D503">
        <v>97</v>
      </c>
      <c r="E503">
        <v>301.72070252928501</v>
      </c>
      <c r="F503">
        <v>49.499108289600301</v>
      </c>
      <c r="G503" t="s">
        <v>49</v>
      </c>
      <c r="H503">
        <v>14</v>
      </c>
      <c r="I503">
        <v>97</v>
      </c>
      <c r="J503">
        <v>10.0326539149924</v>
      </c>
      <c r="K503" t="b">
        <f t="shared" si="28"/>
        <v>1</v>
      </c>
      <c r="L503">
        <f t="shared" si="29"/>
        <v>361.25246473387773</v>
      </c>
      <c r="M503">
        <f t="shared" si="30"/>
        <v>1445.0098589355109</v>
      </c>
      <c r="N503">
        <f t="shared" si="31"/>
        <v>1765.8020476191944</v>
      </c>
    </row>
    <row r="504" spans="1:14" x14ac:dyDescent="0.35">
      <c r="A504" t="s">
        <v>49</v>
      </c>
      <c r="B504">
        <v>14</v>
      </c>
      <c r="C504" t="s">
        <v>50</v>
      </c>
      <c r="D504">
        <v>98</v>
      </c>
      <c r="E504">
        <v>302.825180880966</v>
      </c>
      <c r="F504">
        <v>49.746006288159997</v>
      </c>
      <c r="G504" t="s">
        <v>49</v>
      </c>
      <c r="H504">
        <v>14</v>
      </c>
      <c r="I504">
        <v>98</v>
      </c>
      <c r="J504">
        <v>10.0724515699943</v>
      </c>
      <c r="K504" t="b">
        <f t="shared" si="28"/>
        <v>1</v>
      </c>
      <c r="L504">
        <f t="shared" si="29"/>
        <v>362.64363873912032</v>
      </c>
      <c r="M504">
        <f t="shared" si="30"/>
        <v>1450.5745549564813</v>
      </c>
      <c r="N504">
        <f t="shared" si="31"/>
        <v>1772.6021061568201</v>
      </c>
    </row>
    <row r="505" spans="1:14" x14ac:dyDescent="0.35">
      <c r="A505" t="s">
        <v>49</v>
      </c>
      <c r="B505">
        <v>14</v>
      </c>
      <c r="C505" t="s">
        <v>50</v>
      </c>
      <c r="D505">
        <v>99</v>
      </c>
      <c r="E505">
        <v>303.90117216336398</v>
      </c>
      <c r="F505">
        <v>49.985751814196597</v>
      </c>
      <c r="G505" t="s">
        <v>49</v>
      </c>
      <c r="H505">
        <v>14</v>
      </c>
      <c r="I505">
        <v>99</v>
      </c>
      <c r="J505">
        <v>10.111218702172501</v>
      </c>
      <c r="K505" t="b">
        <f t="shared" si="28"/>
        <v>1</v>
      </c>
      <c r="L505">
        <f t="shared" si="29"/>
        <v>363.99814267973306</v>
      </c>
      <c r="M505">
        <f t="shared" si="30"/>
        <v>1455.9925707189323</v>
      </c>
      <c r="N505">
        <f t="shared" si="31"/>
        <v>1779.2229214185352</v>
      </c>
    </row>
    <row r="506" spans="1:14" x14ac:dyDescent="0.35">
      <c r="A506" t="s">
        <v>49</v>
      </c>
      <c r="B506">
        <v>14</v>
      </c>
      <c r="C506" t="s">
        <v>50</v>
      </c>
      <c r="D506">
        <v>100</v>
      </c>
      <c r="E506">
        <v>304.94943646376697</v>
      </c>
      <c r="F506">
        <v>50.218596307337698</v>
      </c>
      <c r="G506" t="s">
        <v>49</v>
      </c>
      <c r="H506">
        <v>14</v>
      </c>
      <c r="I506">
        <v>100</v>
      </c>
      <c r="J506">
        <v>10.148983240305</v>
      </c>
      <c r="K506" t="b">
        <f t="shared" si="28"/>
        <v>1</v>
      </c>
      <c r="L506">
        <f t="shared" si="29"/>
        <v>365.31701601140969</v>
      </c>
      <c r="M506">
        <f t="shared" si="30"/>
        <v>1461.2680640456388</v>
      </c>
      <c r="N506">
        <f t="shared" si="31"/>
        <v>1785.6695742637705</v>
      </c>
    </row>
    <row r="507" spans="1:14" x14ac:dyDescent="0.35">
      <c r="A507" t="s">
        <v>49</v>
      </c>
      <c r="B507">
        <v>16</v>
      </c>
      <c r="C507" t="s">
        <v>50</v>
      </c>
      <c r="D507">
        <v>0</v>
      </c>
      <c r="E507">
        <v>0</v>
      </c>
      <c r="F507">
        <v>0</v>
      </c>
      <c r="G507" t="s">
        <v>49</v>
      </c>
      <c r="H507">
        <v>16</v>
      </c>
      <c r="I507">
        <v>0</v>
      </c>
      <c r="J507">
        <v>0</v>
      </c>
      <c r="K507" t="b">
        <f t="shared" si="28"/>
        <v>1</v>
      </c>
      <c r="L507">
        <f t="shared" si="29"/>
        <v>0</v>
      </c>
      <c r="M507">
        <f t="shared" si="30"/>
        <v>0</v>
      </c>
      <c r="N507">
        <f t="shared" si="31"/>
        <v>0</v>
      </c>
    </row>
    <row r="508" spans="1:14" x14ac:dyDescent="0.35">
      <c r="A508" t="s">
        <v>49</v>
      </c>
      <c r="B508">
        <v>16</v>
      </c>
      <c r="C508" t="s">
        <v>50</v>
      </c>
      <c r="D508">
        <v>1</v>
      </c>
      <c r="E508">
        <v>0.15349755336329399</v>
      </c>
      <c r="F508" s="19">
        <v>7.9734849304451995E-4</v>
      </c>
      <c r="G508" t="s">
        <v>49</v>
      </c>
      <c r="H508">
        <v>16</v>
      </c>
      <c r="I508">
        <v>1</v>
      </c>
      <c r="J508">
        <v>1.7364470717601401E-3</v>
      </c>
      <c r="K508" t="b">
        <f t="shared" si="28"/>
        <v>1</v>
      </c>
      <c r="L508">
        <f t="shared" si="29"/>
        <v>0.15603134892809864</v>
      </c>
      <c r="M508">
        <f t="shared" si="30"/>
        <v>0.62412539571239456</v>
      </c>
      <c r="N508">
        <f t="shared" si="31"/>
        <v>0.76268123356054618</v>
      </c>
    </row>
    <row r="509" spans="1:14" x14ac:dyDescent="0.35">
      <c r="A509" t="s">
        <v>49</v>
      </c>
      <c r="B509">
        <v>16</v>
      </c>
      <c r="C509" t="s">
        <v>50</v>
      </c>
      <c r="D509">
        <v>2</v>
      </c>
      <c r="E509">
        <v>0.34536949506741299</v>
      </c>
      <c r="F509">
        <v>2.56746214760337E-3</v>
      </c>
      <c r="G509" t="s">
        <v>49</v>
      </c>
      <c r="H509">
        <v>16</v>
      </c>
      <c r="I509">
        <v>2</v>
      </c>
      <c r="J509">
        <v>4.9990043330694501E-3</v>
      </c>
      <c r="K509" t="b">
        <f t="shared" si="28"/>
        <v>1</v>
      </c>
      <c r="L509">
        <f t="shared" si="29"/>
        <v>0.35293596154808582</v>
      </c>
      <c r="M509">
        <f t="shared" si="30"/>
        <v>1.4117438461923433</v>
      </c>
      <c r="N509">
        <f t="shared" si="31"/>
        <v>1.7251509800470435</v>
      </c>
    </row>
    <row r="510" spans="1:14" x14ac:dyDescent="0.35">
      <c r="A510" t="s">
        <v>49</v>
      </c>
      <c r="B510">
        <v>16</v>
      </c>
      <c r="C510" t="s">
        <v>50</v>
      </c>
      <c r="D510">
        <v>3</v>
      </c>
      <c r="E510">
        <v>0.58520942219756</v>
      </c>
      <c r="F510">
        <v>5.5303294129075203E-3</v>
      </c>
      <c r="G510" t="s">
        <v>49</v>
      </c>
      <c r="H510">
        <v>16</v>
      </c>
      <c r="I510">
        <v>3</v>
      </c>
      <c r="J510">
        <v>9.7798392502820696E-3</v>
      </c>
      <c r="K510" t="b">
        <f t="shared" si="28"/>
        <v>1</v>
      </c>
      <c r="L510">
        <f t="shared" si="29"/>
        <v>0.60051959086074957</v>
      </c>
      <c r="M510">
        <f t="shared" si="30"/>
        <v>2.4020783634429983</v>
      </c>
      <c r="N510">
        <f t="shared" si="31"/>
        <v>2.9353397601273437</v>
      </c>
    </row>
    <row r="511" spans="1:14" x14ac:dyDescent="0.35">
      <c r="A511" t="s">
        <v>49</v>
      </c>
      <c r="B511">
        <v>16</v>
      </c>
      <c r="C511" t="s">
        <v>50</v>
      </c>
      <c r="D511">
        <v>4</v>
      </c>
      <c r="E511">
        <v>0.88500933111024505</v>
      </c>
      <c r="F511">
        <v>9.9616319357301308E-3</v>
      </c>
      <c r="G511" t="s">
        <v>49</v>
      </c>
      <c r="H511">
        <v>16</v>
      </c>
      <c r="I511">
        <v>4</v>
      </c>
      <c r="J511">
        <v>1.6219206293483199E-2</v>
      </c>
      <c r="K511" t="b">
        <f t="shared" si="28"/>
        <v>1</v>
      </c>
      <c r="L511">
        <f t="shared" si="29"/>
        <v>0.9111901693394584</v>
      </c>
      <c r="M511">
        <f t="shared" si="30"/>
        <v>3.6447606773578336</v>
      </c>
      <c r="N511">
        <f t="shared" si="31"/>
        <v>4.4538975477312723</v>
      </c>
    </row>
    <row r="512" spans="1:14" x14ac:dyDescent="0.35">
      <c r="A512" t="s">
        <v>49</v>
      </c>
      <c r="B512">
        <v>16</v>
      </c>
      <c r="C512" t="s">
        <v>50</v>
      </c>
      <c r="D512">
        <v>5</v>
      </c>
      <c r="E512">
        <v>1.2597592172511001</v>
      </c>
      <c r="F512">
        <v>1.6206646977215002E-2</v>
      </c>
      <c r="G512" t="s">
        <v>49</v>
      </c>
      <c r="H512">
        <v>16</v>
      </c>
      <c r="I512">
        <v>5</v>
      </c>
      <c r="J512">
        <v>2.45816587659691E-2</v>
      </c>
      <c r="K512" t="b">
        <f t="shared" si="28"/>
        <v>1</v>
      </c>
      <c r="L512">
        <f t="shared" si="29"/>
        <v>1.3005475229942842</v>
      </c>
      <c r="M512">
        <f t="shared" si="30"/>
        <v>5.2021900919771369</v>
      </c>
      <c r="N512">
        <f t="shared" si="31"/>
        <v>6.3570762923960613</v>
      </c>
    </row>
    <row r="513" spans="1:14" x14ac:dyDescent="0.35">
      <c r="A513" t="s">
        <v>49</v>
      </c>
      <c r="B513">
        <v>16</v>
      </c>
      <c r="C513" t="s">
        <v>50</v>
      </c>
      <c r="D513">
        <v>6</v>
      </c>
      <c r="E513">
        <v>1.7281965749271699</v>
      </c>
      <c r="F513">
        <v>2.46976260603891E-2</v>
      </c>
      <c r="G513" t="s">
        <v>49</v>
      </c>
      <c r="H513">
        <v>16</v>
      </c>
      <c r="I513">
        <v>6</v>
      </c>
      <c r="J513">
        <v>3.5251695011844997E-2</v>
      </c>
      <c r="K513" t="b">
        <f t="shared" si="28"/>
        <v>1</v>
      </c>
      <c r="L513">
        <f t="shared" si="29"/>
        <v>1.7881458959994041</v>
      </c>
      <c r="M513">
        <f t="shared" si="30"/>
        <v>7.1525835839976164</v>
      </c>
      <c r="N513">
        <f t="shared" si="31"/>
        <v>8.7404571396450876</v>
      </c>
    </row>
    <row r="514" spans="1:14" x14ac:dyDescent="0.35">
      <c r="A514" t="s">
        <v>49</v>
      </c>
      <c r="B514">
        <v>16</v>
      </c>
      <c r="C514" t="s">
        <v>50</v>
      </c>
      <c r="D514">
        <v>7</v>
      </c>
      <c r="E514">
        <v>2.3137432720222502</v>
      </c>
      <c r="F514">
        <v>3.59755188872352E-2</v>
      </c>
      <c r="G514" t="s">
        <v>49</v>
      </c>
      <c r="H514">
        <v>16</v>
      </c>
      <c r="I514">
        <v>7</v>
      </c>
      <c r="J514">
        <v>4.8742931030169301E-2</v>
      </c>
      <c r="K514" t="b">
        <f t="shared" si="28"/>
        <v>1</v>
      </c>
      <c r="L514">
        <f t="shared" si="29"/>
        <v>2.3984617219396545</v>
      </c>
      <c r="M514">
        <f t="shared" si="30"/>
        <v>9.5938468877586178</v>
      </c>
      <c r="N514">
        <f t="shared" si="31"/>
        <v>11.723680896841032</v>
      </c>
    </row>
    <row r="515" spans="1:14" x14ac:dyDescent="0.35">
      <c r="A515" t="s">
        <v>49</v>
      </c>
      <c r="B515">
        <v>16</v>
      </c>
      <c r="C515" t="s">
        <v>50</v>
      </c>
      <c r="D515">
        <v>8</v>
      </c>
      <c r="E515">
        <v>3.0456766433911202</v>
      </c>
      <c r="F515">
        <v>5.07171288244848E-2</v>
      </c>
      <c r="G515" t="s">
        <v>49</v>
      </c>
      <c r="H515">
        <v>16</v>
      </c>
      <c r="I515">
        <v>8</v>
      </c>
      <c r="J515">
        <v>6.5718020896709306E-2</v>
      </c>
      <c r="K515" t="b">
        <f t="shared" ref="K515:K578" si="32">H515=B515</f>
        <v>1</v>
      </c>
      <c r="L515">
        <f t="shared" ref="L515:L578" si="33">E515+F515+J515</f>
        <v>3.1621117931123144</v>
      </c>
      <c r="M515">
        <f t="shared" ref="M515:M578" si="34">(L515*2)*(100/50)</f>
        <v>12.648447172449258</v>
      </c>
      <c r="N515">
        <f t="shared" ref="N515:N578" si="35">M515*1.222</f>
        <v>15.456402444732992</v>
      </c>
    </row>
    <row r="516" spans="1:14" x14ac:dyDescent="0.35">
      <c r="A516" t="s">
        <v>49</v>
      </c>
      <c r="B516">
        <v>16</v>
      </c>
      <c r="C516" t="s">
        <v>50</v>
      </c>
      <c r="D516">
        <v>9</v>
      </c>
      <c r="E516">
        <v>3.9605933576021899</v>
      </c>
      <c r="F516">
        <v>6.9769057832628101E-2</v>
      </c>
      <c r="G516" t="s">
        <v>49</v>
      </c>
      <c r="H516">
        <v>16</v>
      </c>
      <c r="I516">
        <v>9</v>
      </c>
      <c r="J516">
        <v>8.7018478526085796E-2</v>
      </c>
      <c r="K516" t="b">
        <f t="shared" si="32"/>
        <v>1</v>
      </c>
      <c r="L516">
        <f t="shared" si="33"/>
        <v>4.1173808939609042</v>
      </c>
      <c r="M516">
        <f t="shared" si="34"/>
        <v>16.469523575843617</v>
      </c>
      <c r="N516">
        <f t="shared" si="35"/>
        <v>20.125757809680898</v>
      </c>
    </row>
    <row r="517" spans="1:14" x14ac:dyDescent="0.35">
      <c r="A517" t="s">
        <v>49</v>
      </c>
      <c r="B517">
        <v>16</v>
      </c>
      <c r="C517" t="s">
        <v>50</v>
      </c>
      <c r="D517">
        <v>10</v>
      </c>
      <c r="E517">
        <v>5.1042392503660396</v>
      </c>
      <c r="F517">
        <v>9.4190138181791103E-2</v>
      </c>
      <c r="G517" t="s">
        <v>49</v>
      </c>
      <c r="H517">
        <v>16</v>
      </c>
      <c r="I517">
        <v>10</v>
      </c>
      <c r="J517">
        <v>0.113704842566498</v>
      </c>
      <c r="K517" t="b">
        <f t="shared" si="32"/>
        <v>1</v>
      </c>
      <c r="L517">
        <f t="shared" si="33"/>
        <v>5.312134231114328</v>
      </c>
      <c r="M517">
        <f t="shared" si="34"/>
        <v>21.248536924457312</v>
      </c>
      <c r="N517">
        <f t="shared" si="35"/>
        <v>25.965712121686835</v>
      </c>
    </row>
    <row r="518" spans="1:14" x14ac:dyDescent="0.35">
      <c r="A518" t="s">
        <v>49</v>
      </c>
      <c r="B518">
        <v>16</v>
      </c>
      <c r="C518" t="s">
        <v>50</v>
      </c>
      <c r="D518">
        <v>11</v>
      </c>
      <c r="E518">
        <v>6.5337966163208403</v>
      </c>
      <c r="F518">
        <v>0.12530447263455899</v>
      </c>
      <c r="G518" t="s">
        <v>49</v>
      </c>
      <c r="H518">
        <v>16</v>
      </c>
      <c r="I518">
        <v>11</v>
      </c>
      <c r="J518">
        <v>0.147108594605598</v>
      </c>
      <c r="K518" t="b">
        <f t="shared" si="32"/>
        <v>1</v>
      </c>
      <c r="L518">
        <f t="shared" si="33"/>
        <v>6.8062096835609971</v>
      </c>
      <c r="M518">
        <f t="shared" si="34"/>
        <v>27.224838734243988</v>
      </c>
      <c r="N518">
        <f t="shared" si="35"/>
        <v>33.268752933246155</v>
      </c>
    </row>
    <row r="519" spans="1:14" x14ac:dyDescent="0.35">
      <c r="A519" t="s">
        <v>49</v>
      </c>
      <c r="B519">
        <v>16</v>
      </c>
      <c r="C519" t="s">
        <v>50</v>
      </c>
      <c r="D519">
        <v>12</v>
      </c>
      <c r="E519">
        <v>8.3207433237643507</v>
      </c>
      <c r="F519">
        <v>0.164767735196344</v>
      </c>
      <c r="G519" t="s">
        <v>49</v>
      </c>
      <c r="H519">
        <v>16</v>
      </c>
      <c r="I519">
        <v>12</v>
      </c>
      <c r="J519">
        <v>0.18889808533507901</v>
      </c>
      <c r="K519" t="b">
        <f t="shared" si="32"/>
        <v>1</v>
      </c>
      <c r="L519">
        <f t="shared" si="33"/>
        <v>8.6744091442957743</v>
      </c>
      <c r="M519">
        <f t="shared" si="34"/>
        <v>34.697636577183097</v>
      </c>
      <c r="N519">
        <f t="shared" si="35"/>
        <v>42.400511897317742</v>
      </c>
    </row>
    <row r="520" spans="1:14" x14ac:dyDescent="0.35">
      <c r="A520" t="s">
        <v>49</v>
      </c>
      <c r="B520">
        <v>16</v>
      </c>
      <c r="C520" t="s">
        <v>50</v>
      </c>
      <c r="D520">
        <v>13</v>
      </c>
      <c r="E520">
        <v>10.5544267080687</v>
      </c>
      <c r="F520">
        <v>0.21465004755952599</v>
      </c>
      <c r="G520" t="s">
        <v>49</v>
      </c>
      <c r="H520">
        <v>16</v>
      </c>
      <c r="I520">
        <v>13</v>
      </c>
      <c r="J520">
        <v>0.241161569955926</v>
      </c>
      <c r="K520" t="b">
        <f t="shared" si="32"/>
        <v>1</v>
      </c>
      <c r="L520">
        <f t="shared" si="33"/>
        <v>11.010238325584153</v>
      </c>
      <c r="M520">
        <f t="shared" si="34"/>
        <v>44.040953302336611</v>
      </c>
      <c r="N520">
        <f t="shared" si="35"/>
        <v>53.81804493545534</v>
      </c>
    </row>
    <row r="521" spans="1:14" x14ac:dyDescent="0.35">
      <c r="A521" t="s">
        <v>49</v>
      </c>
      <c r="B521">
        <v>16</v>
      </c>
      <c r="C521" t="s">
        <v>50</v>
      </c>
      <c r="D521">
        <v>14</v>
      </c>
      <c r="E521">
        <v>13.346530938449201</v>
      </c>
      <c r="F521">
        <v>0.27753957514962402</v>
      </c>
      <c r="G521" t="s">
        <v>49</v>
      </c>
      <c r="H521">
        <v>16</v>
      </c>
      <c r="I521">
        <v>14</v>
      </c>
      <c r="J521">
        <v>0.306511392908485</v>
      </c>
      <c r="K521" t="b">
        <f t="shared" si="32"/>
        <v>1</v>
      </c>
      <c r="L521">
        <f t="shared" si="33"/>
        <v>13.93058190650731</v>
      </c>
      <c r="M521">
        <f t="shared" si="34"/>
        <v>55.722327626029241</v>
      </c>
      <c r="N521">
        <f t="shared" si="35"/>
        <v>68.092684359007734</v>
      </c>
    </row>
    <row r="522" spans="1:14" x14ac:dyDescent="0.35">
      <c r="A522" t="s">
        <v>49</v>
      </c>
      <c r="B522">
        <v>16</v>
      </c>
      <c r="C522" t="s">
        <v>50</v>
      </c>
      <c r="D522">
        <v>15</v>
      </c>
      <c r="E522">
        <v>16.836661226424798</v>
      </c>
      <c r="F522">
        <v>0.35667202265928499</v>
      </c>
      <c r="G522" t="s">
        <v>49</v>
      </c>
      <c r="H522">
        <v>16</v>
      </c>
      <c r="I522">
        <v>15</v>
      </c>
      <c r="J522">
        <v>0.388214467024663</v>
      </c>
      <c r="K522" t="b">
        <f t="shared" si="32"/>
        <v>1</v>
      </c>
      <c r="L522">
        <f t="shared" si="33"/>
        <v>17.581547716108748</v>
      </c>
      <c r="M522">
        <f t="shared" si="34"/>
        <v>70.326190864434992</v>
      </c>
      <c r="N522">
        <f t="shared" si="35"/>
        <v>85.938605236339555</v>
      </c>
    </row>
    <row r="523" spans="1:14" x14ac:dyDescent="0.35">
      <c r="A523" t="s">
        <v>49</v>
      </c>
      <c r="B523">
        <v>16</v>
      </c>
      <c r="C523" t="s">
        <v>50</v>
      </c>
      <c r="D523">
        <v>16</v>
      </c>
      <c r="E523">
        <v>21.19689</v>
      </c>
      <c r="F523">
        <v>0.45607985997950701</v>
      </c>
      <c r="G523" t="s">
        <v>49</v>
      </c>
      <c r="H523">
        <v>16</v>
      </c>
      <c r="I523">
        <v>16</v>
      </c>
      <c r="J523">
        <v>0.49032799838943603</v>
      </c>
      <c r="K523" t="b">
        <f t="shared" si="32"/>
        <v>1</v>
      </c>
      <c r="L523">
        <f t="shared" si="33"/>
        <v>22.143297858368943</v>
      </c>
      <c r="M523">
        <f t="shared" si="34"/>
        <v>88.57319143347577</v>
      </c>
      <c r="N523">
        <f t="shared" si="35"/>
        <v>108.23643993170739</v>
      </c>
    </row>
    <row r="524" spans="1:14" x14ac:dyDescent="0.35">
      <c r="A524" t="s">
        <v>49</v>
      </c>
      <c r="B524">
        <v>16</v>
      </c>
      <c r="C524" t="s">
        <v>50</v>
      </c>
      <c r="D524">
        <v>17</v>
      </c>
      <c r="E524">
        <v>25.991855999999999</v>
      </c>
      <c r="F524">
        <v>0.57741308338012198</v>
      </c>
      <c r="G524" t="s">
        <v>49</v>
      </c>
      <c r="H524">
        <v>16</v>
      </c>
      <c r="I524">
        <v>17</v>
      </c>
      <c r="J524">
        <v>0.61054874398581005</v>
      </c>
      <c r="K524" t="b">
        <f t="shared" si="32"/>
        <v>1</v>
      </c>
      <c r="L524">
        <f t="shared" si="33"/>
        <v>27.17981782736593</v>
      </c>
      <c r="M524">
        <f t="shared" si="34"/>
        <v>108.71927130946372</v>
      </c>
      <c r="N524">
        <f t="shared" si="35"/>
        <v>132.85494954016465</v>
      </c>
    </row>
    <row r="525" spans="1:14" x14ac:dyDescent="0.35">
      <c r="A525" t="s">
        <v>49</v>
      </c>
      <c r="B525">
        <v>16</v>
      </c>
      <c r="C525" t="s">
        <v>50</v>
      </c>
      <c r="D525">
        <v>18</v>
      </c>
      <c r="E525">
        <v>30.786822000000001</v>
      </c>
      <c r="F525">
        <v>0.72001393127871804</v>
      </c>
      <c r="G525" t="s">
        <v>49</v>
      </c>
      <c r="H525">
        <v>16</v>
      </c>
      <c r="I525">
        <v>18</v>
      </c>
      <c r="J525">
        <v>0.74259806952241403</v>
      </c>
      <c r="K525" t="b">
        <f t="shared" si="32"/>
        <v>1</v>
      </c>
      <c r="L525">
        <f t="shared" si="33"/>
        <v>32.249434000801131</v>
      </c>
      <c r="M525">
        <f t="shared" si="34"/>
        <v>128.99773600320452</v>
      </c>
      <c r="N525">
        <f t="shared" si="35"/>
        <v>157.63523339591592</v>
      </c>
    </row>
    <row r="526" spans="1:14" x14ac:dyDescent="0.35">
      <c r="A526" t="s">
        <v>49</v>
      </c>
      <c r="B526">
        <v>16</v>
      </c>
      <c r="C526" t="s">
        <v>50</v>
      </c>
      <c r="D526">
        <v>19</v>
      </c>
      <c r="E526">
        <v>35.581788000000003</v>
      </c>
      <c r="F526">
        <v>0.88324437494035601</v>
      </c>
      <c r="G526" t="s">
        <v>49</v>
      </c>
      <c r="H526">
        <v>16</v>
      </c>
      <c r="I526">
        <v>19</v>
      </c>
      <c r="J526">
        <v>0.882569575719375</v>
      </c>
      <c r="K526" t="b">
        <f t="shared" si="32"/>
        <v>1</v>
      </c>
      <c r="L526">
        <f t="shared" si="33"/>
        <v>37.34760195065973</v>
      </c>
      <c r="M526">
        <f t="shared" si="34"/>
        <v>149.39040780263892</v>
      </c>
      <c r="N526">
        <f t="shared" si="35"/>
        <v>182.55507833482474</v>
      </c>
    </row>
    <row r="527" spans="1:14" x14ac:dyDescent="0.35">
      <c r="A527" t="s">
        <v>49</v>
      </c>
      <c r="B527">
        <v>16</v>
      </c>
      <c r="C527" t="s">
        <v>50</v>
      </c>
      <c r="D527">
        <v>20</v>
      </c>
      <c r="E527">
        <v>40.376753999999998</v>
      </c>
      <c r="F527">
        <v>1.06648552649215</v>
      </c>
      <c r="G527" t="s">
        <v>49</v>
      </c>
      <c r="H527">
        <v>16</v>
      </c>
      <c r="I527">
        <v>20</v>
      </c>
      <c r="J527">
        <v>1.0279793491231799</v>
      </c>
      <c r="K527" t="b">
        <f t="shared" si="32"/>
        <v>1</v>
      </c>
      <c r="L527">
        <f t="shared" si="33"/>
        <v>42.471218875615328</v>
      </c>
      <c r="M527">
        <f t="shared" si="34"/>
        <v>169.88487550246131</v>
      </c>
      <c r="N527">
        <f t="shared" si="35"/>
        <v>207.59931786400773</v>
      </c>
    </row>
    <row r="528" spans="1:14" x14ac:dyDescent="0.35">
      <c r="A528" t="s">
        <v>49</v>
      </c>
      <c r="B528">
        <v>16</v>
      </c>
      <c r="C528" t="s">
        <v>50</v>
      </c>
      <c r="D528">
        <v>21</v>
      </c>
      <c r="E528">
        <v>45.171720000000001</v>
      </c>
      <c r="F528">
        <v>1.2691370646973801</v>
      </c>
      <c r="G528" t="s">
        <v>49</v>
      </c>
      <c r="H528">
        <v>16</v>
      </c>
      <c r="I528">
        <v>21</v>
      </c>
      <c r="J528">
        <v>1.17720989431838</v>
      </c>
      <c r="K528" t="b">
        <f t="shared" si="32"/>
        <v>1</v>
      </c>
      <c r="L528">
        <f t="shared" si="33"/>
        <v>47.618066959015763</v>
      </c>
      <c r="M528">
        <f t="shared" si="34"/>
        <v>190.47226783606305</v>
      </c>
      <c r="N528">
        <f t="shared" si="35"/>
        <v>232.75711129566903</v>
      </c>
    </row>
    <row r="529" spans="1:14" x14ac:dyDescent="0.35">
      <c r="A529" t="s">
        <v>49</v>
      </c>
      <c r="B529">
        <v>16</v>
      </c>
      <c r="C529" t="s">
        <v>50</v>
      </c>
      <c r="D529">
        <v>22</v>
      </c>
      <c r="E529">
        <v>51.379812000000001</v>
      </c>
      <c r="F529">
        <v>1.4979572111564601</v>
      </c>
      <c r="G529" t="s">
        <v>49</v>
      </c>
      <c r="H529">
        <v>16</v>
      </c>
      <c r="I529">
        <v>22</v>
      </c>
      <c r="J529">
        <v>1.34516741678559</v>
      </c>
      <c r="K529" t="b">
        <f t="shared" si="32"/>
        <v>1</v>
      </c>
      <c r="L529">
        <f t="shared" si="33"/>
        <v>54.222936627942055</v>
      </c>
      <c r="M529">
        <f t="shared" si="34"/>
        <v>216.89174651176822</v>
      </c>
      <c r="N529">
        <f t="shared" si="35"/>
        <v>265.04171423738075</v>
      </c>
    </row>
    <row r="530" spans="1:14" x14ac:dyDescent="0.35">
      <c r="A530" t="s">
        <v>49</v>
      </c>
      <c r="B530">
        <v>16</v>
      </c>
      <c r="C530" t="s">
        <v>50</v>
      </c>
      <c r="D530">
        <v>23</v>
      </c>
      <c r="E530">
        <v>57.587904000000002</v>
      </c>
      <c r="F530">
        <v>1.7521609076217699</v>
      </c>
      <c r="G530" t="s">
        <v>49</v>
      </c>
      <c r="H530">
        <v>16</v>
      </c>
      <c r="I530">
        <v>23</v>
      </c>
      <c r="J530">
        <v>1.5251800423268</v>
      </c>
      <c r="K530" t="b">
        <f t="shared" si="32"/>
        <v>1</v>
      </c>
      <c r="L530">
        <f t="shared" si="33"/>
        <v>60.865244949948575</v>
      </c>
      <c r="M530">
        <f t="shared" si="34"/>
        <v>243.4609797997943</v>
      </c>
      <c r="N530">
        <f t="shared" si="35"/>
        <v>297.50931731534865</v>
      </c>
    </row>
    <row r="531" spans="1:14" x14ac:dyDescent="0.35">
      <c r="A531" t="s">
        <v>49</v>
      </c>
      <c r="B531">
        <v>16</v>
      </c>
      <c r="C531" t="s">
        <v>50</v>
      </c>
      <c r="D531">
        <v>24</v>
      </c>
      <c r="E531">
        <v>63.795995999999903</v>
      </c>
      <c r="F531">
        <v>2.0309866475931102</v>
      </c>
      <c r="G531" t="s">
        <v>49</v>
      </c>
      <c r="H531">
        <v>16</v>
      </c>
      <c r="I531">
        <v>24</v>
      </c>
      <c r="J531">
        <v>1.7131455631408901</v>
      </c>
      <c r="K531" t="b">
        <f t="shared" si="32"/>
        <v>1</v>
      </c>
      <c r="L531">
        <f t="shared" si="33"/>
        <v>67.540128210733897</v>
      </c>
      <c r="M531">
        <f t="shared" si="34"/>
        <v>270.16051284293559</v>
      </c>
      <c r="N531">
        <f t="shared" si="35"/>
        <v>330.13614669406729</v>
      </c>
    </row>
    <row r="532" spans="1:14" x14ac:dyDescent="0.35">
      <c r="A532" t="s">
        <v>49</v>
      </c>
      <c r="B532">
        <v>16</v>
      </c>
      <c r="C532" t="s">
        <v>50</v>
      </c>
      <c r="D532">
        <v>25</v>
      </c>
      <c r="E532">
        <v>70.004087999999996</v>
      </c>
      <c r="F532">
        <v>2.33369576976532</v>
      </c>
      <c r="G532" t="s">
        <v>49</v>
      </c>
      <c r="H532">
        <v>16</v>
      </c>
      <c r="I532">
        <v>25</v>
      </c>
      <c r="J532">
        <v>1.9064903622643501</v>
      </c>
      <c r="K532" t="b">
        <f t="shared" si="32"/>
        <v>1</v>
      </c>
      <c r="L532">
        <f t="shared" si="33"/>
        <v>74.244274132029659</v>
      </c>
      <c r="M532">
        <f t="shared" si="34"/>
        <v>296.97709652811864</v>
      </c>
      <c r="N532">
        <f t="shared" si="35"/>
        <v>362.90601195736099</v>
      </c>
    </row>
    <row r="533" spans="1:14" x14ac:dyDescent="0.35">
      <c r="A533" t="s">
        <v>49</v>
      </c>
      <c r="B533">
        <v>16</v>
      </c>
      <c r="C533" t="s">
        <v>50</v>
      </c>
      <c r="D533">
        <v>26</v>
      </c>
      <c r="E533">
        <v>76.212180000000004</v>
      </c>
      <c r="F533">
        <v>2.65957177267236</v>
      </c>
      <c r="G533" t="s">
        <v>49</v>
      </c>
      <c r="H533">
        <v>16</v>
      </c>
      <c r="I533">
        <v>26</v>
      </c>
      <c r="J533">
        <v>2.1035627893726399</v>
      </c>
      <c r="K533" t="b">
        <f t="shared" si="32"/>
        <v>1</v>
      </c>
      <c r="L533">
        <f t="shared" si="33"/>
        <v>80.975314562045014</v>
      </c>
      <c r="M533">
        <f t="shared" si="34"/>
        <v>323.90125824818006</v>
      </c>
      <c r="N533">
        <f t="shared" si="35"/>
        <v>395.80733757927601</v>
      </c>
    </row>
    <row r="534" spans="1:14" x14ac:dyDescent="0.35">
      <c r="A534" t="s">
        <v>49</v>
      </c>
      <c r="B534">
        <v>16</v>
      </c>
      <c r="C534" t="s">
        <v>50</v>
      </c>
      <c r="D534">
        <v>27</v>
      </c>
      <c r="E534">
        <v>83.386511999999996</v>
      </c>
      <c r="F534">
        <v>3.0129388178921901</v>
      </c>
      <c r="G534" t="s">
        <v>49</v>
      </c>
      <c r="H534">
        <v>16</v>
      </c>
      <c r="I534">
        <v>27</v>
      </c>
      <c r="J534">
        <v>2.3142073442218201</v>
      </c>
      <c r="K534" t="b">
        <f t="shared" si="32"/>
        <v>1</v>
      </c>
      <c r="L534">
        <f t="shared" si="33"/>
        <v>88.713658162114001</v>
      </c>
      <c r="M534">
        <f t="shared" si="34"/>
        <v>354.854632648456</v>
      </c>
      <c r="N534">
        <f t="shared" si="35"/>
        <v>433.63236109641321</v>
      </c>
    </row>
    <row r="535" spans="1:14" x14ac:dyDescent="0.35">
      <c r="A535" t="s">
        <v>49</v>
      </c>
      <c r="B535">
        <v>16</v>
      </c>
      <c r="C535" t="s">
        <v>50</v>
      </c>
      <c r="D535">
        <v>28</v>
      </c>
      <c r="E535">
        <v>90.560844000000003</v>
      </c>
      <c r="F535">
        <v>3.3929721741554202</v>
      </c>
      <c r="G535" t="s">
        <v>49</v>
      </c>
      <c r="H535">
        <v>16</v>
      </c>
      <c r="I535">
        <v>28</v>
      </c>
      <c r="J535">
        <v>2.5336350291703802</v>
      </c>
      <c r="K535" t="b">
        <f t="shared" si="32"/>
        <v>1</v>
      </c>
      <c r="L535">
        <f t="shared" si="33"/>
        <v>96.487451203325804</v>
      </c>
      <c r="M535">
        <f t="shared" si="34"/>
        <v>385.94980481330322</v>
      </c>
      <c r="N535">
        <f t="shared" si="35"/>
        <v>471.63066148185652</v>
      </c>
    </row>
    <row r="536" spans="1:14" x14ac:dyDescent="0.35">
      <c r="A536" t="s">
        <v>49</v>
      </c>
      <c r="B536">
        <v>16</v>
      </c>
      <c r="C536" t="s">
        <v>50</v>
      </c>
      <c r="D536">
        <v>29</v>
      </c>
      <c r="E536">
        <v>97.735175999999996</v>
      </c>
      <c r="F536">
        <v>3.7988718521307598</v>
      </c>
      <c r="G536" t="s">
        <v>49</v>
      </c>
      <c r="H536">
        <v>16</v>
      </c>
      <c r="I536">
        <v>29</v>
      </c>
      <c r="J536">
        <v>2.7588889656203501</v>
      </c>
      <c r="K536" t="b">
        <f t="shared" si="32"/>
        <v>1</v>
      </c>
      <c r="L536">
        <f t="shared" si="33"/>
        <v>104.2929368177511</v>
      </c>
      <c r="M536">
        <f t="shared" si="34"/>
        <v>417.17174727100439</v>
      </c>
      <c r="N536">
        <f t="shared" si="35"/>
        <v>509.78387516516733</v>
      </c>
    </row>
    <row r="537" spans="1:14" x14ac:dyDescent="0.35">
      <c r="A537" t="s">
        <v>49</v>
      </c>
      <c r="B537">
        <v>16</v>
      </c>
      <c r="C537" t="s">
        <v>50</v>
      </c>
      <c r="D537">
        <v>30</v>
      </c>
      <c r="E537">
        <v>104.909508</v>
      </c>
      <c r="F537">
        <v>4.2298618621668398</v>
      </c>
      <c r="G537" t="s">
        <v>49</v>
      </c>
      <c r="H537">
        <v>16</v>
      </c>
      <c r="I537">
        <v>30</v>
      </c>
      <c r="J537">
        <v>2.9881051767985101</v>
      </c>
      <c r="K537" t="b">
        <f t="shared" si="32"/>
        <v>1</v>
      </c>
      <c r="L537">
        <f t="shared" si="33"/>
        <v>112.12747503896536</v>
      </c>
      <c r="M537">
        <f t="shared" si="34"/>
        <v>448.50990015586143</v>
      </c>
      <c r="N537">
        <f t="shared" si="35"/>
        <v>548.07909799046263</v>
      </c>
    </row>
    <row r="538" spans="1:14" x14ac:dyDescent="0.35">
      <c r="A538" t="s">
        <v>49</v>
      </c>
      <c r="B538">
        <v>16</v>
      </c>
      <c r="C538" t="s">
        <v>50</v>
      </c>
      <c r="D538">
        <v>31</v>
      </c>
      <c r="E538">
        <v>112.08384</v>
      </c>
      <c r="F538">
        <v>4.68518949430183</v>
      </c>
      <c r="G538" t="s">
        <v>49</v>
      </c>
      <c r="H538">
        <v>16</v>
      </c>
      <c r="I538">
        <v>31</v>
      </c>
      <c r="J538">
        <v>3.2200811386883399</v>
      </c>
      <c r="K538" t="b">
        <f t="shared" si="32"/>
        <v>1</v>
      </c>
      <c r="L538">
        <f t="shared" si="33"/>
        <v>119.98911063299016</v>
      </c>
      <c r="M538">
        <f t="shared" si="34"/>
        <v>479.95644253196065</v>
      </c>
      <c r="N538">
        <f t="shared" si="35"/>
        <v>586.50677277405589</v>
      </c>
    </row>
    <row r="539" spans="1:14" x14ac:dyDescent="0.35">
      <c r="A539" t="s">
        <v>49</v>
      </c>
      <c r="B539">
        <v>16</v>
      </c>
      <c r="C539" t="s">
        <v>50</v>
      </c>
      <c r="D539">
        <v>32</v>
      </c>
      <c r="E539">
        <v>119.36359321841699</v>
      </c>
      <c r="F539">
        <v>5.3108005514311696</v>
      </c>
      <c r="G539" t="s">
        <v>49</v>
      </c>
      <c r="H539">
        <v>16</v>
      </c>
      <c r="I539">
        <v>32</v>
      </c>
      <c r="J539">
        <v>3.4552143043321299</v>
      </c>
      <c r="K539" t="b">
        <f t="shared" si="32"/>
        <v>1</v>
      </c>
      <c r="L539">
        <f t="shared" si="33"/>
        <v>128.12960807418028</v>
      </c>
      <c r="M539">
        <f t="shared" si="34"/>
        <v>512.51843229672113</v>
      </c>
      <c r="N539">
        <f t="shared" si="35"/>
        <v>626.2975242665932</v>
      </c>
    </row>
    <row r="540" spans="1:14" x14ac:dyDescent="0.35">
      <c r="A540" t="s">
        <v>49</v>
      </c>
      <c r="B540">
        <v>16</v>
      </c>
      <c r="C540" t="s">
        <v>50</v>
      </c>
      <c r="D540">
        <v>33</v>
      </c>
      <c r="E540">
        <v>126.31295435227899</v>
      </c>
      <c r="F540">
        <v>6.2421067995850299</v>
      </c>
      <c r="G540" t="s">
        <v>49</v>
      </c>
      <c r="H540">
        <v>16</v>
      </c>
      <c r="I540">
        <v>33</v>
      </c>
      <c r="J540">
        <v>3.6887854623524601</v>
      </c>
      <c r="K540" t="b">
        <f t="shared" si="32"/>
        <v>1</v>
      </c>
      <c r="L540">
        <f t="shared" si="33"/>
        <v>136.24384661421647</v>
      </c>
      <c r="M540">
        <f t="shared" si="34"/>
        <v>544.97538645686586</v>
      </c>
      <c r="N540">
        <f t="shared" si="35"/>
        <v>665.95992225029011</v>
      </c>
    </row>
    <row r="541" spans="1:14" x14ac:dyDescent="0.35">
      <c r="A541" t="s">
        <v>49</v>
      </c>
      <c r="B541">
        <v>16</v>
      </c>
      <c r="C541" t="s">
        <v>50</v>
      </c>
      <c r="D541">
        <v>34</v>
      </c>
      <c r="E541">
        <v>133.03087416698699</v>
      </c>
      <c r="F541">
        <v>7.37813784277078</v>
      </c>
      <c r="G541" t="s">
        <v>49</v>
      </c>
      <c r="H541">
        <v>16</v>
      </c>
      <c r="I541">
        <v>34</v>
      </c>
      <c r="J541">
        <v>3.9189218153179102</v>
      </c>
      <c r="K541" t="b">
        <f t="shared" si="32"/>
        <v>1</v>
      </c>
      <c r="L541">
        <f t="shared" si="33"/>
        <v>144.32793382507566</v>
      </c>
      <c r="M541">
        <f t="shared" si="34"/>
        <v>577.31173530030264</v>
      </c>
      <c r="N541">
        <f t="shared" si="35"/>
        <v>705.47494053696983</v>
      </c>
    </row>
    <row r="542" spans="1:14" x14ac:dyDescent="0.35">
      <c r="A542" t="s">
        <v>49</v>
      </c>
      <c r="B542">
        <v>16</v>
      </c>
      <c r="C542" t="s">
        <v>50</v>
      </c>
      <c r="D542">
        <v>35</v>
      </c>
      <c r="E542">
        <v>139.573787135381</v>
      </c>
      <c r="F542">
        <v>8.6599032449584001</v>
      </c>
      <c r="G542" t="s">
        <v>49</v>
      </c>
      <c r="H542">
        <v>16</v>
      </c>
      <c r="I542">
        <v>35</v>
      </c>
      <c r="J542">
        <v>4.1450232228369197</v>
      </c>
      <c r="K542" t="b">
        <f t="shared" si="32"/>
        <v>1</v>
      </c>
      <c r="L542">
        <f t="shared" si="33"/>
        <v>152.37871360317632</v>
      </c>
      <c r="M542">
        <f t="shared" si="34"/>
        <v>609.51485441270529</v>
      </c>
      <c r="N542">
        <f t="shared" si="35"/>
        <v>744.82715209232583</v>
      </c>
    </row>
    <row r="543" spans="1:14" x14ac:dyDescent="0.35">
      <c r="A543" t="s">
        <v>49</v>
      </c>
      <c r="B543">
        <v>16</v>
      </c>
      <c r="C543" t="s">
        <v>50</v>
      </c>
      <c r="D543">
        <v>36</v>
      </c>
      <c r="E543">
        <v>145.974424024727</v>
      </c>
      <c r="F543">
        <v>10.0519346892833</v>
      </c>
      <c r="G543" t="s">
        <v>49</v>
      </c>
      <c r="H543">
        <v>16</v>
      </c>
      <c r="I543">
        <v>36</v>
      </c>
      <c r="J543">
        <v>4.3670216334132599</v>
      </c>
      <c r="K543" t="b">
        <f t="shared" si="32"/>
        <v>1</v>
      </c>
      <c r="L543">
        <f t="shared" si="33"/>
        <v>160.39338034742357</v>
      </c>
      <c r="M543">
        <f t="shared" si="34"/>
        <v>641.57352138969429</v>
      </c>
      <c r="N543">
        <f t="shared" si="35"/>
        <v>784.00284313820646</v>
      </c>
    </row>
    <row r="544" spans="1:14" x14ac:dyDescent="0.35">
      <c r="A544" t="s">
        <v>49</v>
      </c>
      <c r="B544">
        <v>16</v>
      </c>
      <c r="C544" t="s">
        <v>50</v>
      </c>
      <c r="D544">
        <v>37</v>
      </c>
      <c r="E544">
        <v>152.04230506208199</v>
      </c>
      <c r="F544">
        <v>11.407671731607101</v>
      </c>
      <c r="G544" t="s">
        <v>49</v>
      </c>
      <c r="H544">
        <v>16</v>
      </c>
      <c r="I544">
        <v>37</v>
      </c>
      <c r="J544">
        <v>4.58267012565548</v>
      </c>
      <c r="K544" t="b">
        <f t="shared" si="32"/>
        <v>1</v>
      </c>
      <c r="L544">
        <f t="shared" si="33"/>
        <v>168.03264691934459</v>
      </c>
      <c r="M544">
        <f t="shared" si="34"/>
        <v>672.13058767737834</v>
      </c>
      <c r="N544">
        <f t="shared" si="35"/>
        <v>821.34357814175632</v>
      </c>
    </row>
    <row r="545" spans="1:14" x14ac:dyDescent="0.35">
      <c r="A545" t="s">
        <v>49</v>
      </c>
      <c r="B545">
        <v>16</v>
      </c>
      <c r="C545" t="s">
        <v>50</v>
      </c>
      <c r="D545">
        <v>38</v>
      </c>
      <c r="E545">
        <v>158.09417316501299</v>
      </c>
      <c r="F545">
        <v>12.7582907137435</v>
      </c>
      <c r="G545" t="s">
        <v>49</v>
      </c>
      <c r="H545">
        <v>16</v>
      </c>
      <c r="I545">
        <v>38</v>
      </c>
      <c r="J545">
        <v>4.7941027464976997</v>
      </c>
      <c r="K545" t="b">
        <f t="shared" si="32"/>
        <v>1</v>
      </c>
      <c r="L545">
        <f t="shared" si="33"/>
        <v>175.6465666252542</v>
      </c>
      <c r="M545">
        <f t="shared" si="34"/>
        <v>702.58626650101678</v>
      </c>
      <c r="N545">
        <f t="shared" si="35"/>
        <v>858.56041766424244</v>
      </c>
    </row>
    <row r="546" spans="1:14" x14ac:dyDescent="0.35">
      <c r="A546" t="s">
        <v>49</v>
      </c>
      <c r="B546">
        <v>16</v>
      </c>
      <c r="C546" t="s">
        <v>50</v>
      </c>
      <c r="D546">
        <v>39</v>
      </c>
      <c r="E546">
        <v>164.10926251240801</v>
      </c>
      <c r="F546">
        <v>14.1223037317967</v>
      </c>
      <c r="G546" t="s">
        <v>49</v>
      </c>
      <c r="H546">
        <v>16</v>
      </c>
      <c r="I546">
        <v>39</v>
      </c>
      <c r="J546">
        <v>5.0023800577215303</v>
      </c>
      <c r="K546" t="b">
        <f t="shared" si="32"/>
        <v>1</v>
      </c>
      <c r="L546">
        <f t="shared" si="33"/>
        <v>183.23394630192624</v>
      </c>
      <c r="M546">
        <f t="shared" si="34"/>
        <v>732.93578520770495</v>
      </c>
      <c r="N546">
        <f t="shared" si="35"/>
        <v>895.64752952381548</v>
      </c>
    </row>
    <row r="547" spans="1:14" x14ac:dyDescent="0.35">
      <c r="A547" t="s">
        <v>49</v>
      </c>
      <c r="B547">
        <v>16</v>
      </c>
      <c r="C547" t="s">
        <v>50</v>
      </c>
      <c r="D547">
        <v>40</v>
      </c>
      <c r="E547">
        <v>170.07471894395201</v>
      </c>
      <c r="F547">
        <v>15.510398743721399</v>
      </c>
      <c r="G547" t="s">
        <v>49</v>
      </c>
      <c r="H547">
        <v>16</v>
      </c>
      <c r="I547">
        <v>40</v>
      </c>
      <c r="J547">
        <v>5.2080096648143996</v>
      </c>
      <c r="K547" t="b">
        <f t="shared" si="32"/>
        <v>1</v>
      </c>
      <c r="L547">
        <f t="shared" si="33"/>
        <v>190.7931273524878</v>
      </c>
      <c r="M547">
        <f t="shared" si="34"/>
        <v>763.1725094099512</v>
      </c>
      <c r="N547">
        <f t="shared" si="35"/>
        <v>932.5968064989604</v>
      </c>
    </row>
    <row r="548" spans="1:14" x14ac:dyDescent="0.35">
      <c r="A548" t="s">
        <v>49</v>
      </c>
      <c r="B548">
        <v>16</v>
      </c>
      <c r="C548" t="s">
        <v>50</v>
      </c>
      <c r="D548">
        <v>41</v>
      </c>
      <c r="E548">
        <v>175.982540079009</v>
      </c>
      <c r="F548">
        <v>16.928490061460199</v>
      </c>
      <c r="G548" t="s">
        <v>49</v>
      </c>
      <c r="H548">
        <v>16</v>
      </c>
      <c r="I548">
        <v>41</v>
      </c>
      <c r="J548">
        <v>5.4112199526675804</v>
      </c>
      <c r="K548" t="b">
        <f t="shared" si="32"/>
        <v>1</v>
      </c>
      <c r="L548">
        <f t="shared" si="33"/>
        <v>198.32225009313677</v>
      </c>
      <c r="M548">
        <f t="shared" si="34"/>
        <v>793.28900037254709</v>
      </c>
      <c r="N548">
        <f t="shared" si="35"/>
        <v>969.39915845525252</v>
      </c>
    </row>
    <row r="549" spans="1:14" x14ac:dyDescent="0.35">
      <c r="A549" t="s">
        <v>49</v>
      </c>
      <c r="B549">
        <v>16</v>
      </c>
      <c r="C549" t="s">
        <v>50</v>
      </c>
      <c r="D549">
        <v>42</v>
      </c>
      <c r="E549">
        <v>181.29712535725901</v>
      </c>
      <c r="F549">
        <v>18.2540533387448</v>
      </c>
      <c r="G549" t="s">
        <v>49</v>
      </c>
      <c r="H549">
        <v>16</v>
      </c>
      <c r="I549">
        <v>42</v>
      </c>
      <c r="J549">
        <v>5.6060999756031</v>
      </c>
      <c r="K549" t="b">
        <f t="shared" si="32"/>
        <v>1</v>
      </c>
      <c r="L549">
        <f t="shared" si="33"/>
        <v>205.15727867160689</v>
      </c>
      <c r="M549">
        <f t="shared" si="34"/>
        <v>820.62911468642756</v>
      </c>
      <c r="N549">
        <f t="shared" si="35"/>
        <v>1002.8087781468145</v>
      </c>
    </row>
    <row r="550" spans="1:14" x14ac:dyDescent="0.35">
      <c r="A550" t="s">
        <v>49</v>
      </c>
      <c r="B550">
        <v>16</v>
      </c>
      <c r="C550" t="s">
        <v>50</v>
      </c>
      <c r="D550">
        <v>43</v>
      </c>
      <c r="E550">
        <v>186.597334201601</v>
      </c>
      <c r="F550">
        <v>19.536794830607501</v>
      </c>
      <c r="G550" t="s">
        <v>49</v>
      </c>
      <c r="H550">
        <v>16</v>
      </c>
      <c r="I550">
        <v>43</v>
      </c>
      <c r="J550">
        <v>5.7959358404612198</v>
      </c>
      <c r="K550" t="b">
        <f t="shared" si="32"/>
        <v>1</v>
      </c>
      <c r="L550">
        <f t="shared" si="33"/>
        <v>211.93006487266973</v>
      </c>
      <c r="M550">
        <f t="shared" si="34"/>
        <v>847.72025949067893</v>
      </c>
      <c r="N550">
        <f t="shared" si="35"/>
        <v>1035.9141570976096</v>
      </c>
    </row>
    <row r="551" spans="1:14" x14ac:dyDescent="0.35">
      <c r="A551" t="s">
        <v>49</v>
      </c>
      <c r="B551">
        <v>16</v>
      </c>
      <c r="C551" t="s">
        <v>50</v>
      </c>
      <c r="D551">
        <v>44</v>
      </c>
      <c r="E551">
        <v>191.87362042176599</v>
      </c>
      <c r="F551">
        <v>20.8056862938077</v>
      </c>
      <c r="G551" t="s">
        <v>49</v>
      </c>
      <c r="H551">
        <v>16</v>
      </c>
      <c r="I551">
        <v>44</v>
      </c>
      <c r="J551">
        <v>5.9823959164885698</v>
      </c>
      <c r="K551" t="b">
        <f t="shared" si="32"/>
        <v>1</v>
      </c>
      <c r="L551">
        <f t="shared" si="33"/>
        <v>218.66170263206226</v>
      </c>
      <c r="M551">
        <f t="shared" si="34"/>
        <v>874.64681052824903</v>
      </c>
      <c r="N551">
        <f t="shared" si="35"/>
        <v>1068.8184024655202</v>
      </c>
    </row>
    <row r="552" spans="1:14" x14ac:dyDescent="0.35">
      <c r="A552" t="s">
        <v>49</v>
      </c>
      <c r="B552">
        <v>16</v>
      </c>
      <c r="C552" t="s">
        <v>50</v>
      </c>
      <c r="D552">
        <v>45</v>
      </c>
      <c r="E552">
        <v>197.12656910039701</v>
      </c>
      <c r="F552">
        <v>22.077352823277099</v>
      </c>
      <c r="G552" t="s">
        <v>49</v>
      </c>
      <c r="H552">
        <v>16</v>
      </c>
      <c r="I552">
        <v>45</v>
      </c>
      <c r="J552">
        <v>6.1663171020025098</v>
      </c>
      <c r="K552" t="b">
        <f t="shared" si="32"/>
        <v>1</v>
      </c>
      <c r="L552">
        <f t="shared" si="33"/>
        <v>225.37023902567663</v>
      </c>
      <c r="M552">
        <f t="shared" si="34"/>
        <v>901.4809561027065</v>
      </c>
      <c r="N552">
        <f t="shared" si="35"/>
        <v>1101.6097283575073</v>
      </c>
    </row>
    <row r="553" spans="1:14" x14ac:dyDescent="0.35">
      <c r="A553" t="s">
        <v>49</v>
      </c>
      <c r="B553">
        <v>16</v>
      </c>
      <c r="C553" t="s">
        <v>50</v>
      </c>
      <c r="D553">
        <v>46</v>
      </c>
      <c r="E553">
        <v>202.345485118905</v>
      </c>
      <c r="F553">
        <v>23.361130247079501</v>
      </c>
      <c r="G553" t="s">
        <v>49</v>
      </c>
      <c r="H553">
        <v>16</v>
      </c>
      <c r="I553">
        <v>46</v>
      </c>
      <c r="J553">
        <v>6.3481142585479304</v>
      </c>
      <c r="K553" t="b">
        <f t="shared" si="32"/>
        <v>1</v>
      </c>
      <c r="L553">
        <f t="shared" si="33"/>
        <v>232.05472962453243</v>
      </c>
      <c r="M553">
        <f t="shared" si="34"/>
        <v>928.21891849812971</v>
      </c>
      <c r="N553">
        <f t="shared" si="35"/>
        <v>1134.2835184047144</v>
      </c>
    </row>
    <row r="554" spans="1:14" x14ac:dyDescent="0.35">
      <c r="A554" t="s">
        <v>49</v>
      </c>
      <c r="B554">
        <v>16</v>
      </c>
      <c r="C554" t="s">
        <v>50</v>
      </c>
      <c r="D554">
        <v>47</v>
      </c>
      <c r="E554">
        <v>206.90671585858701</v>
      </c>
      <c r="F554">
        <v>24.5598595120642</v>
      </c>
      <c r="G554" t="s">
        <v>49</v>
      </c>
      <c r="H554">
        <v>16</v>
      </c>
      <c r="I554">
        <v>47</v>
      </c>
      <c r="J554">
        <v>6.5209307304047197</v>
      </c>
      <c r="K554" t="b">
        <f t="shared" si="32"/>
        <v>1</v>
      </c>
      <c r="L554">
        <f t="shared" si="33"/>
        <v>237.98750610105594</v>
      </c>
      <c r="M554">
        <f t="shared" si="34"/>
        <v>951.95002440422377</v>
      </c>
      <c r="N554">
        <f t="shared" si="35"/>
        <v>1163.2829298219615</v>
      </c>
    </row>
    <row r="555" spans="1:14" x14ac:dyDescent="0.35">
      <c r="A555" t="s">
        <v>49</v>
      </c>
      <c r="B555">
        <v>16</v>
      </c>
      <c r="C555" t="s">
        <v>50</v>
      </c>
      <c r="D555">
        <v>48</v>
      </c>
      <c r="E555">
        <v>211.493893189217</v>
      </c>
      <c r="F555">
        <v>25.717444863148799</v>
      </c>
      <c r="G555" t="s">
        <v>49</v>
      </c>
      <c r="H555">
        <v>16</v>
      </c>
      <c r="I555">
        <v>48</v>
      </c>
      <c r="J555">
        <v>6.68828859674485</v>
      </c>
      <c r="K555" t="b">
        <f t="shared" si="32"/>
        <v>1</v>
      </c>
      <c r="L555">
        <f t="shared" si="33"/>
        <v>243.89962664911067</v>
      </c>
      <c r="M555">
        <f t="shared" si="34"/>
        <v>975.59850659644269</v>
      </c>
      <c r="N555">
        <f t="shared" si="35"/>
        <v>1192.181375060853</v>
      </c>
    </row>
    <row r="556" spans="1:14" x14ac:dyDescent="0.35">
      <c r="A556" t="s">
        <v>49</v>
      </c>
      <c r="B556">
        <v>16</v>
      </c>
      <c r="C556" t="s">
        <v>50</v>
      </c>
      <c r="D556">
        <v>49</v>
      </c>
      <c r="E556">
        <v>216.08076159650801</v>
      </c>
      <c r="F556">
        <v>26.859043643272901</v>
      </c>
      <c r="G556" t="s">
        <v>49</v>
      </c>
      <c r="H556">
        <v>16</v>
      </c>
      <c r="I556">
        <v>49</v>
      </c>
      <c r="J556">
        <v>6.8520504049525899</v>
      </c>
      <c r="K556" t="b">
        <f t="shared" si="32"/>
        <v>1</v>
      </c>
      <c r="L556">
        <f t="shared" si="33"/>
        <v>249.79185564473352</v>
      </c>
      <c r="M556">
        <f t="shared" si="34"/>
        <v>999.16742257893407</v>
      </c>
      <c r="N556">
        <f t="shared" si="35"/>
        <v>1220.9825903914575</v>
      </c>
    </row>
    <row r="557" spans="1:14" x14ac:dyDescent="0.35">
      <c r="A557" t="s">
        <v>49</v>
      </c>
      <c r="B557">
        <v>16</v>
      </c>
      <c r="C557" t="s">
        <v>50</v>
      </c>
      <c r="D557">
        <v>50</v>
      </c>
      <c r="E557">
        <v>220.65203646884001</v>
      </c>
      <c r="F557">
        <v>27.998901751801601</v>
      </c>
      <c r="G557" t="s">
        <v>49</v>
      </c>
      <c r="H557">
        <v>16</v>
      </c>
      <c r="I557">
        <v>50</v>
      </c>
      <c r="J557">
        <v>7.0132074487710199</v>
      </c>
      <c r="K557" t="b">
        <f t="shared" si="32"/>
        <v>1</v>
      </c>
      <c r="L557">
        <f t="shared" si="33"/>
        <v>255.66414566941265</v>
      </c>
      <c r="M557">
        <f t="shared" si="34"/>
        <v>1022.6565826776506</v>
      </c>
      <c r="N557">
        <f t="shared" si="35"/>
        <v>1249.686344032089</v>
      </c>
    </row>
    <row r="558" spans="1:14" x14ac:dyDescent="0.35">
      <c r="A558" t="s">
        <v>49</v>
      </c>
      <c r="B558">
        <v>16</v>
      </c>
      <c r="C558" t="s">
        <v>50</v>
      </c>
      <c r="D558">
        <v>51</v>
      </c>
      <c r="E558">
        <v>225.19880543702899</v>
      </c>
      <c r="F558">
        <v>29.144941653887699</v>
      </c>
      <c r="G558" t="s">
        <v>49</v>
      </c>
      <c r="H558">
        <v>16</v>
      </c>
      <c r="I558">
        <v>51</v>
      </c>
      <c r="J558">
        <v>7.1722945252569303</v>
      </c>
      <c r="K558" t="b">
        <f t="shared" si="32"/>
        <v>1</v>
      </c>
      <c r="L558">
        <f t="shared" si="33"/>
        <v>261.5160416161736</v>
      </c>
      <c r="M558">
        <f t="shared" si="34"/>
        <v>1046.0641664646944</v>
      </c>
      <c r="N558">
        <f t="shared" si="35"/>
        <v>1278.2904114198566</v>
      </c>
    </row>
    <row r="559" spans="1:14" x14ac:dyDescent="0.35">
      <c r="A559" t="s">
        <v>49</v>
      </c>
      <c r="B559">
        <v>16</v>
      </c>
      <c r="C559" t="s">
        <v>50</v>
      </c>
      <c r="D559">
        <v>52</v>
      </c>
      <c r="E559">
        <v>229.157991896965</v>
      </c>
      <c r="F559">
        <v>30.2104156212649</v>
      </c>
      <c r="G559" t="s">
        <v>49</v>
      </c>
      <c r="H559">
        <v>16</v>
      </c>
      <c r="I559">
        <v>52</v>
      </c>
      <c r="J559">
        <v>7.3232264209303901</v>
      </c>
      <c r="K559" t="b">
        <f t="shared" si="32"/>
        <v>1</v>
      </c>
      <c r="L559">
        <f t="shared" si="33"/>
        <v>266.69163393916028</v>
      </c>
      <c r="M559">
        <f t="shared" si="34"/>
        <v>1066.7665357566411</v>
      </c>
      <c r="N559">
        <f t="shared" si="35"/>
        <v>1303.5887066946154</v>
      </c>
    </row>
    <row r="560" spans="1:14" x14ac:dyDescent="0.35">
      <c r="A560" t="s">
        <v>49</v>
      </c>
      <c r="B560">
        <v>16</v>
      </c>
      <c r="C560" t="s">
        <v>50</v>
      </c>
      <c r="D560">
        <v>53</v>
      </c>
      <c r="E560">
        <v>233.14572416812899</v>
      </c>
      <c r="F560">
        <v>31.235278919100701</v>
      </c>
      <c r="G560" t="s">
        <v>49</v>
      </c>
      <c r="H560">
        <v>16</v>
      </c>
      <c r="I560">
        <v>53</v>
      </c>
      <c r="J560">
        <v>7.4692416620804503</v>
      </c>
      <c r="K560" t="b">
        <f t="shared" si="32"/>
        <v>1</v>
      </c>
      <c r="L560">
        <f t="shared" si="33"/>
        <v>271.85024474931015</v>
      </c>
      <c r="M560">
        <f t="shared" si="34"/>
        <v>1087.4009789972406</v>
      </c>
      <c r="N560">
        <f t="shared" si="35"/>
        <v>1328.803996334628</v>
      </c>
    </row>
    <row r="561" spans="1:14" x14ac:dyDescent="0.35">
      <c r="A561" t="s">
        <v>49</v>
      </c>
      <c r="B561">
        <v>16</v>
      </c>
      <c r="C561" t="s">
        <v>50</v>
      </c>
      <c r="D561">
        <v>54</v>
      </c>
      <c r="E561">
        <v>237.13847320421999</v>
      </c>
      <c r="F561">
        <v>32.242211086801397</v>
      </c>
      <c r="G561" t="s">
        <v>49</v>
      </c>
      <c r="H561">
        <v>16</v>
      </c>
      <c r="I561">
        <v>54</v>
      </c>
      <c r="J561">
        <v>7.6120651676481197</v>
      </c>
      <c r="K561" t="b">
        <f t="shared" si="32"/>
        <v>1</v>
      </c>
      <c r="L561">
        <f t="shared" si="33"/>
        <v>276.99274945866949</v>
      </c>
      <c r="M561">
        <f t="shared" si="34"/>
        <v>1107.970997834678</v>
      </c>
      <c r="N561">
        <f t="shared" si="35"/>
        <v>1353.9405593539764</v>
      </c>
    </row>
    <row r="562" spans="1:14" x14ac:dyDescent="0.35">
      <c r="A562" t="s">
        <v>49</v>
      </c>
      <c r="B562">
        <v>16</v>
      </c>
      <c r="C562" t="s">
        <v>50</v>
      </c>
      <c r="D562">
        <v>55</v>
      </c>
      <c r="E562">
        <v>241.12271105373799</v>
      </c>
      <c r="F562">
        <v>33.243959923419197</v>
      </c>
      <c r="G562" t="s">
        <v>49</v>
      </c>
      <c r="H562">
        <v>16</v>
      </c>
      <c r="I562">
        <v>55</v>
      </c>
      <c r="J562">
        <v>7.7526260119185597</v>
      </c>
      <c r="K562" t="b">
        <f t="shared" si="32"/>
        <v>1</v>
      </c>
      <c r="L562">
        <f t="shared" si="33"/>
        <v>282.11929698907574</v>
      </c>
      <c r="M562">
        <f t="shared" si="34"/>
        <v>1128.4771879563029</v>
      </c>
      <c r="N562">
        <f t="shared" si="35"/>
        <v>1378.9991236826022</v>
      </c>
    </row>
    <row r="563" spans="1:14" x14ac:dyDescent="0.35">
      <c r="A563" t="s">
        <v>49</v>
      </c>
      <c r="B563">
        <v>16</v>
      </c>
      <c r="C563" t="s">
        <v>50</v>
      </c>
      <c r="D563">
        <v>56</v>
      </c>
      <c r="E563">
        <v>245.09065532189399</v>
      </c>
      <c r="F563">
        <v>34.247579177571303</v>
      </c>
      <c r="G563" t="s">
        <v>49</v>
      </c>
      <c r="H563">
        <v>16</v>
      </c>
      <c r="I563">
        <v>56</v>
      </c>
      <c r="J563">
        <v>7.8914345762001599</v>
      </c>
      <c r="K563" t="b">
        <f t="shared" si="32"/>
        <v>1</v>
      </c>
      <c r="L563">
        <f t="shared" si="33"/>
        <v>287.22966907566541</v>
      </c>
      <c r="M563">
        <f t="shared" si="34"/>
        <v>1148.9186763026617</v>
      </c>
      <c r="N563">
        <f t="shared" si="35"/>
        <v>1403.9786224418526</v>
      </c>
    </row>
    <row r="564" spans="1:14" x14ac:dyDescent="0.35">
      <c r="A564" t="s">
        <v>49</v>
      </c>
      <c r="B564">
        <v>16</v>
      </c>
      <c r="C564" t="s">
        <v>50</v>
      </c>
      <c r="D564">
        <v>57</v>
      </c>
      <c r="E564">
        <v>248.50175325036099</v>
      </c>
      <c r="F564">
        <v>35.183745486457497</v>
      </c>
      <c r="G564" t="s">
        <v>49</v>
      </c>
      <c r="H564">
        <v>16</v>
      </c>
      <c r="I564">
        <v>57</v>
      </c>
      <c r="J564">
        <v>8.02264862609338</v>
      </c>
      <c r="K564" t="b">
        <f t="shared" si="32"/>
        <v>1</v>
      </c>
      <c r="L564">
        <f t="shared" si="33"/>
        <v>291.70814736291186</v>
      </c>
      <c r="M564">
        <f t="shared" si="34"/>
        <v>1166.8325894516474</v>
      </c>
      <c r="N564">
        <f t="shared" si="35"/>
        <v>1425.869424309913</v>
      </c>
    </row>
    <row r="565" spans="1:14" x14ac:dyDescent="0.35">
      <c r="A565" t="s">
        <v>49</v>
      </c>
      <c r="B565">
        <v>16</v>
      </c>
      <c r="C565" t="s">
        <v>50</v>
      </c>
      <c r="D565">
        <v>58</v>
      </c>
      <c r="E565">
        <v>251.937512905977</v>
      </c>
      <c r="F565">
        <v>36.085393418400002</v>
      </c>
      <c r="G565" t="s">
        <v>49</v>
      </c>
      <c r="H565">
        <v>16</v>
      </c>
      <c r="I565">
        <v>58</v>
      </c>
      <c r="J565">
        <v>8.1492638108016102</v>
      </c>
      <c r="K565" t="b">
        <f t="shared" si="32"/>
        <v>1</v>
      </c>
      <c r="L565">
        <f t="shared" si="33"/>
        <v>296.17217013517859</v>
      </c>
      <c r="M565">
        <f t="shared" si="34"/>
        <v>1184.6886805407144</v>
      </c>
      <c r="N565">
        <f t="shared" si="35"/>
        <v>1447.689567620753</v>
      </c>
    </row>
    <row r="566" spans="1:14" x14ac:dyDescent="0.35">
      <c r="A566" t="s">
        <v>49</v>
      </c>
      <c r="B566">
        <v>16</v>
      </c>
      <c r="C566" t="s">
        <v>50</v>
      </c>
      <c r="D566">
        <v>59</v>
      </c>
      <c r="E566">
        <v>255.378693415931</v>
      </c>
      <c r="F566">
        <v>36.971086661598498</v>
      </c>
      <c r="G566" t="s">
        <v>49</v>
      </c>
      <c r="H566">
        <v>16</v>
      </c>
      <c r="I566">
        <v>59</v>
      </c>
      <c r="J566">
        <v>8.2729037938344892</v>
      </c>
      <c r="K566" t="b">
        <f t="shared" si="32"/>
        <v>1</v>
      </c>
      <c r="L566">
        <f t="shared" si="33"/>
        <v>300.62268387136396</v>
      </c>
      <c r="M566">
        <f t="shared" si="34"/>
        <v>1202.4907354854558</v>
      </c>
      <c r="N566">
        <f t="shared" si="35"/>
        <v>1469.4436787632269</v>
      </c>
    </row>
    <row r="567" spans="1:14" x14ac:dyDescent="0.35">
      <c r="A567" t="s">
        <v>49</v>
      </c>
      <c r="B567">
        <v>16</v>
      </c>
      <c r="C567" t="s">
        <v>50</v>
      </c>
      <c r="D567">
        <v>60</v>
      </c>
      <c r="E567">
        <v>258.81431616090703</v>
      </c>
      <c r="F567">
        <v>37.851194075653098</v>
      </c>
      <c r="G567" t="s">
        <v>49</v>
      </c>
      <c r="H567">
        <v>16</v>
      </c>
      <c r="I567">
        <v>60</v>
      </c>
      <c r="J567">
        <v>8.3944626578696599</v>
      </c>
      <c r="K567" t="b">
        <f t="shared" si="32"/>
        <v>1</v>
      </c>
      <c r="L567">
        <f t="shared" si="33"/>
        <v>305.05997289442979</v>
      </c>
      <c r="M567">
        <f t="shared" si="34"/>
        <v>1220.2398915777192</v>
      </c>
      <c r="N567">
        <f t="shared" si="35"/>
        <v>1491.1331475079728</v>
      </c>
    </row>
    <row r="568" spans="1:14" x14ac:dyDescent="0.35">
      <c r="A568" t="s">
        <v>49</v>
      </c>
      <c r="B568">
        <v>16</v>
      </c>
      <c r="C568" t="s">
        <v>50</v>
      </c>
      <c r="D568">
        <v>61</v>
      </c>
      <c r="E568">
        <v>262.23811472635902</v>
      </c>
      <c r="F568">
        <v>38.731420472962299</v>
      </c>
      <c r="G568" t="s">
        <v>49</v>
      </c>
      <c r="H568">
        <v>16</v>
      </c>
      <c r="I568">
        <v>61</v>
      </c>
      <c r="J568">
        <v>8.5144448497372807</v>
      </c>
      <c r="K568" t="b">
        <f t="shared" si="32"/>
        <v>1</v>
      </c>
      <c r="L568">
        <f t="shared" si="33"/>
        <v>309.48398004905857</v>
      </c>
      <c r="M568">
        <f t="shared" si="34"/>
        <v>1237.9359201962343</v>
      </c>
      <c r="N568">
        <f t="shared" si="35"/>
        <v>1512.7576944797984</v>
      </c>
    </row>
    <row r="569" spans="1:14" x14ac:dyDescent="0.35">
      <c r="A569" t="s">
        <v>49</v>
      </c>
      <c r="B569">
        <v>16</v>
      </c>
      <c r="C569" t="s">
        <v>50</v>
      </c>
      <c r="D569">
        <v>62</v>
      </c>
      <c r="E569">
        <v>265.12827345659701</v>
      </c>
      <c r="F569">
        <v>39.547177030978297</v>
      </c>
      <c r="G569" t="s">
        <v>49</v>
      </c>
      <c r="H569">
        <v>16</v>
      </c>
      <c r="I569">
        <v>62</v>
      </c>
      <c r="J569">
        <v>8.6272174762483296</v>
      </c>
      <c r="K569" t="b">
        <f t="shared" si="32"/>
        <v>1</v>
      </c>
      <c r="L569">
        <f t="shared" si="33"/>
        <v>313.30266796382364</v>
      </c>
      <c r="M569">
        <f t="shared" si="34"/>
        <v>1253.2106718552945</v>
      </c>
      <c r="N569">
        <f t="shared" si="35"/>
        <v>1531.4234410071699</v>
      </c>
    </row>
    <row r="570" spans="1:14" x14ac:dyDescent="0.35">
      <c r="A570" t="s">
        <v>49</v>
      </c>
      <c r="B570">
        <v>16</v>
      </c>
      <c r="C570" t="s">
        <v>50</v>
      </c>
      <c r="D570">
        <v>63</v>
      </c>
      <c r="E570">
        <v>268.04455231686302</v>
      </c>
      <c r="F570">
        <v>40.329335195500398</v>
      </c>
      <c r="G570" t="s">
        <v>49</v>
      </c>
      <c r="H570">
        <v>16</v>
      </c>
      <c r="I570">
        <v>63</v>
      </c>
      <c r="J570">
        <v>8.7356581486647293</v>
      </c>
      <c r="K570" t="b">
        <f t="shared" si="32"/>
        <v>1</v>
      </c>
      <c r="L570">
        <f t="shared" si="33"/>
        <v>317.10954566102816</v>
      </c>
      <c r="M570">
        <f t="shared" si="34"/>
        <v>1268.4381826441127</v>
      </c>
      <c r="N570">
        <f t="shared" si="35"/>
        <v>1550.0314591911056</v>
      </c>
    </row>
    <row r="571" spans="1:14" x14ac:dyDescent="0.35">
      <c r="A571" t="s">
        <v>49</v>
      </c>
      <c r="B571">
        <v>16</v>
      </c>
      <c r="C571" t="s">
        <v>50</v>
      </c>
      <c r="D571">
        <v>64</v>
      </c>
      <c r="E571">
        <v>270.96902671416098</v>
      </c>
      <c r="F571">
        <v>41.095227913464299</v>
      </c>
      <c r="G571" t="s">
        <v>49</v>
      </c>
      <c r="H571">
        <v>16</v>
      </c>
      <c r="I571">
        <v>64</v>
      </c>
      <c r="J571">
        <v>8.8413325963498295</v>
      </c>
      <c r="K571" t="b">
        <f t="shared" si="32"/>
        <v>1</v>
      </c>
      <c r="L571">
        <f t="shared" si="33"/>
        <v>320.90558722397509</v>
      </c>
      <c r="M571">
        <f t="shared" si="34"/>
        <v>1283.6223488959004</v>
      </c>
      <c r="N571">
        <f t="shared" si="35"/>
        <v>1568.5865103507901</v>
      </c>
    </row>
    <row r="572" spans="1:14" x14ac:dyDescent="0.35">
      <c r="A572" t="s">
        <v>49</v>
      </c>
      <c r="B572">
        <v>16</v>
      </c>
      <c r="C572" t="s">
        <v>50</v>
      </c>
      <c r="D572">
        <v>65</v>
      </c>
      <c r="E572">
        <v>273.89151857317302</v>
      </c>
      <c r="F572">
        <v>41.8545100595083</v>
      </c>
      <c r="G572" t="s">
        <v>49</v>
      </c>
      <c r="H572">
        <v>16</v>
      </c>
      <c r="I572">
        <v>65</v>
      </c>
      <c r="J572">
        <v>8.9451074363862393</v>
      </c>
      <c r="K572" t="b">
        <f t="shared" si="32"/>
        <v>1</v>
      </c>
      <c r="L572">
        <f t="shared" si="33"/>
        <v>324.69113606906757</v>
      </c>
      <c r="M572">
        <f t="shared" si="34"/>
        <v>1298.7645442762703</v>
      </c>
      <c r="N572">
        <f t="shared" si="35"/>
        <v>1587.0902731056021</v>
      </c>
    </row>
    <row r="573" spans="1:14" x14ac:dyDescent="0.35">
      <c r="A573" t="s">
        <v>49</v>
      </c>
      <c r="B573">
        <v>16</v>
      </c>
      <c r="C573" t="s">
        <v>50</v>
      </c>
      <c r="D573">
        <v>66</v>
      </c>
      <c r="E573">
        <v>276.80624509231802</v>
      </c>
      <c r="F573">
        <v>42.612488669703801</v>
      </c>
      <c r="G573" t="s">
        <v>49</v>
      </c>
      <c r="H573">
        <v>16</v>
      </c>
      <c r="I573">
        <v>66</v>
      </c>
      <c r="J573">
        <v>9.0474747078858009</v>
      </c>
      <c r="K573" t="b">
        <f t="shared" si="32"/>
        <v>1</v>
      </c>
      <c r="L573">
        <f t="shared" si="33"/>
        <v>328.4662084699076</v>
      </c>
      <c r="M573">
        <f t="shared" si="34"/>
        <v>1313.8648338796304</v>
      </c>
      <c r="N573">
        <f t="shared" si="35"/>
        <v>1605.5428270009083</v>
      </c>
    </row>
    <row r="574" spans="1:14" x14ac:dyDescent="0.35">
      <c r="A574" t="s">
        <v>49</v>
      </c>
      <c r="B574">
        <v>16</v>
      </c>
      <c r="C574" t="s">
        <v>50</v>
      </c>
      <c r="D574">
        <v>67</v>
      </c>
      <c r="E574">
        <v>279.270452921973</v>
      </c>
      <c r="F574">
        <v>43.293174271682901</v>
      </c>
      <c r="G574" t="s">
        <v>49</v>
      </c>
      <c r="H574">
        <v>16</v>
      </c>
      <c r="I574">
        <v>67</v>
      </c>
      <c r="J574">
        <v>9.1436972617014707</v>
      </c>
      <c r="K574" t="b">
        <f t="shared" si="32"/>
        <v>1</v>
      </c>
      <c r="L574">
        <f t="shared" si="33"/>
        <v>331.70732445535737</v>
      </c>
      <c r="M574">
        <f t="shared" si="34"/>
        <v>1326.8292978214295</v>
      </c>
      <c r="N574">
        <f t="shared" si="35"/>
        <v>1621.3854019377868</v>
      </c>
    </row>
    <row r="575" spans="1:14" x14ac:dyDescent="0.35">
      <c r="A575" t="s">
        <v>49</v>
      </c>
      <c r="B575">
        <v>16</v>
      </c>
      <c r="C575" t="s">
        <v>50</v>
      </c>
      <c r="D575">
        <v>68</v>
      </c>
      <c r="E575">
        <v>281.77275742557998</v>
      </c>
      <c r="F575">
        <v>43.932859980939199</v>
      </c>
      <c r="G575" t="s">
        <v>49</v>
      </c>
      <c r="H575">
        <v>16</v>
      </c>
      <c r="I575">
        <v>68</v>
      </c>
      <c r="J575">
        <v>9.2364016560826503</v>
      </c>
      <c r="K575" t="b">
        <f t="shared" si="32"/>
        <v>1</v>
      </c>
      <c r="L575">
        <f t="shared" si="33"/>
        <v>334.94201906260184</v>
      </c>
      <c r="M575">
        <f t="shared" si="34"/>
        <v>1339.7680762504074</v>
      </c>
      <c r="N575">
        <f t="shared" si="35"/>
        <v>1637.1965891779978</v>
      </c>
    </row>
    <row r="576" spans="1:14" x14ac:dyDescent="0.35">
      <c r="A576" t="s">
        <v>49</v>
      </c>
      <c r="B576">
        <v>16</v>
      </c>
      <c r="C576" t="s">
        <v>50</v>
      </c>
      <c r="D576">
        <v>69</v>
      </c>
      <c r="E576">
        <v>284.29222988084001</v>
      </c>
      <c r="F576">
        <v>44.551887435312402</v>
      </c>
      <c r="G576" t="s">
        <v>49</v>
      </c>
      <c r="H576">
        <v>16</v>
      </c>
      <c r="I576">
        <v>69</v>
      </c>
      <c r="J576">
        <v>9.3269691299113404</v>
      </c>
      <c r="K576" t="b">
        <f t="shared" si="32"/>
        <v>1</v>
      </c>
      <c r="L576">
        <f t="shared" si="33"/>
        <v>338.17108644606373</v>
      </c>
      <c r="M576">
        <f t="shared" si="34"/>
        <v>1352.6843457842549</v>
      </c>
      <c r="N576">
        <f t="shared" si="35"/>
        <v>1652.9802705483594</v>
      </c>
    </row>
    <row r="577" spans="1:14" x14ac:dyDescent="0.35">
      <c r="A577" t="s">
        <v>49</v>
      </c>
      <c r="B577">
        <v>16</v>
      </c>
      <c r="C577" t="s">
        <v>50</v>
      </c>
      <c r="D577">
        <v>70</v>
      </c>
      <c r="E577">
        <v>286.81703873684501</v>
      </c>
      <c r="F577">
        <v>45.161583510293902</v>
      </c>
      <c r="G577" t="s">
        <v>49</v>
      </c>
      <c r="H577">
        <v>16</v>
      </c>
      <c r="I577">
        <v>70</v>
      </c>
      <c r="J577">
        <v>9.4161346416035592</v>
      </c>
      <c r="K577" t="b">
        <f t="shared" si="32"/>
        <v>1</v>
      </c>
      <c r="L577">
        <f t="shared" si="33"/>
        <v>341.39475688874245</v>
      </c>
      <c r="M577">
        <f t="shared" si="34"/>
        <v>1365.5790275549698</v>
      </c>
      <c r="N577">
        <f t="shared" si="35"/>
        <v>1668.7375716721731</v>
      </c>
    </row>
    <row r="578" spans="1:14" x14ac:dyDescent="0.35">
      <c r="A578" t="s">
        <v>49</v>
      </c>
      <c r="B578">
        <v>16</v>
      </c>
      <c r="C578" t="s">
        <v>50</v>
      </c>
      <c r="D578">
        <v>71</v>
      </c>
      <c r="E578">
        <v>289.34049599424702</v>
      </c>
      <c r="F578">
        <v>45.768187041712899</v>
      </c>
      <c r="G578" t="s">
        <v>49</v>
      </c>
      <c r="H578">
        <v>16</v>
      </c>
      <c r="I578">
        <v>71</v>
      </c>
      <c r="J578">
        <v>9.5042977449185706</v>
      </c>
      <c r="K578" t="b">
        <f t="shared" si="32"/>
        <v>1</v>
      </c>
      <c r="L578">
        <f t="shared" si="33"/>
        <v>344.6129807808785</v>
      </c>
      <c r="M578">
        <f t="shared" si="34"/>
        <v>1378.451923123514</v>
      </c>
      <c r="N578">
        <f t="shared" si="35"/>
        <v>1684.468250056934</v>
      </c>
    </row>
    <row r="579" spans="1:14" x14ac:dyDescent="0.35">
      <c r="A579" t="s">
        <v>49</v>
      </c>
      <c r="B579">
        <v>16</v>
      </c>
      <c r="C579" t="s">
        <v>50</v>
      </c>
      <c r="D579">
        <v>72</v>
      </c>
      <c r="E579">
        <v>291.54886548374299</v>
      </c>
      <c r="F579">
        <v>46.330429233421597</v>
      </c>
      <c r="G579" t="s">
        <v>49</v>
      </c>
      <c r="H579">
        <v>16</v>
      </c>
      <c r="I579">
        <v>72</v>
      </c>
      <c r="J579">
        <v>9.5881380396389702</v>
      </c>
      <c r="K579" t="b">
        <f t="shared" ref="K579:K642" si="36">H579=B579</f>
        <v>1</v>
      </c>
      <c r="L579">
        <f t="shared" ref="L579:L642" si="37">E579+F579+J579</f>
        <v>347.46743275680359</v>
      </c>
      <c r="M579">
        <f t="shared" ref="M579:M642" si="38">(L579*2)*(100/50)</f>
        <v>1389.8697310272144</v>
      </c>
      <c r="N579">
        <f t="shared" ref="N579:N642" si="39">M579*1.222</f>
        <v>1698.4208113152558</v>
      </c>
    </row>
    <row r="580" spans="1:14" x14ac:dyDescent="0.35">
      <c r="A580" t="s">
        <v>49</v>
      </c>
      <c r="B580">
        <v>16</v>
      </c>
      <c r="C580" t="s">
        <v>50</v>
      </c>
      <c r="D580">
        <v>73</v>
      </c>
      <c r="E580">
        <v>293.77829114478601</v>
      </c>
      <c r="F580">
        <v>46.869965862643099</v>
      </c>
      <c r="G580" t="s">
        <v>49</v>
      </c>
      <c r="H580">
        <v>16</v>
      </c>
      <c r="I580">
        <v>73</v>
      </c>
      <c r="J580">
        <v>9.6694277641394404</v>
      </c>
      <c r="K580" t="b">
        <f t="shared" si="36"/>
        <v>1</v>
      </c>
      <c r="L580">
        <f t="shared" si="37"/>
        <v>350.31768477156851</v>
      </c>
      <c r="M580">
        <f t="shared" si="38"/>
        <v>1401.270739086274</v>
      </c>
      <c r="N580">
        <f t="shared" si="39"/>
        <v>1712.3528431634268</v>
      </c>
    </row>
    <row r="581" spans="1:14" x14ac:dyDescent="0.35">
      <c r="A581" t="s">
        <v>49</v>
      </c>
      <c r="B581">
        <v>16</v>
      </c>
      <c r="C581" t="s">
        <v>50</v>
      </c>
      <c r="D581">
        <v>74</v>
      </c>
      <c r="E581">
        <v>296.016229562543</v>
      </c>
      <c r="F581">
        <v>47.3988492661354</v>
      </c>
      <c r="G581" t="s">
        <v>49</v>
      </c>
      <c r="H581">
        <v>16</v>
      </c>
      <c r="I581">
        <v>74</v>
      </c>
      <c r="J581">
        <v>9.7491188060424392</v>
      </c>
      <c r="K581" t="b">
        <f t="shared" si="36"/>
        <v>1</v>
      </c>
      <c r="L581">
        <f t="shared" si="37"/>
        <v>353.16419763472084</v>
      </c>
      <c r="M581">
        <f t="shared" si="38"/>
        <v>1412.6567905388833</v>
      </c>
      <c r="N581">
        <f t="shared" si="39"/>
        <v>1726.2665980385154</v>
      </c>
    </row>
    <row r="582" spans="1:14" x14ac:dyDescent="0.35">
      <c r="A582" t="s">
        <v>49</v>
      </c>
      <c r="B582">
        <v>16</v>
      </c>
      <c r="C582" t="s">
        <v>50</v>
      </c>
      <c r="D582">
        <v>75</v>
      </c>
      <c r="E582">
        <v>298.25560585683201</v>
      </c>
      <c r="F582">
        <v>47.923722355405701</v>
      </c>
      <c r="G582" t="s">
        <v>49</v>
      </c>
      <c r="H582">
        <v>16</v>
      </c>
      <c r="I582">
        <v>75</v>
      </c>
      <c r="J582">
        <v>9.8277313231625794</v>
      </c>
      <c r="K582" t="b">
        <f t="shared" si="36"/>
        <v>1</v>
      </c>
      <c r="L582">
        <f t="shared" si="37"/>
        <v>356.00705953540029</v>
      </c>
      <c r="M582">
        <f t="shared" si="38"/>
        <v>1424.0282381416012</v>
      </c>
      <c r="N582">
        <f t="shared" si="39"/>
        <v>1740.1625070090365</v>
      </c>
    </row>
    <row r="583" spans="1:14" x14ac:dyDescent="0.35">
      <c r="A583" t="s">
        <v>49</v>
      </c>
      <c r="B583">
        <v>16</v>
      </c>
      <c r="C583" t="s">
        <v>50</v>
      </c>
      <c r="D583">
        <v>76</v>
      </c>
      <c r="E583">
        <v>300.492429455604</v>
      </c>
      <c r="F583">
        <v>48.4481852942762</v>
      </c>
      <c r="G583" t="s">
        <v>49</v>
      </c>
      <c r="H583">
        <v>16</v>
      </c>
      <c r="I583">
        <v>76</v>
      </c>
      <c r="J583">
        <v>9.9055572807660006</v>
      </c>
      <c r="K583" t="b">
        <f t="shared" si="36"/>
        <v>1</v>
      </c>
      <c r="L583">
        <f t="shared" si="37"/>
        <v>358.84617203064619</v>
      </c>
      <c r="M583">
        <f t="shared" si="38"/>
        <v>1435.3846881225847</v>
      </c>
      <c r="N583">
        <f t="shared" si="39"/>
        <v>1754.0400888857985</v>
      </c>
    </row>
    <row r="584" spans="1:14" x14ac:dyDescent="0.35">
      <c r="A584" t="s">
        <v>49</v>
      </c>
      <c r="B584">
        <v>16</v>
      </c>
      <c r="C584" t="s">
        <v>50</v>
      </c>
      <c r="D584">
        <v>77</v>
      </c>
      <c r="E584">
        <v>302.24852780102799</v>
      </c>
      <c r="F584">
        <v>48.906261462184503</v>
      </c>
      <c r="G584" t="s">
        <v>49</v>
      </c>
      <c r="H584">
        <v>16</v>
      </c>
      <c r="I584">
        <v>77</v>
      </c>
      <c r="J584">
        <v>9.9773234870018292</v>
      </c>
      <c r="K584" t="b">
        <f t="shared" si="36"/>
        <v>1</v>
      </c>
      <c r="L584">
        <f t="shared" si="37"/>
        <v>361.13211275021433</v>
      </c>
      <c r="M584">
        <f t="shared" si="38"/>
        <v>1444.5284510008573</v>
      </c>
      <c r="N584">
        <f t="shared" si="39"/>
        <v>1765.2137671230475</v>
      </c>
    </row>
    <row r="585" spans="1:14" x14ac:dyDescent="0.35">
      <c r="A585" t="s">
        <v>49</v>
      </c>
      <c r="B585">
        <v>16</v>
      </c>
      <c r="C585" t="s">
        <v>50</v>
      </c>
      <c r="D585">
        <v>78</v>
      </c>
      <c r="E585">
        <v>304.041453913694</v>
      </c>
      <c r="F585">
        <v>49.329257246278701</v>
      </c>
      <c r="G585" t="s">
        <v>49</v>
      </c>
      <c r="H585">
        <v>16</v>
      </c>
      <c r="I585">
        <v>78</v>
      </c>
      <c r="J585">
        <v>10.045644862601799</v>
      </c>
      <c r="K585" t="b">
        <f t="shared" si="36"/>
        <v>1</v>
      </c>
      <c r="L585">
        <f t="shared" si="37"/>
        <v>363.41635602257452</v>
      </c>
      <c r="M585">
        <f t="shared" si="38"/>
        <v>1453.6654240902981</v>
      </c>
      <c r="N585">
        <f t="shared" si="39"/>
        <v>1776.3791482383442</v>
      </c>
    </row>
    <row r="586" spans="1:14" x14ac:dyDescent="0.35">
      <c r="A586" t="s">
        <v>49</v>
      </c>
      <c r="B586">
        <v>16</v>
      </c>
      <c r="C586" t="s">
        <v>50</v>
      </c>
      <c r="D586">
        <v>79</v>
      </c>
      <c r="E586">
        <v>305.85322439691799</v>
      </c>
      <c r="F586">
        <v>49.734624671692799</v>
      </c>
      <c r="G586" t="s">
        <v>49</v>
      </c>
      <c r="H586">
        <v>16</v>
      </c>
      <c r="I586">
        <v>79</v>
      </c>
      <c r="J586">
        <v>10.111920137298799</v>
      </c>
      <c r="K586" t="b">
        <f t="shared" si="36"/>
        <v>1</v>
      </c>
      <c r="L586">
        <f t="shared" si="37"/>
        <v>365.6997692059096</v>
      </c>
      <c r="M586">
        <f t="shared" si="38"/>
        <v>1462.7990768236384</v>
      </c>
      <c r="N586">
        <f t="shared" si="39"/>
        <v>1787.5404718784862</v>
      </c>
    </row>
    <row r="587" spans="1:14" x14ac:dyDescent="0.35">
      <c r="A587" t="s">
        <v>49</v>
      </c>
      <c r="B587">
        <v>16</v>
      </c>
      <c r="C587" t="s">
        <v>50</v>
      </c>
      <c r="D587">
        <v>80</v>
      </c>
      <c r="E587">
        <v>307.67372439104901</v>
      </c>
      <c r="F587">
        <v>50.132027050545602</v>
      </c>
      <c r="G587" t="s">
        <v>49</v>
      </c>
      <c r="H587">
        <v>16</v>
      </c>
      <c r="I587">
        <v>80</v>
      </c>
      <c r="J587">
        <v>10.176908410604501</v>
      </c>
      <c r="K587" t="b">
        <f t="shared" si="36"/>
        <v>1</v>
      </c>
      <c r="L587">
        <f t="shared" si="37"/>
        <v>367.98265985219911</v>
      </c>
      <c r="M587">
        <f t="shared" si="38"/>
        <v>1471.9306394087964</v>
      </c>
      <c r="N587">
        <f t="shared" si="39"/>
        <v>1798.6992413575492</v>
      </c>
    </row>
    <row r="588" spans="1:14" x14ac:dyDescent="0.35">
      <c r="A588" t="s">
        <v>49</v>
      </c>
      <c r="B588">
        <v>16</v>
      </c>
      <c r="C588" t="s">
        <v>50</v>
      </c>
      <c r="D588">
        <v>81</v>
      </c>
      <c r="E588">
        <v>309.49726673746102</v>
      </c>
      <c r="F588">
        <v>50.526753638686102</v>
      </c>
      <c r="G588" t="s">
        <v>49</v>
      </c>
      <c r="H588">
        <v>16</v>
      </c>
      <c r="I588">
        <v>81</v>
      </c>
      <c r="J588">
        <v>10.2410313544635</v>
      </c>
      <c r="K588" t="b">
        <f t="shared" si="36"/>
        <v>1</v>
      </c>
      <c r="L588">
        <f t="shared" si="37"/>
        <v>370.26505173061059</v>
      </c>
      <c r="M588">
        <f t="shared" si="38"/>
        <v>1481.0602069224424</v>
      </c>
      <c r="N588">
        <f t="shared" si="39"/>
        <v>1809.8555728592246</v>
      </c>
    </row>
    <row r="589" spans="1:14" x14ac:dyDescent="0.35">
      <c r="A589" t="s">
        <v>49</v>
      </c>
      <c r="B589">
        <v>16</v>
      </c>
      <c r="C589" t="s">
        <v>50</v>
      </c>
      <c r="D589">
        <v>82</v>
      </c>
      <c r="E589">
        <v>311.18406090306303</v>
      </c>
      <c r="F589">
        <v>50.999920299328203</v>
      </c>
      <c r="G589" t="s">
        <v>49</v>
      </c>
      <c r="H589">
        <v>16</v>
      </c>
      <c r="I589">
        <v>82</v>
      </c>
      <c r="J589">
        <v>10.302968964723201</v>
      </c>
      <c r="K589" t="b">
        <f t="shared" si="36"/>
        <v>1</v>
      </c>
      <c r="L589">
        <f t="shared" si="37"/>
        <v>372.48695016711446</v>
      </c>
      <c r="M589">
        <f t="shared" si="38"/>
        <v>1489.9478006684578</v>
      </c>
      <c r="N589">
        <f t="shared" si="39"/>
        <v>1820.7162124168553</v>
      </c>
    </row>
    <row r="590" spans="1:14" x14ac:dyDescent="0.35">
      <c r="A590" t="s">
        <v>49</v>
      </c>
      <c r="B590">
        <v>16</v>
      </c>
      <c r="C590" t="s">
        <v>50</v>
      </c>
      <c r="D590">
        <v>83</v>
      </c>
      <c r="E590">
        <v>312.85807685195198</v>
      </c>
      <c r="F590">
        <v>51.426881551873898</v>
      </c>
      <c r="G590" t="s">
        <v>49</v>
      </c>
      <c r="H590">
        <v>16</v>
      </c>
      <c r="I590">
        <v>83</v>
      </c>
      <c r="J590">
        <v>10.3633227471386</v>
      </c>
      <c r="K590" t="b">
        <f t="shared" si="36"/>
        <v>1</v>
      </c>
      <c r="L590">
        <f t="shared" si="37"/>
        <v>374.64828115096452</v>
      </c>
      <c r="M590">
        <f t="shared" si="38"/>
        <v>1498.5931246038581</v>
      </c>
      <c r="N590">
        <f t="shared" si="39"/>
        <v>1831.2807982659147</v>
      </c>
    </row>
    <row r="591" spans="1:14" x14ac:dyDescent="0.35">
      <c r="A591" t="s">
        <v>49</v>
      </c>
      <c r="B591">
        <v>16</v>
      </c>
      <c r="C591" t="s">
        <v>50</v>
      </c>
      <c r="D591">
        <v>84</v>
      </c>
      <c r="E591">
        <v>314.50595579367302</v>
      </c>
      <c r="F591">
        <v>51.822640529067797</v>
      </c>
      <c r="G591" t="s">
        <v>49</v>
      </c>
      <c r="H591">
        <v>16</v>
      </c>
      <c r="I591">
        <v>84</v>
      </c>
      <c r="J591">
        <v>10.4223159397198</v>
      </c>
      <c r="K591" t="b">
        <f t="shared" si="36"/>
        <v>1</v>
      </c>
      <c r="L591">
        <f t="shared" si="37"/>
        <v>376.75091226246064</v>
      </c>
      <c r="M591">
        <f t="shared" si="38"/>
        <v>1507.0036490498426</v>
      </c>
      <c r="N591">
        <f t="shared" si="39"/>
        <v>1841.5584591389077</v>
      </c>
    </row>
    <row r="592" spans="1:14" x14ac:dyDescent="0.35">
      <c r="A592" t="s">
        <v>49</v>
      </c>
      <c r="B592">
        <v>16</v>
      </c>
      <c r="C592" t="s">
        <v>50</v>
      </c>
      <c r="D592">
        <v>85</v>
      </c>
      <c r="E592">
        <v>316.12071263659902</v>
      </c>
      <c r="F592">
        <v>52.195819651796</v>
      </c>
      <c r="G592" t="s">
        <v>49</v>
      </c>
      <c r="H592">
        <v>16</v>
      </c>
      <c r="I592">
        <v>85</v>
      </c>
      <c r="J592">
        <v>10.4800129398128</v>
      </c>
      <c r="K592" t="b">
        <f t="shared" si="36"/>
        <v>1</v>
      </c>
      <c r="L592">
        <f t="shared" si="37"/>
        <v>378.79654522820783</v>
      </c>
      <c r="M592">
        <f t="shared" si="38"/>
        <v>1515.1861809128313</v>
      </c>
      <c r="N592">
        <f t="shared" si="39"/>
        <v>1851.5575130754798</v>
      </c>
    </row>
    <row r="593" spans="1:14" x14ac:dyDescent="0.35">
      <c r="A593" t="s">
        <v>49</v>
      </c>
      <c r="B593">
        <v>16</v>
      </c>
      <c r="C593" t="s">
        <v>50</v>
      </c>
      <c r="D593">
        <v>86</v>
      </c>
      <c r="E593">
        <v>317.698929729795</v>
      </c>
      <c r="F593">
        <v>52.551447789965202</v>
      </c>
      <c r="G593" t="s">
        <v>49</v>
      </c>
      <c r="H593">
        <v>16</v>
      </c>
      <c r="I593">
        <v>86</v>
      </c>
      <c r="J593">
        <v>10.536420008300601</v>
      </c>
      <c r="K593" t="b">
        <f t="shared" si="36"/>
        <v>1</v>
      </c>
      <c r="L593">
        <f t="shared" si="37"/>
        <v>380.78679752806079</v>
      </c>
      <c r="M593">
        <f t="shared" si="38"/>
        <v>1523.1471901122432</v>
      </c>
      <c r="N593">
        <f t="shared" si="39"/>
        <v>1861.285866317161</v>
      </c>
    </row>
    <row r="594" spans="1:14" x14ac:dyDescent="0.35">
      <c r="A594" t="s">
        <v>49</v>
      </c>
      <c r="B594">
        <v>16</v>
      </c>
      <c r="C594" t="s">
        <v>50</v>
      </c>
      <c r="D594">
        <v>87</v>
      </c>
      <c r="E594">
        <v>319.23917895678198</v>
      </c>
      <c r="F594">
        <v>52.892528036104999</v>
      </c>
      <c r="G594" t="s">
        <v>49</v>
      </c>
      <c r="H594">
        <v>16</v>
      </c>
      <c r="I594">
        <v>87</v>
      </c>
      <c r="J594">
        <v>10.5915288294674</v>
      </c>
      <c r="K594" t="b">
        <f t="shared" si="36"/>
        <v>1</v>
      </c>
      <c r="L594">
        <f t="shared" si="37"/>
        <v>382.72323582235435</v>
      </c>
      <c r="M594">
        <f t="shared" si="38"/>
        <v>1530.8929432894174</v>
      </c>
      <c r="N594">
        <f t="shared" si="39"/>
        <v>1870.7511766996681</v>
      </c>
    </row>
    <row r="595" spans="1:14" x14ac:dyDescent="0.35">
      <c r="A595" t="s">
        <v>49</v>
      </c>
      <c r="B595">
        <v>16</v>
      </c>
      <c r="C595" t="s">
        <v>50</v>
      </c>
      <c r="D595">
        <v>88</v>
      </c>
      <c r="E595">
        <v>320.74113505545898</v>
      </c>
      <c r="F595">
        <v>53.220919317802498</v>
      </c>
      <c r="G595" t="s">
        <v>49</v>
      </c>
      <c r="H595">
        <v>16</v>
      </c>
      <c r="I595">
        <v>88</v>
      </c>
      <c r="J595">
        <v>10.645333446804401</v>
      </c>
      <c r="K595" t="b">
        <f t="shared" si="36"/>
        <v>1</v>
      </c>
      <c r="L595">
        <f t="shared" si="37"/>
        <v>384.60738782006587</v>
      </c>
      <c r="M595">
        <f t="shared" si="38"/>
        <v>1538.4295512802635</v>
      </c>
      <c r="N595">
        <f t="shared" si="39"/>
        <v>1879.960911664482</v>
      </c>
    </row>
    <row r="596" spans="1:14" x14ac:dyDescent="0.35">
      <c r="A596" t="s">
        <v>49</v>
      </c>
      <c r="B596">
        <v>16</v>
      </c>
      <c r="C596" t="s">
        <v>50</v>
      </c>
      <c r="D596">
        <v>89</v>
      </c>
      <c r="E596">
        <v>322.20507774632102</v>
      </c>
      <c r="F596">
        <v>53.537832052875501</v>
      </c>
      <c r="G596" t="s">
        <v>49</v>
      </c>
      <c r="H596">
        <v>16</v>
      </c>
      <c r="I596">
        <v>89</v>
      </c>
      <c r="J596">
        <v>10.6978353907267</v>
      </c>
      <c r="K596" t="b">
        <f t="shared" si="36"/>
        <v>1</v>
      </c>
      <c r="L596">
        <f t="shared" si="37"/>
        <v>386.44074518992323</v>
      </c>
      <c r="M596">
        <f t="shared" si="38"/>
        <v>1545.7629807596929</v>
      </c>
      <c r="N596">
        <f t="shared" si="39"/>
        <v>1888.9223624883448</v>
      </c>
    </row>
    <row r="597" spans="1:14" x14ac:dyDescent="0.35">
      <c r="A597" t="s">
        <v>49</v>
      </c>
      <c r="B597">
        <v>16</v>
      </c>
      <c r="C597" t="s">
        <v>50</v>
      </c>
      <c r="D597">
        <v>90</v>
      </c>
      <c r="E597">
        <v>323.63161247860302</v>
      </c>
      <c r="F597">
        <v>53.844106782941303</v>
      </c>
      <c r="G597" t="s">
        <v>49</v>
      </c>
      <c r="H597">
        <v>16</v>
      </c>
      <c r="I597">
        <v>90</v>
      </c>
      <c r="J597">
        <v>10.749043988011699</v>
      </c>
      <c r="K597" t="b">
        <f t="shared" si="36"/>
        <v>1</v>
      </c>
      <c r="L597">
        <f t="shared" si="37"/>
        <v>388.22476324955602</v>
      </c>
      <c r="M597">
        <f t="shared" si="38"/>
        <v>1552.8990529982241</v>
      </c>
      <c r="N597">
        <f t="shared" si="39"/>
        <v>1897.6426427638298</v>
      </c>
    </row>
    <row r="598" spans="1:14" x14ac:dyDescent="0.35">
      <c r="A598" t="s">
        <v>49</v>
      </c>
      <c r="B598">
        <v>16</v>
      </c>
      <c r="C598" t="s">
        <v>50</v>
      </c>
      <c r="D598">
        <v>91</v>
      </c>
      <c r="E598">
        <v>325.02151405341499</v>
      </c>
      <c r="F598">
        <v>54.1403708160245</v>
      </c>
      <c r="G598" t="s">
        <v>49</v>
      </c>
      <c r="H598">
        <v>16</v>
      </c>
      <c r="I598">
        <v>91</v>
      </c>
      <c r="J598">
        <v>10.7989750153434</v>
      </c>
      <c r="K598" t="b">
        <f t="shared" si="36"/>
        <v>1</v>
      </c>
      <c r="L598">
        <f t="shared" si="37"/>
        <v>389.96085988478291</v>
      </c>
      <c r="M598">
        <f t="shared" si="38"/>
        <v>1559.8434395391316</v>
      </c>
      <c r="N598">
        <f t="shared" si="39"/>
        <v>1906.1286831168188</v>
      </c>
    </row>
    <row r="599" spans="1:14" x14ac:dyDescent="0.35">
      <c r="A599" t="s">
        <v>49</v>
      </c>
      <c r="B599">
        <v>16</v>
      </c>
      <c r="C599" t="s">
        <v>50</v>
      </c>
      <c r="D599">
        <v>92</v>
      </c>
      <c r="E599">
        <v>326.37563928260499</v>
      </c>
      <c r="F599">
        <v>54.427126317744801</v>
      </c>
      <c r="G599" t="s">
        <v>49</v>
      </c>
      <c r="H599">
        <v>16</v>
      </c>
      <c r="I599">
        <v>92</v>
      </c>
      <c r="J599">
        <v>10.8476490344887</v>
      </c>
      <c r="K599" t="b">
        <f t="shared" si="36"/>
        <v>1</v>
      </c>
      <c r="L599">
        <f t="shared" si="37"/>
        <v>391.65041463483851</v>
      </c>
      <c r="M599">
        <f t="shared" si="38"/>
        <v>1566.601658539354</v>
      </c>
      <c r="N599">
        <f t="shared" si="39"/>
        <v>1914.3872267350905</v>
      </c>
    </row>
    <row r="600" spans="1:14" x14ac:dyDescent="0.35">
      <c r="A600" t="s">
        <v>49</v>
      </c>
      <c r="B600">
        <v>16</v>
      </c>
      <c r="C600" t="s">
        <v>50</v>
      </c>
      <c r="D600">
        <v>93</v>
      </c>
      <c r="E600">
        <v>327.694878414389</v>
      </c>
      <c r="F600">
        <v>54.704799893024102</v>
      </c>
      <c r="G600" t="s">
        <v>49</v>
      </c>
      <c r="H600">
        <v>16</v>
      </c>
      <c r="I600">
        <v>93</v>
      </c>
      <c r="J600">
        <v>10.8950899075534</v>
      </c>
      <c r="K600" t="b">
        <f t="shared" si="36"/>
        <v>1</v>
      </c>
      <c r="L600">
        <f t="shared" si="37"/>
        <v>393.2947682149665</v>
      </c>
      <c r="M600">
        <f t="shared" si="38"/>
        <v>1573.179072859866</v>
      </c>
      <c r="N600">
        <f t="shared" si="39"/>
        <v>1922.4248270347562</v>
      </c>
    </row>
    <row r="601" spans="1:14" x14ac:dyDescent="0.35">
      <c r="A601" t="s">
        <v>49</v>
      </c>
      <c r="B601">
        <v>16</v>
      </c>
      <c r="C601" t="s">
        <v>50</v>
      </c>
      <c r="D601">
        <v>94</v>
      </c>
      <c r="E601">
        <v>328.98012831406697</v>
      </c>
      <c r="F601">
        <v>54.973770541864901</v>
      </c>
      <c r="G601" t="s">
        <v>49</v>
      </c>
      <c r="H601">
        <v>16</v>
      </c>
      <c r="I601">
        <v>94</v>
      </c>
      <c r="J601">
        <v>10.9413236259965</v>
      </c>
      <c r="K601" t="b">
        <f t="shared" si="36"/>
        <v>1</v>
      </c>
      <c r="L601">
        <f t="shared" si="37"/>
        <v>394.89522248192839</v>
      </c>
      <c r="M601">
        <f t="shared" si="38"/>
        <v>1579.5808899277135</v>
      </c>
      <c r="N601">
        <f t="shared" si="39"/>
        <v>1930.2478474916659</v>
      </c>
    </row>
    <row r="602" spans="1:14" x14ac:dyDescent="0.35">
      <c r="A602" t="s">
        <v>49</v>
      </c>
      <c r="B602">
        <v>16</v>
      </c>
      <c r="C602" t="s">
        <v>50</v>
      </c>
      <c r="D602">
        <v>95</v>
      </c>
      <c r="E602">
        <v>330.23227784191403</v>
      </c>
      <c r="F602">
        <v>55.234385474882302</v>
      </c>
      <c r="G602" t="s">
        <v>49</v>
      </c>
      <c r="H602">
        <v>16</v>
      </c>
      <c r="I602">
        <v>95</v>
      </c>
      <c r="J602">
        <v>10.9863774433611</v>
      </c>
      <c r="K602" t="b">
        <f t="shared" si="36"/>
        <v>1</v>
      </c>
      <c r="L602">
        <f t="shared" si="37"/>
        <v>396.45304076015742</v>
      </c>
      <c r="M602">
        <f t="shared" si="38"/>
        <v>1585.8121630406297</v>
      </c>
      <c r="N602">
        <f t="shared" si="39"/>
        <v>1937.8624632356493</v>
      </c>
    </row>
    <row r="603" spans="1:14" x14ac:dyDescent="0.35">
      <c r="A603" t="s">
        <v>49</v>
      </c>
      <c r="B603">
        <v>16</v>
      </c>
      <c r="C603" t="s">
        <v>50</v>
      </c>
      <c r="D603">
        <v>96</v>
      </c>
      <c r="E603">
        <v>331.452200059993</v>
      </c>
      <c r="F603">
        <v>55.486969116248801</v>
      </c>
      <c r="G603" t="s">
        <v>49</v>
      </c>
      <c r="H603">
        <v>16</v>
      </c>
      <c r="I603">
        <v>96</v>
      </c>
      <c r="J603">
        <v>11.0302792561685</v>
      </c>
      <c r="K603" t="b">
        <f t="shared" si="36"/>
        <v>1</v>
      </c>
      <c r="L603">
        <f t="shared" si="37"/>
        <v>397.96944843241033</v>
      </c>
      <c r="M603">
        <f t="shared" si="38"/>
        <v>1591.8777937296413</v>
      </c>
      <c r="N603">
        <f t="shared" si="39"/>
        <v>1945.2746639376217</v>
      </c>
    </row>
    <row r="604" spans="1:14" x14ac:dyDescent="0.35">
      <c r="A604" t="s">
        <v>49</v>
      </c>
      <c r="B604">
        <v>16</v>
      </c>
      <c r="C604" t="s">
        <v>50</v>
      </c>
      <c r="D604">
        <v>97</v>
      </c>
      <c r="E604">
        <v>332.64074825394601</v>
      </c>
      <c r="F604">
        <v>55.731828285297702</v>
      </c>
      <c r="G604" t="s">
        <v>49</v>
      </c>
      <c r="H604">
        <v>16</v>
      </c>
      <c r="I604">
        <v>97</v>
      </c>
      <c r="J604">
        <v>11.073057172234</v>
      </c>
      <c r="K604" t="b">
        <f t="shared" si="36"/>
        <v>1</v>
      </c>
      <c r="L604">
        <f t="shared" si="37"/>
        <v>399.44563371147768</v>
      </c>
      <c r="M604">
        <f t="shared" si="38"/>
        <v>1597.7825348459107</v>
      </c>
      <c r="N604">
        <f t="shared" si="39"/>
        <v>1952.490257581703</v>
      </c>
    </row>
    <row r="605" spans="1:14" x14ac:dyDescent="0.35">
      <c r="A605" t="s">
        <v>49</v>
      </c>
      <c r="B605">
        <v>16</v>
      </c>
      <c r="C605" t="s">
        <v>50</v>
      </c>
      <c r="D605">
        <v>98</v>
      </c>
      <c r="E605">
        <v>333.79875407841098</v>
      </c>
      <c r="F605">
        <v>55.969255235563601</v>
      </c>
      <c r="G605" t="s">
        <v>49</v>
      </c>
      <c r="H605">
        <v>16</v>
      </c>
      <c r="I605">
        <v>98</v>
      </c>
      <c r="J605">
        <v>11.114739214572801</v>
      </c>
      <c r="K605" t="b">
        <f t="shared" si="36"/>
        <v>1</v>
      </c>
      <c r="L605">
        <f t="shared" si="37"/>
        <v>400.88274852854738</v>
      </c>
      <c r="M605">
        <f t="shared" si="38"/>
        <v>1603.5309941141895</v>
      </c>
      <c r="N605">
        <f t="shared" si="39"/>
        <v>1959.5148748075396</v>
      </c>
    </row>
    <row r="606" spans="1:14" x14ac:dyDescent="0.35">
      <c r="A606" t="s">
        <v>49</v>
      </c>
      <c r="B606">
        <v>16</v>
      </c>
      <c r="C606" t="s">
        <v>50</v>
      </c>
      <c r="D606">
        <v>99</v>
      </c>
      <c r="E606">
        <v>334.92702687751199</v>
      </c>
      <c r="F606">
        <v>56.199529492951498</v>
      </c>
      <c r="G606" t="s">
        <v>49</v>
      </c>
      <c r="H606">
        <v>16</v>
      </c>
      <c r="I606">
        <v>99</v>
      </c>
      <c r="J606">
        <v>11.155353121018701</v>
      </c>
      <c r="K606" t="b">
        <f t="shared" si="36"/>
        <v>1</v>
      </c>
      <c r="L606">
        <f t="shared" si="37"/>
        <v>402.28190949148222</v>
      </c>
      <c r="M606">
        <f t="shared" si="38"/>
        <v>1609.1276379659289</v>
      </c>
      <c r="N606">
        <f t="shared" si="39"/>
        <v>1966.353973594365</v>
      </c>
    </row>
    <row r="607" spans="1:14" x14ac:dyDescent="0.35">
      <c r="A607" t="s">
        <v>49</v>
      </c>
      <c r="B607">
        <v>16</v>
      </c>
      <c r="C607" t="s">
        <v>50</v>
      </c>
      <c r="D607">
        <v>100</v>
      </c>
      <c r="E607">
        <v>336.026353648954</v>
      </c>
      <c r="F607">
        <v>56.422919020930003</v>
      </c>
      <c r="G607" t="s">
        <v>49</v>
      </c>
      <c r="H607">
        <v>16</v>
      </c>
      <c r="I607">
        <v>100</v>
      </c>
      <c r="J607">
        <v>11.194926210475399</v>
      </c>
      <c r="K607" t="b">
        <f t="shared" si="36"/>
        <v>1</v>
      </c>
      <c r="L607">
        <f t="shared" si="37"/>
        <v>403.6441988803594</v>
      </c>
      <c r="M607">
        <f t="shared" si="38"/>
        <v>1614.5767955214376</v>
      </c>
      <c r="N607">
        <f t="shared" si="39"/>
        <v>1973.0128441271968</v>
      </c>
    </row>
    <row r="608" spans="1:14" x14ac:dyDescent="0.35">
      <c r="A608" t="s">
        <v>49</v>
      </c>
      <c r="B608">
        <v>18</v>
      </c>
      <c r="C608" t="s">
        <v>50</v>
      </c>
      <c r="D608">
        <v>0</v>
      </c>
      <c r="E608">
        <v>0</v>
      </c>
      <c r="F608">
        <v>0</v>
      </c>
      <c r="G608" t="s">
        <v>49</v>
      </c>
      <c r="H608">
        <v>18</v>
      </c>
      <c r="I608">
        <v>0</v>
      </c>
      <c r="J608">
        <v>0</v>
      </c>
      <c r="K608" t="b">
        <f t="shared" si="36"/>
        <v>1</v>
      </c>
      <c r="L608">
        <f t="shared" si="37"/>
        <v>0</v>
      </c>
      <c r="M608">
        <f t="shared" si="38"/>
        <v>0</v>
      </c>
      <c r="N608">
        <f t="shared" si="39"/>
        <v>0</v>
      </c>
    </row>
    <row r="609" spans="1:14" x14ac:dyDescent="0.35">
      <c r="A609" t="s">
        <v>49</v>
      </c>
      <c r="B609">
        <v>18</v>
      </c>
      <c r="C609" t="s">
        <v>50</v>
      </c>
      <c r="D609">
        <v>1</v>
      </c>
      <c r="E609">
        <v>0.20640029311883401</v>
      </c>
      <c r="F609">
        <v>1.07215365376373E-3</v>
      </c>
      <c r="G609" t="s">
        <v>49</v>
      </c>
      <c r="H609">
        <v>18</v>
      </c>
      <c r="I609">
        <v>1</v>
      </c>
      <c r="J609">
        <v>2.33491138290897E-3</v>
      </c>
      <c r="K609" t="b">
        <f t="shared" si="36"/>
        <v>1</v>
      </c>
      <c r="L609">
        <f t="shared" si="37"/>
        <v>0.20980735815550672</v>
      </c>
      <c r="M609">
        <f t="shared" si="38"/>
        <v>0.83922943262202687</v>
      </c>
      <c r="N609">
        <f t="shared" si="39"/>
        <v>1.0255383666641169</v>
      </c>
    </row>
    <row r="610" spans="1:14" x14ac:dyDescent="0.35">
      <c r="A610" t="s">
        <v>49</v>
      </c>
      <c r="B610">
        <v>18</v>
      </c>
      <c r="C610" t="s">
        <v>50</v>
      </c>
      <c r="D610">
        <v>2</v>
      </c>
      <c r="E610">
        <v>0.46440065951737503</v>
      </c>
      <c r="F610">
        <v>3.4523347651192302E-3</v>
      </c>
      <c r="G610" t="s">
        <v>49</v>
      </c>
      <c r="H610">
        <v>18</v>
      </c>
      <c r="I610">
        <v>2</v>
      </c>
      <c r="J610">
        <v>6.7219049231737396E-3</v>
      </c>
      <c r="K610" t="b">
        <f t="shared" si="36"/>
        <v>1</v>
      </c>
      <c r="L610">
        <f t="shared" si="37"/>
        <v>0.47457489920566803</v>
      </c>
      <c r="M610">
        <f t="shared" si="38"/>
        <v>1.8982995968226721</v>
      </c>
      <c r="N610">
        <f t="shared" si="39"/>
        <v>2.3197221073173053</v>
      </c>
    </row>
    <row r="611" spans="1:14" x14ac:dyDescent="0.35">
      <c r="A611" t="s">
        <v>49</v>
      </c>
      <c r="B611">
        <v>18</v>
      </c>
      <c r="C611" t="s">
        <v>50</v>
      </c>
      <c r="D611">
        <v>3</v>
      </c>
      <c r="E611">
        <v>0.78690111751555303</v>
      </c>
      <c r="F611">
        <v>7.4363505271398799E-3</v>
      </c>
      <c r="G611" t="s">
        <v>49</v>
      </c>
      <c r="H611">
        <v>18</v>
      </c>
      <c r="I611">
        <v>3</v>
      </c>
      <c r="J611">
        <v>1.3150448614225201E-2</v>
      </c>
      <c r="K611" t="b">
        <f t="shared" si="36"/>
        <v>1</v>
      </c>
      <c r="L611">
        <f t="shared" si="37"/>
        <v>0.8074879166569181</v>
      </c>
      <c r="M611">
        <f t="shared" si="38"/>
        <v>3.2299516666276724</v>
      </c>
      <c r="N611">
        <f t="shared" si="39"/>
        <v>3.9470009366190157</v>
      </c>
    </row>
    <row r="612" spans="1:14" x14ac:dyDescent="0.35">
      <c r="A612" t="s">
        <v>49</v>
      </c>
      <c r="B612">
        <v>18</v>
      </c>
      <c r="C612" t="s">
        <v>50</v>
      </c>
      <c r="D612">
        <v>4</v>
      </c>
      <c r="E612">
        <v>1.1900266900132701</v>
      </c>
      <c r="F612">
        <v>1.3394895921307199E-2</v>
      </c>
      <c r="G612" t="s">
        <v>49</v>
      </c>
      <c r="H612">
        <v>18</v>
      </c>
      <c r="I612">
        <v>4</v>
      </c>
      <c r="J612">
        <v>2.1809135453818101E-2</v>
      </c>
      <c r="K612" t="b">
        <f t="shared" si="36"/>
        <v>1</v>
      </c>
      <c r="L612">
        <f t="shared" si="37"/>
        <v>1.2252307213883955</v>
      </c>
      <c r="M612">
        <f t="shared" si="38"/>
        <v>4.900922885553582</v>
      </c>
      <c r="N612">
        <f t="shared" si="39"/>
        <v>5.9889277661464773</v>
      </c>
    </row>
    <row r="613" spans="1:14" x14ac:dyDescent="0.35">
      <c r="A613" t="s">
        <v>49</v>
      </c>
      <c r="B613">
        <v>18</v>
      </c>
      <c r="C613" t="s">
        <v>50</v>
      </c>
      <c r="D613">
        <v>5</v>
      </c>
      <c r="E613">
        <v>1.6939336556354201</v>
      </c>
      <c r="F613">
        <v>2.1792247584908699E-2</v>
      </c>
      <c r="G613" t="s">
        <v>49</v>
      </c>
      <c r="H613">
        <v>18</v>
      </c>
      <c r="I613">
        <v>5</v>
      </c>
      <c r="J613">
        <v>3.3053696710298203E-2</v>
      </c>
      <c r="K613" t="b">
        <f t="shared" si="36"/>
        <v>1</v>
      </c>
      <c r="L613">
        <f t="shared" si="37"/>
        <v>1.7487795999306268</v>
      </c>
      <c r="M613">
        <f t="shared" si="38"/>
        <v>6.9951183997225073</v>
      </c>
      <c r="N613">
        <f t="shared" si="39"/>
        <v>8.5480346844609034</v>
      </c>
    </row>
    <row r="614" spans="1:14" x14ac:dyDescent="0.35">
      <c r="A614" t="s">
        <v>49</v>
      </c>
      <c r="B614">
        <v>18</v>
      </c>
      <c r="C614" t="s">
        <v>50</v>
      </c>
      <c r="D614">
        <v>6</v>
      </c>
      <c r="E614">
        <v>2.32381736266312</v>
      </c>
      <c r="F614">
        <v>3.3209631987675903E-2</v>
      </c>
      <c r="G614" t="s">
        <v>49</v>
      </c>
      <c r="H614">
        <v>18</v>
      </c>
      <c r="I614">
        <v>6</v>
      </c>
      <c r="J614">
        <v>4.7401147601095303E-2</v>
      </c>
      <c r="K614" t="b">
        <f t="shared" si="36"/>
        <v>1</v>
      </c>
      <c r="L614">
        <f t="shared" si="37"/>
        <v>2.4044281422518909</v>
      </c>
      <c r="M614">
        <f t="shared" si="38"/>
        <v>9.6177125690075638</v>
      </c>
      <c r="N614">
        <f t="shared" si="39"/>
        <v>11.752844759327242</v>
      </c>
    </row>
    <row r="615" spans="1:14" x14ac:dyDescent="0.35">
      <c r="A615" t="s">
        <v>49</v>
      </c>
      <c r="B615">
        <v>18</v>
      </c>
      <c r="C615" t="s">
        <v>50</v>
      </c>
      <c r="D615">
        <v>7</v>
      </c>
      <c r="E615">
        <v>3.1111719964477298</v>
      </c>
      <c r="F615">
        <v>4.8374436469702603E-2</v>
      </c>
      <c r="G615" t="s">
        <v>49</v>
      </c>
      <c r="H615">
        <v>18</v>
      </c>
      <c r="I615">
        <v>7</v>
      </c>
      <c r="J615">
        <v>6.5542121236857306E-2</v>
      </c>
      <c r="K615" t="b">
        <f t="shared" si="36"/>
        <v>1</v>
      </c>
      <c r="L615">
        <f t="shared" si="37"/>
        <v>3.2250885541542895</v>
      </c>
      <c r="M615">
        <f t="shared" si="38"/>
        <v>12.900354216617158</v>
      </c>
      <c r="N615">
        <f t="shared" si="39"/>
        <v>15.764232852706167</v>
      </c>
    </row>
    <row r="616" spans="1:14" x14ac:dyDescent="0.35">
      <c r="A616" t="s">
        <v>49</v>
      </c>
      <c r="B616">
        <v>18</v>
      </c>
      <c r="C616" t="s">
        <v>50</v>
      </c>
      <c r="D616">
        <v>8</v>
      </c>
      <c r="E616">
        <v>4.0953652886784901</v>
      </c>
      <c r="F616">
        <v>6.8196723831446399E-2</v>
      </c>
      <c r="G616" t="s">
        <v>49</v>
      </c>
      <c r="H616">
        <v>18</v>
      </c>
      <c r="I616">
        <v>8</v>
      </c>
      <c r="J616">
        <v>8.8367654591646402E-2</v>
      </c>
      <c r="K616" t="b">
        <f t="shared" si="36"/>
        <v>1</v>
      </c>
      <c r="L616">
        <f t="shared" si="37"/>
        <v>4.2519296671015834</v>
      </c>
      <c r="M616">
        <f t="shared" si="38"/>
        <v>17.007718668406334</v>
      </c>
      <c r="N616">
        <f t="shared" si="39"/>
        <v>20.78343221279254</v>
      </c>
    </row>
    <row r="617" spans="1:14" x14ac:dyDescent="0.35">
      <c r="A617" t="s">
        <v>49</v>
      </c>
      <c r="B617">
        <v>18</v>
      </c>
      <c r="C617" t="s">
        <v>50</v>
      </c>
      <c r="D617">
        <v>9</v>
      </c>
      <c r="E617">
        <v>5.3256069039669596</v>
      </c>
      <c r="F617">
        <v>9.3814876340060305E-2</v>
      </c>
      <c r="G617" t="s">
        <v>49</v>
      </c>
      <c r="H617">
        <v>18</v>
      </c>
      <c r="I617">
        <v>9</v>
      </c>
      <c r="J617">
        <v>0.117009288298102</v>
      </c>
      <c r="K617" t="b">
        <f t="shared" si="36"/>
        <v>1</v>
      </c>
      <c r="L617">
        <f t="shared" si="37"/>
        <v>5.5364310686051219</v>
      </c>
      <c r="M617">
        <f t="shared" si="38"/>
        <v>22.145724274420488</v>
      </c>
      <c r="N617">
        <f t="shared" si="39"/>
        <v>27.062075063341837</v>
      </c>
    </row>
    <row r="618" spans="1:14" x14ac:dyDescent="0.35">
      <c r="A618" t="s">
        <v>49</v>
      </c>
      <c r="B618">
        <v>18</v>
      </c>
      <c r="C618" t="s">
        <v>50</v>
      </c>
      <c r="D618">
        <v>10</v>
      </c>
      <c r="E618">
        <v>6.8634089230775297</v>
      </c>
      <c r="F618">
        <v>0.12665265148306901</v>
      </c>
      <c r="G618" t="s">
        <v>49</v>
      </c>
      <c r="H618">
        <v>18</v>
      </c>
      <c r="I618">
        <v>10</v>
      </c>
      <c r="J618">
        <v>0.15289307432289101</v>
      </c>
      <c r="K618" t="b">
        <f t="shared" si="36"/>
        <v>1</v>
      </c>
      <c r="L618">
        <f t="shared" si="37"/>
        <v>7.1429546488834896</v>
      </c>
      <c r="M618">
        <f t="shared" si="38"/>
        <v>28.571818595533959</v>
      </c>
      <c r="N618">
        <f t="shared" si="39"/>
        <v>34.914762323742494</v>
      </c>
    </row>
    <row r="619" spans="1:14" x14ac:dyDescent="0.35">
      <c r="A619" t="s">
        <v>49</v>
      </c>
      <c r="B619">
        <v>18</v>
      </c>
      <c r="C619" t="s">
        <v>50</v>
      </c>
      <c r="D619">
        <v>11</v>
      </c>
      <c r="E619">
        <v>8.7856614469657401</v>
      </c>
      <c r="F619">
        <v>0.16849050238385299</v>
      </c>
      <c r="G619" t="s">
        <v>49</v>
      </c>
      <c r="H619">
        <v>18</v>
      </c>
      <c r="I619">
        <v>11</v>
      </c>
      <c r="J619">
        <v>0.19780938771728901</v>
      </c>
      <c r="K619" t="b">
        <f t="shared" si="36"/>
        <v>1</v>
      </c>
      <c r="L619">
        <f t="shared" si="37"/>
        <v>9.1519613370668829</v>
      </c>
      <c r="M619">
        <f t="shared" si="38"/>
        <v>36.607845348267531</v>
      </c>
      <c r="N619">
        <f t="shared" si="39"/>
        <v>44.734787015582924</v>
      </c>
    </row>
    <row r="620" spans="1:14" x14ac:dyDescent="0.35">
      <c r="A620" t="s">
        <v>49</v>
      </c>
      <c r="B620">
        <v>18</v>
      </c>
      <c r="C620" t="s">
        <v>50</v>
      </c>
      <c r="D620">
        <v>12</v>
      </c>
      <c r="E620">
        <v>11.188477101826001</v>
      </c>
      <c r="F620">
        <v>0.22155472902269699</v>
      </c>
      <c r="G620" t="s">
        <v>49</v>
      </c>
      <c r="H620">
        <v>18</v>
      </c>
      <c r="I620">
        <v>12</v>
      </c>
      <c r="J620">
        <v>0.25400157415193098</v>
      </c>
      <c r="K620" t="b">
        <f t="shared" si="36"/>
        <v>1</v>
      </c>
      <c r="L620">
        <f t="shared" si="37"/>
        <v>11.664033405000628</v>
      </c>
      <c r="M620">
        <f t="shared" si="38"/>
        <v>46.656133620002514</v>
      </c>
      <c r="N620">
        <f t="shared" si="39"/>
        <v>57.01379528364307</v>
      </c>
    </row>
    <row r="621" spans="1:14" x14ac:dyDescent="0.35">
      <c r="A621" t="s">
        <v>49</v>
      </c>
      <c r="B621">
        <v>18</v>
      </c>
      <c r="C621" t="s">
        <v>50</v>
      </c>
      <c r="D621">
        <v>13</v>
      </c>
      <c r="E621">
        <v>14.1919966704013</v>
      </c>
      <c r="F621">
        <v>0.28862891794373002</v>
      </c>
      <c r="G621" t="s">
        <v>49</v>
      </c>
      <c r="H621">
        <v>18</v>
      </c>
      <c r="I621">
        <v>13</v>
      </c>
      <c r="J621">
        <v>0.32427760337060801</v>
      </c>
      <c r="K621" t="b">
        <f t="shared" si="36"/>
        <v>1</v>
      </c>
      <c r="L621">
        <f t="shared" si="37"/>
        <v>14.804903191715638</v>
      </c>
      <c r="M621">
        <f t="shared" si="38"/>
        <v>59.219612766862554</v>
      </c>
      <c r="N621">
        <f t="shared" si="39"/>
        <v>72.366366801106039</v>
      </c>
    </row>
    <row r="622" spans="1:14" x14ac:dyDescent="0.35">
      <c r="A622" t="s">
        <v>49</v>
      </c>
      <c r="B622">
        <v>18</v>
      </c>
      <c r="C622" t="s">
        <v>50</v>
      </c>
      <c r="D622">
        <v>14</v>
      </c>
      <c r="E622">
        <v>17.946396131120501</v>
      </c>
      <c r="F622">
        <v>0.37319324254882302</v>
      </c>
      <c r="G622" t="s">
        <v>49</v>
      </c>
      <c r="H622">
        <v>18</v>
      </c>
      <c r="I622">
        <v>14</v>
      </c>
      <c r="J622">
        <v>0.41215016105723501</v>
      </c>
      <c r="K622" t="b">
        <f t="shared" si="36"/>
        <v>1</v>
      </c>
      <c r="L622">
        <f t="shared" si="37"/>
        <v>18.731739534726557</v>
      </c>
      <c r="M622">
        <f t="shared" si="38"/>
        <v>74.92695813890623</v>
      </c>
      <c r="N622">
        <f t="shared" si="39"/>
        <v>91.560742845743405</v>
      </c>
    </row>
    <row r="623" spans="1:14" x14ac:dyDescent="0.35">
      <c r="A623" t="s">
        <v>49</v>
      </c>
      <c r="B623">
        <v>18</v>
      </c>
      <c r="C623" t="s">
        <v>50</v>
      </c>
      <c r="D623">
        <v>15</v>
      </c>
      <c r="E623">
        <v>22.6393954570195</v>
      </c>
      <c r="F623">
        <v>0.479598589105379</v>
      </c>
      <c r="G623" t="s">
        <v>49</v>
      </c>
      <c r="H623">
        <v>18</v>
      </c>
      <c r="I623">
        <v>15</v>
      </c>
      <c r="J623">
        <v>0.52201209746462796</v>
      </c>
      <c r="K623" t="b">
        <f t="shared" si="36"/>
        <v>1</v>
      </c>
      <c r="L623">
        <f t="shared" si="37"/>
        <v>23.641006143589507</v>
      </c>
      <c r="M623">
        <f t="shared" si="38"/>
        <v>94.564024574358029</v>
      </c>
      <c r="N623">
        <f t="shared" si="39"/>
        <v>115.55723802986552</v>
      </c>
    </row>
    <row r="624" spans="1:14" x14ac:dyDescent="0.35">
      <c r="A624" t="s">
        <v>49</v>
      </c>
      <c r="B624">
        <v>18</v>
      </c>
      <c r="C624" t="s">
        <v>50</v>
      </c>
      <c r="D624">
        <v>16</v>
      </c>
      <c r="E624">
        <v>28.087389000000002</v>
      </c>
      <c r="F624">
        <v>0.61111157123221804</v>
      </c>
      <c r="G624" t="s">
        <v>49</v>
      </c>
      <c r="H624">
        <v>18</v>
      </c>
      <c r="I624">
        <v>16</v>
      </c>
      <c r="J624">
        <v>0.65462442253589403</v>
      </c>
      <c r="K624" t="b">
        <f t="shared" si="36"/>
        <v>1</v>
      </c>
      <c r="L624">
        <f t="shared" si="37"/>
        <v>29.353124993768112</v>
      </c>
      <c r="M624">
        <f t="shared" si="38"/>
        <v>117.41249997507245</v>
      </c>
      <c r="N624">
        <f t="shared" si="39"/>
        <v>143.47807496953854</v>
      </c>
    </row>
    <row r="625" spans="1:14" x14ac:dyDescent="0.35">
      <c r="A625" t="s">
        <v>49</v>
      </c>
      <c r="B625">
        <v>18</v>
      </c>
      <c r="C625" t="s">
        <v>50</v>
      </c>
      <c r="D625">
        <v>17</v>
      </c>
      <c r="E625">
        <v>33.558723000000001</v>
      </c>
      <c r="F625">
        <v>0.76710020269525103</v>
      </c>
      <c r="G625" t="s">
        <v>49</v>
      </c>
      <c r="H625">
        <v>18</v>
      </c>
      <c r="I625">
        <v>17</v>
      </c>
      <c r="J625">
        <v>0.80228344036908505</v>
      </c>
      <c r="K625" t="b">
        <f t="shared" si="36"/>
        <v>1</v>
      </c>
      <c r="L625">
        <f t="shared" si="37"/>
        <v>35.128106643064342</v>
      </c>
      <c r="M625">
        <f t="shared" si="38"/>
        <v>140.51242657225737</v>
      </c>
      <c r="N625">
        <f t="shared" si="39"/>
        <v>171.70618527129849</v>
      </c>
    </row>
    <row r="626" spans="1:14" x14ac:dyDescent="0.35">
      <c r="A626" t="s">
        <v>49</v>
      </c>
      <c r="B626">
        <v>18</v>
      </c>
      <c r="C626" t="s">
        <v>50</v>
      </c>
      <c r="D626">
        <v>18</v>
      </c>
      <c r="E626">
        <v>39.030056999999999</v>
      </c>
      <c r="F626">
        <v>0.94683021401439404</v>
      </c>
      <c r="G626" t="s">
        <v>49</v>
      </c>
      <c r="H626">
        <v>18</v>
      </c>
      <c r="I626">
        <v>18</v>
      </c>
      <c r="J626">
        <v>0.95995551113265998</v>
      </c>
      <c r="K626" t="b">
        <f t="shared" si="36"/>
        <v>1</v>
      </c>
      <c r="L626">
        <f t="shared" si="37"/>
        <v>40.936842725147059</v>
      </c>
      <c r="M626">
        <f t="shared" si="38"/>
        <v>163.74737090058824</v>
      </c>
      <c r="N626">
        <f t="shared" si="39"/>
        <v>200.09928724051883</v>
      </c>
    </row>
    <row r="627" spans="1:14" x14ac:dyDescent="0.35">
      <c r="A627" t="s">
        <v>49</v>
      </c>
      <c r="B627">
        <v>18</v>
      </c>
      <c r="C627" t="s">
        <v>50</v>
      </c>
      <c r="D627">
        <v>19</v>
      </c>
      <c r="E627">
        <v>44.501390999999998</v>
      </c>
      <c r="F627">
        <v>1.14958936379396</v>
      </c>
      <c r="G627" t="s">
        <v>49</v>
      </c>
      <c r="H627">
        <v>18</v>
      </c>
      <c r="I627">
        <v>19</v>
      </c>
      <c r="J627">
        <v>1.1244584963295301</v>
      </c>
      <c r="K627" t="b">
        <f t="shared" si="36"/>
        <v>1</v>
      </c>
      <c r="L627">
        <f t="shared" si="37"/>
        <v>46.775438860123487</v>
      </c>
      <c r="M627">
        <f t="shared" si="38"/>
        <v>187.10175544049395</v>
      </c>
      <c r="N627">
        <f t="shared" si="39"/>
        <v>228.63834514828361</v>
      </c>
    </row>
    <row r="628" spans="1:14" x14ac:dyDescent="0.35">
      <c r="A628" t="s">
        <v>49</v>
      </c>
      <c r="B628">
        <v>18</v>
      </c>
      <c r="C628" t="s">
        <v>50</v>
      </c>
      <c r="D628">
        <v>20</v>
      </c>
      <c r="E628">
        <v>49.972724999999997</v>
      </c>
      <c r="F628">
        <v>1.3746867778801399</v>
      </c>
      <c r="G628" t="s">
        <v>49</v>
      </c>
      <c r="H628">
        <v>18</v>
      </c>
      <c r="I628">
        <v>20</v>
      </c>
      <c r="J628">
        <v>1.29373314724166</v>
      </c>
      <c r="K628" t="b">
        <f t="shared" si="36"/>
        <v>1</v>
      </c>
      <c r="L628">
        <f t="shared" si="37"/>
        <v>52.6411449251218</v>
      </c>
      <c r="M628">
        <f t="shared" si="38"/>
        <v>210.5645797004872</v>
      </c>
      <c r="N628">
        <f t="shared" si="39"/>
        <v>257.30991639399537</v>
      </c>
    </row>
    <row r="629" spans="1:14" x14ac:dyDescent="0.35">
      <c r="A629" t="s">
        <v>49</v>
      </c>
      <c r="B629">
        <v>18</v>
      </c>
      <c r="C629" t="s">
        <v>50</v>
      </c>
      <c r="D629">
        <v>21</v>
      </c>
      <c r="E629">
        <v>56.971926000000003</v>
      </c>
      <c r="F629">
        <v>1.62938886774374</v>
      </c>
      <c r="G629" t="s">
        <v>49</v>
      </c>
      <c r="H629">
        <v>18</v>
      </c>
      <c r="I629">
        <v>21</v>
      </c>
      <c r="J629">
        <v>1.4836975630939999</v>
      </c>
      <c r="K629" t="b">
        <f t="shared" si="36"/>
        <v>1</v>
      </c>
      <c r="L629">
        <f t="shared" si="37"/>
        <v>60.085012430837743</v>
      </c>
      <c r="M629">
        <f t="shared" si="38"/>
        <v>240.34004972335097</v>
      </c>
      <c r="N629">
        <f t="shared" si="39"/>
        <v>293.69554076193486</v>
      </c>
    </row>
    <row r="630" spans="1:14" x14ac:dyDescent="0.35">
      <c r="A630" t="s">
        <v>49</v>
      </c>
      <c r="B630">
        <v>18</v>
      </c>
      <c r="C630" t="s">
        <v>50</v>
      </c>
      <c r="D630">
        <v>22</v>
      </c>
      <c r="E630">
        <v>63.971126999999903</v>
      </c>
      <c r="F630">
        <v>1.9128074931114301</v>
      </c>
      <c r="G630" t="s">
        <v>49</v>
      </c>
      <c r="H630">
        <v>18</v>
      </c>
      <c r="I630">
        <v>22</v>
      </c>
      <c r="J630">
        <v>1.6870081779730199</v>
      </c>
      <c r="K630" t="b">
        <f t="shared" si="36"/>
        <v>1</v>
      </c>
      <c r="L630">
        <f t="shared" si="37"/>
        <v>67.570942671084367</v>
      </c>
      <c r="M630">
        <f t="shared" si="38"/>
        <v>270.28377068433747</v>
      </c>
      <c r="N630">
        <f t="shared" si="39"/>
        <v>330.28676777626038</v>
      </c>
    </row>
    <row r="631" spans="1:14" x14ac:dyDescent="0.35">
      <c r="A631" t="s">
        <v>49</v>
      </c>
      <c r="B631">
        <v>18</v>
      </c>
      <c r="C631" t="s">
        <v>50</v>
      </c>
      <c r="D631">
        <v>23</v>
      </c>
      <c r="E631">
        <v>70.970327999999995</v>
      </c>
      <c r="F631">
        <v>2.2240811579180799</v>
      </c>
      <c r="G631" t="s">
        <v>49</v>
      </c>
      <c r="H631">
        <v>18</v>
      </c>
      <c r="I631">
        <v>23</v>
      </c>
      <c r="J631">
        <v>1.8991424371573999</v>
      </c>
      <c r="K631" t="b">
        <f t="shared" si="36"/>
        <v>1</v>
      </c>
      <c r="L631">
        <f t="shared" si="37"/>
        <v>75.093551595075468</v>
      </c>
      <c r="M631">
        <f t="shared" si="38"/>
        <v>300.37420638030187</v>
      </c>
      <c r="N631">
        <f t="shared" si="39"/>
        <v>367.05728019672887</v>
      </c>
    </row>
    <row r="632" spans="1:14" x14ac:dyDescent="0.35">
      <c r="A632" t="s">
        <v>49</v>
      </c>
      <c r="B632">
        <v>18</v>
      </c>
      <c r="C632" t="s">
        <v>50</v>
      </c>
      <c r="D632">
        <v>24</v>
      </c>
      <c r="E632">
        <v>77.969528999999994</v>
      </c>
      <c r="F632">
        <v>2.5623742109805399</v>
      </c>
      <c r="G632" t="s">
        <v>49</v>
      </c>
      <c r="H632">
        <v>18</v>
      </c>
      <c r="I632">
        <v>24</v>
      </c>
      <c r="J632">
        <v>2.1172577060212499</v>
      </c>
      <c r="K632" t="b">
        <f t="shared" si="36"/>
        <v>1</v>
      </c>
      <c r="L632">
        <f t="shared" si="37"/>
        <v>82.64916091700178</v>
      </c>
      <c r="M632">
        <f t="shared" si="38"/>
        <v>330.59664366800712</v>
      </c>
      <c r="N632">
        <f t="shared" si="39"/>
        <v>403.98909856230472</v>
      </c>
    </row>
    <row r="633" spans="1:14" x14ac:dyDescent="0.35">
      <c r="A633" t="s">
        <v>49</v>
      </c>
      <c r="B633">
        <v>18</v>
      </c>
      <c r="C633" t="s">
        <v>50</v>
      </c>
      <c r="D633">
        <v>25</v>
      </c>
      <c r="E633">
        <v>84.968729999999994</v>
      </c>
      <c r="F633">
        <v>2.9268760706511299</v>
      </c>
      <c r="G633" t="s">
        <v>49</v>
      </c>
      <c r="H633">
        <v>18</v>
      </c>
      <c r="I633">
        <v>25</v>
      </c>
      <c r="J633">
        <v>2.3395259423910102</v>
      </c>
      <c r="K633" t="b">
        <f t="shared" si="36"/>
        <v>1</v>
      </c>
      <c r="L633">
        <f t="shared" si="37"/>
        <v>90.235132013042133</v>
      </c>
      <c r="M633">
        <f t="shared" si="38"/>
        <v>360.94052805216853</v>
      </c>
      <c r="N633">
        <f t="shared" si="39"/>
        <v>441.06932527974993</v>
      </c>
    </row>
    <row r="634" spans="1:14" x14ac:dyDescent="0.35">
      <c r="A634" t="s">
        <v>49</v>
      </c>
      <c r="B634">
        <v>18</v>
      </c>
      <c r="C634" t="s">
        <v>50</v>
      </c>
      <c r="D634">
        <v>26</v>
      </c>
      <c r="E634">
        <v>92.970405</v>
      </c>
      <c r="F634">
        <v>3.3220078595315901</v>
      </c>
      <c r="G634" t="s">
        <v>49</v>
      </c>
      <c r="H634">
        <v>18</v>
      </c>
      <c r="I634">
        <v>26</v>
      </c>
      <c r="J634">
        <v>2.5760829615852101</v>
      </c>
      <c r="K634" t="b">
        <f t="shared" si="36"/>
        <v>1</v>
      </c>
      <c r="L634">
        <f t="shared" si="37"/>
        <v>98.868495821116809</v>
      </c>
      <c r="M634">
        <f t="shared" si="38"/>
        <v>395.47398328446724</v>
      </c>
      <c r="N634">
        <f t="shared" si="39"/>
        <v>483.26920757361893</v>
      </c>
    </row>
    <row r="635" spans="1:14" x14ac:dyDescent="0.35">
      <c r="A635" t="s">
        <v>49</v>
      </c>
      <c r="B635">
        <v>18</v>
      </c>
      <c r="C635" t="s">
        <v>50</v>
      </c>
      <c r="D635">
        <v>27</v>
      </c>
      <c r="E635">
        <v>100.97208000000001</v>
      </c>
      <c r="F635">
        <v>3.74685067974564</v>
      </c>
      <c r="G635" t="s">
        <v>49</v>
      </c>
      <c r="H635">
        <v>18</v>
      </c>
      <c r="I635">
        <v>27</v>
      </c>
      <c r="J635">
        <v>2.8219059432048801</v>
      </c>
      <c r="K635" t="b">
        <f t="shared" si="36"/>
        <v>1</v>
      </c>
      <c r="L635">
        <f t="shared" si="37"/>
        <v>107.54083662295052</v>
      </c>
      <c r="M635">
        <f t="shared" si="38"/>
        <v>430.16334649180209</v>
      </c>
      <c r="N635">
        <f t="shared" si="39"/>
        <v>525.65960941298215</v>
      </c>
    </row>
    <row r="636" spans="1:14" x14ac:dyDescent="0.35">
      <c r="A636" t="s">
        <v>49</v>
      </c>
      <c r="B636">
        <v>18</v>
      </c>
      <c r="C636" t="s">
        <v>50</v>
      </c>
      <c r="D636">
        <v>28</v>
      </c>
      <c r="E636">
        <v>108.973755</v>
      </c>
      <c r="F636">
        <v>4.2005132003532699</v>
      </c>
      <c r="G636" t="s">
        <v>49</v>
      </c>
      <c r="H636">
        <v>18</v>
      </c>
      <c r="I636">
        <v>28</v>
      </c>
      <c r="J636">
        <v>3.0738885100148901</v>
      </c>
      <c r="K636" t="b">
        <f t="shared" si="36"/>
        <v>1</v>
      </c>
      <c r="L636">
        <f t="shared" si="37"/>
        <v>116.24815671036816</v>
      </c>
      <c r="M636">
        <f t="shared" si="38"/>
        <v>464.99262684147266</v>
      </c>
      <c r="N636">
        <f t="shared" si="39"/>
        <v>568.22099000027958</v>
      </c>
    </row>
    <row r="637" spans="1:14" x14ac:dyDescent="0.35">
      <c r="A637" t="s">
        <v>49</v>
      </c>
      <c r="B637">
        <v>18</v>
      </c>
      <c r="C637" t="s">
        <v>50</v>
      </c>
      <c r="D637">
        <v>29</v>
      </c>
      <c r="E637">
        <v>116.97543</v>
      </c>
      <c r="F637">
        <v>4.6821308303426799</v>
      </c>
      <c r="G637" t="s">
        <v>49</v>
      </c>
      <c r="H637">
        <v>18</v>
      </c>
      <c r="I637">
        <v>29</v>
      </c>
      <c r="J637">
        <v>3.3300687614343598</v>
      </c>
      <c r="K637" t="b">
        <f t="shared" si="36"/>
        <v>1</v>
      </c>
      <c r="L637">
        <f t="shared" si="37"/>
        <v>124.98762959177705</v>
      </c>
      <c r="M637">
        <f t="shared" si="38"/>
        <v>499.9505183671082</v>
      </c>
      <c r="N637">
        <f t="shared" si="39"/>
        <v>610.93953344460624</v>
      </c>
    </row>
    <row r="638" spans="1:14" x14ac:dyDescent="0.35">
      <c r="A638" t="s">
        <v>49</v>
      </c>
      <c r="B638">
        <v>18</v>
      </c>
      <c r="C638" t="s">
        <v>50</v>
      </c>
      <c r="D638">
        <v>30</v>
      </c>
      <c r="E638">
        <v>124.489786898966</v>
      </c>
      <c r="F638">
        <v>5.6164544602372803</v>
      </c>
      <c r="G638" t="s">
        <v>49</v>
      </c>
      <c r="H638">
        <v>18</v>
      </c>
      <c r="I638">
        <v>30</v>
      </c>
      <c r="J638">
        <v>3.5836656052393701</v>
      </c>
      <c r="K638" t="b">
        <f t="shared" si="36"/>
        <v>1</v>
      </c>
      <c r="L638">
        <f t="shared" si="37"/>
        <v>133.68990696444266</v>
      </c>
      <c r="M638">
        <f t="shared" si="38"/>
        <v>534.75962785777062</v>
      </c>
      <c r="N638">
        <f t="shared" si="39"/>
        <v>653.47626524219572</v>
      </c>
    </row>
    <row r="639" spans="1:14" x14ac:dyDescent="0.35">
      <c r="A639" t="s">
        <v>49</v>
      </c>
      <c r="B639">
        <v>18</v>
      </c>
      <c r="C639" t="s">
        <v>50</v>
      </c>
      <c r="D639">
        <v>31</v>
      </c>
      <c r="E639">
        <v>131.98295173412399</v>
      </c>
      <c r="F639">
        <v>6.7551282741157701</v>
      </c>
      <c r="G639" t="s">
        <v>49</v>
      </c>
      <c r="H639">
        <v>18</v>
      </c>
      <c r="I639">
        <v>31</v>
      </c>
      <c r="J639">
        <v>3.8356448853157699</v>
      </c>
      <c r="K639" t="b">
        <f t="shared" si="36"/>
        <v>1</v>
      </c>
      <c r="L639">
        <f t="shared" si="37"/>
        <v>142.57372489355552</v>
      </c>
      <c r="M639">
        <f t="shared" si="38"/>
        <v>570.29489957422209</v>
      </c>
      <c r="N639">
        <f t="shared" si="39"/>
        <v>696.90036727969937</v>
      </c>
    </row>
    <row r="640" spans="1:14" x14ac:dyDescent="0.35">
      <c r="A640" t="s">
        <v>49</v>
      </c>
      <c r="B640">
        <v>18</v>
      </c>
      <c r="C640" t="s">
        <v>50</v>
      </c>
      <c r="D640">
        <v>32</v>
      </c>
      <c r="E640">
        <v>139.30059236028501</v>
      </c>
      <c r="F640">
        <v>8.0440054502037892</v>
      </c>
      <c r="G640" t="s">
        <v>49</v>
      </c>
      <c r="H640">
        <v>18</v>
      </c>
      <c r="I640">
        <v>32</v>
      </c>
      <c r="J640">
        <v>4.0847751651939497</v>
      </c>
      <c r="K640" t="b">
        <f t="shared" si="36"/>
        <v>1</v>
      </c>
      <c r="L640">
        <f t="shared" si="37"/>
        <v>151.42937297568275</v>
      </c>
      <c r="M640">
        <f t="shared" si="38"/>
        <v>605.71749190273101</v>
      </c>
      <c r="N640">
        <f t="shared" si="39"/>
        <v>740.18677510513726</v>
      </c>
    </row>
    <row r="641" spans="1:14" x14ac:dyDescent="0.35">
      <c r="A641" t="s">
        <v>49</v>
      </c>
      <c r="B641">
        <v>18</v>
      </c>
      <c r="C641" t="s">
        <v>50</v>
      </c>
      <c r="D641">
        <v>33</v>
      </c>
      <c r="E641">
        <v>146.472233754336</v>
      </c>
      <c r="F641">
        <v>9.4502713443971995</v>
      </c>
      <c r="G641" t="s">
        <v>49</v>
      </c>
      <c r="H641">
        <v>18</v>
      </c>
      <c r="I641">
        <v>33</v>
      </c>
      <c r="J641">
        <v>4.3305580306486</v>
      </c>
      <c r="K641" t="b">
        <f t="shared" si="36"/>
        <v>1</v>
      </c>
      <c r="L641">
        <f t="shared" si="37"/>
        <v>160.25306312938181</v>
      </c>
      <c r="M641">
        <f t="shared" si="38"/>
        <v>641.01225251752726</v>
      </c>
      <c r="N641">
        <f t="shared" si="39"/>
        <v>783.31697257641827</v>
      </c>
    </row>
    <row r="642" spans="1:14" x14ac:dyDescent="0.35">
      <c r="A642" t="s">
        <v>49</v>
      </c>
      <c r="B642">
        <v>18</v>
      </c>
      <c r="C642" t="s">
        <v>50</v>
      </c>
      <c r="D642">
        <v>34</v>
      </c>
      <c r="E642">
        <v>153.514871573764</v>
      </c>
      <c r="F642">
        <v>10.9536064369812</v>
      </c>
      <c r="G642" t="s">
        <v>49</v>
      </c>
      <c r="H642">
        <v>18</v>
      </c>
      <c r="I642">
        <v>34</v>
      </c>
      <c r="J642">
        <v>4.5728192968689303</v>
      </c>
      <c r="K642" t="b">
        <f t="shared" si="36"/>
        <v>1</v>
      </c>
      <c r="L642">
        <f t="shared" si="37"/>
        <v>169.04129730761414</v>
      </c>
      <c r="M642">
        <f t="shared" si="38"/>
        <v>676.16518923045658</v>
      </c>
      <c r="N642">
        <f t="shared" si="39"/>
        <v>826.27386123961787</v>
      </c>
    </row>
    <row r="643" spans="1:14" x14ac:dyDescent="0.35">
      <c r="A643" t="s">
        <v>49</v>
      </c>
      <c r="B643">
        <v>18</v>
      </c>
      <c r="C643" t="s">
        <v>50</v>
      </c>
      <c r="D643">
        <v>35</v>
      </c>
      <c r="E643">
        <v>160.43808699806601</v>
      </c>
      <c r="F643">
        <v>12.541116475030901</v>
      </c>
      <c r="G643" t="s">
        <v>49</v>
      </c>
      <c r="H643">
        <v>18</v>
      </c>
      <c r="I643">
        <v>35</v>
      </c>
      <c r="J643">
        <v>4.8115151097845397</v>
      </c>
      <c r="K643" t="b">
        <f t="shared" ref="K643:K706" si="40">H643=B643</f>
        <v>1</v>
      </c>
      <c r="L643">
        <f t="shared" ref="L643:L706" si="41">E643+F643+J643</f>
        <v>177.79071858288145</v>
      </c>
      <c r="M643">
        <f t="shared" ref="M643:M706" si="42">(L643*2)*(100/50)</f>
        <v>711.16287433152581</v>
      </c>
      <c r="N643">
        <f t="shared" ref="N643:N706" si="43">M643*1.222</f>
        <v>869.04103243312454</v>
      </c>
    </row>
    <row r="644" spans="1:14" x14ac:dyDescent="0.35">
      <c r="A644" t="s">
        <v>49</v>
      </c>
      <c r="B644">
        <v>18</v>
      </c>
      <c r="C644" t="s">
        <v>50</v>
      </c>
      <c r="D644">
        <v>36</v>
      </c>
      <c r="E644">
        <v>166.958111927186</v>
      </c>
      <c r="F644">
        <v>14.0587841430939</v>
      </c>
      <c r="G644" t="s">
        <v>49</v>
      </c>
      <c r="H644">
        <v>18</v>
      </c>
      <c r="I644">
        <v>36</v>
      </c>
      <c r="J644">
        <v>5.04337543873367</v>
      </c>
      <c r="K644" t="b">
        <f t="shared" si="40"/>
        <v>1</v>
      </c>
      <c r="L644">
        <f t="shared" si="41"/>
        <v>186.06027150901357</v>
      </c>
      <c r="M644">
        <f t="shared" si="42"/>
        <v>744.2410860360543</v>
      </c>
      <c r="N644">
        <f t="shared" si="43"/>
        <v>909.4626071360583</v>
      </c>
    </row>
    <row r="645" spans="1:14" x14ac:dyDescent="0.35">
      <c r="A645" t="s">
        <v>49</v>
      </c>
      <c r="B645">
        <v>18</v>
      </c>
      <c r="C645" t="s">
        <v>50</v>
      </c>
      <c r="D645">
        <v>37</v>
      </c>
      <c r="E645">
        <v>173.477781651432</v>
      </c>
      <c r="F645">
        <v>15.5538822869822</v>
      </c>
      <c r="G645" t="s">
        <v>49</v>
      </c>
      <c r="H645">
        <v>18</v>
      </c>
      <c r="I645">
        <v>37</v>
      </c>
      <c r="J645">
        <v>5.2708773038616501</v>
      </c>
      <c r="K645" t="b">
        <f t="shared" si="40"/>
        <v>1</v>
      </c>
      <c r="L645">
        <f t="shared" si="41"/>
        <v>194.30254124227585</v>
      </c>
      <c r="M645">
        <f t="shared" si="42"/>
        <v>777.2101649691034</v>
      </c>
      <c r="N645">
        <f t="shared" si="43"/>
        <v>949.75082159224439</v>
      </c>
    </row>
    <row r="646" spans="1:14" x14ac:dyDescent="0.35">
      <c r="A646" t="s">
        <v>49</v>
      </c>
      <c r="B646">
        <v>18</v>
      </c>
      <c r="C646" t="s">
        <v>50</v>
      </c>
      <c r="D646">
        <v>38</v>
      </c>
      <c r="E646">
        <v>179.96636731456201</v>
      </c>
      <c r="F646">
        <v>17.054469201053902</v>
      </c>
      <c r="G646" t="s">
        <v>49</v>
      </c>
      <c r="H646">
        <v>18</v>
      </c>
      <c r="I646">
        <v>38</v>
      </c>
      <c r="J646">
        <v>5.4951838260842898</v>
      </c>
      <c r="K646" t="b">
        <f t="shared" si="40"/>
        <v>1</v>
      </c>
      <c r="L646">
        <f t="shared" si="41"/>
        <v>202.5160203417002</v>
      </c>
      <c r="M646">
        <f t="shared" si="42"/>
        <v>810.06408136680079</v>
      </c>
      <c r="N646">
        <f t="shared" si="43"/>
        <v>989.8983074302306</v>
      </c>
    </row>
    <row r="647" spans="1:14" x14ac:dyDescent="0.35">
      <c r="A647" t="s">
        <v>49</v>
      </c>
      <c r="B647">
        <v>18</v>
      </c>
      <c r="C647" t="s">
        <v>50</v>
      </c>
      <c r="D647">
        <v>39</v>
      </c>
      <c r="E647">
        <v>186.36787997031999</v>
      </c>
      <c r="F647">
        <v>18.576785379190401</v>
      </c>
      <c r="G647" t="s">
        <v>49</v>
      </c>
      <c r="H647">
        <v>18</v>
      </c>
      <c r="I647">
        <v>39</v>
      </c>
      <c r="J647">
        <v>5.7168029715128004</v>
      </c>
      <c r="K647" t="b">
        <f t="shared" si="40"/>
        <v>1</v>
      </c>
      <c r="L647">
        <f t="shared" si="41"/>
        <v>210.66146832102319</v>
      </c>
      <c r="M647">
        <f t="shared" si="42"/>
        <v>842.64587328409277</v>
      </c>
      <c r="N647">
        <f t="shared" si="43"/>
        <v>1029.7132571531613</v>
      </c>
    </row>
    <row r="648" spans="1:14" x14ac:dyDescent="0.35">
      <c r="A648" t="s">
        <v>49</v>
      </c>
      <c r="B648">
        <v>18</v>
      </c>
      <c r="C648" t="s">
        <v>50</v>
      </c>
      <c r="D648">
        <v>40</v>
      </c>
      <c r="E648">
        <v>192.67555844211901</v>
      </c>
      <c r="F648">
        <v>20.129903662933302</v>
      </c>
      <c r="G648" t="s">
        <v>49</v>
      </c>
      <c r="H648">
        <v>18</v>
      </c>
      <c r="I648">
        <v>40</v>
      </c>
      <c r="J648">
        <v>5.9359268668370602</v>
      </c>
      <c r="K648" t="b">
        <f t="shared" si="40"/>
        <v>1</v>
      </c>
      <c r="L648">
        <f t="shared" si="41"/>
        <v>218.74138897188936</v>
      </c>
      <c r="M648">
        <f t="shared" si="42"/>
        <v>874.96555588755746</v>
      </c>
      <c r="N648">
        <f t="shared" si="43"/>
        <v>1069.2079092945951</v>
      </c>
    </row>
    <row r="649" spans="1:14" x14ac:dyDescent="0.35">
      <c r="A649" t="s">
        <v>49</v>
      </c>
      <c r="B649">
        <v>18</v>
      </c>
      <c r="C649" t="s">
        <v>50</v>
      </c>
      <c r="D649">
        <v>41</v>
      </c>
      <c r="E649">
        <v>198.337871448398</v>
      </c>
      <c r="F649">
        <v>21.576101446573698</v>
      </c>
      <c r="G649" t="s">
        <v>49</v>
      </c>
      <c r="H649">
        <v>18</v>
      </c>
      <c r="I649">
        <v>41</v>
      </c>
      <c r="J649">
        <v>6.1459955507811097</v>
      </c>
      <c r="K649" t="b">
        <f t="shared" si="40"/>
        <v>1</v>
      </c>
      <c r="L649">
        <f t="shared" si="41"/>
        <v>226.05996844575282</v>
      </c>
      <c r="M649">
        <f t="shared" si="42"/>
        <v>904.23987378301126</v>
      </c>
      <c r="N649">
        <f t="shared" si="43"/>
        <v>1104.9811257628398</v>
      </c>
    </row>
    <row r="650" spans="1:14" x14ac:dyDescent="0.35">
      <c r="A650" t="s">
        <v>49</v>
      </c>
      <c r="B650">
        <v>18</v>
      </c>
      <c r="C650" t="s">
        <v>50</v>
      </c>
      <c r="D650">
        <v>42</v>
      </c>
      <c r="E650">
        <v>204.02990148127901</v>
      </c>
      <c r="F650">
        <v>22.973232108187801</v>
      </c>
      <c r="G650" t="s">
        <v>49</v>
      </c>
      <c r="H650">
        <v>18</v>
      </c>
      <c r="I650">
        <v>42</v>
      </c>
      <c r="J650">
        <v>6.3506114429906697</v>
      </c>
      <c r="K650" t="b">
        <f t="shared" si="40"/>
        <v>1</v>
      </c>
      <c r="L650">
        <f t="shared" si="41"/>
        <v>233.35374503245748</v>
      </c>
      <c r="M650">
        <f t="shared" si="42"/>
        <v>933.41498012982993</v>
      </c>
      <c r="N650">
        <f t="shared" si="43"/>
        <v>1140.6331057186521</v>
      </c>
    </row>
    <row r="651" spans="1:14" x14ac:dyDescent="0.35">
      <c r="A651" t="s">
        <v>49</v>
      </c>
      <c r="B651">
        <v>18</v>
      </c>
      <c r="C651" t="s">
        <v>50</v>
      </c>
      <c r="D651">
        <v>43</v>
      </c>
      <c r="E651">
        <v>209.71640633208901</v>
      </c>
      <c r="F651">
        <v>24.354834004767898</v>
      </c>
      <c r="G651" t="s">
        <v>49</v>
      </c>
      <c r="H651">
        <v>18</v>
      </c>
      <c r="I651">
        <v>43</v>
      </c>
      <c r="J651">
        <v>6.5515814637955003</v>
      </c>
      <c r="K651" t="b">
        <f t="shared" si="40"/>
        <v>1</v>
      </c>
      <c r="L651">
        <f t="shared" si="41"/>
        <v>240.62282180065239</v>
      </c>
      <c r="M651">
        <f t="shared" si="42"/>
        <v>962.49128720260956</v>
      </c>
      <c r="N651">
        <f t="shared" si="43"/>
        <v>1176.1643529615887</v>
      </c>
    </row>
    <row r="652" spans="1:14" x14ac:dyDescent="0.35">
      <c r="A652" t="s">
        <v>49</v>
      </c>
      <c r="B652">
        <v>18</v>
      </c>
      <c r="C652" t="s">
        <v>50</v>
      </c>
      <c r="D652">
        <v>44</v>
      </c>
      <c r="E652">
        <v>215.37659758394301</v>
      </c>
      <c r="F652">
        <v>25.740047427035599</v>
      </c>
      <c r="G652" t="s">
        <v>49</v>
      </c>
      <c r="H652">
        <v>18</v>
      </c>
      <c r="I652">
        <v>44</v>
      </c>
      <c r="J652">
        <v>6.7497972904113297</v>
      </c>
      <c r="K652" t="b">
        <f t="shared" si="40"/>
        <v>1</v>
      </c>
      <c r="L652">
        <f t="shared" si="41"/>
        <v>247.86644230138992</v>
      </c>
      <c r="M652">
        <f t="shared" si="42"/>
        <v>991.4657692055597</v>
      </c>
      <c r="N652">
        <f t="shared" si="43"/>
        <v>1211.571169969194</v>
      </c>
    </row>
    <row r="653" spans="1:14" x14ac:dyDescent="0.35">
      <c r="A653" t="s">
        <v>49</v>
      </c>
      <c r="B653">
        <v>18</v>
      </c>
      <c r="C653" t="s">
        <v>50</v>
      </c>
      <c r="D653">
        <v>45</v>
      </c>
      <c r="E653">
        <v>220.99820650861</v>
      </c>
      <c r="F653">
        <v>27.139550276891299</v>
      </c>
      <c r="G653" t="s">
        <v>49</v>
      </c>
      <c r="H653">
        <v>18</v>
      </c>
      <c r="I653">
        <v>45</v>
      </c>
      <c r="J653">
        <v>6.9456909641390796</v>
      </c>
      <c r="K653" t="b">
        <f t="shared" si="40"/>
        <v>1</v>
      </c>
      <c r="L653">
        <f t="shared" si="41"/>
        <v>255.08344774964038</v>
      </c>
      <c r="M653">
        <f t="shared" si="42"/>
        <v>1020.3337909985615</v>
      </c>
      <c r="N653">
        <f t="shared" si="43"/>
        <v>1246.8478926002422</v>
      </c>
    </row>
    <row r="654" spans="1:14" x14ac:dyDescent="0.35">
      <c r="A654" t="s">
        <v>49</v>
      </c>
      <c r="B654">
        <v>18</v>
      </c>
      <c r="C654" t="s">
        <v>50</v>
      </c>
      <c r="D654">
        <v>46</v>
      </c>
      <c r="E654">
        <v>225.94020069513201</v>
      </c>
      <c r="F654">
        <v>28.439583358363599</v>
      </c>
      <c r="G654" t="s">
        <v>49</v>
      </c>
      <c r="H654">
        <v>18</v>
      </c>
      <c r="I654">
        <v>46</v>
      </c>
      <c r="J654">
        <v>7.13221887761184</v>
      </c>
      <c r="K654" t="b">
        <f t="shared" si="40"/>
        <v>1</v>
      </c>
      <c r="L654">
        <f t="shared" si="41"/>
        <v>261.51200293110742</v>
      </c>
      <c r="M654">
        <f t="shared" si="42"/>
        <v>1046.0480117244297</v>
      </c>
      <c r="N654">
        <f t="shared" si="43"/>
        <v>1278.2706703272531</v>
      </c>
    </row>
    <row r="655" spans="1:14" x14ac:dyDescent="0.35">
      <c r="A655" t="s">
        <v>49</v>
      </c>
      <c r="B655">
        <v>18</v>
      </c>
      <c r="C655" t="s">
        <v>50</v>
      </c>
      <c r="D655">
        <v>47</v>
      </c>
      <c r="E655">
        <v>230.91409625380101</v>
      </c>
      <c r="F655">
        <v>29.691768743385001</v>
      </c>
      <c r="G655" t="s">
        <v>49</v>
      </c>
      <c r="H655">
        <v>18</v>
      </c>
      <c r="I655">
        <v>47</v>
      </c>
      <c r="J655">
        <v>7.3131053648696804</v>
      </c>
      <c r="K655" t="b">
        <f t="shared" si="40"/>
        <v>1</v>
      </c>
      <c r="L655">
        <f t="shared" si="41"/>
        <v>267.91897036205569</v>
      </c>
      <c r="M655">
        <f t="shared" si="42"/>
        <v>1071.6758814482228</v>
      </c>
      <c r="N655">
        <f t="shared" si="43"/>
        <v>1309.5879271297281</v>
      </c>
    </row>
    <row r="656" spans="1:14" x14ac:dyDescent="0.35">
      <c r="A656" t="s">
        <v>49</v>
      </c>
      <c r="B656">
        <v>18</v>
      </c>
      <c r="C656" t="s">
        <v>50</v>
      </c>
      <c r="D656">
        <v>48</v>
      </c>
      <c r="E656">
        <v>235.88912639379799</v>
      </c>
      <c r="F656">
        <v>30.925567853887902</v>
      </c>
      <c r="G656" t="s">
        <v>49</v>
      </c>
      <c r="H656">
        <v>18</v>
      </c>
      <c r="I656">
        <v>48</v>
      </c>
      <c r="J656">
        <v>7.4902874984400603</v>
      </c>
      <c r="K656" t="b">
        <f t="shared" si="40"/>
        <v>1</v>
      </c>
      <c r="L656">
        <f t="shared" si="41"/>
        <v>274.30498174612597</v>
      </c>
      <c r="M656">
        <f t="shared" si="42"/>
        <v>1097.2199269845039</v>
      </c>
      <c r="N656">
        <f t="shared" si="43"/>
        <v>1340.8027507750637</v>
      </c>
    </row>
    <row r="657" spans="1:14" x14ac:dyDescent="0.35">
      <c r="A657" t="s">
        <v>49</v>
      </c>
      <c r="B657">
        <v>18</v>
      </c>
      <c r="C657" t="s">
        <v>50</v>
      </c>
      <c r="D657">
        <v>49</v>
      </c>
      <c r="E657">
        <v>240.847457895481</v>
      </c>
      <c r="F657">
        <v>32.157588617721899</v>
      </c>
      <c r="G657" t="s">
        <v>49</v>
      </c>
      <c r="H657">
        <v>18</v>
      </c>
      <c r="I657">
        <v>49</v>
      </c>
      <c r="J657">
        <v>7.6647753735534199</v>
      </c>
      <c r="K657" t="b">
        <f t="shared" si="40"/>
        <v>1</v>
      </c>
      <c r="L657">
        <f t="shared" si="41"/>
        <v>280.66982188675632</v>
      </c>
      <c r="M657">
        <f t="shared" si="42"/>
        <v>1122.6792875470253</v>
      </c>
      <c r="N657">
        <f t="shared" si="43"/>
        <v>1371.9140893824649</v>
      </c>
    </row>
    <row r="658" spans="1:14" x14ac:dyDescent="0.35">
      <c r="A658" t="s">
        <v>49</v>
      </c>
      <c r="B658">
        <v>18</v>
      </c>
      <c r="C658" t="s">
        <v>50</v>
      </c>
      <c r="D658">
        <v>50</v>
      </c>
      <c r="E658">
        <v>245.778748002783</v>
      </c>
      <c r="F658">
        <v>33.397013021233597</v>
      </c>
      <c r="G658" t="s">
        <v>49</v>
      </c>
      <c r="H658">
        <v>18</v>
      </c>
      <c r="I658">
        <v>50</v>
      </c>
      <c r="J658">
        <v>7.8371007141345297</v>
      </c>
      <c r="K658" t="b">
        <f t="shared" si="40"/>
        <v>1</v>
      </c>
      <c r="L658">
        <f t="shared" si="41"/>
        <v>287.01286173815112</v>
      </c>
      <c r="M658">
        <f t="shared" si="42"/>
        <v>1148.0514469526045</v>
      </c>
      <c r="N658">
        <f t="shared" si="43"/>
        <v>1402.9188681760827</v>
      </c>
    </row>
    <row r="659" spans="1:14" x14ac:dyDescent="0.35">
      <c r="A659" t="s">
        <v>49</v>
      </c>
      <c r="B659">
        <v>18</v>
      </c>
      <c r="C659" t="s">
        <v>50</v>
      </c>
      <c r="D659">
        <v>51</v>
      </c>
      <c r="E659">
        <v>250.081306773412</v>
      </c>
      <c r="F659">
        <v>34.548679574445899</v>
      </c>
      <c r="G659" t="s">
        <v>49</v>
      </c>
      <c r="H659">
        <v>18</v>
      </c>
      <c r="I659">
        <v>51</v>
      </c>
      <c r="J659">
        <v>8.0007359574672297</v>
      </c>
      <c r="K659" t="b">
        <f t="shared" si="40"/>
        <v>1</v>
      </c>
      <c r="L659">
        <f t="shared" si="41"/>
        <v>292.63072230532509</v>
      </c>
      <c r="M659">
        <f t="shared" si="42"/>
        <v>1170.5228892213004</v>
      </c>
      <c r="N659">
        <f t="shared" si="43"/>
        <v>1430.378970628429</v>
      </c>
    </row>
    <row r="660" spans="1:14" x14ac:dyDescent="0.35">
      <c r="A660" t="s">
        <v>49</v>
      </c>
      <c r="B660">
        <v>18</v>
      </c>
      <c r="C660" t="s">
        <v>50</v>
      </c>
      <c r="D660">
        <v>52</v>
      </c>
      <c r="E660">
        <v>254.41435187580299</v>
      </c>
      <c r="F660">
        <v>35.657030375578898</v>
      </c>
      <c r="G660" t="s">
        <v>49</v>
      </c>
      <c r="H660">
        <v>18</v>
      </c>
      <c r="I660">
        <v>52</v>
      </c>
      <c r="J660">
        <v>8.1591351390854001</v>
      </c>
      <c r="K660" t="b">
        <f t="shared" si="40"/>
        <v>1</v>
      </c>
      <c r="L660">
        <f t="shared" si="41"/>
        <v>298.2305173904673</v>
      </c>
      <c r="M660">
        <f t="shared" si="42"/>
        <v>1192.9220695618692</v>
      </c>
      <c r="N660">
        <f t="shared" si="43"/>
        <v>1457.7507690046041</v>
      </c>
    </row>
    <row r="661" spans="1:14" x14ac:dyDescent="0.35">
      <c r="A661" t="s">
        <v>49</v>
      </c>
      <c r="B661">
        <v>18</v>
      </c>
      <c r="C661" t="s">
        <v>50</v>
      </c>
      <c r="D661">
        <v>53</v>
      </c>
      <c r="E661">
        <v>258.751724166484</v>
      </c>
      <c r="F661">
        <v>36.747191099968497</v>
      </c>
      <c r="G661" t="s">
        <v>49</v>
      </c>
      <c r="H661">
        <v>18</v>
      </c>
      <c r="I661">
        <v>53</v>
      </c>
      <c r="J661">
        <v>8.3141251828976603</v>
      </c>
      <c r="K661" t="b">
        <f t="shared" si="40"/>
        <v>1</v>
      </c>
      <c r="L661">
        <f t="shared" si="41"/>
        <v>303.81304044935018</v>
      </c>
      <c r="M661">
        <f t="shared" si="42"/>
        <v>1215.2521617974007</v>
      </c>
      <c r="N661">
        <f t="shared" si="43"/>
        <v>1485.0381417164238</v>
      </c>
    </row>
    <row r="662" spans="1:14" x14ac:dyDescent="0.35">
      <c r="A662" t="s">
        <v>49</v>
      </c>
      <c r="B662">
        <v>18</v>
      </c>
      <c r="C662" t="s">
        <v>50</v>
      </c>
      <c r="D662">
        <v>54</v>
      </c>
      <c r="E662">
        <v>263.078423344454</v>
      </c>
      <c r="F662">
        <v>37.833214366937703</v>
      </c>
      <c r="G662" t="s">
        <v>49</v>
      </c>
      <c r="H662">
        <v>18</v>
      </c>
      <c r="I662">
        <v>54</v>
      </c>
      <c r="J662">
        <v>8.4666819711501908</v>
      </c>
      <c r="K662" t="b">
        <f t="shared" si="40"/>
        <v>1</v>
      </c>
      <c r="L662">
        <f t="shared" si="41"/>
        <v>309.37831968254187</v>
      </c>
      <c r="M662">
        <f t="shared" si="42"/>
        <v>1237.5132787301675</v>
      </c>
      <c r="N662">
        <f t="shared" si="43"/>
        <v>1512.2412266082647</v>
      </c>
    </row>
    <row r="663" spans="1:14" x14ac:dyDescent="0.35">
      <c r="A663" t="s">
        <v>49</v>
      </c>
      <c r="B663">
        <v>18</v>
      </c>
      <c r="C663" t="s">
        <v>50</v>
      </c>
      <c r="D663">
        <v>55</v>
      </c>
      <c r="E663">
        <v>267.38584468827497</v>
      </c>
      <c r="F663">
        <v>38.922820945108498</v>
      </c>
      <c r="G663" t="s">
        <v>49</v>
      </c>
      <c r="H663">
        <v>18</v>
      </c>
      <c r="I663">
        <v>55</v>
      </c>
      <c r="J663">
        <v>8.6173364911674692</v>
      </c>
      <c r="K663" t="b">
        <f t="shared" si="40"/>
        <v>1</v>
      </c>
      <c r="L663">
        <f t="shared" si="41"/>
        <v>314.92600212455096</v>
      </c>
      <c r="M663">
        <f t="shared" si="42"/>
        <v>1259.7040084982038</v>
      </c>
      <c r="N663">
        <f t="shared" si="43"/>
        <v>1539.358298384805</v>
      </c>
    </row>
    <row r="664" spans="1:14" x14ac:dyDescent="0.35">
      <c r="A664" t="s">
        <v>49</v>
      </c>
      <c r="B664">
        <v>18</v>
      </c>
      <c r="C664" t="s">
        <v>50</v>
      </c>
      <c r="D664">
        <v>56</v>
      </c>
      <c r="E664">
        <v>271.05407662981099</v>
      </c>
      <c r="F664">
        <v>39.926475690872799</v>
      </c>
      <c r="G664" t="s">
        <v>49</v>
      </c>
      <c r="H664">
        <v>18</v>
      </c>
      <c r="I664">
        <v>56</v>
      </c>
      <c r="J664">
        <v>8.7593526403575694</v>
      </c>
      <c r="K664" t="b">
        <f t="shared" si="40"/>
        <v>1</v>
      </c>
      <c r="L664">
        <f t="shared" si="41"/>
        <v>319.73990496104136</v>
      </c>
      <c r="M664">
        <f t="shared" si="42"/>
        <v>1278.9596198441654</v>
      </c>
      <c r="N664">
        <f t="shared" si="43"/>
        <v>1562.8886554495703</v>
      </c>
    </row>
    <row r="665" spans="1:14" x14ac:dyDescent="0.35">
      <c r="A665" t="s">
        <v>49</v>
      </c>
      <c r="B665">
        <v>18</v>
      </c>
      <c r="C665" t="s">
        <v>50</v>
      </c>
      <c r="D665">
        <v>57</v>
      </c>
      <c r="E665">
        <v>274.75680389829603</v>
      </c>
      <c r="F665">
        <v>40.886268924957797</v>
      </c>
      <c r="G665" t="s">
        <v>49</v>
      </c>
      <c r="H665">
        <v>18</v>
      </c>
      <c r="I665">
        <v>57</v>
      </c>
      <c r="J665">
        <v>8.89621901094241</v>
      </c>
      <c r="K665" t="b">
        <f t="shared" si="40"/>
        <v>1</v>
      </c>
      <c r="L665">
        <f t="shared" si="41"/>
        <v>324.53929183419621</v>
      </c>
      <c r="M665">
        <f t="shared" si="42"/>
        <v>1298.1571673367848</v>
      </c>
      <c r="N665">
        <f t="shared" si="43"/>
        <v>1586.3480584855511</v>
      </c>
    </row>
    <row r="666" spans="1:14" x14ac:dyDescent="0.35">
      <c r="A666" t="s">
        <v>49</v>
      </c>
      <c r="B666">
        <v>18</v>
      </c>
      <c r="C666" t="s">
        <v>50</v>
      </c>
      <c r="D666">
        <v>58</v>
      </c>
      <c r="E666">
        <v>278.46950167433801</v>
      </c>
      <c r="F666">
        <v>41.825874228064201</v>
      </c>
      <c r="G666" t="s">
        <v>49</v>
      </c>
      <c r="H666">
        <v>18</v>
      </c>
      <c r="I666">
        <v>58</v>
      </c>
      <c r="J666">
        <v>9.0298012078602294</v>
      </c>
      <c r="K666" t="b">
        <f t="shared" si="40"/>
        <v>1</v>
      </c>
      <c r="L666">
        <f t="shared" si="41"/>
        <v>329.32517711026242</v>
      </c>
      <c r="M666">
        <f t="shared" si="42"/>
        <v>1317.3007084410497</v>
      </c>
      <c r="N666">
        <f t="shared" si="43"/>
        <v>1609.7414657149627</v>
      </c>
    </row>
    <row r="667" spans="1:14" x14ac:dyDescent="0.35">
      <c r="A667" t="s">
        <v>49</v>
      </c>
      <c r="B667">
        <v>18</v>
      </c>
      <c r="C667" t="s">
        <v>50</v>
      </c>
      <c r="D667">
        <v>59</v>
      </c>
      <c r="E667">
        <v>282.178212798294</v>
      </c>
      <c r="F667">
        <v>42.758487371683302</v>
      </c>
      <c r="G667" t="s">
        <v>49</v>
      </c>
      <c r="H667">
        <v>18</v>
      </c>
      <c r="I667">
        <v>59</v>
      </c>
      <c r="J667">
        <v>9.1611104323133894</v>
      </c>
      <c r="K667" t="b">
        <f t="shared" si="40"/>
        <v>1</v>
      </c>
      <c r="L667">
        <f t="shared" si="41"/>
        <v>334.09781060229068</v>
      </c>
      <c r="M667">
        <f t="shared" si="42"/>
        <v>1336.3912424091627</v>
      </c>
      <c r="N667">
        <f t="shared" si="43"/>
        <v>1633.0700982239969</v>
      </c>
    </row>
    <row r="668" spans="1:14" x14ac:dyDescent="0.35">
      <c r="A668" t="s">
        <v>49</v>
      </c>
      <c r="B668">
        <v>18</v>
      </c>
      <c r="C668" t="s">
        <v>50</v>
      </c>
      <c r="D668">
        <v>60</v>
      </c>
      <c r="E668">
        <v>285.87499394400402</v>
      </c>
      <c r="F668">
        <v>43.691353793862604</v>
      </c>
      <c r="G668" t="s">
        <v>49</v>
      </c>
      <c r="H668">
        <v>18</v>
      </c>
      <c r="I668">
        <v>60</v>
      </c>
      <c r="J668">
        <v>9.2907071275931798</v>
      </c>
      <c r="K668" t="b">
        <f t="shared" si="40"/>
        <v>1</v>
      </c>
      <c r="L668">
        <f t="shared" si="41"/>
        <v>338.85705486545982</v>
      </c>
      <c r="M668">
        <f t="shared" si="42"/>
        <v>1355.4282194618393</v>
      </c>
      <c r="N668">
        <f t="shared" si="43"/>
        <v>1656.3332841823676</v>
      </c>
    </row>
    <row r="669" spans="1:14" x14ac:dyDescent="0.35">
      <c r="A669" t="s">
        <v>49</v>
      </c>
      <c r="B669">
        <v>18</v>
      </c>
      <c r="C669" t="s">
        <v>50</v>
      </c>
      <c r="D669">
        <v>61</v>
      </c>
      <c r="E669">
        <v>288.907338272402</v>
      </c>
      <c r="F669">
        <v>44.542632303847697</v>
      </c>
      <c r="G669" t="s">
        <v>49</v>
      </c>
      <c r="H669">
        <v>18</v>
      </c>
      <c r="I669">
        <v>61</v>
      </c>
      <c r="J669">
        <v>9.4115009990150806</v>
      </c>
      <c r="K669" t="b">
        <f t="shared" si="40"/>
        <v>1</v>
      </c>
      <c r="L669">
        <f t="shared" si="41"/>
        <v>342.86147157526477</v>
      </c>
      <c r="M669">
        <f t="shared" si="42"/>
        <v>1371.4458863010591</v>
      </c>
      <c r="N669">
        <f t="shared" si="43"/>
        <v>1675.9068730598942</v>
      </c>
    </row>
    <row r="670" spans="1:14" x14ac:dyDescent="0.35">
      <c r="A670" t="s">
        <v>49</v>
      </c>
      <c r="B670">
        <v>18</v>
      </c>
      <c r="C670" t="s">
        <v>50</v>
      </c>
      <c r="D670">
        <v>62</v>
      </c>
      <c r="E670">
        <v>291.97575825522102</v>
      </c>
      <c r="F670">
        <v>45.351579180180202</v>
      </c>
      <c r="G670" t="s">
        <v>49</v>
      </c>
      <c r="H670">
        <v>18</v>
      </c>
      <c r="I670">
        <v>62</v>
      </c>
      <c r="J670">
        <v>9.5270650789210993</v>
      </c>
      <c r="K670" t="b">
        <f t="shared" si="40"/>
        <v>1</v>
      </c>
      <c r="L670">
        <f t="shared" si="41"/>
        <v>346.85440251432232</v>
      </c>
      <c r="M670">
        <f t="shared" si="42"/>
        <v>1387.4176100572893</v>
      </c>
      <c r="N670">
        <f t="shared" si="43"/>
        <v>1695.4243194900075</v>
      </c>
    </row>
    <row r="671" spans="1:14" x14ac:dyDescent="0.35">
      <c r="A671" t="s">
        <v>49</v>
      </c>
      <c r="B671">
        <v>18</v>
      </c>
      <c r="C671" t="s">
        <v>50</v>
      </c>
      <c r="D671">
        <v>63</v>
      </c>
      <c r="E671">
        <v>295.05751751618499</v>
      </c>
      <c r="F671">
        <v>46.140186329200503</v>
      </c>
      <c r="G671" t="s">
        <v>49</v>
      </c>
      <c r="H671">
        <v>18</v>
      </c>
      <c r="I671">
        <v>63</v>
      </c>
      <c r="J671">
        <v>9.6393355260504894</v>
      </c>
      <c r="K671" t="b">
        <f t="shared" si="40"/>
        <v>1</v>
      </c>
      <c r="L671">
        <f t="shared" si="41"/>
        <v>350.83703937143599</v>
      </c>
      <c r="M671">
        <f t="shared" si="42"/>
        <v>1403.348157485744</v>
      </c>
      <c r="N671">
        <f t="shared" si="43"/>
        <v>1714.891448447579</v>
      </c>
    </row>
    <row r="672" spans="1:14" x14ac:dyDescent="0.35">
      <c r="A672" t="s">
        <v>49</v>
      </c>
      <c r="B672">
        <v>18</v>
      </c>
      <c r="C672" t="s">
        <v>50</v>
      </c>
      <c r="D672">
        <v>64</v>
      </c>
      <c r="E672">
        <v>298.13973824990302</v>
      </c>
      <c r="F672">
        <v>46.920677576968998</v>
      </c>
      <c r="G672" t="s">
        <v>49</v>
      </c>
      <c r="H672">
        <v>18</v>
      </c>
      <c r="I672">
        <v>64</v>
      </c>
      <c r="J672">
        <v>9.7493788692337606</v>
      </c>
      <c r="K672" t="b">
        <f t="shared" si="40"/>
        <v>1</v>
      </c>
      <c r="L672">
        <f t="shared" si="41"/>
        <v>354.80979469610577</v>
      </c>
      <c r="M672">
        <f t="shared" si="42"/>
        <v>1419.2391787844231</v>
      </c>
      <c r="N672">
        <f t="shared" si="43"/>
        <v>1734.3102764745649</v>
      </c>
    </row>
    <row r="673" spans="1:14" x14ac:dyDescent="0.35">
      <c r="A673" t="s">
        <v>49</v>
      </c>
      <c r="B673">
        <v>18</v>
      </c>
      <c r="C673" t="s">
        <v>50</v>
      </c>
      <c r="D673">
        <v>65</v>
      </c>
      <c r="E673">
        <v>301.21512369182199</v>
      </c>
      <c r="F673">
        <v>47.699757838154298</v>
      </c>
      <c r="G673" t="s">
        <v>49</v>
      </c>
      <c r="H673">
        <v>18</v>
      </c>
      <c r="I673">
        <v>65</v>
      </c>
      <c r="J673">
        <v>9.8577973897868496</v>
      </c>
      <c r="K673" t="b">
        <f t="shared" si="40"/>
        <v>1</v>
      </c>
      <c r="L673">
        <f t="shared" si="41"/>
        <v>358.77267891976317</v>
      </c>
      <c r="M673">
        <f t="shared" si="42"/>
        <v>1435.0907156790527</v>
      </c>
      <c r="N673">
        <f t="shared" si="43"/>
        <v>1753.6808545598024</v>
      </c>
    </row>
    <row r="674" spans="1:14" x14ac:dyDescent="0.35">
      <c r="A674" t="s">
        <v>49</v>
      </c>
      <c r="B674">
        <v>18</v>
      </c>
      <c r="C674" t="s">
        <v>50</v>
      </c>
      <c r="D674">
        <v>66</v>
      </c>
      <c r="E674">
        <v>303.79437999692601</v>
      </c>
      <c r="F674">
        <v>48.394776911550203</v>
      </c>
      <c r="G674" t="s">
        <v>49</v>
      </c>
      <c r="H674">
        <v>18</v>
      </c>
      <c r="I674">
        <v>66</v>
      </c>
      <c r="J674">
        <v>9.9593941133824195</v>
      </c>
      <c r="K674" t="b">
        <f t="shared" si="40"/>
        <v>1</v>
      </c>
      <c r="L674">
        <f t="shared" si="41"/>
        <v>362.14855102185862</v>
      </c>
      <c r="M674">
        <f t="shared" si="42"/>
        <v>1448.5942040874345</v>
      </c>
      <c r="N674">
        <f t="shared" si="43"/>
        <v>1770.1821173948449</v>
      </c>
    </row>
    <row r="675" spans="1:14" x14ac:dyDescent="0.35">
      <c r="A675" t="s">
        <v>49</v>
      </c>
      <c r="B675">
        <v>18</v>
      </c>
      <c r="C675" t="s">
        <v>50</v>
      </c>
      <c r="D675">
        <v>67</v>
      </c>
      <c r="E675">
        <v>306.41596742363402</v>
      </c>
      <c r="F675">
        <v>49.045797319288098</v>
      </c>
      <c r="G675" t="s">
        <v>49</v>
      </c>
      <c r="H675">
        <v>18</v>
      </c>
      <c r="I675">
        <v>67</v>
      </c>
      <c r="J675">
        <v>10.0570798116044</v>
      </c>
      <c r="K675" t="b">
        <f t="shared" si="40"/>
        <v>1</v>
      </c>
      <c r="L675">
        <f t="shared" si="41"/>
        <v>365.51884455452654</v>
      </c>
      <c r="M675">
        <f t="shared" si="42"/>
        <v>1462.0753782181062</v>
      </c>
      <c r="N675">
        <f t="shared" si="43"/>
        <v>1786.6561121825257</v>
      </c>
    </row>
    <row r="676" spans="1:14" x14ac:dyDescent="0.35">
      <c r="A676" t="s">
        <v>49</v>
      </c>
      <c r="B676">
        <v>18</v>
      </c>
      <c r="C676" t="s">
        <v>50</v>
      </c>
      <c r="D676">
        <v>68</v>
      </c>
      <c r="E676">
        <v>309.05679478404102</v>
      </c>
      <c r="F676">
        <v>49.675203175986297</v>
      </c>
      <c r="G676" t="s">
        <v>49</v>
      </c>
      <c r="H676">
        <v>18</v>
      </c>
      <c r="I676">
        <v>68</v>
      </c>
      <c r="J676">
        <v>10.1523878687329</v>
      </c>
      <c r="K676" t="b">
        <f t="shared" si="40"/>
        <v>1</v>
      </c>
      <c r="L676">
        <f t="shared" si="41"/>
        <v>368.88438582876023</v>
      </c>
      <c r="M676">
        <f t="shared" si="42"/>
        <v>1475.5375433150409</v>
      </c>
      <c r="N676">
        <f t="shared" si="43"/>
        <v>1803.1068779309799</v>
      </c>
    </row>
    <row r="677" spans="1:14" x14ac:dyDescent="0.35">
      <c r="A677" t="s">
        <v>49</v>
      </c>
      <c r="B677">
        <v>18</v>
      </c>
      <c r="C677" t="s">
        <v>50</v>
      </c>
      <c r="D677">
        <v>69</v>
      </c>
      <c r="E677">
        <v>311.70383530862802</v>
      </c>
      <c r="F677">
        <v>50.295411245567401</v>
      </c>
      <c r="G677" t="s">
        <v>49</v>
      </c>
      <c r="H677">
        <v>18</v>
      </c>
      <c r="I677">
        <v>69</v>
      </c>
      <c r="J677">
        <v>10.246136523159899</v>
      </c>
      <c r="K677" t="b">
        <f t="shared" si="40"/>
        <v>1</v>
      </c>
      <c r="L677">
        <f t="shared" si="41"/>
        <v>372.24538307735531</v>
      </c>
      <c r="M677">
        <f t="shared" si="42"/>
        <v>1488.9815323094213</v>
      </c>
      <c r="N677">
        <f t="shared" si="43"/>
        <v>1819.5354324821128</v>
      </c>
    </row>
    <row r="678" spans="1:14" x14ac:dyDescent="0.35">
      <c r="A678" t="s">
        <v>49</v>
      </c>
      <c r="B678">
        <v>18</v>
      </c>
      <c r="C678" t="s">
        <v>50</v>
      </c>
      <c r="D678">
        <v>70</v>
      </c>
      <c r="E678">
        <v>314.34974087872598</v>
      </c>
      <c r="F678">
        <v>50.913225299542098</v>
      </c>
      <c r="G678" t="s">
        <v>49</v>
      </c>
      <c r="H678">
        <v>18</v>
      </c>
      <c r="I678">
        <v>70</v>
      </c>
      <c r="J678">
        <v>10.3387724592198</v>
      </c>
      <c r="K678" t="b">
        <f t="shared" si="40"/>
        <v>1</v>
      </c>
      <c r="L678">
        <f t="shared" si="41"/>
        <v>375.60173863748787</v>
      </c>
      <c r="M678">
        <f t="shared" si="42"/>
        <v>1502.4069545499515</v>
      </c>
      <c r="N678">
        <f t="shared" si="43"/>
        <v>1835.9412984600406</v>
      </c>
    </row>
    <row r="679" spans="1:14" x14ac:dyDescent="0.35">
      <c r="A679" t="s">
        <v>49</v>
      </c>
      <c r="B679">
        <v>18</v>
      </c>
      <c r="C679" t="s">
        <v>50</v>
      </c>
      <c r="D679">
        <v>71</v>
      </c>
      <c r="E679">
        <v>316.77946290326798</v>
      </c>
      <c r="F679">
        <v>51.516911363667703</v>
      </c>
      <c r="G679" t="s">
        <v>49</v>
      </c>
      <c r="H679">
        <v>18</v>
      </c>
      <c r="I679">
        <v>71</v>
      </c>
      <c r="J679">
        <v>10.428136082612699</v>
      </c>
      <c r="K679" t="b">
        <f t="shared" si="40"/>
        <v>1</v>
      </c>
      <c r="L679">
        <f t="shared" si="41"/>
        <v>378.72451034954838</v>
      </c>
      <c r="M679">
        <f t="shared" si="42"/>
        <v>1514.8980413981935</v>
      </c>
      <c r="N679">
        <f t="shared" si="43"/>
        <v>1851.2054065885925</v>
      </c>
    </row>
    <row r="680" spans="1:14" x14ac:dyDescent="0.35">
      <c r="A680" t="s">
        <v>49</v>
      </c>
      <c r="B680">
        <v>18</v>
      </c>
      <c r="C680" t="s">
        <v>50</v>
      </c>
      <c r="D680">
        <v>72</v>
      </c>
      <c r="E680">
        <v>319.21098831514701</v>
      </c>
      <c r="F680">
        <v>52.114948528382598</v>
      </c>
      <c r="G680" t="s">
        <v>49</v>
      </c>
      <c r="H680">
        <v>18</v>
      </c>
      <c r="I680">
        <v>72</v>
      </c>
      <c r="J680">
        <v>10.515380377164</v>
      </c>
      <c r="K680" t="b">
        <f t="shared" si="40"/>
        <v>1</v>
      </c>
      <c r="L680">
        <f t="shared" si="41"/>
        <v>381.84131722069355</v>
      </c>
      <c r="M680">
        <f t="shared" si="42"/>
        <v>1527.3652688827742</v>
      </c>
      <c r="N680">
        <f t="shared" si="43"/>
        <v>1866.44035857475</v>
      </c>
    </row>
    <row r="681" spans="1:14" x14ac:dyDescent="0.35">
      <c r="A681" t="s">
        <v>49</v>
      </c>
      <c r="B681">
        <v>18</v>
      </c>
      <c r="C681" t="s">
        <v>50</v>
      </c>
      <c r="D681">
        <v>73</v>
      </c>
      <c r="E681">
        <v>321.63925533450202</v>
      </c>
      <c r="F681">
        <v>52.711941893601399</v>
      </c>
      <c r="G681" t="s">
        <v>49</v>
      </c>
      <c r="H681">
        <v>18</v>
      </c>
      <c r="I681">
        <v>73</v>
      </c>
      <c r="J681">
        <v>10.601165575166</v>
      </c>
      <c r="K681" t="b">
        <f t="shared" si="40"/>
        <v>1</v>
      </c>
      <c r="L681">
        <f t="shared" si="41"/>
        <v>384.95236280326947</v>
      </c>
      <c r="M681">
        <f t="shared" si="42"/>
        <v>1539.8094512130779</v>
      </c>
      <c r="N681">
        <f t="shared" si="43"/>
        <v>1881.647149382381</v>
      </c>
    </row>
    <row r="682" spans="1:14" x14ac:dyDescent="0.35">
      <c r="A682" t="s">
        <v>49</v>
      </c>
      <c r="B682">
        <v>18</v>
      </c>
      <c r="C682" t="s">
        <v>50</v>
      </c>
      <c r="D682">
        <v>74</v>
      </c>
      <c r="E682">
        <v>324.061413062128</v>
      </c>
      <c r="F682">
        <v>53.3103235803503</v>
      </c>
      <c r="G682" t="s">
        <v>49</v>
      </c>
      <c r="H682">
        <v>18</v>
      </c>
      <c r="I682">
        <v>74</v>
      </c>
      <c r="J682">
        <v>10.685879836648001</v>
      </c>
      <c r="K682" t="b">
        <f t="shared" si="40"/>
        <v>1</v>
      </c>
      <c r="L682">
        <f t="shared" si="41"/>
        <v>388.0576164791263</v>
      </c>
      <c r="M682">
        <f t="shared" si="42"/>
        <v>1552.2304659165052</v>
      </c>
      <c r="N682">
        <f t="shared" si="43"/>
        <v>1896.8256293499694</v>
      </c>
    </row>
    <row r="683" spans="1:14" x14ac:dyDescent="0.35">
      <c r="A683" t="s">
        <v>49</v>
      </c>
      <c r="B683">
        <v>18</v>
      </c>
      <c r="C683" t="s">
        <v>50</v>
      </c>
      <c r="D683">
        <v>75</v>
      </c>
      <c r="E683">
        <v>326.475855735729</v>
      </c>
      <c r="F683">
        <v>53.9113104533509</v>
      </c>
      <c r="G683" t="s">
        <v>49</v>
      </c>
      <c r="H683">
        <v>18</v>
      </c>
      <c r="I683">
        <v>75</v>
      </c>
      <c r="J683">
        <v>10.7697589533841</v>
      </c>
      <c r="K683" t="b">
        <f t="shared" si="40"/>
        <v>1</v>
      </c>
      <c r="L683">
        <f t="shared" si="41"/>
        <v>391.15692514246399</v>
      </c>
      <c r="M683">
        <f t="shared" si="42"/>
        <v>1564.627700569856</v>
      </c>
      <c r="N683">
        <f t="shared" si="43"/>
        <v>1911.9750500963639</v>
      </c>
    </row>
    <row r="684" spans="1:14" x14ac:dyDescent="0.35">
      <c r="A684" t="s">
        <v>49</v>
      </c>
      <c r="B684">
        <v>18</v>
      </c>
      <c r="C684" t="s">
        <v>50</v>
      </c>
      <c r="D684">
        <v>76</v>
      </c>
      <c r="E684">
        <v>328.37507446590098</v>
      </c>
      <c r="F684">
        <v>54.4269182315713</v>
      </c>
      <c r="G684" t="s">
        <v>49</v>
      </c>
      <c r="H684">
        <v>18</v>
      </c>
      <c r="I684">
        <v>76</v>
      </c>
      <c r="J684">
        <v>10.847157345703</v>
      </c>
      <c r="K684" t="b">
        <f t="shared" si="40"/>
        <v>1</v>
      </c>
      <c r="L684">
        <f t="shared" si="41"/>
        <v>393.64915004317527</v>
      </c>
      <c r="M684">
        <f t="shared" si="42"/>
        <v>1574.5966001727011</v>
      </c>
      <c r="N684">
        <f t="shared" si="43"/>
        <v>1924.1570454110406</v>
      </c>
    </row>
    <row r="685" spans="1:14" x14ac:dyDescent="0.35">
      <c r="A685" t="s">
        <v>49</v>
      </c>
      <c r="B685">
        <v>18</v>
      </c>
      <c r="C685" t="s">
        <v>50</v>
      </c>
      <c r="D685">
        <v>77</v>
      </c>
      <c r="E685">
        <v>330.32120855998801</v>
      </c>
      <c r="F685">
        <v>54.897460135536903</v>
      </c>
      <c r="G685" t="s">
        <v>49</v>
      </c>
      <c r="H685">
        <v>18</v>
      </c>
      <c r="I685">
        <v>77</v>
      </c>
      <c r="J685">
        <v>10.9209640954798</v>
      </c>
      <c r="K685" t="b">
        <f t="shared" si="40"/>
        <v>1</v>
      </c>
      <c r="L685">
        <f t="shared" si="41"/>
        <v>396.13963279100471</v>
      </c>
      <c r="M685">
        <f t="shared" si="42"/>
        <v>1584.5585311640189</v>
      </c>
      <c r="N685">
        <f t="shared" si="43"/>
        <v>1936.330525082431</v>
      </c>
    </row>
    <row r="686" spans="1:14" x14ac:dyDescent="0.35">
      <c r="A686" t="s">
        <v>49</v>
      </c>
      <c r="B686">
        <v>18</v>
      </c>
      <c r="C686" t="s">
        <v>50</v>
      </c>
      <c r="D686">
        <v>78</v>
      </c>
      <c r="E686">
        <v>332.29114930921799</v>
      </c>
      <c r="F686">
        <v>55.345387426117298</v>
      </c>
      <c r="G686" t="s">
        <v>49</v>
      </c>
      <c r="H686">
        <v>18</v>
      </c>
      <c r="I686">
        <v>78</v>
      </c>
      <c r="J686">
        <v>10.992687149926599</v>
      </c>
      <c r="K686" t="b">
        <f t="shared" si="40"/>
        <v>1</v>
      </c>
      <c r="L686">
        <f t="shared" si="41"/>
        <v>398.62922388526192</v>
      </c>
      <c r="M686">
        <f t="shared" si="42"/>
        <v>1594.5168955410477</v>
      </c>
      <c r="N686">
        <f t="shared" si="43"/>
        <v>1948.4996463511602</v>
      </c>
    </row>
    <row r="687" spans="1:14" x14ac:dyDescent="0.35">
      <c r="A687" t="s">
        <v>49</v>
      </c>
      <c r="B687">
        <v>18</v>
      </c>
      <c r="C687" t="s">
        <v>50</v>
      </c>
      <c r="D687">
        <v>79</v>
      </c>
      <c r="E687">
        <v>334.27191613801199</v>
      </c>
      <c r="F687">
        <v>55.783125660444199</v>
      </c>
      <c r="G687" t="s">
        <v>49</v>
      </c>
      <c r="H687">
        <v>18</v>
      </c>
      <c r="I687">
        <v>79</v>
      </c>
      <c r="J687">
        <v>11.0631207382288</v>
      </c>
      <c r="K687" t="b">
        <f t="shared" si="40"/>
        <v>1</v>
      </c>
      <c r="L687">
        <f t="shared" si="41"/>
        <v>401.11816253668496</v>
      </c>
      <c r="M687">
        <f t="shared" si="42"/>
        <v>1604.4726501467399</v>
      </c>
      <c r="N687">
        <f t="shared" si="43"/>
        <v>1960.6655784793161</v>
      </c>
    </row>
    <row r="688" spans="1:14" x14ac:dyDescent="0.35">
      <c r="A688" t="s">
        <v>49</v>
      </c>
      <c r="B688">
        <v>18</v>
      </c>
      <c r="C688" t="s">
        <v>50</v>
      </c>
      <c r="D688">
        <v>80</v>
      </c>
      <c r="E688">
        <v>336.256218383977</v>
      </c>
      <c r="F688">
        <v>56.217478182426802</v>
      </c>
      <c r="G688" t="s">
        <v>49</v>
      </c>
      <c r="H688">
        <v>18</v>
      </c>
      <c r="I688">
        <v>80</v>
      </c>
      <c r="J688">
        <v>11.132690726084499</v>
      </c>
      <c r="K688" t="b">
        <f t="shared" si="40"/>
        <v>1</v>
      </c>
      <c r="L688">
        <f t="shared" si="41"/>
        <v>403.60638729248831</v>
      </c>
      <c r="M688">
        <f t="shared" si="42"/>
        <v>1614.4255491699532</v>
      </c>
      <c r="N688">
        <f t="shared" si="43"/>
        <v>1972.8280210856828</v>
      </c>
    </row>
    <row r="689" spans="1:14" x14ac:dyDescent="0.35">
      <c r="A689" t="s">
        <v>49</v>
      </c>
      <c r="B689">
        <v>18</v>
      </c>
      <c r="C689" t="s">
        <v>50</v>
      </c>
      <c r="D689">
        <v>81</v>
      </c>
      <c r="E689">
        <v>338.10687843781699</v>
      </c>
      <c r="F689">
        <v>56.659015828056397</v>
      </c>
      <c r="G689" t="s">
        <v>49</v>
      </c>
      <c r="H689">
        <v>18</v>
      </c>
      <c r="I689">
        <v>81</v>
      </c>
      <c r="J689">
        <v>11.2001102719309</v>
      </c>
      <c r="K689" t="b">
        <f t="shared" si="40"/>
        <v>1</v>
      </c>
      <c r="L689">
        <f t="shared" si="41"/>
        <v>405.96600453780428</v>
      </c>
      <c r="M689">
        <f t="shared" si="42"/>
        <v>1623.8640181512171</v>
      </c>
      <c r="N689">
        <f t="shared" si="43"/>
        <v>1984.3618301807874</v>
      </c>
    </row>
    <row r="690" spans="1:14" x14ac:dyDescent="0.35">
      <c r="A690" t="s">
        <v>49</v>
      </c>
      <c r="B690">
        <v>18</v>
      </c>
      <c r="C690" t="s">
        <v>50</v>
      </c>
      <c r="D690">
        <v>82</v>
      </c>
      <c r="E690">
        <v>339.92119334938099</v>
      </c>
      <c r="F690">
        <v>57.073493123860501</v>
      </c>
      <c r="G690" t="s">
        <v>49</v>
      </c>
      <c r="H690">
        <v>18</v>
      </c>
      <c r="I690">
        <v>82</v>
      </c>
      <c r="J690">
        <v>11.265697162664299</v>
      </c>
      <c r="K690" t="b">
        <f t="shared" si="40"/>
        <v>1</v>
      </c>
      <c r="L690">
        <f t="shared" si="41"/>
        <v>408.26038363590578</v>
      </c>
      <c r="M690">
        <f t="shared" si="42"/>
        <v>1633.0415345436231</v>
      </c>
      <c r="N690">
        <f t="shared" si="43"/>
        <v>1995.5767552123075</v>
      </c>
    </row>
    <row r="691" spans="1:14" x14ac:dyDescent="0.35">
      <c r="A691" t="s">
        <v>49</v>
      </c>
      <c r="B691">
        <v>18</v>
      </c>
      <c r="C691" t="s">
        <v>50</v>
      </c>
      <c r="D691">
        <v>83</v>
      </c>
      <c r="E691">
        <v>341.69492815541201</v>
      </c>
      <c r="F691">
        <v>57.467014139539103</v>
      </c>
      <c r="G691" t="s">
        <v>49</v>
      </c>
      <c r="H691">
        <v>18</v>
      </c>
      <c r="I691">
        <v>83</v>
      </c>
      <c r="J691">
        <v>11.3296012310003</v>
      </c>
      <c r="K691" t="b">
        <f t="shared" si="40"/>
        <v>1</v>
      </c>
      <c r="L691">
        <f t="shared" si="41"/>
        <v>410.49154352595144</v>
      </c>
      <c r="M691">
        <f t="shared" si="42"/>
        <v>1641.9661741038058</v>
      </c>
      <c r="N691">
        <f t="shared" si="43"/>
        <v>2006.4826647548507</v>
      </c>
    </row>
    <row r="692" spans="1:14" x14ac:dyDescent="0.35">
      <c r="A692" t="s">
        <v>49</v>
      </c>
      <c r="B692">
        <v>18</v>
      </c>
      <c r="C692" t="s">
        <v>50</v>
      </c>
      <c r="D692">
        <v>84</v>
      </c>
      <c r="E692">
        <v>343.42626262482401</v>
      </c>
      <c r="F692">
        <v>57.843226065923801</v>
      </c>
      <c r="G692" t="s">
        <v>49</v>
      </c>
      <c r="H692">
        <v>18</v>
      </c>
      <c r="I692">
        <v>84</v>
      </c>
      <c r="J692">
        <v>11.391897661754401</v>
      </c>
      <c r="K692" t="b">
        <f t="shared" si="40"/>
        <v>1</v>
      </c>
      <c r="L692">
        <f t="shared" si="41"/>
        <v>412.66138635250223</v>
      </c>
      <c r="M692">
        <f t="shared" si="42"/>
        <v>1650.6455454100089</v>
      </c>
      <c r="N692">
        <f t="shared" si="43"/>
        <v>2017.0888564910308</v>
      </c>
    </row>
    <row r="693" spans="1:14" x14ac:dyDescent="0.35">
      <c r="A693" t="s">
        <v>49</v>
      </c>
      <c r="B693">
        <v>18</v>
      </c>
      <c r="C693" t="s">
        <v>50</v>
      </c>
      <c r="D693">
        <v>85</v>
      </c>
      <c r="E693">
        <v>345.1147145132</v>
      </c>
      <c r="F693">
        <v>58.204389598979397</v>
      </c>
      <c r="G693" t="s">
        <v>49</v>
      </c>
      <c r="H693">
        <v>18</v>
      </c>
      <c r="I693">
        <v>85</v>
      </c>
      <c r="J693">
        <v>11.4526308732649</v>
      </c>
      <c r="K693" t="b">
        <f t="shared" si="40"/>
        <v>1</v>
      </c>
      <c r="L693">
        <f t="shared" si="41"/>
        <v>414.77173498544431</v>
      </c>
      <c r="M693">
        <f t="shared" si="42"/>
        <v>1659.0869399417772</v>
      </c>
      <c r="N693">
        <f t="shared" si="43"/>
        <v>2027.4042406088518</v>
      </c>
    </row>
    <row r="694" spans="1:14" x14ac:dyDescent="0.35">
      <c r="A694" t="s">
        <v>49</v>
      </c>
      <c r="B694">
        <v>18</v>
      </c>
      <c r="C694" t="s">
        <v>50</v>
      </c>
      <c r="D694">
        <v>86</v>
      </c>
      <c r="E694">
        <v>346.76053565373797</v>
      </c>
      <c r="F694">
        <v>58.551980040490101</v>
      </c>
      <c r="G694" t="s">
        <v>49</v>
      </c>
      <c r="H694">
        <v>18</v>
      </c>
      <c r="I694">
        <v>86</v>
      </c>
      <c r="J694">
        <v>11.5118342764322</v>
      </c>
      <c r="K694" t="b">
        <f t="shared" si="40"/>
        <v>1</v>
      </c>
      <c r="L694">
        <f t="shared" si="41"/>
        <v>416.82434997066025</v>
      </c>
      <c r="M694">
        <f t="shared" si="42"/>
        <v>1667.297399882641</v>
      </c>
      <c r="N694">
        <f t="shared" si="43"/>
        <v>2037.4374226565872</v>
      </c>
    </row>
    <row r="695" spans="1:14" x14ac:dyDescent="0.35">
      <c r="A695" t="s">
        <v>49</v>
      </c>
      <c r="B695">
        <v>18</v>
      </c>
      <c r="C695" t="s">
        <v>50</v>
      </c>
      <c r="D695">
        <v>87</v>
      </c>
      <c r="E695">
        <v>348.36437360041299</v>
      </c>
      <c r="F695">
        <v>58.887024833352399</v>
      </c>
      <c r="G695" t="s">
        <v>49</v>
      </c>
      <c r="H695">
        <v>18</v>
      </c>
      <c r="I695">
        <v>87</v>
      </c>
      <c r="J695">
        <v>11.5695385641828</v>
      </c>
      <c r="K695" t="b">
        <f t="shared" si="40"/>
        <v>1</v>
      </c>
      <c r="L695">
        <f t="shared" si="41"/>
        <v>418.82093699794819</v>
      </c>
      <c r="M695">
        <f t="shared" si="42"/>
        <v>1675.2837479917928</v>
      </c>
      <c r="N695">
        <f t="shared" si="43"/>
        <v>2047.1967400459707</v>
      </c>
    </row>
    <row r="696" spans="1:14" x14ac:dyDescent="0.35">
      <c r="A696" t="s">
        <v>49</v>
      </c>
      <c r="B696">
        <v>18</v>
      </c>
      <c r="C696" t="s">
        <v>50</v>
      </c>
      <c r="D696">
        <v>88</v>
      </c>
      <c r="E696">
        <v>349.92708235527601</v>
      </c>
      <c r="F696">
        <v>59.210293114477203</v>
      </c>
      <c r="G696" t="s">
        <v>49</v>
      </c>
      <c r="H696">
        <v>18</v>
      </c>
      <c r="I696">
        <v>88</v>
      </c>
      <c r="J696">
        <v>11.625774749077999</v>
      </c>
      <c r="K696" t="b">
        <f t="shared" si="40"/>
        <v>1</v>
      </c>
      <c r="L696">
        <f t="shared" si="41"/>
        <v>420.76315021883124</v>
      </c>
      <c r="M696">
        <f t="shared" si="42"/>
        <v>1683.052600875325</v>
      </c>
      <c r="N696">
        <f t="shared" si="43"/>
        <v>2056.690278269647</v>
      </c>
    </row>
    <row r="697" spans="1:14" x14ac:dyDescent="0.35">
      <c r="A697" t="s">
        <v>49</v>
      </c>
      <c r="B697">
        <v>18</v>
      </c>
      <c r="C697" t="s">
        <v>50</v>
      </c>
      <c r="D697">
        <v>89</v>
      </c>
      <c r="E697">
        <v>351.44961675881802</v>
      </c>
      <c r="F697">
        <v>59.522402206395903</v>
      </c>
      <c r="G697" t="s">
        <v>49</v>
      </c>
      <c r="H697">
        <v>18</v>
      </c>
      <c r="I697">
        <v>89</v>
      </c>
      <c r="J697">
        <v>11.680574934026399</v>
      </c>
      <c r="K697" t="b">
        <f t="shared" si="40"/>
        <v>1</v>
      </c>
      <c r="L697">
        <f t="shared" si="41"/>
        <v>422.65259389924034</v>
      </c>
      <c r="M697">
        <f t="shared" si="42"/>
        <v>1690.6103755969614</v>
      </c>
      <c r="N697">
        <f t="shared" si="43"/>
        <v>2065.9258789794867</v>
      </c>
    </row>
    <row r="698" spans="1:14" x14ac:dyDescent="0.35">
      <c r="A698" t="s">
        <v>49</v>
      </c>
      <c r="B698">
        <v>18</v>
      </c>
      <c r="C698" t="s">
        <v>50</v>
      </c>
      <c r="D698">
        <v>90</v>
      </c>
      <c r="E698">
        <v>352.932973806917</v>
      </c>
      <c r="F698">
        <v>59.823877501976398</v>
      </c>
      <c r="G698" t="s">
        <v>49</v>
      </c>
      <c r="H698">
        <v>18</v>
      </c>
      <c r="I698">
        <v>90</v>
      </c>
      <c r="J698">
        <v>11.7339722027913</v>
      </c>
      <c r="K698" t="b">
        <f t="shared" si="40"/>
        <v>1</v>
      </c>
      <c r="L698">
        <f t="shared" si="41"/>
        <v>424.49082351168465</v>
      </c>
      <c r="M698">
        <f t="shared" si="42"/>
        <v>1697.9632940467386</v>
      </c>
      <c r="N698">
        <f t="shared" si="43"/>
        <v>2074.9111453251144</v>
      </c>
    </row>
    <row r="699" spans="1:14" x14ac:dyDescent="0.35">
      <c r="A699" t="s">
        <v>49</v>
      </c>
      <c r="B699">
        <v>18</v>
      </c>
      <c r="C699" t="s">
        <v>50</v>
      </c>
      <c r="D699">
        <v>91</v>
      </c>
      <c r="E699">
        <v>354.37816027148</v>
      </c>
      <c r="F699">
        <v>60.115186206012098</v>
      </c>
      <c r="G699" t="s">
        <v>49</v>
      </c>
      <c r="H699">
        <v>18</v>
      </c>
      <c r="I699">
        <v>91</v>
      </c>
      <c r="J699">
        <v>11.786000243262601</v>
      </c>
      <c r="K699" t="b">
        <f t="shared" si="40"/>
        <v>1</v>
      </c>
      <c r="L699">
        <f t="shared" si="41"/>
        <v>426.27934672075469</v>
      </c>
      <c r="M699">
        <f t="shared" si="42"/>
        <v>1705.1173868830188</v>
      </c>
      <c r="N699">
        <f t="shared" si="43"/>
        <v>2083.6534467710489</v>
      </c>
    </row>
    <row r="700" spans="1:14" x14ac:dyDescent="0.35">
      <c r="A700" t="s">
        <v>49</v>
      </c>
      <c r="B700">
        <v>18</v>
      </c>
      <c r="C700" t="s">
        <v>50</v>
      </c>
      <c r="D700">
        <v>92</v>
      </c>
      <c r="E700">
        <v>355.78617505135799</v>
      </c>
      <c r="F700">
        <v>60.396756417585003</v>
      </c>
      <c r="G700" t="s">
        <v>49</v>
      </c>
      <c r="H700">
        <v>18</v>
      </c>
      <c r="I700">
        <v>92</v>
      </c>
      <c r="J700">
        <v>11.836692952615699</v>
      </c>
      <c r="K700" t="b">
        <f t="shared" si="40"/>
        <v>1</v>
      </c>
      <c r="L700">
        <f t="shared" si="41"/>
        <v>428.01962442155866</v>
      </c>
      <c r="M700">
        <f t="shared" si="42"/>
        <v>1712.0784976862346</v>
      </c>
      <c r="N700">
        <f t="shared" si="43"/>
        <v>2092.1599241725785</v>
      </c>
    </row>
    <row r="701" spans="1:14" x14ac:dyDescent="0.35">
      <c r="A701" t="s">
        <v>49</v>
      </c>
      <c r="B701">
        <v>18</v>
      </c>
      <c r="C701" t="s">
        <v>50</v>
      </c>
      <c r="D701">
        <v>93</v>
      </c>
      <c r="E701">
        <v>357.15799976074697</v>
      </c>
      <c r="F701">
        <v>60.6689879956757</v>
      </c>
      <c r="G701" t="s">
        <v>49</v>
      </c>
      <c r="H701">
        <v>18</v>
      </c>
      <c r="I701">
        <v>93</v>
      </c>
      <c r="J701">
        <v>11.886084109513501</v>
      </c>
      <c r="K701" t="b">
        <f t="shared" si="40"/>
        <v>1</v>
      </c>
      <c r="L701">
        <f t="shared" si="41"/>
        <v>429.71307186593617</v>
      </c>
      <c r="M701">
        <f t="shared" si="42"/>
        <v>1718.8522874637447</v>
      </c>
      <c r="N701">
        <f t="shared" si="43"/>
        <v>2100.4374952806961</v>
      </c>
    </row>
    <row r="702" spans="1:14" x14ac:dyDescent="0.35">
      <c r="A702" t="s">
        <v>49</v>
      </c>
      <c r="B702">
        <v>18</v>
      </c>
      <c r="C702" t="s">
        <v>50</v>
      </c>
      <c r="D702">
        <v>94</v>
      </c>
      <c r="E702">
        <v>358.49459391405497</v>
      </c>
      <c r="F702">
        <v>60.932258820957799</v>
      </c>
      <c r="G702" t="s">
        <v>49</v>
      </c>
      <c r="H702">
        <v>18</v>
      </c>
      <c r="I702">
        <v>94</v>
      </c>
      <c r="J702">
        <v>11.9342071295238</v>
      </c>
      <c r="K702" t="b">
        <f t="shared" si="40"/>
        <v>1</v>
      </c>
      <c r="L702">
        <f t="shared" si="41"/>
        <v>431.36105986453657</v>
      </c>
      <c r="M702">
        <f t="shared" si="42"/>
        <v>1725.4442394581463</v>
      </c>
      <c r="N702">
        <f t="shared" si="43"/>
        <v>2108.4928606178546</v>
      </c>
    </row>
    <row r="703" spans="1:14" x14ac:dyDescent="0.35">
      <c r="A703" t="s">
        <v>49</v>
      </c>
      <c r="B703">
        <v>18</v>
      </c>
      <c r="C703" t="s">
        <v>50</v>
      </c>
      <c r="D703">
        <v>95</v>
      </c>
      <c r="E703">
        <v>359.79689266640202</v>
      </c>
      <c r="F703">
        <v>61.186928479060903</v>
      </c>
      <c r="G703" t="s">
        <v>49</v>
      </c>
      <c r="H703">
        <v>18</v>
      </c>
      <c r="I703">
        <v>95</v>
      </c>
      <c r="J703">
        <v>11.9810948944261</v>
      </c>
      <c r="K703" t="b">
        <f t="shared" si="40"/>
        <v>1</v>
      </c>
      <c r="L703">
        <f t="shared" si="41"/>
        <v>432.96491603988903</v>
      </c>
      <c r="M703">
        <f t="shared" si="42"/>
        <v>1731.8596641595561</v>
      </c>
      <c r="N703">
        <f t="shared" si="43"/>
        <v>2116.3325096029776</v>
      </c>
    </row>
    <row r="704" spans="1:14" x14ac:dyDescent="0.35">
      <c r="A704" t="s">
        <v>49</v>
      </c>
      <c r="B704">
        <v>18</v>
      </c>
      <c r="C704" t="s">
        <v>50</v>
      </c>
      <c r="D704">
        <v>96</v>
      </c>
      <c r="E704">
        <v>361.06580596656499</v>
      </c>
      <c r="F704">
        <v>61.433340500007802</v>
      </c>
      <c r="G704" t="s">
        <v>49</v>
      </c>
      <c r="H704">
        <v>18</v>
      </c>
      <c r="I704">
        <v>96</v>
      </c>
      <c r="J704">
        <v>12.026779639383999</v>
      </c>
      <c r="K704" t="b">
        <f t="shared" si="40"/>
        <v>1</v>
      </c>
      <c r="L704">
        <f t="shared" si="41"/>
        <v>434.52592610595684</v>
      </c>
      <c r="M704">
        <f t="shared" si="42"/>
        <v>1738.1037044238274</v>
      </c>
      <c r="N704">
        <f t="shared" si="43"/>
        <v>2123.9627268059171</v>
      </c>
    </row>
    <row r="705" spans="1:14" x14ac:dyDescent="0.35">
      <c r="A705" t="s">
        <v>49</v>
      </c>
      <c r="B705">
        <v>18</v>
      </c>
      <c r="C705" t="s">
        <v>50</v>
      </c>
      <c r="D705">
        <v>97</v>
      </c>
      <c r="E705">
        <v>362.30221848266001</v>
      </c>
      <c r="F705">
        <v>61.671823789133299</v>
      </c>
      <c r="G705" t="s">
        <v>49</v>
      </c>
      <c r="H705">
        <v>18</v>
      </c>
      <c r="I705">
        <v>97</v>
      </c>
      <c r="J705">
        <v>12.0712928826016</v>
      </c>
      <c r="K705" t="b">
        <f t="shared" si="40"/>
        <v>1</v>
      </c>
      <c r="L705">
        <f t="shared" si="41"/>
        <v>436.04533515439493</v>
      </c>
      <c r="M705">
        <f t="shared" si="42"/>
        <v>1744.1813406175797</v>
      </c>
      <c r="N705">
        <f t="shared" si="43"/>
        <v>2131.3895982346826</v>
      </c>
    </row>
    <row r="706" spans="1:14" x14ac:dyDescent="0.35">
      <c r="A706" t="s">
        <v>49</v>
      </c>
      <c r="B706">
        <v>18</v>
      </c>
      <c r="C706" t="s">
        <v>50</v>
      </c>
      <c r="D706">
        <v>98</v>
      </c>
      <c r="E706">
        <v>363.50698994301598</v>
      </c>
      <c r="F706">
        <v>61.902693604844799</v>
      </c>
      <c r="G706" t="s">
        <v>49</v>
      </c>
      <c r="H706">
        <v>18</v>
      </c>
      <c r="I706">
        <v>98</v>
      </c>
      <c r="J706">
        <v>12.1146653850014</v>
      </c>
      <c r="K706" t="b">
        <f t="shared" si="40"/>
        <v>1</v>
      </c>
      <c r="L706">
        <f t="shared" si="41"/>
        <v>437.52434893286215</v>
      </c>
      <c r="M706">
        <f t="shared" si="42"/>
        <v>1750.0973957314486</v>
      </c>
      <c r="N706">
        <f t="shared" si="43"/>
        <v>2138.6190175838301</v>
      </c>
    </row>
    <row r="707" spans="1:14" x14ac:dyDescent="0.35">
      <c r="A707" t="s">
        <v>49</v>
      </c>
      <c r="B707">
        <v>18</v>
      </c>
      <c r="C707" t="s">
        <v>50</v>
      </c>
      <c r="D707">
        <v>99</v>
      </c>
      <c r="E707">
        <v>364.68095569290301</v>
      </c>
      <c r="F707">
        <v>62.126252281730103</v>
      </c>
      <c r="G707" t="s">
        <v>49</v>
      </c>
      <c r="H707">
        <v>18</v>
      </c>
      <c r="I707">
        <v>99</v>
      </c>
      <c r="J707">
        <v>12.156927130601799</v>
      </c>
      <c r="K707" t="b">
        <f t="shared" ref="K707:K770" si="44">H707=B707</f>
        <v>1</v>
      </c>
      <c r="L707">
        <f t="shared" ref="L707:L770" si="45">E707+F707+J707</f>
        <v>438.9641351052349</v>
      </c>
      <c r="M707">
        <f t="shared" ref="M707:M770" si="46">(L707*2)*(100/50)</f>
        <v>1755.8565404209396</v>
      </c>
      <c r="N707">
        <f t="shared" ref="N707:N770" si="47">M707*1.222</f>
        <v>2145.6566923943883</v>
      </c>
    </row>
    <row r="708" spans="1:14" x14ac:dyDescent="0.35">
      <c r="A708" t="s">
        <v>49</v>
      </c>
      <c r="B708">
        <v>18</v>
      </c>
      <c r="C708" t="s">
        <v>50</v>
      </c>
      <c r="D708">
        <v>100</v>
      </c>
      <c r="E708">
        <v>365.82492735635299</v>
      </c>
      <c r="F708">
        <v>62.3427898096677</v>
      </c>
      <c r="G708" t="s">
        <v>49</v>
      </c>
      <c r="H708">
        <v>18</v>
      </c>
      <c r="I708">
        <v>100</v>
      </c>
      <c r="J708">
        <v>12.198107320921601</v>
      </c>
      <c r="K708" t="b">
        <f t="shared" si="44"/>
        <v>1</v>
      </c>
      <c r="L708">
        <f t="shared" si="45"/>
        <v>440.3658244869423</v>
      </c>
      <c r="M708">
        <f t="shared" si="46"/>
        <v>1761.4632979477692</v>
      </c>
      <c r="N708">
        <f t="shared" si="47"/>
        <v>2152.5081500921738</v>
      </c>
    </row>
    <row r="709" spans="1:14" x14ac:dyDescent="0.35">
      <c r="A709" t="s">
        <v>49</v>
      </c>
      <c r="B709">
        <v>20</v>
      </c>
      <c r="C709" t="s">
        <v>50</v>
      </c>
      <c r="D709">
        <v>0</v>
      </c>
      <c r="E709">
        <v>0</v>
      </c>
      <c r="F709">
        <v>0</v>
      </c>
      <c r="G709" t="s">
        <v>49</v>
      </c>
      <c r="H709">
        <v>20</v>
      </c>
      <c r="I709">
        <v>0</v>
      </c>
      <c r="J709">
        <v>0</v>
      </c>
      <c r="K709" t="b">
        <f t="shared" si="44"/>
        <v>1</v>
      </c>
      <c r="L709">
        <f t="shared" si="45"/>
        <v>0</v>
      </c>
      <c r="M709">
        <f t="shared" si="46"/>
        <v>0</v>
      </c>
      <c r="N709">
        <f t="shared" si="47"/>
        <v>0</v>
      </c>
    </row>
    <row r="710" spans="1:14" x14ac:dyDescent="0.35">
      <c r="A710" t="s">
        <v>49</v>
      </c>
      <c r="B710">
        <v>20</v>
      </c>
      <c r="C710" t="s">
        <v>50</v>
      </c>
      <c r="D710">
        <v>1</v>
      </c>
      <c r="E710">
        <v>0.26724630817585598</v>
      </c>
      <c r="F710">
        <v>1.38822044017469E-3</v>
      </c>
      <c r="G710" t="s">
        <v>49</v>
      </c>
      <c r="H710">
        <v>20</v>
      </c>
      <c r="I710">
        <v>1</v>
      </c>
      <c r="J710">
        <v>3.0232343063628401E-3</v>
      </c>
      <c r="K710" t="b">
        <f t="shared" si="44"/>
        <v>1</v>
      </c>
      <c r="L710">
        <f t="shared" si="45"/>
        <v>0.27165776292239352</v>
      </c>
      <c r="M710">
        <f t="shared" si="46"/>
        <v>1.0866310516895741</v>
      </c>
      <c r="N710">
        <f t="shared" si="47"/>
        <v>1.3278631451646594</v>
      </c>
    </row>
    <row r="711" spans="1:14" x14ac:dyDescent="0.35">
      <c r="A711" t="s">
        <v>49</v>
      </c>
      <c r="B711">
        <v>20</v>
      </c>
      <c r="C711" t="s">
        <v>50</v>
      </c>
      <c r="D711">
        <v>2</v>
      </c>
      <c r="E711">
        <v>0.60130419339567598</v>
      </c>
      <c r="F711">
        <v>4.4700698173625103E-3</v>
      </c>
      <c r="G711" t="s">
        <v>49</v>
      </c>
      <c r="H711">
        <v>20</v>
      </c>
      <c r="I711">
        <v>2</v>
      </c>
      <c r="J711">
        <v>8.7034967222310404E-3</v>
      </c>
      <c r="K711" t="b">
        <f t="shared" si="44"/>
        <v>1</v>
      </c>
      <c r="L711">
        <f t="shared" si="45"/>
        <v>0.61447775993526954</v>
      </c>
      <c r="M711">
        <f t="shared" si="46"/>
        <v>2.4579110397410782</v>
      </c>
      <c r="N711">
        <f t="shared" si="47"/>
        <v>3.0035672905635975</v>
      </c>
    </row>
    <row r="712" spans="1:14" x14ac:dyDescent="0.35">
      <c r="A712" t="s">
        <v>49</v>
      </c>
      <c r="B712">
        <v>20</v>
      </c>
      <c r="C712" t="s">
        <v>50</v>
      </c>
      <c r="D712">
        <v>3</v>
      </c>
      <c r="E712">
        <v>1.01887654992045</v>
      </c>
      <c r="F712">
        <v>9.6285581510076497E-3</v>
      </c>
      <c r="G712" t="s">
        <v>49</v>
      </c>
      <c r="H712">
        <v>20</v>
      </c>
      <c r="I712">
        <v>3</v>
      </c>
      <c r="J712">
        <v>1.7027150445879401E-2</v>
      </c>
      <c r="K712" t="b">
        <f t="shared" si="44"/>
        <v>1</v>
      </c>
      <c r="L712">
        <f t="shared" si="45"/>
        <v>1.045532258517337</v>
      </c>
      <c r="M712">
        <f t="shared" si="46"/>
        <v>4.182129034069348</v>
      </c>
      <c r="N712">
        <f t="shared" si="47"/>
        <v>5.1105616796327435</v>
      </c>
    </row>
    <row r="713" spans="1:14" x14ac:dyDescent="0.35">
      <c r="A713" t="s">
        <v>49</v>
      </c>
      <c r="B713">
        <v>20</v>
      </c>
      <c r="C713" t="s">
        <v>50</v>
      </c>
      <c r="D713">
        <v>4</v>
      </c>
      <c r="E713">
        <v>1.5408419955764201</v>
      </c>
      <c r="F713">
        <v>1.73436598818596E-2</v>
      </c>
      <c r="G713" t="s">
        <v>49</v>
      </c>
      <c r="H713">
        <v>20</v>
      </c>
      <c r="I713">
        <v>4</v>
      </c>
      <c r="J713">
        <v>2.8238384967720902E-2</v>
      </c>
      <c r="K713" t="b">
        <f t="shared" si="44"/>
        <v>1</v>
      </c>
      <c r="L713">
        <f t="shared" si="45"/>
        <v>1.5864240404260006</v>
      </c>
      <c r="M713">
        <f t="shared" si="46"/>
        <v>6.3456961617040024</v>
      </c>
      <c r="N713">
        <f t="shared" si="47"/>
        <v>7.7544407096022905</v>
      </c>
    </row>
    <row r="714" spans="1:14" x14ac:dyDescent="0.35">
      <c r="A714" t="s">
        <v>49</v>
      </c>
      <c r="B714">
        <v>20</v>
      </c>
      <c r="C714" t="s">
        <v>50</v>
      </c>
      <c r="D714">
        <v>5</v>
      </c>
      <c r="E714">
        <v>2.19329880264638</v>
      </c>
      <c r="F714">
        <v>2.8216518619806299E-2</v>
      </c>
      <c r="G714" t="s">
        <v>49</v>
      </c>
      <c r="H714">
        <v>20</v>
      </c>
      <c r="I714">
        <v>5</v>
      </c>
      <c r="J714">
        <v>4.2797799770108898E-2</v>
      </c>
      <c r="K714" t="b">
        <f t="shared" si="44"/>
        <v>1</v>
      </c>
      <c r="L714">
        <f t="shared" si="45"/>
        <v>2.2643131210362952</v>
      </c>
      <c r="M714">
        <f t="shared" si="46"/>
        <v>9.0572524841451809</v>
      </c>
      <c r="N714">
        <f t="shared" si="47"/>
        <v>11.06796253562541</v>
      </c>
    </row>
    <row r="715" spans="1:14" x14ac:dyDescent="0.35">
      <c r="A715" t="s">
        <v>49</v>
      </c>
      <c r="B715">
        <v>20</v>
      </c>
      <c r="C715" t="s">
        <v>50</v>
      </c>
      <c r="D715">
        <v>6</v>
      </c>
      <c r="E715">
        <v>3.0088698114838301</v>
      </c>
      <c r="F715">
        <v>4.2999704169389898E-2</v>
      </c>
      <c r="G715" t="s">
        <v>49</v>
      </c>
      <c r="H715">
        <v>20</v>
      </c>
      <c r="I715">
        <v>6</v>
      </c>
      <c r="J715">
        <v>6.1374824174295801E-2</v>
      </c>
      <c r="K715" t="b">
        <f t="shared" si="44"/>
        <v>1</v>
      </c>
      <c r="L715">
        <f t="shared" si="45"/>
        <v>3.1132443398275158</v>
      </c>
      <c r="M715">
        <f t="shared" si="46"/>
        <v>12.452977359310063</v>
      </c>
      <c r="N715">
        <f t="shared" si="47"/>
        <v>15.217538333076897</v>
      </c>
    </row>
    <row r="716" spans="1:14" x14ac:dyDescent="0.35">
      <c r="A716" t="s">
        <v>49</v>
      </c>
      <c r="B716">
        <v>20</v>
      </c>
      <c r="C716" t="s">
        <v>50</v>
      </c>
      <c r="D716">
        <v>7</v>
      </c>
      <c r="E716">
        <v>4.02833357253063</v>
      </c>
      <c r="F716">
        <v>6.2635034869705106E-2</v>
      </c>
      <c r="G716" t="s">
        <v>49</v>
      </c>
      <c r="H716">
        <v>20</v>
      </c>
      <c r="I716">
        <v>7</v>
      </c>
      <c r="J716">
        <v>8.4863687284009004E-2</v>
      </c>
      <c r="K716" t="b">
        <f t="shared" si="44"/>
        <v>1</v>
      </c>
      <c r="L716">
        <f t="shared" si="45"/>
        <v>4.1758322946843434</v>
      </c>
      <c r="M716">
        <f t="shared" si="46"/>
        <v>16.703329178737373</v>
      </c>
      <c r="N716">
        <f t="shared" si="47"/>
        <v>20.41146825641707</v>
      </c>
    </row>
    <row r="717" spans="1:14" x14ac:dyDescent="0.35">
      <c r="A717" t="s">
        <v>49</v>
      </c>
      <c r="B717">
        <v>20</v>
      </c>
      <c r="C717" t="s">
        <v>50</v>
      </c>
      <c r="D717">
        <v>8</v>
      </c>
      <c r="E717">
        <v>5.3026632738391601</v>
      </c>
      <c r="F717">
        <v>8.8300856545534795E-2</v>
      </c>
      <c r="G717" t="s">
        <v>49</v>
      </c>
      <c r="H717">
        <v>20</v>
      </c>
      <c r="I717">
        <v>8</v>
      </c>
      <c r="J717">
        <v>0.11441810035696</v>
      </c>
      <c r="K717" t="b">
        <f t="shared" si="44"/>
        <v>1</v>
      </c>
      <c r="L717">
        <f t="shared" si="45"/>
        <v>5.5053822307416551</v>
      </c>
      <c r="M717">
        <f t="shared" si="46"/>
        <v>22.02152892296662</v>
      </c>
      <c r="N717">
        <f t="shared" si="47"/>
        <v>26.910308343865211</v>
      </c>
    </row>
    <row r="718" spans="1:14" x14ac:dyDescent="0.35">
      <c r="A718" t="s">
        <v>49</v>
      </c>
      <c r="B718">
        <v>20</v>
      </c>
      <c r="C718" t="s">
        <v>50</v>
      </c>
      <c r="D718">
        <v>9</v>
      </c>
      <c r="E718">
        <v>6.8955754004748098</v>
      </c>
      <c r="F718">
        <v>0.121471142191744</v>
      </c>
      <c r="G718" t="s">
        <v>49</v>
      </c>
      <c r="H718">
        <v>20</v>
      </c>
      <c r="I718">
        <v>9</v>
      </c>
      <c r="J718">
        <v>0.151503177865879</v>
      </c>
      <c r="K718" t="b">
        <f t="shared" si="44"/>
        <v>1</v>
      </c>
      <c r="L718">
        <f t="shared" si="45"/>
        <v>7.1685497205324333</v>
      </c>
      <c r="M718">
        <f t="shared" si="46"/>
        <v>28.674198882129733</v>
      </c>
      <c r="N718">
        <f t="shared" si="47"/>
        <v>35.039871033962534</v>
      </c>
    </row>
    <row r="719" spans="1:14" x14ac:dyDescent="0.35">
      <c r="A719" t="s">
        <v>49</v>
      </c>
      <c r="B719">
        <v>20</v>
      </c>
      <c r="C719" t="s">
        <v>50</v>
      </c>
      <c r="D719">
        <v>10</v>
      </c>
      <c r="E719">
        <v>8.8867155587693691</v>
      </c>
      <c r="F719">
        <v>0.16398936754438601</v>
      </c>
      <c r="G719" t="s">
        <v>49</v>
      </c>
      <c r="H719">
        <v>20</v>
      </c>
      <c r="I719">
        <v>10</v>
      </c>
      <c r="J719">
        <v>0.19796536642961199</v>
      </c>
      <c r="K719" t="b">
        <f t="shared" si="44"/>
        <v>1</v>
      </c>
      <c r="L719">
        <f t="shared" si="45"/>
        <v>9.2486702927433679</v>
      </c>
      <c r="M719">
        <f t="shared" si="46"/>
        <v>36.994681170973472</v>
      </c>
      <c r="N719">
        <f t="shared" si="47"/>
        <v>45.207500390929582</v>
      </c>
    </row>
    <row r="720" spans="1:14" x14ac:dyDescent="0.35">
      <c r="A720" t="s">
        <v>49</v>
      </c>
      <c r="B720">
        <v>20</v>
      </c>
      <c r="C720" t="s">
        <v>50</v>
      </c>
      <c r="D720">
        <v>11</v>
      </c>
      <c r="E720">
        <v>11.3756407566375</v>
      </c>
      <c r="F720">
        <v>0.21816085648122199</v>
      </c>
      <c r="G720" t="s">
        <v>49</v>
      </c>
      <c r="H720">
        <v>20</v>
      </c>
      <c r="I720">
        <v>11</v>
      </c>
      <c r="J720">
        <v>0.25612283680011999</v>
      </c>
      <c r="K720" t="b">
        <f t="shared" si="44"/>
        <v>1</v>
      </c>
      <c r="L720">
        <f t="shared" si="45"/>
        <v>11.849924449918841</v>
      </c>
      <c r="M720">
        <f t="shared" si="46"/>
        <v>47.399697799675366</v>
      </c>
      <c r="N720">
        <f t="shared" si="47"/>
        <v>57.922430711203297</v>
      </c>
    </row>
    <row r="721" spans="1:14" x14ac:dyDescent="0.35">
      <c r="A721" t="s">
        <v>49</v>
      </c>
      <c r="B721">
        <v>20</v>
      </c>
      <c r="C721" t="s">
        <v>50</v>
      </c>
      <c r="D721">
        <v>12</v>
      </c>
      <c r="E721">
        <v>14.486797253972799</v>
      </c>
      <c r="F721">
        <v>0.28686821368092003</v>
      </c>
      <c r="G721" t="s">
        <v>49</v>
      </c>
      <c r="H721">
        <v>20</v>
      </c>
      <c r="I721">
        <v>12</v>
      </c>
      <c r="J721">
        <v>0.32888026435058099</v>
      </c>
      <c r="K721" t="b">
        <f t="shared" si="44"/>
        <v>1</v>
      </c>
      <c r="L721">
        <f t="shared" si="45"/>
        <v>15.1025457320043</v>
      </c>
      <c r="M721">
        <f t="shared" si="46"/>
        <v>60.4101829280172</v>
      </c>
      <c r="N721">
        <f t="shared" si="47"/>
        <v>73.82124353803701</v>
      </c>
    </row>
    <row r="722" spans="1:14" x14ac:dyDescent="0.35">
      <c r="A722" t="s">
        <v>49</v>
      </c>
      <c r="B722">
        <v>20</v>
      </c>
      <c r="C722" t="s">
        <v>50</v>
      </c>
      <c r="D722">
        <v>13</v>
      </c>
      <c r="E722">
        <v>18.375742875641901</v>
      </c>
      <c r="F722">
        <v>0.373715616328335</v>
      </c>
      <c r="G722" t="s">
        <v>49</v>
      </c>
      <c r="H722">
        <v>20</v>
      </c>
      <c r="I722">
        <v>13</v>
      </c>
      <c r="J722">
        <v>0.41987339753928798</v>
      </c>
      <c r="K722" t="b">
        <f t="shared" si="44"/>
        <v>1</v>
      </c>
      <c r="L722">
        <f t="shared" si="45"/>
        <v>19.169331889509525</v>
      </c>
      <c r="M722">
        <f t="shared" si="46"/>
        <v>76.677327558038101</v>
      </c>
      <c r="N722">
        <f t="shared" si="47"/>
        <v>93.699694275922553</v>
      </c>
    </row>
    <row r="723" spans="1:14" x14ac:dyDescent="0.35">
      <c r="A723" t="s">
        <v>49</v>
      </c>
      <c r="B723">
        <v>20</v>
      </c>
      <c r="C723" t="s">
        <v>50</v>
      </c>
      <c r="D723">
        <v>14</v>
      </c>
      <c r="E723">
        <v>23.236924902728099</v>
      </c>
      <c r="F723">
        <v>0.48320917960096299</v>
      </c>
      <c r="G723" t="s">
        <v>49</v>
      </c>
      <c r="H723">
        <v>20</v>
      </c>
      <c r="I723">
        <v>14</v>
      </c>
      <c r="J723">
        <v>0.53365044832186703</v>
      </c>
      <c r="K723" t="b">
        <f t="shared" si="44"/>
        <v>1</v>
      </c>
      <c r="L723">
        <f t="shared" si="45"/>
        <v>24.253784530650929</v>
      </c>
      <c r="M723">
        <f t="shared" si="46"/>
        <v>97.015138122603716</v>
      </c>
      <c r="N723">
        <f t="shared" si="47"/>
        <v>118.55249878582174</v>
      </c>
    </row>
    <row r="724" spans="1:14" x14ac:dyDescent="0.35">
      <c r="A724" t="s">
        <v>49</v>
      </c>
      <c r="B724">
        <v>20</v>
      </c>
      <c r="C724" t="s">
        <v>50</v>
      </c>
      <c r="D724">
        <v>15</v>
      </c>
      <c r="E724">
        <v>29.192526000000001</v>
      </c>
      <c r="F724">
        <v>0.62035451741293401</v>
      </c>
      <c r="G724" t="s">
        <v>49</v>
      </c>
      <c r="H724">
        <v>20</v>
      </c>
      <c r="I724">
        <v>15</v>
      </c>
      <c r="J724">
        <v>0.67453184294990098</v>
      </c>
      <c r="K724" t="b">
        <f t="shared" si="44"/>
        <v>1</v>
      </c>
      <c r="L724">
        <f t="shared" si="45"/>
        <v>30.487412360362836</v>
      </c>
      <c r="M724">
        <f t="shared" si="46"/>
        <v>121.94964944145134</v>
      </c>
      <c r="N724">
        <f t="shared" si="47"/>
        <v>149.02247161745353</v>
      </c>
    </row>
    <row r="725" spans="1:14" x14ac:dyDescent="0.35">
      <c r="A725" t="s">
        <v>49</v>
      </c>
      <c r="B725">
        <v>20</v>
      </c>
      <c r="C725" t="s">
        <v>50</v>
      </c>
      <c r="D725">
        <v>16</v>
      </c>
      <c r="E725">
        <v>35.376461999999997</v>
      </c>
      <c r="F725">
        <v>0.78550817029054598</v>
      </c>
      <c r="G725" t="s">
        <v>49</v>
      </c>
      <c r="H725">
        <v>20</v>
      </c>
      <c r="I725">
        <v>16</v>
      </c>
      <c r="J725">
        <v>0.83553474625267299</v>
      </c>
      <c r="K725" t="b">
        <f t="shared" si="44"/>
        <v>1</v>
      </c>
      <c r="L725">
        <f t="shared" si="45"/>
        <v>36.997504916543221</v>
      </c>
      <c r="M725">
        <f t="shared" si="46"/>
        <v>147.99001966617288</v>
      </c>
      <c r="N725">
        <f t="shared" si="47"/>
        <v>180.84380403206325</v>
      </c>
    </row>
    <row r="726" spans="1:14" x14ac:dyDescent="0.35">
      <c r="A726" t="s">
        <v>49</v>
      </c>
      <c r="B726">
        <v>20</v>
      </c>
      <c r="C726" t="s">
        <v>50</v>
      </c>
      <c r="D726">
        <v>17</v>
      </c>
      <c r="E726">
        <v>41.560397999999999</v>
      </c>
      <c r="F726">
        <v>0.97782988878182897</v>
      </c>
      <c r="G726" t="s">
        <v>49</v>
      </c>
      <c r="H726">
        <v>20</v>
      </c>
      <c r="I726">
        <v>17</v>
      </c>
      <c r="J726">
        <v>1.00979476220092</v>
      </c>
      <c r="K726" t="b">
        <f t="shared" si="44"/>
        <v>1</v>
      </c>
      <c r="L726">
        <f t="shared" si="45"/>
        <v>43.548022650982745</v>
      </c>
      <c r="M726">
        <f t="shared" si="46"/>
        <v>174.19209060393098</v>
      </c>
      <c r="N726">
        <f t="shared" si="47"/>
        <v>212.86273471800365</v>
      </c>
    </row>
    <row r="727" spans="1:14" x14ac:dyDescent="0.35">
      <c r="A727" t="s">
        <v>49</v>
      </c>
      <c r="B727">
        <v>20</v>
      </c>
      <c r="C727" t="s">
        <v>50</v>
      </c>
      <c r="D727">
        <v>18</v>
      </c>
      <c r="E727">
        <v>47.744334000000002</v>
      </c>
      <c r="F727">
        <v>1.19650463091837</v>
      </c>
      <c r="G727" t="s">
        <v>49</v>
      </c>
      <c r="H727">
        <v>20</v>
      </c>
      <c r="I727">
        <v>18</v>
      </c>
      <c r="J727">
        <v>1.1930101752678499</v>
      </c>
      <c r="K727" t="b">
        <f t="shared" si="44"/>
        <v>1</v>
      </c>
      <c r="L727">
        <f t="shared" si="45"/>
        <v>50.133848806186222</v>
      </c>
      <c r="M727">
        <f t="shared" si="46"/>
        <v>200.53539522474489</v>
      </c>
      <c r="N727">
        <f t="shared" si="47"/>
        <v>245.05425296463824</v>
      </c>
    </row>
    <row r="728" spans="1:14" x14ac:dyDescent="0.35">
      <c r="A728" t="s">
        <v>49</v>
      </c>
      <c r="B728">
        <v>20</v>
      </c>
      <c r="C728" t="s">
        <v>50</v>
      </c>
      <c r="D728">
        <v>19</v>
      </c>
      <c r="E728">
        <v>53.928269999999998</v>
      </c>
      <c r="F728">
        <v>1.4407418059908199</v>
      </c>
      <c r="G728" t="s">
        <v>49</v>
      </c>
      <c r="H728">
        <v>20</v>
      </c>
      <c r="I728">
        <v>19</v>
      </c>
      <c r="J728">
        <v>1.3824237156630399</v>
      </c>
      <c r="K728" t="b">
        <f t="shared" si="44"/>
        <v>1</v>
      </c>
      <c r="L728">
        <f t="shared" si="45"/>
        <v>56.751435521653853</v>
      </c>
      <c r="M728">
        <f t="shared" si="46"/>
        <v>227.00574208661541</v>
      </c>
      <c r="N728">
        <f t="shared" si="47"/>
        <v>277.40101682984402</v>
      </c>
    </row>
    <row r="729" spans="1:14" x14ac:dyDescent="0.35">
      <c r="A729" t="s">
        <v>49</v>
      </c>
      <c r="B729">
        <v>20</v>
      </c>
      <c r="C729" t="s">
        <v>50</v>
      </c>
      <c r="D729">
        <v>20</v>
      </c>
      <c r="E729">
        <v>61.694423999999998</v>
      </c>
      <c r="F729">
        <v>1.7179934286111</v>
      </c>
      <c r="G729" t="s">
        <v>49</v>
      </c>
      <c r="H729">
        <v>20</v>
      </c>
      <c r="I729">
        <v>20</v>
      </c>
      <c r="J729">
        <v>1.59412345550653</v>
      </c>
      <c r="K729" t="b">
        <f t="shared" si="44"/>
        <v>1</v>
      </c>
      <c r="L729">
        <f t="shared" si="45"/>
        <v>65.006540884117626</v>
      </c>
      <c r="M729">
        <f t="shared" si="46"/>
        <v>260.02616353647051</v>
      </c>
      <c r="N729">
        <f t="shared" si="47"/>
        <v>317.75197184156696</v>
      </c>
    </row>
    <row r="730" spans="1:14" x14ac:dyDescent="0.35">
      <c r="A730" t="s">
        <v>49</v>
      </c>
      <c r="B730">
        <v>20</v>
      </c>
      <c r="C730" t="s">
        <v>50</v>
      </c>
      <c r="D730">
        <v>21</v>
      </c>
      <c r="E730">
        <v>69.460577999999998</v>
      </c>
      <c r="F730">
        <v>2.0272690653527699</v>
      </c>
      <c r="G730" t="s">
        <v>49</v>
      </c>
      <c r="H730">
        <v>20</v>
      </c>
      <c r="I730">
        <v>21</v>
      </c>
      <c r="J730">
        <v>1.8202472226889499</v>
      </c>
      <c r="K730" t="b">
        <f t="shared" si="44"/>
        <v>1</v>
      </c>
      <c r="L730">
        <f t="shared" si="45"/>
        <v>73.308094288041715</v>
      </c>
      <c r="M730">
        <f t="shared" si="46"/>
        <v>293.23237715216686</v>
      </c>
      <c r="N730">
        <f t="shared" si="47"/>
        <v>358.32996487994791</v>
      </c>
    </row>
    <row r="731" spans="1:14" x14ac:dyDescent="0.35">
      <c r="A731" t="s">
        <v>49</v>
      </c>
      <c r="B731">
        <v>20</v>
      </c>
      <c r="C731" t="s">
        <v>50</v>
      </c>
      <c r="D731">
        <v>22</v>
      </c>
      <c r="E731">
        <v>77.226731999999998</v>
      </c>
      <c r="F731">
        <v>2.3676079957921798</v>
      </c>
      <c r="G731" t="s">
        <v>49</v>
      </c>
      <c r="H731">
        <v>20</v>
      </c>
      <c r="I731">
        <v>22</v>
      </c>
      <c r="J731">
        <v>2.0559402241128701</v>
      </c>
      <c r="K731" t="b">
        <f t="shared" si="44"/>
        <v>1</v>
      </c>
      <c r="L731">
        <f t="shared" si="45"/>
        <v>81.650280219905056</v>
      </c>
      <c r="M731">
        <f t="shared" si="46"/>
        <v>326.60112087962023</v>
      </c>
      <c r="N731">
        <f t="shared" si="47"/>
        <v>399.1065697148959</v>
      </c>
    </row>
    <row r="732" spans="1:14" x14ac:dyDescent="0.35">
      <c r="A732" t="s">
        <v>49</v>
      </c>
      <c r="B732">
        <v>20</v>
      </c>
      <c r="C732" t="s">
        <v>50</v>
      </c>
      <c r="D732">
        <v>23</v>
      </c>
      <c r="E732">
        <v>84.992885999999999</v>
      </c>
      <c r="F732">
        <v>2.7380783211184201</v>
      </c>
      <c r="G732" t="s">
        <v>49</v>
      </c>
      <c r="H732">
        <v>20</v>
      </c>
      <c r="I732">
        <v>23</v>
      </c>
      <c r="J732">
        <v>2.2981417476404302</v>
      </c>
      <c r="K732" t="b">
        <f t="shared" si="44"/>
        <v>1</v>
      </c>
      <c r="L732">
        <f t="shared" si="45"/>
        <v>90.02910606875885</v>
      </c>
      <c r="M732">
        <f t="shared" si="46"/>
        <v>360.1164242750354</v>
      </c>
      <c r="N732">
        <f t="shared" si="47"/>
        <v>440.06227046409327</v>
      </c>
    </row>
    <row r="733" spans="1:14" x14ac:dyDescent="0.35">
      <c r="A733" t="s">
        <v>49</v>
      </c>
      <c r="B733">
        <v>20</v>
      </c>
      <c r="C733" t="s">
        <v>50</v>
      </c>
      <c r="D733">
        <v>24</v>
      </c>
      <c r="E733">
        <v>92.759039999999999</v>
      </c>
      <c r="F733">
        <v>3.13777609948486</v>
      </c>
      <c r="G733" t="s">
        <v>49</v>
      </c>
      <c r="H733">
        <v>20</v>
      </c>
      <c r="I733">
        <v>24</v>
      </c>
      <c r="J733">
        <v>2.5448769868950301</v>
      </c>
      <c r="K733" t="b">
        <f t="shared" si="44"/>
        <v>1</v>
      </c>
      <c r="L733">
        <f t="shared" si="45"/>
        <v>98.441693086379885</v>
      </c>
      <c r="M733">
        <f t="shared" si="46"/>
        <v>393.76677234551954</v>
      </c>
      <c r="N733">
        <f t="shared" si="47"/>
        <v>481.18299580622488</v>
      </c>
    </row>
    <row r="734" spans="1:14" x14ac:dyDescent="0.35">
      <c r="A734" t="s">
        <v>49</v>
      </c>
      <c r="B734">
        <v>20</v>
      </c>
      <c r="C734" t="s">
        <v>50</v>
      </c>
      <c r="D734">
        <v>25</v>
      </c>
      <c r="E734">
        <v>101.545785</v>
      </c>
      <c r="F734">
        <v>3.5711260035003201</v>
      </c>
      <c r="G734" t="s">
        <v>49</v>
      </c>
      <c r="H734">
        <v>20</v>
      </c>
      <c r="I734">
        <v>25</v>
      </c>
      <c r="J734">
        <v>2.80638549071822</v>
      </c>
      <c r="K734" t="b">
        <f t="shared" si="44"/>
        <v>1</v>
      </c>
      <c r="L734">
        <f t="shared" si="45"/>
        <v>107.92329649421853</v>
      </c>
      <c r="M734">
        <f t="shared" si="46"/>
        <v>431.69318597687413</v>
      </c>
      <c r="N734">
        <f t="shared" si="47"/>
        <v>527.5290732637402</v>
      </c>
    </row>
    <row r="735" spans="1:14" x14ac:dyDescent="0.35">
      <c r="A735" t="s">
        <v>49</v>
      </c>
      <c r="B735">
        <v>20</v>
      </c>
      <c r="C735" t="s">
        <v>50</v>
      </c>
      <c r="D735">
        <v>26</v>
      </c>
      <c r="E735">
        <v>110.332529999999</v>
      </c>
      <c r="F735">
        <v>4.0371184693953097</v>
      </c>
      <c r="G735" t="s">
        <v>49</v>
      </c>
      <c r="H735">
        <v>20</v>
      </c>
      <c r="I735">
        <v>26</v>
      </c>
      <c r="J735">
        <v>3.0774969623820998</v>
      </c>
      <c r="K735" t="b">
        <f t="shared" si="44"/>
        <v>1</v>
      </c>
      <c r="L735">
        <f t="shared" si="45"/>
        <v>117.44714543177641</v>
      </c>
      <c r="M735">
        <f t="shared" si="46"/>
        <v>469.78858172710562</v>
      </c>
      <c r="N735">
        <f t="shared" si="47"/>
        <v>574.08164687052306</v>
      </c>
    </row>
    <row r="736" spans="1:14" x14ac:dyDescent="0.35">
      <c r="A736" t="s">
        <v>49</v>
      </c>
      <c r="B736">
        <v>20</v>
      </c>
      <c r="C736" t="s">
        <v>50</v>
      </c>
      <c r="D736">
        <v>27</v>
      </c>
      <c r="E736">
        <v>119.054254228765</v>
      </c>
      <c r="F736">
        <v>4.5915588140086898</v>
      </c>
      <c r="G736" t="s">
        <v>49</v>
      </c>
      <c r="H736">
        <v>20</v>
      </c>
      <c r="I736">
        <v>27</v>
      </c>
      <c r="J736">
        <v>3.3542720983761298</v>
      </c>
      <c r="K736" t="b">
        <f t="shared" si="44"/>
        <v>1</v>
      </c>
      <c r="L736">
        <f t="shared" si="45"/>
        <v>127.00008514114982</v>
      </c>
      <c r="M736">
        <f t="shared" si="46"/>
        <v>508.0003405645993</v>
      </c>
      <c r="N736">
        <f t="shared" si="47"/>
        <v>620.77641616994038</v>
      </c>
    </row>
    <row r="737" spans="1:14" x14ac:dyDescent="0.35">
      <c r="A737" t="s">
        <v>49</v>
      </c>
      <c r="B737">
        <v>20</v>
      </c>
      <c r="C737" t="s">
        <v>50</v>
      </c>
      <c r="D737">
        <v>28</v>
      </c>
      <c r="E737">
        <v>127.28138287560201</v>
      </c>
      <c r="F737">
        <v>5.6058765545363798</v>
      </c>
      <c r="G737" t="s">
        <v>49</v>
      </c>
      <c r="H737">
        <v>20</v>
      </c>
      <c r="I737">
        <v>28</v>
      </c>
      <c r="J737">
        <v>3.6293609301423002</v>
      </c>
      <c r="K737" t="b">
        <f t="shared" si="44"/>
        <v>1</v>
      </c>
      <c r="L737">
        <f t="shared" si="45"/>
        <v>136.51662036028068</v>
      </c>
      <c r="M737">
        <f t="shared" si="46"/>
        <v>546.06648144112273</v>
      </c>
      <c r="N737">
        <f t="shared" si="47"/>
        <v>667.29324032105194</v>
      </c>
    </row>
    <row r="738" spans="1:14" x14ac:dyDescent="0.35">
      <c r="A738" t="s">
        <v>49</v>
      </c>
      <c r="B738">
        <v>20</v>
      </c>
      <c r="C738" t="s">
        <v>50</v>
      </c>
      <c r="D738">
        <v>29</v>
      </c>
      <c r="E738">
        <v>135.16033795521801</v>
      </c>
      <c r="F738">
        <v>6.9302396555910004</v>
      </c>
      <c r="G738" t="s">
        <v>49</v>
      </c>
      <c r="H738">
        <v>20</v>
      </c>
      <c r="I738">
        <v>29</v>
      </c>
      <c r="J738">
        <v>3.89975218104779</v>
      </c>
      <c r="K738" t="b">
        <f t="shared" si="44"/>
        <v>1</v>
      </c>
      <c r="L738">
        <f t="shared" si="45"/>
        <v>145.99032979185682</v>
      </c>
      <c r="M738">
        <f t="shared" si="46"/>
        <v>583.96131916742729</v>
      </c>
      <c r="N738">
        <f t="shared" si="47"/>
        <v>713.60073202259616</v>
      </c>
    </row>
    <row r="739" spans="1:14" x14ac:dyDescent="0.35">
      <c r="A739" t="s">
        <v>49</v>
      </c>
      <c r="B739">
        <v>20</v>
      </c>
      <c r="C739" t="s">
        <v>50</v>
      </c>
      <c r="D739">
        <v>30</v>
      </c>
      <c r="E739">
        <v>143.12206358794299</v>
      </c>
      <c r="F739">
        <v>8.3539147264981306</v>
      </c>
      <c r="G739" t="s">
        <v>49</v>
      </c>
      <c r="H739">
        <v>20</v>
      </c>
      <c r="I739">
        <v>30</v>
      </c>
      <c r="J739">
        <v>4.1683271247537901</v>
      </c>
      <c r="K739" t="b">
        <f t="shared" si="44"/>
        <v>1</v>
      </c>
      <c r="L739">
        <f t="shared" si="45"/>
        <v>155.64430543919491</v>
      </c>
      <c r="M739">
        <f t="shared" si="46"/>
        <v>622.57722175677964</v>
      </c>
      <c r="N739">
        <f t="shared" si="47"/>
        <v>760.78936498678468</v>
      </c>
    </row>
    <row r="740" spans="1:14" x14ac:dyDescent="0.35">
      <c r="A740" t="s">
        <v>49</v>
      </c>
      <c r="B740">
        <v>20</v>
      </c>
      <c r="C740" t="s">
        <v>50</v>
      </c>
      <c r="D740">
        <v>31</v>
      </c>
      <c r="E740">
        <v>150.96536573852899</v>
      </c>
      <c r="F740">
        <v>9.8687729620473394</v>
      </c>
      <c r="G740" t="s">
        <v>49</v>
      </c>
      <c r="H740">
        <v>20</v>
      </c>
      <c r="I740">
        <v>31</v>
      </c>
      <c r="J740">
        <v>4.4345220863422403</v>
      </c>
      <c r="K740" t="b">
        <f t="shared" si="44"/>
        <v>1</v>
      </c>
      <c r="L740">
        <f t="shared" si="45"/>
        <v>165.26866078691856</v>
      </c>
      <c r="M740">
        <f t="shared" si="46"/>
        <v>661.07464314767424</v>
      </c>
      <c r="N740">
        <f t="shared" si="47"/>
        <v>807.83321392645792</v>
      </c>
    </row>
    <row r="741" spans="1:14" x14ac:dyDescent="0.35">
      <c r="A741" t="s">
        <v>49</v>
      </c>
      <c r="B741">
        <v>20</v>
      </c>
      <c r="C741" t="s">
        <v>50</v>
      </c>
      <c r="D741">
        <v>32</v>
      </c>
      <c r="E741">
        <v>158.69177141765701</v>
      </c>
      <c r="F741">
        <v>11.469317231492999</v>
      </c>
      <c r="G741" t="s">
        <v>49</v>
      </c>
      <c r="H741">
        <v>20</v>
      </c>
      <c r="I741">
        <v>32</v>
      </c>
      <c r="J741">
        <v>4.6979546168551503</v>
      </c>
      <c r="K741" t="b">
        <f t="shared" si="44"/>
        <v>1</v>
      </c>
      <c r="L741">
        <f t="shared" si="45"/>
        <v>174.85904326600516</v>
      </c>
      <c r="M741">
        <f t="shared" si="46"/>
        <v>699.43617306402064</v>
      </c>
      <c r="N741">
        <f t="shared" si="47"/>
        <v>854.71100348423317</v>
      </c>
    </row>
    <row r="742" spans="1:14" x14ac:dyDescent="0.35">
      <c r="A742" t="s">
        <v>49</v>
      </c>
      <c r="B742">
        <v>20</v>
      </c>
      <c r="C742" t="s">
        <v>50</v>
      </c>
      <c r="D742">
        <v>33</v>
      </c>
      <c r="E742">
        <v>166.30133727650801</v>
      </c>
      <c r="F742">
        <v>13.151564586740101</v>
      </c>
      <c r="G742" t="s">
        <v>49</v>
      </c>
      <c r="H742">
        <v>20</v>
      </c>
      <c r="I742">
        <v>33</v>
      </c>
      <c r="J742">
        <v>4.9583471331102702</v>
      </c>
      <c r="K742" t="b">
        <f t="shared" si="44"/>
        <v>1</v>
      </c>
      <c r="L742">
        <f t="shared" si="45"/>
        <v>184.41124899635838</v>
      </c>
      <c r="M742">
        <f t="shared" si="46"/>
        <v>737.64499598543352</v>
      </c>
      <c r="N742">
        <f t="shared" si="47"/>
        <v>901.40218509419969</v>
      </c>
    </row>
    <row r="743" spans="1:14" x14ac:dyDescent="0.35">
      <c r="A743" t="s">
        <v>49</v>
      </c>
      <c r="B743">
        <v>20</v>
      </c>
      <c r="C743" t="s">
        <v>50</v>
      </c>
      <c r="D743">
        <v>34</v>
      </c>
      <c r="E743">
        <v>173.79335975546499</v>
      </c>
      <c r="F743">
        <v>14.912353458845701</v>
      </c>
      <c r="G743" t="s">
        <v>49</v>
      </c>
      <c r="H743">
        <v>20</v>
      </c>
      <c r="I743">
        <v>34</v>
      </c>
      <c r="J743">
        <v>5.21548647784432</v>
      </c>
      <c r="K743" t="b">
        <f t="shared" si="44"/>
        <v>1</v>
      </c>
      <c r="L743">
        <f t="shared" si="45"/>
        <v>193.921199692155</v>
      </c>
      <c r="M743">
        <f t="shared" si="46"/>
        <v>775.68479876862</v>
      </c>
      <c r="N743">
        <f t="shared" si="47"/>
        <v>947.88682409525359</v>
      </c>
    </row>
    <row r="744" spans="1:14" x14ac:dyDescent="0.35">
      <c r="A744" t="s">
        <v>49</v>
      </c>
      <c r="B744">
        <v>20</v>
      </c>
      <c r="C744" t="s">
        <v>50</v>
      </c>
      <c r="D744">
        <v>35</v>
      </c>
      <c r="E744">
        <v>180.85022518468699</v>
      </c>
      <c r="F744">
        <v>16.585058742382099</v>
      </c>
      <c r="G744" t="s">
        <v>49</v>
      </c>
      <c r="H744">
        <v>20</v>
      </c>
      <c r="I744">
        <v>35</v>
      </c>
      <c r="J744">
        <v>5.46562100464722</v>
      </c>
      <c r="K744" t="b">
        <f t="shared" si="44"/>
        <v>1</v>
      </c>
      <c r="L744">
        <f t="shared" si="45"/>
        <v>202.90090493171633</v>
      </c>
      <c r="M744">
        <f t="shared" si="46"/>
        <v>811.6036197268653</v>
      </c>
      <c r="N744">
        <f t="shared" si="47"/>
        <v>991.77962330622938</v>
      </c>
    </row>
    <row r="745" spans="1:14" x14ac:dyDescent="0.35">
      <c r="A745" t="s">
        <v>49</v>
      </c>
      <c r="B745">
        <v>20</v>
      </c>
      <c r="C745" t="s">
        <v>50</v>
      </c>
      <c r="D745">
        <v>36</v>
      </c>
      <c r="E745">
        <v>187.85808532343199</v>
      </c>
      <c r="F745">
        <v>18.2277253332309</v>
      </c>
      <c r="G745" t="s">
        <v>49</v>
      </c>
      <c r="H745">
        <v>20</v>
      </c>
      <c r="I745">
        <v>36</v>
      </c>
      <c r="J745">
        <v>5.7113474012537599</v>
      </c>
      <c r="K745" t="b">
        <f t="shared" si="44"/>
        <v>1</v>
      </c>
      <c r="L745">
        <f t="shared" si="45"/>
        <v>211.79715805791665</v>
      </c>
      <c r="M745">
        <f t="shared" si="46"/>
        <v>847.18863223166659</v>
      </c>
      <c r="N745">
        <f t="shared" si="47"/>
        <v>1035.2645085870965</v>
      </c>
    </row>
    <row r="746" spans="1:14" x14ac:dyDescent="0.35">
      <c r="A746" t="s">
        <v>49</v>
      </c>
      <c r="B746">
        <v>20</v>
      </c>
      <c r="C746" t="s">
        <v>50</v>
      </c>
      <c r="D746">
        <v>37</v>
      </c>
      <c r="E746">
        <v>194.810010497147</v>
      </c>
      <c r="F746">
        <v>19.8746690207334</v>
      </c>
      <c r="G746" t="s">
        <v>49</v>
      </c>
      <c r="H746">
        <v>20</v>
      </c>
      <c r="I746">
        <v>37</v>
      </c>
      <c r="J746">
        <v>5.9538262128995996</v>
      </c>
      <c r="K746" t="b">
        <f t="shared" si="44"/>
        <v>1</v>
      </c>
      <c r="L746">
        <f t="shared" si="45"/>
        <v>220.63850573078</v>
      </c>
      <c r="M746">
        <f t="shared" si="46"/>
        <v>882.55402292311999</v>
      </c>
      <c r="N746">
        <f t="shared" si="47"/>
        <v>1078.4810160120526</v>
      </c>
    </row>
    <row r="747" spans="1:14" x14ac:dyDescent="0.35">
      <c r="A747" t="s">
        <v>49</v>
      </c>
      <c r="B747">
        <v>20</v>
      </c>
      <c r="C747" t="s">
        <v>50</v>
      </c>
      <c r="D747">
        <v>38</v>
      </c>
      <c r="E747">
        <v>201.70698016301699</v>
      </c>
      <c r="F747">
        <v>21.545675966111599</v>
      </c>
      <c r="G747" t="s">
        <v>49</v>
      </c>
      <c r="H747">
        <v>20</v>
      </c>
      <c r="I747">
        <v>38</v>
      </c>
      <c r="J747">
        <v>6.1935186537665299</v>
      </c>
      <c r="K747" t="b">
        <f t="shared" si="44"/>
        <v>1</v>
      </c>
      <c r="L747">
        <f t="shared" si="45"/>
        <v>229.4461747828951</v>
      </c>
      <c r="M747">
        <f t="shared" si="46"/>
        <v>917.7846991315804</v>
      </c>
      <c r="N747">
        <f t="shared" si="47"/>
        <v>1121.5329023387912</v>
      </c>
    </row>
    <row r="748" spans="1:14" x14ac:dyDescent="0.35">
      <c r="A748" t="s">
        <v>49</v>
      </c>
      <c r="B748">
        <v>20</v>
      </c>
      <c r="C748" t="s">
        <v>50</v>
      </c>
      <c r="D748">
        <v>39</v>
      </c>
      <c r="E748">
        <v>208.535310623014</v>
      </c>
      <c r="F748">
        <v>23.251753184607299</v>
      </c>
      <c r="G748" t="s">
        <v>49</v>
      </c>
      <c r="H748">
        <v>20</v>
      </c>
      <c r="I748">
        <v>39</v>
      </c>
      <c r="J748">
        <v>6.4305609127776799</v>
      </c>
      <c r="K748" t="b">
        <f t="shared" si="44"/>
        <v>1</v>
      </c>
      <c r="L748">
        <f t="shared" si="45"/>
        <v>238.21762472039899</v>
      </c>
      <c r="M748">
        <f t="shared" si="46"/>
        <v>952.87049888159595</v>
      </c>
      <c r="N748">
        <f t="shared" si="47"/>
        <v>1164.4077496333102</v>
      </c>
    </row>
    <row r="749" spans="1:14" x14ac:dyDescent="0.35">
      <c r="A749" t="s">
        <v>49</v>
      </c>
      <c r="B749">
        <v>20</v>
      </c>
      <c r="C749" t="s">
        <v>50</v>
      </c>
      <c r="D749">
        <v>40</v>
      </c>
      <c r="E749">
        <v>214.60524032380499</v>
      </c>
      <c r="F749">
        <v>24.8363355686574</v>
      </c>
      <c r="G749" t="s">
        <v>49</v>
      </c>
      <c r="H749">
        <v>20</v>
      </c>
      <c r="I749">
        <v>40</v>
      </c>
      <c r="J749">
        <v>6.6571555954874198</v>
      </c>
      <c r="K749" t="b">
        <f t="shared" si="44"/>
        <v>1</v>
      </c>
      <c r="L749">
        <f t="shared" si="45"/>
        <v>246.09873148794981</v>
      </c>
      <c r="M749">
        <f t="shared" si="46"/>
        <v>984.39492595179922</v>
      </c>
      <c r="N749">
        <f t="shared" si="47"/>
        <v>1202.9305995130985</v>
      </c>
    </row>
    <row r="750" spans="1:14" x14ac:dyDescent="0.35">
      <c r="A750" t="s">
        <v>49</v>
      </c>
      <c r="B750">
        <v>20</v>
      </c>
      <c r="C750" t="s">
        <v>50</v>
      </c>
      <c r="D750">
        <v>41</v>
      </c>
      <c r="E750">
        <v>220.70817539331199</v>
      </c>
      <c r="F750">
        <v>26.366019443218601</v>
      </c>
      <c r="G750" t="s">
        <v>49</v>
      </c>
      <c r="H750">
        <v>20</v>
      </c>
      <c r="I750">
        <v>41</v>
      </c>
      <c r="J750">
        <v>6.8774565597971904</v>
      </c>
      <c r="K750" t="b">
        <f t="shared" si="44"/>
        <v>1</v>
      </c>
      <c r="L750">
        <f t="shared" si="45"/>
        <v>253.95165139632778</v>
      </c>
      <c r="M750">
        <f t="shared" si="46"/>
        <v>1015.8066055853111</v>
      </c>
      <c r="N750">
        <f t="shared" si="47"/>
        <v>1241.3156720252503</v>
      </c>
    </row>
    <row r="751" spans="1:14" x14ac:dyDescent="0.35">
      <c r="A751" t="s">
        <v>49</v>
      </c>
      <c r="B751">
        <v>20</v>
      </c>
      <c r="C751" t="s">
        <v>50</v>
      </c>
      <c r="D751">
        <v>42</v>
      </c>
      <c r="E751">
        <v>226.803621252553</v>
      </c>
      <c r="F751">
        <v>27.879255839480798</v>
      </c>
      <c r="G751" t="s">
        <v>49</v>
      </c>
      <c r="H751">
        <v>20</v>
      </c>
      <c r="I751">
        <v>42</v>
      </c>
      <c r="J751">
        <v>7.0935454938289499</v>
      </c>
      <c r="K751" t="b">
        <f t="shared" si="44"/>
        <v>1</v>
      </c>
      <c r="L751">
        <f t="shared" si="45"/>
        <v>261.77642258586275</v>
      </c>
      <c r="M751">
        <f t="shared" si="46"/>
        <v>1047.105690343451</v>
      </c>
      <c r="N751">
        <f t="shared" si="47"/>
        <v>1279.563153599697</v>
      </c>
    </row>
    <row r="752" spans="1:14" x14ac:dyDescent="0.35">
      <c r="A752" t="s">
        <v>49</v>
      </c>
      <c r="B752">
        <v>20</v>
      </c>
      <c r="C752" t="s">
        <v>50</v>
      </c>
      <c r="D752">
        <v>43</v>
      </c>
      <c r="E752">
        <v>232.86775974935301</v>
      </c>
      <c r="F752">
        <v>29.397895721592999</v>
      </c>
      <c r="G752" t="s">
        <v>49</v>
      </c>
      <c r="H752">
        <v>20</v>
      </c>
      <c r="I752">
        <v>43</v>
      </c>
      <c r="J752">
        <v>7.3064486792592502</v>
      </c>
      <c r="K752" t="b">
        <f t="shared" si="44"/>
        <v>1</v>
      </c>
      <c r="L752">
        <f t="shared" si="45"/>
        <v>269.57210415020523</v>
      </c>
      <c r="M752">
        <f t="shared" si="46"/>
        <v>1078.2884166008209</v>
      </c>
      <c r="N752">
        <f t="shared" si="47"/>
        <v>1317.6684450862031</v>
      </c>
    </row>
    <row r="753" spans="1:14" x14ac:dyDescent="0.35">
      <c r="A753" t="s">
        <v>49</v>
      </c>
      <c r="B753">
        <v>20</v>
      </c>
      <c r="C753" t="s">
        <v>50</v>
      </c>
      <c r="D753">
        <v>44</v>
      </c>
      <c r="E753">
        <v>238.88657221979801</v>
      </c>
      <c r="F753">
        <v>30.934064642390702</v>
      </c>
      <c r="G753" t="s">
        <v>49</v>
      </c>
      <c r="H753">
        <v>20</v>
      </c>
      <c r="I753">
        <v>44</v>
      </c>
      <c r="J753">
        <v>7.5166627656443197</v>
      </c>
      <c r="K753" t="b">
        <f t="shared" si="44"/>
        <v>1</v>
      </c>
      <c r="L753">
        <f t="shared" si="45"/>
        <v>277.33729962783303</v>
      </c>
      <c r="M753">
        <f t="shared" si="46"/>
        <v>1109.3491985113321</v>
      </c>
      <c r="N753">
        <f t="shared" si="47"/>
        <v>1355.6247205808479</v>
      </c>
    </row>
    <row r="754" spans="1:14" x14ac:dyDescent="0.35">
      <c r="A754" t="s">
        <v>49</v>
      </c>
      <c r="B754">
        <v>20</v>
      </c>
      <c r="C754" t="s">
        <v>50</v>
      </c>
      <c r="D754">
        <v>45</v>
      </c>
      <c r="E754">
        <v>244.11202590384201</v>
      </c>
      <c r="F754">
        <v>32.340983346227702</v>
      </c>
      <c r="G754" t="s">
        <v>49</v>
      </c>
      <c r="H754">
        <v>20</v>
      </c>
      <c r="I754">
        <v>45</v>
      </c>
      <c r="J754">
        <v>7.7159621703748096</v>
      </c>
      <c r="K754" t="b">
        <f t="shared" si="44"/>
        <v>1</v>
      </c>
      <c r="L754">
        <f t="shared" si="45"/>
        <v>284.16897142044456</v>
      </c>
      <c r="M754">
        <f t="shared" si="46"/>
        <v>1136.6758856817783</v>
      </c>
      <c r="N754">
        <f t="shared" si="47"/>
        <v>1389.017932303133</v>
      </c>
    </row>
    <row r="755" spans="1:14" x14ac:dyDescent="0.35">
      <c r="A755" t="s">
        <v>49</v>
      </c>
      <c r="B755">
        <v>20</v>
      </c>
      <c r="C755" t="s">
        <v>50</v>
      </c>
      <c r="D755">
        <v>46</v>
      </c>
      <c r="E755">
        <v>249.38439560111499</v>
      </c>
      <c r="F755">
        <v>33.6845916587109</v>
      </c>
      <c r="G755" t="s">
        <v>49</v>
      </c>
      <c r="H755">
        <v>20</v>
      </c>
      <c r="I755">
        <v>46</v>
      </c>
      <c r="J755">
        <v>7.9088020683986198</v>
      </c>
      <c r="K755" t="b">
        <f t="shared" si="44"/>
        <v>1</v>
      </c>
      <c r="L755">
        <f t="shared" si="45"/>
        <v>290.97778932822456</v>
      </c>
      <c r="M755">
        <f t="shared" si="46"/>
        <v>1163.9111573128982</v>
      </c>
      <c r="N755">
        <f t="shared" si="47"/>
        <v>1422.2994342363615</v>
      </c>
    </row>
    <row r="756" spans="1:14" x14ac:dyDescent="0.35">
      <c r="A756" t="s">
        <v>49</v>
      </c>
      <c r="B756">
        <v>20</v>
      </c>
      <c r="C756" t="s">
        <v>50</v>
      </c>
      <c r="D756">
        <v>47</v>
      </c>
      <c r="E756">
        <v>254.66457917991599</v>
      </c>
      <c r="F756">
        <v>35.002450194620501</v>
      </c>
      <c r="G756" t="s">
        <v>49</v>
      </c>
      <c r="H756">
        <v>20</v>
      </c>
      <c r="I756">
        <v>47</v>
      </c>
      <c r="J756">
        <v>8.0974740223731594</v>
      </c>
      <c r="K756" t="b">
        <f t="shared" si="44"/>
        <v>1</v>
      </c>
      <c r="L756">
        <f t="shared" si="45"/>
        <v>297.76450339690962</v>
      </c>
      <c r="M756">
        <f t="shared" si="46"/>
        <v>1191.0580135876385</v>
      </c>
      <c r="N756">
        <f t="shared" si="47"/>
        <v>1455.4728926040941</v>
      </c>
    </row>
    <row r="757" spans="1:14" x14ac:dyDescent="0.35">
      <c r="A757" t="s">
        <v>49</v>
      </c>
      <c r="B757">
        <v>20</v>
      </c>
      <c r="C757" t="s">
        <v>50</v>
      </c>
      <c r="D757">
        <v>48</v>
      </c>
      <c r="E757">
        <v>259.92999529638098</v>
      </c>
      <c r="F757">
        <v>36.315706332402101</v>
      </c>
      <c r="G757" t="s">
        <v>49</v>
      </c>
      <c r="H757">
        <v>20</v>
      </c>
      <c r="I757">
        <v>48</v>
      </c>
      <c r="J757">
        <v>8.2831564129964299</v>
      </c>
      <c r="K757" t="b">
        <f t="shared" si="44"/>
        <v>1</v>
      </c>
      <c r="L757">
        <f t="shared" si="45"/>
        <v>304.52885804177953</v>
      </c>
      <c r="M757">
        <f t="shared" si="46"/>
        <v>1218.1154321671181</v>
      </c>
      <c r="N757">
        <f t="shared" si="47"/>
        <v>1488.5370581082184</v>
      </c>
    </row>
    <row r="758" spans="1:14" x14ac:dyDescent="0.35">
      <c r="A758" t="s">
        <v>49</v>
      </c>
      <c r="B758">
        <v>20</v>
      </c>
      <c r="C758" t="s">
        <v>50</v>
      </c>
      <c r="D758">
        <v>49</v>
      </c>
      <c r="E758">
        <v>265.16760387989399</v>
      </c>
      <c r="F758">
        <v>37.636050472914299</v>
      </c>
      <c r="G758" t="s">
        <v>49</v>
      </c>
      <c r="H758">
        <v>20</v>
      </c>
      <c r="I758">
        <v>49</v>
      </c>
      <c r="J758">
        <v>8.4664589504486099</v>
      </c>
      <c r="K758" t="b">
        <f t="shared" si="44"/>
        <v>1</v>
      </c>
      <c r="L758">
        <f t="shared" si="45"/>
        <v>311.27011330325689</v>
      </c>
      <c r="M758">
        <f t="shared" si="46"/>
        <v>1245.0804532130276</v>
      </c>
      <c r="N758">
        <f t="shared" si="47"/>
        <v>1521.4883138263197</v>
      </c>
    </row>
    <row r="759" spans="1:14" x14ac:dyDescent="0.35">
      <c r="A759" t="s">
        <v>49</v>
      </c>
      <c r="B759">
        <v>20</v>
      </c>
      <c r="C759" t="s">
        <v>50</v>
      </c>
      <c r="D759">
        <v>50</v>
      </c>
      <c r="E759">
        <v>269.702965360451</v>
      </c>
      <c r="F759">
        <v>38.858286587678897</v>
      </c>
      <c r="G759" t="s">
        <v>49</v>
      </c>
      <c r="H759">
        <v>20</v>
      </c>
      <c r="I759">
        <v>50</v>
      </c>
      <c r="J759">
        <v>8.6400747440620602</v>
      </c>
      <c r="K759" t="b">
        <f t="shared" si="44"/>
        <v>1</v>
      </c>
      <c r="L759">
        <f t="shared" si="45"/>
        <v>317.20132669219197</v>
      </c>
      <c r="M759">
        <f t="shared" si="46"/>
        <v>1268.8053067687679</v>
      </c>
      <c r="N759">
        <f t="shared" si="47"/>
        <v>1550.4800848714344</v>
      </c>
    </row>
    <row r="760" spans="1:14" x14ac:dyDescent="0.35">
      <c r="A760" t="s">
        <v>49</v>
      </c>
      <c r="B760">
        <v>20</v>
      </c>
      <c r="C760" t="s">
        <v>50</v>
      </c>
      <c r="D760">
        <v>51</v>
      </c>
      <c r="E760">
        <v>274.27303773545202</v>
      </c>
      <c r="F760">
        <v>40.032538164148299</v>
      </c>
      <c r="G760" t="s">
        <v>49</v>
      </c>
      <c r="H760">
        <v>20</v>
      </c>
      <c r="I760">
        <v>51</v>
      </c>
      <c r="J760">
        <v>8.8078602723476198</v>
      </c>
      <c r="K760" t="b">
        <f t="shared" si="44"/>
        <v>1</v>
      </c>
      <c r="L760">
        <f t="shared" si="45"/>
        <v>323.11343617194797</v>
      </c>
      <c r="M760">
        <f t="shared" si="46"/>
        <v>1292.4537446877919</v>
      </c>
      <c r="N760">
        <f t="shared" si="47"/>
        <v>1579.3784760084816</v>
      </c>
    </row>
    <row r="761" spans="1:14" x14ac:dyDescent="0.35">
      <c r="A761" t="s">
        <v>49</v>
      </c>
      <c r="B761">
        <v>20</v>
      </c>
      <c r="C761" t="s">
        <v>50</v>
      </c>
      <c r="D761">
        <v>52</v>
      </c>
      <c r="E761">
        <v>278.84837094980202</v>
      </c>
      <c r="F761">
        <v>41.187049570699102</v>
      </c>
      <c r="G761" t="s">
        <v>49</v>
      </c>
      <c r="H761">
        <v>20</v>
      </c>
      <c r="I761">
        <v>52</v>
      </c>
      <c r="J761">
        <v>8.97185319279148</v>
      </c>
      <c r="K761" t="b">
        <f t="shared" si="44"/>
        <v>1</v>
      </c>
      <c r="L761">
        <f t="shared" si="45"/>
        <v>329.00727371329259</v>
      </c>
      <c r="M761">
        <f t="shared" si="46"/>
        <v>1316.0290948531704</v>
      </c>
      <c r="N761">
        <f t="shared" si="47"/>
        <v>1608.1875539105743</v>
      </c>
    </row>
    <row r="762" spans="1:14" x14ac:dyDescent="0.35">
      <c r="A762" t="s">
        <v>49</v>
      </c>
      <c r="B762">
        <v>20</v>
      </c>
      <c r="C762" t="s">
        <v>50</v>
      </c>
      <c r="D762">
        <v>53</v>
      </c>
      <c r="E762">
        <v>283.41212633832203</v>
      </c>
      <c r="F762">
        <v>42.337558360981298</v>
      </c>
      <c r="G762" t="s">
        <v>49</v>
      </c>
      <c r="H762">
        <v>20</v>
      </c>
      <c r="I762">
        <v>53</v>
      </c>
      <c r="J762">
        <v>9.1331411848417705</v>
      </c>
      <c r="K762" t="b">
        <f t="shared" si="44"/>
        <v>1</v>
      </c>
      <c r="L762">
        <f t="shared" si="45"/>
        <v>334.88282588414506</v>
      </c>
      <c r="M762">
        <f t="shared" si="46"/>
        <v>1339.5313035365803</v>
      </c>
      <c r="N762">
        <f t="shared" si="47"/>
        <v>1636.907252921701</v>
      </c>
    </row>
    <row r="763" spans="1:14" x14ac:dyDescent="0.35">
      <c r="A763" t="s">
        <v>49</v>
      </c>
      <c r="B763">
        <v>20</v>
      </c>
      <c r="C763" t="s">
        <v>50</v>
      </c>
      <c r="D763">
        <v>54</v>
      </c>
      <c r="E763">
        <v>287.95467550890697</v>
      </c>
      <c r="F763">
        <v>43.492669026554701</v>
      </c>
      <c r="G763" t="s">
        <v>49</v>
      </c>
      <c r="H763">
        <v>20</v>
      </c>
      <c r="I763">
        <v>54</v>
      </c>
      <c r="J763">
        <v>9.2923159802588806</v>
      </c>
      <c r="K763" t="b">
        <f t="shared" si="44"/>
        <v>1</v>
      </c>
      <c r="L763">
        <f t="shared" si="45"/>
        <v>340.73966051572057</v>
      </c>
      <c r="M763">
        <f t="shared" si="46"/>
        <v>1362.9586420628823</v>
      </c>
      <c r="N763">
        <f t="shared" si="47"/>
        <v>1665.535460600842</v>
      </c>
    </row>
    <row r="764" spans="1:14" x14ac:dyDescent="0.35">
      <c r="A764" t="s">
        <v>49</v>
      </c>
      <c r="B764">
        <v>20</v>
      </c>
      <c r="C764" t="s">
        <v>50</v>
      </c>
      <c r="D764">
        <v>55</v>
      </c>
      <c r="E764">
        <v>291.874022370494</v>
      </c>
      <c r="F764">
        <v>44.5628803842664</v>
      </c>
      <c r="G764" t="s">
        <v>49</v>
      </c>
      <c r="H764">
        <v>20</v>
      </c>
      <c r="I764">
        <v>55</v>
      </c>
      <c r="J764">
        <v>9.4428871546996405</v>
      </c>
      <c r="K764" t="b">
        <f t="shared" si="44"/>
        <v>1</v>
      </c>
      <c r="L764">
        <f t="shared" si="45"/>
        <v>345.87978990946004</v>
      </c>
      <c r="M764">
        <f t="shared" si="46"/>
        <v>1383.5191596378402</v>
      </c>
      <c r="N764">
        <f t="shared" si="47"/>
        <v>1690.6604130774406</v>
      </c>
    </row>
    <row r="765" spans="1:14" x14ac:dyDescent="0.35">
      <c r="A765" t="s">
        <v>49</v>
      </c>
      <c r="B765">
        <v>20</v>
      </c>
      <c r="C765" t="s">
        <v>50</v>
      </c>
      <c r="D765">
        <v>56</v>
      </c>
      <c r="E765">
        <v>295.82519132324899</v>
      </c>
      <c r="F765">
        <v>45.590874110263599</v>
      </c>
      <c r="G765" t="s">
        <v>49</v>
      </c>
      <c r="H765">
        <v>20</v>
      </c>
      <c r="I765">
        <v>56</v>
      </c>
      <c r="J765">
        <v>9.5882867763709498</v>
      </c>
      <c r="K765" t="b">
        <f t="shared" si="44"/>
        <v>1</v>
      </c>
      <c r="L765">
        <f t="shared" si="45"/>
        <v>351.00435220988356</v>
      </c>
      <c r="M765">
        <f t="shared" si="46"/>
        <v>1404.0174088395343</v>
      </c>
      <c r="N765">
        <f t="shared" si="47"/>
        <v>1715.7092736019108</v>
      </c>
    </row>
    <row r="766" spans="1:14" x14ac:dyDescent="0.35">
      <c r="A766" t="s">
        <v>49</v>
      </c>
      <c r="B766">
        <v>20</v>
      </c>
      <c r="C766" t="s">
        <v>50</v>
      </c>
      <c r="D766">
        <v>57</v>
      </c>
      <c r="E766">
        <v>299.78329039862399</v>
      </c>
      <c r="F766">
        <v>46.600555645150003</v>
      </c>
      <c r="G766" t="s">
        <v>49</v>
      </c>
      <c r="H766">
        <v>20</v>
      </c>
      <c r="I766">
        <v>57</v>
      </c>
      <c r="J766">
        <v>9.7303446861095306</v>
      </c>
      <c r="K766" t="b">
        <f t="shared" si="44"/>
        <v>1</v>
      </c>
      <c r="L766">
        <f t="shared" si="45"/>
        <v>356.11419072988349</v>
      </c>
      <c r="M766">
        <f t="shared" si="46"/>
        <v>1424.456762919534</v>
      </c>
      <c r="N766">
        <f t="shared" si="47"/>
        <v>1740.6861642876704</v>
      </c>
    </row>
    <row r="767" spans="1:14" x14ac:dyDescent="0.35">
      <c r="A767" t="s">
        <v>49</v>
      </c>
      <c r="B767">
        <v>20</v>
      </c>
      <c r="C767" t="s">
        <v>50</v>
      </c>
      <c r="D767">
        <v>58</v>
      </c>
      <c r="E767">
        <v>303.734184606268</v>
      </c>
      <c r="F767">
        <v>47.605173775251998</v>
      </c>
      <c r="G767" t="s">
        <v>49</v>
      </c>
      <c r="H767">
        <v>20</v>
      </c>
      <c r="I767">
        <v>58</v>
      </c>
      <c r="J767">
        <v>9.8700499062600606</v>
      </c>
      <c r="K767" t="b">
        <f t="shared" si="44"/>
        <v>1</v>
      </c>
      <c r="L767">
        <f t="shared" si="45"/>
        <v>361.20940828778009</v>
      </c>
      <c r="M767">
        <f t="shared" si="46"/>
        <v>1444.8376331511204</v>
      </c>
      <c r="N767">
        <f t="shared" si="47"/>
        <v>1765.591587710669</v>
      </c>
    </row>
    <row r="768" spans="1:14" x14ac:dyDescent="0.35">
      <c r="A768" t="s">
        <v>49</v>
      </c>
      <c r="B768">
        <v>20</v>
      </c>
      <c r="C768" t="s">
        <v>50</v>
      </c>
      <c r="D768">
        <v>59</v>
      </c>
      <c r="E768">
        <v>307.66984863072901</v>
      </c>
      <c r="F768">
        <v>48.611939321466203</v>
      </c>
      <c r="G768" t="s">
        <v>49</v>
      </c>
      <c r="H768">
        <v>20</v>
      </c>
      <c r="I768">
        <v>59</v>
      </c>
      <c r="J768">
        <v>10.007949354630799</v>
      </c>
      <c r="K768" t="b">
        <f t="shared" si="44"/>
        <v>1</v>
      </c>
      <c r="L768">
        <f t="shared" si="45"/>
        <v>366.289737306826</v>
      </c>
      <c r="M768">
        <f t="shared" si="46"/>
        <v>1465.158949227304</v>
      </c>
      <c r="N768">
        <f t="shared" si="47"/>
        <v>1790.4242359557654</v>
      </c>
    </row>
    <row r="769" spans="1:14" x14ac:dyDescent="0.35">
      <c r="A769" t="s">
        <v>49</v>
      </c>
      <c r="B769">
        <v>20</v>
      </c>
      <c r="C769" t="s">
        <v>50</v>
      </c>
      <c r="D769">
        <v>60</v>
      </c>
      <c r="E769">
        <v>311.02230870912598</v>
      </c>
      <c r="F769">
        <v>49.527929228296998</v>
      </c>
      <c r="G769" t="s">
        <v>49</v>
      </c>
      <c r="H769">
        <v>20</v>
      </c>
      <c r="I769">
        <v>60</v>
      </c>
      <c r="J769">
        <v>10.137911856153201</v>
      </c>
      <c r="K769" t="b">
        <f t="shared" si="44"/>
        <v>1</v>
      </c>
      <c r="L769">
        <f t="shared" si="45"/>
        <v>370.6881497935762</v>
      </c>
      <c r="M769">
        <f t="shared" si="46"/>
        <v>1482.7525991743048</v>
      </c>
      <c r="N769">
        <f t="shared" si="47"/>
        <v>1811.9236761910004</v>
      </c>
    </row>
    <row r="770" spans="1:14" x14ac:dyDescent="0.35">
      <c r="A770" t="s">
        <v>49</v>
      </c>
      <c r="B770">
        <v>20</v>
      </c>
      <c r="C770" t="s">
        <v>50</v>
      </c>
      <c r="D770">
        <v>61</v>
      </c>
      <c r="E770">
        <v>314.41516586429202</v>
      </c>
      <c r="F770">
        <v>50.397466268103202</v>
      </c>
      <c r="G770" t="s">
        <v>49</v>
      </c>
      <c r="H770">
        <v>20</v>
      </c>
      <c r="I770">
        <v>61</v>
      </c>
      <c r="J770">
        <v>10.2632343599386</v>
      </c>
      <c r="K770" t="b">
        <f t="shared" si="44"/>
        <v>1</v>
      </c>
      <c r="L770">
        <f t="shared" si="45"/>
        <v>375.07586649233383</v>
      </c>
      <c r="M770">
        <f t="shared" si="46"/>
        <v>1500.3034659693353</v>
      </c>
      <c r="N770">
        <f t="shared" si="47"/>
        <v>1833.3708354145276</v>
      </c>
    </row>
    <row r="771" spans="1:14" x14ac:dyDescent="0.35">
      <c r="A771" t="s">
        <v>49</v>
      </c>
      <c r="B771">
        <v>20</v>
      </c>
      <c r="C771" t="s">
        <v>50</v>
      </c>
      <c r="D771">
        <v>62</v>
      </c>
      <c r="E771">
        <v>317.82276779350599</v>
      </c>
      <c r="F771">
        <v>51.245315236453798</v>
      </c>
      <c r="G771" t="s">
        <v>49</v>
      </c>
      <c r="H771">
        <v>20</v>
      </c>
      <c r="I771">
        <v>62</v>
      </c>
      <c r="J771">
        <v>10.385655155281199</v>
      </c>
      <c r="K771" t="b">
        <f t="shared" ref="K771:K834" si="48">H771=B771</f>
        <v>1</v>
      </c>
      <c r="L771">
        <f t="shared" ref="L771:L834" si="49">E771+F771+J771</f>
        <v>379.45373818524098</v>
      </c>
      <c r="M771">
        <f t="shared" ref="M771:M834" si="50">(L771*2)*(100/50)</f>
        <v>1517.8149527409639</v>
      </c>
      <c r="N771">
        <f t="shared" ref="N771:N834" si="51">M771*1.222</f>
        <v>1854.7698722494579</v>
      </c>
    </row>
    <row r="772" spans="1:14" x14ac:dyDescent="0.35">
      <c r="A772" t="s">
        <v>49</v>
      </c>
      <c r="B772">
        <v>20</v>
      </c>
      <c r="C772" t="s">
        <v>50</v>
      </c>
      <c r="D772">
        <v>63</v>
      </c>
      <c r="E772">
        <v>321.230617554069</v>
      </c>
      <c r="F772">
        <v>52.0851932174604</v>
      </c>
      <c r="G772" t="s">
        <v>49</v>
      </c>
      <c r="H772">
        <v>20</v>
      </c>
      <c r="I772">
        <v>63</v>
      </c>
      <c r="J772">
        <v>10.5061018353337</v>
      </c>
      <c r="K772" t="b">
        <f t="shared" si="48"/>
        <v>1</v>
      </c>
      <c r="L772">
        <f t="shared" si="49"/>
        <v>383.82191260686312</v>
      </c>
      <c r="M772">
        <f t="shared" si="50"/>
        <v>1535.2876504274525</v>
      </c>
      <c r="N772">
        <f t="shared" si="51"/>
        <v>1876.1215088223469</v>
      </c>
    </row>
    <row r="773" spans="1:14" x14ac:dyDescent="0.35">
      <c r="A773" t="s">
        <v>49</v>
      </c>
      <c r="B773">
        <v>20</v>
      </c>
      <c r="C773" t="s">
        <v>50</v>
      </c>
      <c r="D773">
        <v>64</v>
      </c>
      <c r="E773">
        <v>324.630524498716</v>
      </c>
      <c r="F773">
        <v>52.924585298617302</v>
      </c>
      <c r="G773" t="s">
        <v>49</v>
      </c>
      <c r="H773">
        <v>20</v>
      </c>
      <c r="I773">
        <v>64</v>
      </c>
      <c r="J773">
        <v>10.625080161678</v>
      </c>
      <c r="K773" t="b">
        <f t="shared" si="48"/>
        <v>1</v>
      </c>
      <c r="L773">
        <f t="shared" si="49"/>
        <v>388.18018995901133</v>
      </c>
      <c r="M773">
        <f t="shared" si="50"/>
        <v>1552.7207598360453</v>
      </c>
      <c r="N773">
        <f t="shared" si="51"/>
        <v>1897.4247685196474</v>
      </c>
    </row>
    <row r="774" spans="1:14" x14ac:dyDescent="0.35">
      <c r="A774" t="s">
        <v>49</v>
      </c>
      <c r="B774">
        <v>20</v>
      </c>
      <c r="C774" t="s">
        <v>50</v>
      </c>
      <c r="D774">
        <v>65</v>
      </c>
      <c r="E774">
        <v>327.492566777246</v>
      </c>
      <c r="F774">
        <v>53.679529820043797</v>
      </c>
      <c r="G774" t="s">
        <v>49</v>
      </c>
      <c r="H774">
        <v>20</v>
      </c>
      <c r="I774">
        <v>65</v>
      </c>
      <c r="J774">
        <v>10.736867278343199</v>
      </c>
      <c r="K774" t="b">
        <f t="shared" si="48"/>
        <v>1</v>
      </c>
      <c r="L774">
        <f t="shared" si="49"/>
        <v>391.90896387563299</v>
      </c>
      <c r="M774">
        <f t="shared" si="50"/>
        <v>1567.635855502532</v>
      </c>
      <c r="N774">
        <f t="shared" si="51"/>
        <v>1915.6510154240941</v>
      </c>
    </row>
    <row r="775" spans="1:14" x14ac:dyDescent="0.35">
      <c r="A775" t="s">
        <v>49</v>
      </c>
      <c r="B775">
        <v>20</v>
      </c>
      <c r="C775" t="s">
        <v>50</v>
      </c>
      <c r="D775">
        <v>66</v>
      </c>
      <c r="E775">
        <v>330.39582803104503</v>
      </c>
      <c r="F775">
        <v>54.391150482580997</v>
      </c>
      <c r="G775" t="s">
        <v>49</v>
      </c>
      <c r="H775">
        <v>20</v>
      </c>
      <c r="I775">
        <v>66</v>
      </c>
      <c r="J775">
        <v>10.844506634114101</v>
      </c>
      <c r="K775" t="b">
        <f t="shared" si="48"/>
        <v>1</v>
      </c>
      <c r="L775">
        <f t="shared" si="49"/>
        <v>395.63148514774014</v>
      </c>
      <c r="M775">
        <f t="shared" si="50"/>
        <v>1582.5259405909605</v>
      </c>
      <c r="N775">
        <f t="shared" si="51"/>
        <v>1933.8466994021537</v>
      </c>
    </row>
    <row r="776" spans="1:14" x14ac:dyDescent="0.35">
      <c r="A776" t="s">
        <v>49</v>
      </c>
      <c r="B776">
        <v>20</v>
      </c>
      <c r="C776" t="s">
        <v>50</v>
      </c>
      <c r="D776">
        <v>67</v>
      </c>
      <c r="E776">
        <v>333.31658395143802</v>
      </c>
      <c r="F776">
        <v>55.082351210631103</v>
      </c>
      <c r="G776" t="s">
        <v>49</v>
      </c>
      <c r="H776">
        <v>20</v>
      </c>
      <c r="I776">
        <v>67</v>
      </c>
      <c r="J776">
        <v>10.949602094525</v>
      </c>
      <c r="K776" t="b">
        <f t="shared" si="48"/>
        <v>1</v>
      </c>
      <c r="L776">
        <f t="shared" si="49"/>
        <v>399.34853725659411</v>
      </c>
      <c r="M776">
        <f t="shared" si="50"/>
        <v>1597.3941490263765</v>
      </c>
      <c r="N776">
        <f t="shared" si="51"/>
        <v>1952.0156501102319</v>
      </c>
    </row>
    <row r="777" spans="1:14" x14ac:dyDescent="0.35">
      <c r="A777" t="s">
        <v>49</v>
      </c>
      <c r="B777">
        <v>20</v>
      </c>
      <c r="C777" t="s">
        <v>50</v>
      </c>
      <c r="D777">
        <v>68</v>
      </c>
      <c r="E777">
        <v>336.24147129963802</v>
      </c>
      <c r="F777">
        <v>55.765781085717201</v>
      </c>
      <c r="G777" t="s">
        <v>49</v>
      </c>
      <c r="H777">
        <v>20</v>
      </c>
      <c r="I777">
        <v>68</v>
      </c>
      <c r="J777">
        <v>11.0530094785891</v>
      </c>
      <c r="K777" t="b">
        <f t="shared" si="48"/>
        <v>1</v>
      </c>
      <c r="L777">
        <f t="shared" si="49"/>
        <v>403.06026186394433</v>
      </c>
      <c r="M777">
        <f t="shared" si="50"/>
        <v>1612.2410474557773</v>
      </c>
      <c r="N777">
        <f t="shared" si="51"/>
        <v>1970.1585599909599</v>
      </c>
    </row>
    <row r="778" spans="1:14" x14ac:dyDescent="0.35">
      <c r="A778" t="s">
        <v>49</v>
      </c>
      <c r="B778">
        <v>20</v>
      </c>
      <c r="C778" t="s">
        <v>50</v>
      </c>
      <c r="D778">
        <v>69</v>
      </c>
      <c r="E778">
        <v>339.16296440086899</v>
      </c>
      <c r="F778">
        <v>56.448324246427298</v>
      </c>
      <c r="G778" t="s">
        <v>49</v>
      </c>
      <c r="H778">
        <v>20</v>
      </c>
      <c r="I778">
        <v>69</v>
      </c>
      <c r="J778">
        <v>11.1551956368892</v>
      </c>
      <c r="K778" t="b">
        <f t="shared" si="48"/>
        <v>1</v>
      </c>
      <c r="L778">
        <f t="shared" si="49"/>
        <v>406.76648428418548</v>
      </c>
      <c r="M778">
        <f t="shared" si="50"/>
        <v>1627.0659371367419</v>
      </c>
      <c r="N778">
        <f t="shared" si="51"/>
        <v>1988.2745751810985</v>
      </c>
    </row>
    <row r="779" spans="1:14" x14ac:dyDescent="0.35">
      <c r="A779" t="s">
        <v>49</v>
      </c>
      <c r="B779">
        <v>20</v>
      </c>
      <c r="C779" t="s">
        <v>50</v>
      </c>
      <c r="D779">
        <v>70</v>
      </c>
      <c r="E779">
        <v>341.69962679069198</v>
      </c>
      <c r="F779">
        <v>57.079393869965202</v>
      </c>
      <c r="G779" t="s">
        <v>49</v>
      </c>
      <c r="H779">
        <v>20</v>
      </c>
      <c r="I779">
        <v>70</v>
      </c>
      <c r="J779">
        <v>11.2521099004192</v>
      </c>
      <c r="K779" t="b">
        <f t="shared" si="48"/>
        <v>1</v>
      </c>
      <c r="L779">
        <f t="shared" si="49"/>
        <v>410.0311305610764</v>
      </c>
      <c r="M779">
        <f t="shared" si="50"/>
        <v>1640.1245222443056</v>
      </c>
      <c r="N779">
        <f t="shared" si="51"/>
        <v>2004.2321661825413</v>
      </c>
    </row>
    <row r="780" spans="1:14" x14ac:dyDescent="0.35">
      <c r="A780" t="s">
        <v>49</v>
      </c>
      <c r="B780">
        <v>20</v>
      </c>
      <c r="C780" t="s">
        <v>50</v>
      </c>
      <c r="D780">
        <v>71</v>
      </c>
      <c r="E780">
        <v>344.26059436906098</v>
      </c>
      <c r="F780">
        <v>57.6850807524212</v>
      </c>
      <c r="G780" t="s">
        <v>49</v>
      </c>
      <c r="H780">
        <v>20</v>
      </c>
      <c r="I780">
        <v>71</v>
      </c>
      <c r="J780">
        <v>11.3459019772068</v>
      </c>
      <c r="K780" t="b">
        <f t="shared" si="48"/>
        <v>1</v>
      </c>
      <c r="L780">
        <f t="shared" si="49"/>
        <v>413.29157709868895</v>
      </c>
      <c r="M780">
        <f t="shared" si="50"/>
        <v>1653.1663083947558</v>
      </c>
      <c r="N780">
        <f t="shared" si="51"/>
        <v>2020.1692288583915</v>
      </c>
    </row>
    <row r="781" spans="1:14" x14ac:dyDescent="0.35">
      <c r="A781" t="s">
        <v>49</v>
      </c>
      <c r="B781">
        <v>20</v>
      </c>
      <c r="C781" t="s">
        <v>50</v>
      </c>
      <c r="D781">
        <v>72</v>
      </c>
      <c r="E781">
        <v>346.83075073388198</v>
      </c>
      <c r="F781">
        <v>58.279817648984697</v>
      </c>
      <c r="G781" t="s">
        <v>49</v>
      </c>
      <c r="H781">
        <v>20</v>
      </c>
      <c r="I781">
        <v>72</v>
      </c>
      <c r="J781">
        <v>11.4377263542187</v>
      </c>
      <c r="K781" t="b">
        <f t="shared" si="48"/>
        <v>1</v>
      </c>
      <c r="L781">
        <f t="shared" si="49"/>
        <v>416.54829473708537</v>
      </c>
      <c r="M781">
        <f t="shared" si="50"/>
        <v>1666.1931789483415</v>
      </c>
      <c r="N781">
        <f t="shared" si="51"/>
        <v>2036.0880646748733</v>
      </c>
    </row>
    <row r="782" spans="1:14" x14ac:dyDescent="0.35">
      <c r="A782" t="s">
        <v>49</v>
      </c>
      <c r="B782">
        <v>20</v>
      </c>
      <c r="C782" t="s">
        <v>50</v>
      </c>
      <c r="D782">
        <v>73</v>
      </c>
      <c r="E782">
        <v>349.40160060162401</v>
      </c>
      <c r="F782">
        <v>58.871495113564499</v>
      </c>
      <c r="G782" t="s">
        <v>49</v>
      </c>
      <c r="H782">
        <v>20</v>
      </c>
      <c r="I782">
        <v>73</v>
      </c>
      <c r="J782">
        <v>11.5282139618777</v>
      </c>
      <c r="K782" t="b">
        <f t="shared" si="48"/>
        <v>1</v>
      </c>
      <c r="L782">
        <f t="shared" si="49"/>
        <v>419.80130967706623</v>
      </c>
      <c r="M782">
        <f t="shared" si="50"/>
        <v>1679.2052387082649</v>
      </c>
      <c r="N782">
        <f t="shared" si="51"/>
        <v>2051.9888017014996</v>
      </c>
    </row>
    <row r="783" spans="1:14" x14ac:dyDescent="0.35">
      <c r="A783" t="s">
        <v>49</v>
      </c>
      <c r="B783">
        <v>20</v>
      </c>
      <c r="C783" t="s">
        <v>50</v>
      </c>
      <c r="D783">
        <v>74</v>
      </c>
      <c r="E783">
        <v>351.96837057984101</v>
      </c>
      <c r="F783">
        <v>59.464337689430899</v>
      </c>
      <c r="G783" t="s">
        <v>49</v>
      </c>
      <c r="H783">
        <v>20</v>
      </c>
      <c r="I783">
        <v>74</v>
      </c>
      <c r="J783">
        <v>11.617719049619099</v>
      </c>
      <c r="K783" t="b">
        <f t="shared" si="48"/>
        <v>1</v>
      </c>
      <c r="L783">
        <f t="shared" si="49"/>
        <v>423.05042731889102</v>
      </c>
      <c r="M783">
        <f t="shared" si="50"/>
        <v>1692.2017092755641</v>
      </c>
      <c r="N783">
        <f t="shared" si="51"/>
        <v>2067.8704887347394</v>
      </c>
    </row>
    <row r="784" spans="1:14" x14ac:dyDescent="0.35">
      <c r="A784" t="s">
        <v>49</v>
      </c>
      <c r="B784">
        <v>20</v>
      </c>
      <c r="C784" t="s">
        <v>50</v>
      </c>
      <c r="D784">
        <v>75</v>
      </c>
      <c r="E784">
        <v>354.16581237301699</v>
      </c>
      <c r="F784">
        <v>60.0305025510077</v>
      </c>
      <c r="G784" t="s">
        <v>49</v>
      </c>
      <c r="H784">
        <v>20</v>
      </c>
      <c r="I784">
        <v>75</v>
      </c>
      <c r="J784">
        <v>11.7023013189637</v>
      </c>
      <c r="K784" t="b">
        <f t="shared" si="48"/>
        <v>1</v>
      </c>
      <c r="L784">
        <f t="shared" si="49"/>
        <v>425.8986162429884</v>
      </c>
      <c r="M784">
        <f t="shared" si="50"/>
        <v>1703.5944649719536</v>
      </c>
      <c r="N784">
        <f t="shared" si="51"/>
        <v>2081.7924361957271</v>
      </c>
    </row>
    <row r="785" spans="1:14" x14ac:dyDescent="0.35">
      <c r="A785" t="s">
        <v>49</v>
      </c>
      <c r="B785">
        <v>20</v>
      </c>
      <c r="C785" t="s">
        <v>50</v>
      </c>
      <c r="D785">
        <v>76</v>
      </c>
      <c r="E785">
        <v>356.37318979712501</v>
      </c>
      <c r="F785">
        <v>60.584328658949197</v>
      </c>
      <c r="G785" t="s">
        <v>49</v>
      </c>
      <c r="H785">
        <v>20</v>
      </c>
      <c r="I785">
        <v>76</v>
      </c>
      <c r="J785">
        <v>11.7838343350043</v>
      </c>
      <c r="K785" t="b">
        <f t="shared" si="48"/>
        <v>1</v>
      </c>
      <c r="L785">
        <f t="shared" si="49"/>
        <v>428.7413527910785</v>
      </c>
      <c r="M785">
        <f t="shared" si="50"/>
        <v>1714.965411164314</v>
      </c>
      <c r="N785">
        <f t="shared" si="51"/>
        <v>2095.6877324427915</v>
      </c>
    </row>
    <row r="786" spans="1:14" x14ac:dyDescent="0.35">
      <c r="A786" t="s">
        <v>49</v>
      </c>
      <c r="B786">
        <v>20</v>
      </c>
      <c r="C786" t="s">
        <v>50</v>
      </c>
      <c r="D786">
        <v>77</v>
      </c>
      <c r="E786">
        <v>358.582109464989</v>
      </c>
      <c r="F786">
        <v>61.133671192217697</v>
      </c>
      <c r="G786" t="s">
        <v>49</v>
      </c>
      <c r="H786">
        <v>20</v>
      </c>
      <c r="I786">
        <v>77</v>
      </c>
      <c r="J786">
        <v>11.863374035938399</v>
      </c>
      <c r="K786" t="b">
        <f t="shared" si="48"/>
        <v>1</v>
      </c>
      <c r="L786">
        <f t="shared" si="49"/>
        <v>431.57915469314514</v>
      </c>
      <c r="M786">
        <f t="shared" si="50"/>
        <v>1726.3166187725806</v>
      </c>
      <c r="N786">
        <f t="shared" si="51"/>
        <v>2109.5589081400935</v>
      </c>
    </row>
    <row r="787" spans="1:14" x14ac:dyDescent="0.35">
      <c r="A787" t="s">
        <v>49</v>
      </c>
      <c r="B787">
        <v>20</v>
      </c>
      <c r="C787" t="s">
        <v>50</v>
      </c>
      <c r="D787">
        <v>78</v>
      </c>
      <c r="E787">
        <v>360.78785912615098</v>
      </c>
      <c r="F787">
        <v>61.682757624811998</v>
      </c>
      <c r="G787" t="s">
        <v>49</v>
      </c>
      <c r="H787">
        <v>20</v>
      </c>
      <c r="I787">
        <v>78</v>
      </c>
      <c r="J787">
        <v>11.941528831173599</v>
      </c>
      <c r="K787" t="b">
        <f t="shared" si="48"/>
        <v>1</v>
      </c>
      <c r="L787">
        <f t="shared" si="49"/>
        <v>434.41214558213653</v>
      </c>
      <c r="M787">
        <f t="shared" si="50"/>
        <v>1737.6485823285461</v>
      </c>
      <c r="N787">
        <f t="shared" si="51"/>
        <v>2123.4065676054834</v>
      </c>
    </row>
    <row r="788" spans="1:14" x14ac:dyDescent="0.35">
      <c r="A788" t="s">
        <v>49</v>
      </c>
      <c r="B788">
        <v>20</v>
      </c>
      <c r="C788" t="s">
        <v>50</v>
      </c>
      <c r="D788">
        <v>79</v>
      </c>
      <c r="E788">
        <v>362.98779174381798</v>
      </c>
      <c r="F788">
        <v>62.233789862583599</v>
      </c>
      <c r="G788" t="s">
        <v>49</v>
      </c>
      <c r="H788">
        <v>20</v>
      </c>
      <c r="I788">
        <v>79</v>
      </c>
      <c r="J788">
        <v>12.0186594799065</v>
      </c>
      <c r="K788" t="b">
        <f t="shared" si="48"/>
        <v>1</v>
      </c>
      <c r="L788">
        <f t="shared" si="49"/>
        <v>437.24024108630806</v>
      </c>
      <c r="M788">
        <f t="shared" si="50"/>
        <v>1748.9609643452322</v>
      </c>
      <c r="N788">
        <f t="shared" si="51"/>
        <v>2137.230298429874</v>
      </c>
    </row>
    <row r="789" spans="1:14" x14ac:dyDescent="0.35">
      <c r="A789" t="s">
        <v>49</v>
      </c>
      <c r="B789">
        <v>20</v>
      </c>
      <c r="C789" t="s">
        <v>50</v>
      </c>
      <c r="D789">
        <v>80</v>
      </c>
      <c r="E789">
        <v>365.060001900413</v>
      </c>
      <c r="F789">
        <v>62.653415063386099</v>
      </c>
      <c r="G789" t="s">
        <v>49</v>
      </c>
      <c r="H789">
        <v>20</v>
      </c>
      <c r="I789">
        <v>80</v>
      </c>
      <c r="J789">
        <v>12.0936101907979</v>
      </c>
      <c r="K789" t="b">
        <f t="shared" si="48"/>
        <v>1</v>
      </c>
      <c r="L789">
        <f t="shared" si="49"/>
        <v>439.80702715459699</v>
      </c>
      <c r="M789">
        <f t="shared" si="50"/>
        <v>1759.228108618388</v>
      </c>
      <c r="N789">
        <f t="shared" si="51"/>
        <v>2149.7767487316701</v>
      </c>
    </row>
    <row r="790" spans="1:14" x14ac:dyDescent="0.35">
      <c r="A790" t="s">
        <v>49</v>
      </c>
      <c r="B790">
        <v>20</v>
      </c>
      <c r="C790" t="s">
        <v>50</v>
      </c>
      <c r="D790">
        <v>81</v>
      </c>
      <c r="E790">
        <v>367.07200444478599</v>
      </c>
      <c r="F790">
        <v>63.063344887741103</v>
      </c>
      <c r="G790" t="s">
        <v>49</v>
      </c>
      <c r="H790">
        <v>20</v>
      </c>
      <c r="I790">
        <v>81</v>
      </c>
      <c r="J790">
        <v>12.1664380026962</v>
      </c>
      <c r="K790" t="b">
        <f t="shared" si="48"/>
        <v>1</v>
      </c>
      <c r="L790">
        <f t="shared" si="49"/>
        <v>442.30178733522331</v>
      </c>
      <c r="M790">
        <f t="shared" si="50"/>
        <v>1769.2071493408932</v>
      </c>
      <c r="N790">
        <f t="shared" si="51"/>
        <v>2161.9711364945715</v>
      </c>
    </row>
    <row r="791" spans="1:14" x14ac:dyDescent="0.35">
      <c r="A791" t="s">
        <v>49</v>
      </c>
      <c r="B791">
        <v>20</v>
      </c>
      <c r="C791" t="s">
        <v>50</v>
      </c>
      <c r="D791">
        <v>82</v>
      </c>
      <c r="E791">
        <v>369.028181151811</v>
      </c>
      <c r="F791">
        <v>63.461361604486001</v>
      </c>
      <c r="G791" t="s">
        <v>49</v>
      </c>
      <c r="H791">
        <v>20</v>
      </c>
      <c r="I791">
        <v>82</v>
      </c>
      <c r="J791">
        <v>12.237226709758</v>
      </c>
      <c r="K791" t="b">
        <f t="shared" si="48"/>
        <v>1</v>
      </c>
      <c r="L791">
        <f t="shared" si="49"/>
        <v>444.72676946605498</v>
      </c>
      <c r="M791">
        <f t="shared" si="50"/>
        <v>1778.9070778642199</v>
      </c>
      <c r="N791">
        <f t="shared" si="51"/>
        <v>2173.8244491500768</v>
      </c>
    </row>
    <row r="792" spans="1:14" x14ac:dyDescent="0.35">
      <c r="A792" t="s">
        <v>49</v>
      </c>
      <c r="B792">
        <v>20</v>
      </c>
      <c r="C792" t="s">
        <v>50</v>
      </c>
      <c r="D792">
        <v>83</v>
      </c>
      <c r="E792">
        <v>370.93159616891802</v>
      </c>
      <c r="F792">
        <v>63.846485236590198</v>
      </c>
      <c r="G792" t="s">
        <v>49</v>
      </c>
      <c r="H792">
        <v>20</v>
      </c>
      <c r="I792">
        <v>83</v>
      </c>
      <c r="J792">
        <v>12.3060629993799</v>
      </c>
      <c r="K792" t="b">
        <f t="shared" si="48"/>
        <v>1</v>
      </c>
      <c r="L792">
        <f t="shared" si="49"/>
        <v>447.08414440488809</v>
      </c>
      <c r="M792">
        <f t="shared" si="50"/>
        <v>1788.3365776195524</v>
      </c>
      <c r="N792">
        <f t="shared" si="51"/>
        <v>2185.3472978510931</v>
      </c>
    </row>
    <row r="793" spans="1:14" x14ac:dyDescent="0.35">
      <c r="A793" t="s">
        <v>49</v>
      </c>
      <c r="B793">
        <v>20</v>
      </c>
      <c r="C793" t="s">
        <v>50</v>
      </c>
      <c r="D793">
        <v>84</v>
      </c>
      <c r="E793">
        <v>372.78455587288403</v>
      </c>
      <c r="F793">
        <v>64.218420314497905</v>
      </c>
      <c r="G793" t="s">
        <v>49</v>
      </c>
      <c r="H793">
        <v>20</v>
      </c>
      <c r="I793">
        <v>84</v>
      </c>
      <c r="J793">
        <v>12.373027775275199</v>
      </c>
      <c r="K793" t="b">
        <f t="shared" si="48"/>
        <v>1</v>
      </c>
      <c r="L793">
        <f t="shared" si="49"/>
        <v>449.37600396265714</v>
      </c>
      <c r="M793">
        <f t="shared" si="50"/>
        <v>1797.5040158506285</v>
      </c>
      <c r="N793">
        <f t="shared" si="51"/>
        <v>2196.5499073694682</v>
      </c>
    </row>
    <row r="794" spans="1:14" x14ac:dyDescent="0.35">
      <c r="A794" t="s">
        <v>49</v>
      </c>
      <c r="B794">
        <v>20</v>
      </c>
      <c r="C794" t="s">
        <v>50</v>
      </c>
      <c r="D794">
        <v>85</v>
      </c>
      <c r="E794">
        <v>374.58892354633798</v>
      </c>
      <c r="F794">
        <v>64.577245839049795</v>
      </c>
      <c r="G794" t="s">
        <v>49</v>
      </c>
      <c r="H794">
        <v>20</v>
      </c>
      <c r="I794">
        <v>85</v>
      </c>
      <c r="J794">
        <v>12.4381940278955</v>
      </c>
      <c r="K794" t="b">
        <f t="shared" si="48"/>
        <v>1</v>
      </c>
      <c r="L794">
        <f t="shared" si="49"/>
        <v>451.60436341328329</v>
      </c>
      <c r="M794">
        <f t="shared" si="50"/>
        <v>1806.4174536531332</v>
      </c>
      <c r="N794">
        <f t="shared" si="51"/>
        <v>2207.4421283641286</v>
      </c>
    </row>
    <row r="795" spans="1:14" x14ac:dyDescent="0.35">
      <c r="A795" t="s">
        <v>49</v>
      </c>
      <c r="B795">
        <v>20</v>
      </c>
      <c r="C795" t="s">
        <v>50</v>
      </c>
      <c r="D795">
        <v>86</v>
      </c>
      <c r="E795">
        <v>376.34629649404098</v>
      </c>
      <c r="F795">
        <v>64.923241669596194</v>
      </c>
      <c r="G795" t="s">
        <v>49</v>
      </c>
      <c r="H795">
        <v>20</v>
      </c>
      <c r="I795">
        <v>86</v>
      </c>
      <c r="J795">
        <v>12.501627245753699</v>
      </c>
      <c r="K795" t="b">
        <f t="shared" si="48"/>
        <v>1</v>
      </c>
      <c r="L795">
        <f t="shared" si="49"/>
        <v>453.7711654093909</v>
      </c>
      <c r="M795">
        <f t="shared" si="50"/>
        <v>1815.0846616375636</v>
      </c>
      <c r="N795">
        <f t="shared" si="51"/>
        <v>2218.0334565211028</v>
      </c>
    </row>
    <row r="796" spans="1:14" x14ac:dyDescent="0.35">
      <c r="A796" t="s">
        <v>49</v>
      </c>
      <c r="B796">
        <v>20</v>
      </c>
      <c r="C796" t="s">
        <v>50</v>
      </c>
      <c r="D796">
        <v>87</v>
      </c>
      <c r="E796">
        <v>378.05810598775298</v>
      </c>
      <c r="F796">
        <v>65.256791420053503</v>
      </c>
      <c r="G796" t="s">
        <v>49</v>
      </c>
      <c r="H796">
        <v>20</v>
      </c>
      <c r="I796">
        <v>87</v>
      </c>
      <c r="J796">
        <v>12.563386599714701</v>
      </c>
      <c r="K796" t="b">
        <f t="shared" si="48"/>
        <v>1</v>
      </c>
      <c r="L796">
        <f t="shared" si="49"/>
        <v>455.87828400752119</v>
      </c>
      <c r="M796">
        <f t="shared" si="50"/>
        <v>1823.5131360300848</v>
      </c>
      <c r="N796">
        <f t="shared" si="51"/>
        <v>2228.3330522287633</v>
      </c>
    </row>
    <row r="797" spans="1:14" x14ac:dyDescent="0.35">
      <c r="A797" t="s">
        <v>49</v>
      </c>
      <c r="B797">
        <v>20</v>
      </c>
      <c r="C797" t="s">
        <v>50</v>
      </c>
      <c r="D797">
        <v>88</v>
      </c>
      <c r="E797">
        <v>379.72567391568799</v>
      </c>
      <c r="F797">
        <v>65.578328252868701</v>
      </c>
      <c r="G797" t="s">
        <v>49</v>
      </c>
      <c r="H797">
        <v>20</v>
      </c>
      <c r="I797">
        <v>88</v>
      </c>
      <c r="J797">
        <v>12.623526182996899</v>
      </c>
      <c r="K797" t="b">
        <f t="shared" si="48"/>
        <v>1</v>
      </c>
      <c r="L797">
        <f t="shared" si="49"/>
        <v>457.92752835155358</v>
      </c>
      <c r="M797">
        <f t="shared" si="50"/>
        <v>1831.7101134062143</v>
      </c>
      <c r="N797">
        <f t="shared" si="51"/>
        <v>2238.3497585823939</v>
      </c>
    </row>
    <row r="798" spans="1:14" x14ac:dyDescent="0.35">
      <c r="A798" t="s">
        <v>49</v>
      </c>
      <c r="B798">
        <v>20</v>
      </c>
      <c r="C798" t="s">
        <v>50</v>
      </c>
      <c r="D798">
        <v>89</v>
      </c>
      <c r="E798">
        <v>381.35024513505601</v>
      </c>
      <c r="F798">
        <v>65.888304722396697</v>
      </c>
      <c r="G798" t="s">
        <v>49</v>
      </c>
      <c r="H798">
        <v>20</v>
      </c>
      <c r="I798">
        <v>89</v>
      </c>
      <c r="J798">
        <v>12.6820960620178</v>
      </c>
      <c r="K798" t="b">
        <f t="shared" si="48"/>
        <v>1</v>
      </c>
      <c r="L798">
        <f t="shared" si="49"/>
        <v>459.92064591947053</v>
      </c>
      <c r="M798">
        <f t="shared" si="50"/>
        <v>1839.6825836778821</v>
      </c>
      <c r="N798">
        <f t="shared" si="51"/>
        <v>2248.0921172543717</v>
      </c>
    </row>
    <row r="799" spans="1:14" x14ac:dyDescent="0.35">
      <c r="A799" t="s">
        <v>49</v>
      </c>
      <c r="B799">
        <v>20</v>
      </c>
      <c r="C799" t="s">
        <v>50</v>
      </c>
      <c r="D799">
        <v>90</v>
      </c>
      <c r="E799">
        <v>382.93300618040098</v>
      </c>
      <c r="F799">
        <v>66.187176099638904</v>
      </c>
      <c r="G799" t="s">
        <v>49</v>
      </c>
      <c r="H799">
        <v>20</v>
      </c>
      <c r="I799">
        <v>90</v>
      </c>
      <c r="J799">
        <v>12.7391430913726</v>
      </c>
      <c r="K799" t="b">
        <f t="shared" si="48"/>
        <v>1</v>
      </c>
      <c r="L799">
        <f t="shared" si="49"/>
        <v>461.85932537141252</v>
      </c>
      <c r="M799">
        <f t="shared" si="50"/>
        <v>1847.4373014856501</v>
      </c>
      <c r="N799">
        <f t="shared" si="51"/>
        <v>2257.5683824154644</v>
      </c>
    </row>
    <row r="800" spans="1:14" x14ac:dyDescent="0.35">
      <c r="A800" t="s">
        <v>49</v>
      </c>
      <c r="B800">
        <v>20</v>
      </c>
      <c r="C800" t="s">
        <v>50</v>
      </c>
      <c r="D800">
        <v>91</v>
      </c>
      <c r="E800">
        <v>384.47509630004498</v>
      </c>
      <c r="F800">
        <v>66.475391253911695</v>
      </c>
      <c r="G800" t="s">
        <v>49</v>
      </c>
      <c r="H800">
        <v>20</v>
      </c>
      <c r="I800">
        <v>91</v>
      </c>
      <c r="J800">
        <v>12.7947115191617</v>
      </c>
      <c r="K800" t="b">
        <f t="shared" si="48"/>
        <v>1</v>
      </c>
      <c r="L800">
        <f t="shared" si="49"/>
        <v>463.74519907311839</v>
      </c>
      <c r="M800">
        <f t="shared" si="50"/>
        <v>1854.9807962924735</v>
      </c>
      <c r="N800">
        <f t="shared" si="51"/>
        <v>2266.7865330694026</v>
      </c>
    </row>
    <row r="801" spans="1:14" x14ac:dyDescent="0.35">
      <c r="A801" t="s">
        <v>49</v>
      </c>
      <c r="B801">
        <v>20</v>
      </c>
      <c r="C801" t="s">
        <v>50</v>
      </c>
      <c r="D801">
        <v>92</v>
      </c>
      <c r="E801">
        <v>385.97761416887698</v>
      </c>
      <c r="F801">
        <v>66.7533877704617</v>
      </c>
      <c r="G801" t="s">
        <v>49</v>
      </c>
      <c r="H801">
        <v>20</v>
      </c>
      <c r="I801">
        <v>92</v>
      </c>
      <c r="J801">
        <v>12.848843427869101</v>
      </c>
      <c r="K801" t="b">
        <f t="shared" si="48"/>
        <v>1</v>
      </c>
      <c r="L801">
        <f t="shared" si="49"/>
        <v>465.57984536720778</v>
      </c>
      <c r="M801">
        <f t="shared" si="50"/>
        <v>1862.3193814688311</v>
      </c>
      <c r="N801">
        <f t="shared" si="51"/>
        <v>2275.7542841549116</v>
      </c>
    </row>
    <row r="802" spans="1:14" x14ac:dyDescent="0.35">
      <c r="A802" t="s">
        <v>49</v>
      </c>
      <c r="B802">
        <v>20</v>
      </c>
      <c r="C802" t="s">
        <v>50</v>
      </c>
      <c r="D802">
        <v>93</v>
      </c>
      <c r="E802">
        <v>387.44162215475001</v>
      </c>
      <c r="F802">
        <v>67.021589442375202</v>
      </c>
      <c r="G802" t="s">
        <v>49</v>
      </c>
      <c r="H802">
        <v>20</v>
      </c>
      <c r="I802">
        <v>93</v>
      </c>
      <c r="J802">
        <v>12.901579054042299</v>
      </c>
      <c r="K802" t="b">
        <f t="shared" si="48"/>
        <v>1</v>
      </c>
      <c r="L802">
        <f t="shared" si="49"/>
        <v>467.36479065116754</v>
      </c>
      <c r="M802">
        <f t="shared" si="50"/>
        <v>1869.4591626046702</v>
      </c>
      <c r="N802">
        <f t="shared" si="51"/>
        <v>2284.4790967029071</v>
      </c>
    </row>
    <row r="803" spans="1:14" x14ac:dyDescent="0.35">
      <c r="A803" t="s">
        <v>49</v>
      </c>
      <c r="B803">
        <v>20</v>
      </c>
      <c r="C803" t="s">
        <v>50</v>
      </c>
      <c r="D803">
        <v>94</v>
      </c>
      <c r="E803">
        <v>388.86814919145701</v>
      </c>
      <c r="F803">
        <v>67.280405092983003</v>
      </c>
      <c r="G803" t="s">
        <v>49</v>
      </c>
      <c r="H803">
        <v>20</v>
      </c>
      <c r="I803">
        <v>94</v>
      </c>
      <c r="J803">
        <v>12.952957021645201</v>
      </c>
      <c r="K803" t="b">
        <f t="shared" si="48"/>
        <v>1</v>
      </c>
      <c r="L803">
        <f t="shared" si="49"/>
        <v>469.10151130608523</v>
      </c>
      <c r="M803">
        <f t="shared" si="50"/>
        <v>1876.4060452243409</v>
      </c>
      <c r="N803">
        <f t="shared" si="51"/>
        <v>2292.9681872641445</v>
      </c>
    </row>
    <row r="804" spans="1:14" x14ac:dyDescent="0.35">
      <c r="A804" t="s">
        <v>49</v>
      </c>
      <c r="B804">
        <v>20</v>
      </c>
      <c r="C804" t="s">
        <v>50</v>
      </c>
      <c r="D804">
        <v>95</v>
      </c>
      <c r="E804">
        <v>390.25819284931299</v>
      </c>
      <c r="F804">
        <v>67.530228143268403</v>
      </c>
      <c r="G804" t="s">
        <v>49</v>
      </c>
      <c r="H804">
        <v>20</v>
      </c>
      <c r="I804">
        <v>95</v>
      </c>
      <c r="J804">
        <v>13.003014515027401</v>
      </c>
      <c r="K804" t="b">
        <f t="shared" si="48"/>
        <v>1</v>
      </c>
      <c r="L804">
        <f t="shared" si="49"/>
        <v>470.79143550760881</v>
      </c>
      <c r="M804">
        <f t="shared" si="50"/>
        <v>1883.1657420304352</v>
      </c>
      <c r="N804">
        <f t="shared" si="51"/>
        <v>2301.2285367611917</v>
      </c>
    </row>
    <row r="805" spans="1:14" x14ac:dyDescent="0.35">
      <c r="A805" t="s">
        <v>49</v>
      </c>
      <c r="B805">
        <v>20</v>
      </c>
      <c r="C805" t="s">
        <v>50</v>
      </c>
      <c r="D805">
        <v>96</v>
      </c>
      <c r="E805">
        <v>391.61272093554902</v>
      </c>
      <c r="F805">
        <v>67.771436595600306</v>
      </c>
      <c r="G805" t="s">
        <v>49</v>
      </c>
      <c r="H805">
        <v>20</v>
      </c>
      <c r="I805">
        <v>96</v>
      </c>
      <c r="J805">
        <v>13.0517874099693</v>
      </c>
      <c r="K805" t="b">
        <f t="shared" si="48"/>
        <v>1</v>
      </c>
      <c r="L805">
        <f t="shared" si="49"/>
        <v>472.43594494111858</v>
      </c>
      <c r="M805">
        <f t="shared" si="50"/>
        <v>1889.7437797644743</v>
      </c>
      <c r="N805">
        <f t="shared" si="51"/>
        <v>2309.2668988721875</v>
      </c>
    </row>
    <row r="806" spans="1:14" x14ac:dyDescent="0.35">
      <c r="A806" t="s">
        <v>49</v>
      </c>
      <c r="B806">
        <v>20</v>
      </c>
      <c r="C806" t="s">
        <v>50</v>
      </c>
      <c r="D806">
        <v>97</v>
      </c>
      <c r="E806">
        <v>392.93267281171899</v>
      </c>
      <c r="F806">
        <v>68.004393249030102</v>
      </c>
      <c r="G806" t="s">
        <v>49</v>
      </c>
      <c r="H806">
        <v>20</v>
      </c>
      <c r="I806">
        <v>97</v>
      </c>
      <c r="J806">
        <v>13.0993103755967</v>
      </c>
      <c r="K806" t="b">
        <f t="shared" si="48"/>
        <v>1</v>
      </c>
      <c r="L806">
        <f t="shared" si="49"/>
        <v>474.03637643634579</v>
      </c>
      <c r="M806">
        <f t="shared" si="50"/>
        <v>1896.1455057453832</v>
      </c>
      <c r="N806">
        <f t="shared" si="51"/>
        <v>2317.0898080208581</v>
      </c>
    </row>
    <row r="807" spans="1:14" x14ac:dyDescent="0.35">
      <c r="A807" t="s">
        <v>49</v>
      </c>
      <c r="B807">
        <v>20</v>
      </c>
      <c r="C807" t="s">
        <v>50</v>
      </c>
      <c r="D807">
        <v>98</v>
      </c>
      <c r="E807">
        <v>394.21896053400002</v>
      </c>
      <c r="F807">
        <v>68.229446042067096</v>
      </c>
      <c r="G807" t="s">
        <v>49</v>
      </c>
      <c r="H807">
        <v>20</v>
      </c>
      <c r="I807">
        <v>98</v>
      </c>
      <c r="J807">
        <v>13.1456169559078</v>
      </c>
      <c r="K807" t="b">
        <f t="shared" si="48"/>
        <v>1</v>
      </c>
      <c r="L807">
        <f t="shared" si="49"/>
        <v>475.59402353197493</v>
      </c>
      <c r="M807">
        <f t="shared" si="50"/>
        <v>1902.3760941278997</v>
      </c>
      <c r="N807">
        <f t="shared" si="51"/>
        <v>2324.7035870242935</v>
      </c>
    </row>
    <row r="808" spans="1:14" x14ac:dyDescent="0.35">
      <c r="A808" t="s">
        <v>49</v>
      </c>
      <c r="B808">
        <v>20</v>
      </c>
      <c r="C808" t="s">
        <v>50</v>
      </c>
      <c r="D808">
        <v>99</v>
      </c>
      <c r="E808">
        <v>395.47246987674998</v>
      </c>
      <c r="F808">
        <v>68.446928464103493</v>
      </c>
      <c r="G808" t="s">
        <v>49</v>
      </c>
      <c r="H808">
        <v>20</v>
      </c>
      <c r="I808">
        <v>99</v>
      </c>
      <c r="J808">
        <v>13.1907396368438</v>
      </c>
      <c r="K808" t="b">
        <f t="shared" si="48"/>
        <v>1</v>
      </c>
      <c r="L808">
        <f t="shared" si="49"/>
        <v>477.11013797769726</v>
      </c>
      <c r="M808">
        <f t="shared" si="50"/>
        <v>1908.4405519107891</v>
      </c>
      <c r="N808">
        <f t="shared" si="51"/>
        <v>2332.1143544349843</v>
      </c>
    </row>
    <row r="809" spans="1:14" x14ac:dyDescent="0.35">
      <c r="A809" t="s">
        <v>49</v>
      </c>
      <c r="B809">
        <v>20</v>
      </c>
      <c r="C809" t="s">
        <v>50</v>
      </c>
      <c r="D809">
        <v>100</v>
      </c>
      <c r="E809">
        <v>396.69406127403602</v>
      </c>
      <c r="F809">
        <v>68.657160002059697</v>
      </c>
      <c r="G809" t="s">
        <v>49</v>
      </c>
      <c r="H809">
        <v>20</v>
      </c>
      <c r="I809">
        <v>100</v>
      </c>
      <c r="J809">
        <v>13.2347099029285</v>
      </c>
      <c r="K809" t="b">
        <f t="shared" si="48"/>
        <v>1</v>
      </c>
      <c r="L809">
        <f t="shared" si="49"/>
        <v>478.58593117902421</v>
      </c>
      <c r="M809">
        <f t="shared" si="50"/>
        <v>1914.3437247160969</v>
      </c>
      <c r="N809">
        <f t="shared" si="51"/>
        <v>2339.3280316030705</v>
      </c>
    </row>
    <row r="810" spans="1:14" x14ac:dyDescent="0.35">
      <c r="A810" t="s">
        <v>49</v>
      </c>
      <c r="B810">
        <v>22</v>
      </c>
      <c r="C810" t="s">
        <v>50</v>
      </c>
      <c r="D810">
        <v>0</v>
      </c>
      <c r="E810">
        <v>0</v>
      </c>
      <c r="F810">
        <v>0</v>
      </c>
      <c r="G810" t="s">
        <v>49</v>
      </c>
      <c r="H810">
        <v>22</v>
      </c>
      <c r="I810">
        <v>0</v>
      </c>
      <c r="J810">
        <v>0</v>
      </c>
      <c r="K810" t="b">
        <f t="shared" si="48"/>
        <v>1</v>
      </c>
      <c r="L810">
        <f t="shared" si="49"/>
        <v>0</v>
      </c>
      <c r="M810">
        <f t="shared" si="50"/>
        <v>0</v>
      </c>
      <c r="N810">
        <f t="shared" si="51"/>
        <v>0</v>
      </c>
    </row>
    <row r="811" spans="1:14" x14ac:dyDescent="0.35">
      <c r="A811" t="s">
        <v>49</v>
      </c>
      <c r="B811">
        <v>22</v>
      </c>
      <c r="C811" t="s">
        <v>50</v>
      </c>
      <c r="D811">
        <v>1</v>
      </c>
      <c r="E811">
        <v>0.333518534305285</v>
      </c>
      <c r="F811">
        <v>1.7324738727355401E-3</v>
      </c>
      <c r="G811" t="s">
        <v>49</v>
      </c>
      <c r="H811">
        <v>22</v>
      </c>
      <c r="I811">
        <v>1</v>
      </c>
      <c r="J811">
        <v>3.7729414546527501E-3</v>
      </c>
      <c r="K811" t="b">
        <f t="shared" si="48"/>
        <v>1</v>
      </c>
      <c r="L811">
        <f t="shared" si="49"/>
        <v>0.33902394963267329</v>
      </c>
      <c r="M811">
        <f t="shared" si="50"/>
        <v>1.3560957985306932</v>
      </c>
      <c r="N811">
        <f t="shared" si="51"/>
        <v>1.6571490658045069</v>
      </c>
    </row>
    <row r="812" spans="1:14" x14ac:dyDescent="0.35">
      <c r="A812" t="s">
        <v>49</v>
      </c>
      <c r="B812">
        <v>22</v>
      </c>
      <c r="C812" t="s">
        <v>50</v>
      </c>
      <c r="D812">
        <v>2</v>
      </c>
      <c r="E812">
        <v>0.75041670218689105</v>
      </c>
      <c r="F812">
        <v>5.5785658702084502E-3</v>
      </c>
      <c r="G812" t="s">
        <v>49</v>
      </c>
      <c r="H812">
        <v>22</v>
      </c>
      <c r="I812">
        <v>2</v>
      </c>
      <c r="J812">
        <v>1.08618056875803E-2</v>
      </c>
      <c r="K812" t="b">
        <f t="shared" si="48"/>
        <v>1</v>
      </c>
      <c r="L812">
        <f t="shared" si="49"/>
        <v>0.76685707374467982</v>
      </c>
      <c r="M812">
        <f t="shared" si="50"/>
        <v>3.0674282949787193</v>
      </c>
      <c r="N812">
        <f t="shared" si="51"/>
        <v>3.7483973764639948</v>
      </c>
    </row>
    <row r="813" spans="1:14" x14ac:dyDescent="0.35">
      <c r="A813" t="s">
        <v>49</v>
      </c>
      <c r="B813">
        <v>22</v>
      </c>
      <c r="C813" t="s">
        <v>50</v>
      </c>
      <c r="D813">
        <v>3</v>
      </c>
      <c r="E813">
        <v>1.2715394120389001</v>
      </c>
      <c r="F813">
        <v>1.2016265533906501E-2</v>
      </c>
      <c r="G813" t="s">
        <v>49</v>
      </c>
      <c r="H813">
        <v>22</v>
      </c>
      <c r="I813">
        <v>3</v>
      </c>
      <c r="J813">
        <v>2.12495742181344E-2</v>
      </c>
      <c r="K813" t="b">
        <f t="shared" si="48"/>
        <v>1</v>
      </c>
      <c r="L813">
        <f t="shared" si="49"/>
        <v>1.304805251790941</v>
      </c>
      <c r="M813">
        <f t="shared" si="50"/>
        <v>5.2192210071637639</v>
      </c>
      <c r="N813">
        <f t="shared" si="51"/>
        <v>6.3778880707541195</v>
      </c>
    </row>
    <row r="814" spans="1:14" x14ac:dyDescent="0.35">
      <c r="A814" t="s">
        <v>49</v>
      </c>
      <c r="B814">
        <v>22</v>
      </c>
      <c r="C814" t="s">
        <v>50</v>
      </c>
      <c r="D814">
        <v>4</v>
      </c>
      <c r="E814">
        <v>1.9229427993538999</v>
      </c>
      <c r="F814">
        <v>2.1644572240380099E-2</v>
      </c>
      <c r="G814" t="s">
        <v>49</v>
      </c>
      <c r="H814">
        <v>22</v>
      </c>
      <c r="I814">
        <v>4</v>
      </c>
      <c r="J814">
        <v>3.5240991091204703E-2</v>
      </c>
      <c r="K814" t="b">
        <f t="shared" si="48"/>
        <v>1</v>
      </c>
      <c r="L814">
        <f t="shared" si="49"/>
        <v>1.9798283626854847</v>
      </c>
      <c r="M814">
        <f t="shared" si="50"/>
        <v>7.9193134507419387</v>
      </c>
      <c r="N814">
        <f t="shared" si="51"/>
        <v>9.6774010368066481</v>
      </c>
    </row>
    <row r="815" spans="1:14" x14ac:dyDescent="0.35">
      <c r="A815" t="s">
        <v>49</v>
      </c>
      <c r="B815">
        <v>22</v>
      </c>
      <c r="C815" t="s">
        <v>50</v>
      </c>
      <c r="D815">
        <v>5</v>
      </c>
      <c r="E815">
        <v>2.7371970334976701</v>
      </c>
      <c r="F815">
        <v>3.5213702286517802E-2</v>
      </c>
      <c r="G815" t="s">
        <v>49</v>
      </c>
      <c r="H815">
        <v>22</v>
      </c>
      <c r="I815">
        <v>5</v>
      </c>
      <c r="J815">
        <v>5.3410876087482503E-2</v>
      </c>
      <c r="K815" t="b">
        <f t="shared" si="48"/>
        <v>1</v>
      </c>
      <c r="L815">
        <f t="shared" si="49"/>
        <v>2.8258216118716706</v>
      </c>
      <c r="M815">
        <f t="shared" si="50"/>
        <v>11.303286447486682</v>
      </c>
      <c r="N815">
        <f t="shared" si="51"/>
        <v>13.812616038828725</v>
      </c>
    </row>
    <row r="816" spans="1:14" x14ac:dyDescent="0.35">
      <c r="A816" t="s">
        <v>49</v>
      </c>
      <c r="B816">
        <v>22</v>
      </c>
      <c r="C816" t="s">
        <v>50</v>
      </c>
      <c r="D816">
        <v>6</v>
      </c>
      <c r="E816">
        <v>3.7550148261773701</v>
      </c>
      <c r="F816">
        <v>5.3662849107344202E-2</v>
      </c>
      <c r="G816" t="s">
        <v>49</v>
      </c>
      <c r="H816">
        <v>22</v>
      </c>
      <c r="I816">
        <v>6</v>
      </c>
      <c r="J816">
        <v>7.6594664830266307E-2</v>
      </c>
      <c r="K816" t="b">
        <f t="shared" si="48"/>
        <v>1</v>
      </c>
      <c r="L816">
        <f t="shared" si="49"/>
        <v>3.8852723401149807</v>
      </c>
      <c r="M816">
        <f t="shared" si="50"/>
        <v>15.541089360459923</v>
      </c>
      <c r="N816">
        <f t="shared" si="51"/>
        <v>18.991211198482024</v>
      </c>
    </row>
    <row r="817" spans="1:14" x14ac:dyDescent="0.35">
      <c r="A817" t="s">
        <v>49</v>
      </c>
      <c r="B817">
        <v>22</v>
      </c>
      <c r="C817" t="s">
        <v>50</v>
      </c>
      <c r="D817">
        <v>7</v>
      </c>
      <c r="E817">
        <v>5.02728706702701</v>
      </c>
      <c r="F817">
        <v>7.8167384868636905E-2</v>
      </c>
      <c r="G817" t="s">
        <v>49</v>
      </c>
      <c r="H817">
        <v>22</v>
      </c>
      <c r="I817">
        <v>7</v>
      </c>
      <c r="J817">
        <v>0.105908338984725</v>
      </c>
      <c r="K817" t="b">
        <f t="shared" si="48"/>
        <v>1</v>
      </c>
      <c r="L817">
        <f t="shared" si="49"/>
        <v>5.2113627908803721</v>
      </c>
      <c r="M817">
        <f t="shared" si="50"/>
        <v>20.845451163521489</v>
      </c>
      <c r="N817">
        <f t="shared" si="51"/>
        <v>25.47314132182326</v>
      </c>
    </row>
    <row r="818" spans="1:14" x14ac:dyDescent="0.35">
      <c r="A818" t="s">
        <v>49</v>
      </c>
      <c r="B818">
        <v>22</v>
      </c>
      <c r="C818" t="s">
        <v>50</v>
      </c>
      <c r="D818">
        <v>8</v>
      </c>
      <c r="E818">
        <v>6.6176273680890398</v>
      </c>
      <c r="F818">
        <v>0.110197863738454</v>
      </c>
      <c r="G818" t="s">
        <v>49</v>
      </c>
      <c r="H818">
        <v>22</v>
      </c>
      <c r="I818">
        <v>8</v>
      </c>
      <c r="J818">
        <v>0.14279170922704601</v>
      </c>
      <c r="K818" t="b">
        <f t="shared" si="48"/>
        <v>1</v>
      </c>
      <c r="L818">
        <f t="shared" si="49"/>
        <v>6.8706169410545401</v>
      </c>
      <c r="M818">
        <f t="shared" si="50"/>
        <v>27.482467764218161</v>
      </c>
      <c r="N818">
        <f t="shared" si="51"/>
        <v>33.583575607874593</v>
      </c>
    </row>
    <row r="819" spans="1:14" x14ac:dyDescent="0.35">
      <c r="A819" t="s">
        <v>49</v>
      </c>
      <c r="B819">
        <v>22</v>
      </c>
      <c r="C819" t="s">
        <v>50</v>
      </c>
      <c r="D819">
        <v>9</v>
      </c>
      <c r="E819">
        <v>8.60555274441659</v>
      </c>
      <c r="F819">
        <v>0.15159377721888201</v>
      </c>
      <c r="G819" t="s">
        <v>49</v>
      </c>
      <c r="H819">
        <v>22</v>
      </c>
      <c r="I819">
        <v>9</v>
      </c>
      <c r="J819">
        <v>0.18907321178472999</v>
      </c>
      <c r="K819" t="b">
        <f t="shared" si="48"/>
        <v>1</v>
      </c>
      <c r="L819">
        <f t="shared" si="49"/>
        <v>8.946219733420202</v>
      </c>
      <c r="M819">
        <f t="shared" si="50"/>
        <v>35.784878933680808</v>
      </c>
      <c r="N819">
        <f t="shared" si="51"/>
        <v>43.729122056957948</v>
      </c>
    </row>
    <row r="820" spans="1:14" x14ac:dyDescent="0.35">
      <c r="A820" t="s">
        <v>49</v>
      </c>
      <c r="B820">
        <v>22</v>
      </c>
      <c r="C820" t="s">
        <v>50</v>
      </c>
      <c r="D820">
        <v>10</v>
      </c>
      <c r="E820">
        <v>11.090459464826001</v>
      </c>
      <c r="F820">
        <v>0.204655749515778</v>
      </c>
      <c r="G820" t="s">
        <v>49</v>
      </c>
      <c r="H820">
        <v>22</v>
      </c>
      <c r="I820">
        <v>10</v>
      </c>
      <c r="J820">
        <v>0.247057178471354</v>
      </c>
      <c r="K820" t="b">
        <f t="shared" si="48"/>
        <v>1</v>
      </c>
      <c r="L820">
        <f t="shared" si="49"/>
        <v>11.542172392813132</v>
      </c>
      <c r="M820">
        <f t="shared" si="50"/>
        <v>46.168689571252528</v>
      </c>
      <c r="N820">
        <f t="shared" si="51"/>
        <v>56.418138656070589</v>
      </c>
    </row>
    <row r="821" spans="1:14" x14ac:dyDescent="0.35">
      <c r="A821" t="s">
        <v>49</v>
      </c>
      <c r="B821">
        <v>22</v>
      </c>
      <c r="C821" t="s">
        <v>50</v>
      </c>
      <c r="D821">
        <v>11</v>
      </c>
      <c r="E821">
        <v>14.1965928653378</v>
      </c>
      <c r="F821">
        <v>0.27226078291986799</v>
      </c>
      <c r="G821" t="s">
        <v>49</v>
      </c>
      <c r="H821">
        <v>22</v>
      </c>
      <c r="I821">
        <v>11</v>
      </c>
      <c r="J821">
        <v>0.31963664424310001</v>
      </c>
      <c r="K821" t="b">
        <f t="shared" si="48"/>
        <v>1</v>
      </c>
      <c r="L821">
        <f t="shared" si="49"/>
        <v>14.78849029250077</v>
      </c>
      <c r="M821">
        <f t="shared" si="50"/>
        <v>59.153961170003079</v>
      </c>
      <c r="N821">
        <f t="shared" si="51"/>
        <v>72.286140549743763</v>
      </c>
    </row>
    <row r="822" spans="1:14" x14ac:dyDescent="0.35">
      <c r="A822" t="s">
        <v>49</v>
      </c>
      <c r="B822">
        <v>22</v>
      </c>
      <c r="C822" t="s">
        <v>50</v>
      </c>
      <c r="D822">
        <v>12</v>
      </c>
      <c r="E822">
        <v>18.079259615977499</v>
      </c>
      <c r="F822">
        <v>0.35800631566696201</v>
      </c>
      <c r="G822" t="s">
        <v>49</v>
      </c>
      <c r="H822">
        <v>22</v>
      </c>
      <c r="I822">
        <v>12</v>
      </c>
      <c r="J822">
        <v>0.41043659116129899</v>
      </c>
      <c r="K822" t="b">
        <f t="shared" si="48"/>
        <v>1</v>
      </c>
      <c r="L822">
        <f t="shared" si="49"/>
        <v>18.847702522805761</v>
      </c>
      <c r="M822">
        <f t="shared" si="50"/>
        <v>75.390810091223045</v>
      </c>
      <c r="N822">
        <f t="shared" si="51"/>
        <v>92.127569931474554</v>
      </c>
    </row>
    <row r="823" spans="1:14" x14ac:dyDescent="0.35">
      <c r="A823" t="s">
        <v>49</v>
      </c>
      <c r="B823">
        <v>22</v>
      </c>
      <c r="C823" t="s">
        <v>50</v>
      </c>
      <c r="D823">
        <v>13</v>
      </c>
      <c r="E823">
        <v>22.932593054277099</v>
      </c>
      <c r="F823">
        <v>0.46639029536305199</v>
      </c>
      <c r="G823" t="s">
        <v>49</v>
      </c>
      <c r="H823">
        <v>22</v>
      </c>
      <c r="I823">
        <v>13</v>
      </c>
      <c r="J823">
        <v>0.523994367207258</v>
      </c>
      <c r="K823" t="b">
        <f t="shared" si="48"/>
        <v>1</v>
      </c>
      <c r="L823">
        <f t="shared" si="49"/>
        <v>23.922977716847409</v>
      </c>
      <c r="M823">
        <f t="shared" si="50"/>
        <v>95.691910867389637</v>
      </c>
      <c r="N823">
        <f t="shared" si="51"/>
        <v>116.93551507995014</v>
      </c>
    </row>
    <row r="824" spans="1:14" x14ac:dyDescent="0.35">
      <c r="A824" t="s">
        <v>49</v>
      </c>
      <c r="B824">
        <v>22</v>
      </c>
      <c r="C824" t="s">
        <v>50</v>
      </c>
      <c r="D824">
        <v>14</v>
      </c>
      <c r="E824">
        <v>28.999278</v>
      </c>
      <c r="F824">
        <v>0.60303636610216005</v>
      </c>
      <c r="G824" t="s">
        <v>49</v>
      </c>
      <c r="H824">
        <v>22</v>
      </c>
      <c r="I824">
        <v>14</v>
      </c>
      <c r="J824">
        <v>0.66598626351742496</v>
      </c>
      <c r="K824" t="b">
        <f t="shared" si="48"/>
        <v>1</v>
      </c>
      <c r="L824">
        <f t="shared" si="49"/>
        <v>30.268300629619585</v>
      </c>
      <c r="M824">
        <f t="shared" si="50"/>
        <v>121.07320251847834</v>
      </c>
      <c r="N824">
        <f t="shared" si="51"/>
        <v>147.95145347758051</v>
      </c>
    </row>
    <row r="825" spans="1:14" x14ac:dyDescent="0.35">
      <c r="A825" t="s">
        <v>49</v>
      </c>
      <c r="B825">
        <v>22</v>
      </c>
      <c r="C825" t="s">
        <v>50</v>
      </c>
      <c r="D825">
        <v>15</v>
      </c>
      <c r="E825">
        <v>35.835425999999998</v>
      </c>
      <c r="F825">
        <v>0.77109366831909498</v>
      </c>
      <c r="G825" t="s">
        <v>49</v>
      </c>
      <c r="H825">
        <v>22</v>
      </c>
      <c r="I825">
        <v>15</v>
      </c>
      <c r="J825">
        <v>0.83505776144898503</v>
      </c>
      <c r="K825" t="b">
        <f t="shared" si="48"/>
        <v>1</v>
      </c>
      <c r="L825">
        <f t="shared" si="49"/>
        <v>37.441577429768081</v>
      </c>
      <c r="M825">
        <f t="shared" si="50"/>
        <v>149.76630971907232</v>
      </c>
      <c r="N825">
        <f t="shared" si="51"/>
        <v>183.01443047670637</v>
      </c>
    </row>
    <row r="826" spans="1:14" x14ac:dyDescent="0.35">
      <c r="A826" t="s">
        <v>49</v>
      </c>
      <c r="B826">
        <v>22</v>
      </c>
      <c r="C826" t="s">
        <v>50</v>
      </c>
      <c r="D826">
        <v>16</v>
      </c>
      <c r="E826">
        <v>42.671574</v>
      </c>
      <c r="F826">
        <v>0.96961986506952202</v>
      </c>
      <c r="G826" t="s">
        <v>49</v>
      </c>
      <c r="H826">
        <v>22</v>
      </c>
      <c r="I826">
        <v>16</v>
      </c>
      <c r="J826">
        <v>1.0217745092947099</v>
      </c>
      <c r="K826" t="b">
        <f t="shared" si="48"/>
        <v>1</v>
      </c>
      <c r="L826">
        <f t="shared" si="49"/>
        <v>44.662968374364233</v>
      </c>
      <c r="M826">
        <f t="shared" si="50"/>
        <v>178.65187349745693</v>
      </c>
      <c r="N826">
        <f t="shared" si="51"/>
        <v>218.31258941389237</v>
      </c>
    </row>
    <row r="827" spans="1:14" x14ac:dyDescent="0.35">
      <c r="A827" t="s">
        <v>49</v>
      </c>
      <c r="B827">
        <v>22</v>
      </c>
      <c r="C827" t="s">
        <v>50</v>
      </c>
      <c r="D827">
        <v>17</v>
      </c>
      <c r="E827">
        <v>49.507722000000001</v>
      </c>
      <c r="F827">
        <v>1.1977008895174399</v>
      </c>
      <c r="G827" t="s">
        <v>49</v>
      </c>
      <c r="H827">
        <v>22</v>
      </c>
      <c r="I827">
        <v>17</v>
      </c>
      <c r="J827">
        <v>1.2202789121258599</v>
      </c>
      <c r="K827" t="b">
        <f t="shared" si="48"/>
        <v>1</v>
      </c>
      <c r="L827">
        <f t="shared" si="49"/>
        <v>51.925701801643307</v>
      </c>
      <c r="M827">
        <f t="shared" si="50"/>
        <v>207.70280720657323</v>
      </c>
      <c r="N827">
        <f t="shared" si="51"/>
        <v>253.81283040643248</v>
      </c>
    </row>
    <row r="828" spans="1:14" x14ac:dyDescent="0.35">
      <c r="A828" t="s">
        <v>49</v>
      </c>
      <c r="B828">
        <v>22</v>
      </c>
      <c r="C828" t="s">
        <v>50</v>
      </c>
      <c r="D828">
        <v>18</v>
      </c>
      <c r="E828">
        <v>56.343870000000003</v>
      </c>
      <c r="F828">
        <v>1.4544500968319101</v>
      </c>
      <c r="G828" t="s">
        <v>49</v>
      </c>
      <c r="H828">
        <v>22</v>
      </c>
      <c r="I828">
        <v>18</v>
      </c>
      <c r="J828">
        <v>1.4268550705019201</v>
      </c>
      <c r="K828" t="b">
        <f t="shared" si="48"/>
        <v>1</v>
      </c>
      <c r="L828">
        <f t="shared" si="49"/>
        <v>59.225175167333838</v>
      </c>
      <c r="M828">
        <f t="shared" si="50"/>
        <v>236.90070066933535</v>
      </c>
      <c r="N828">
        <f t="shared" si="51"/>
        <v>289.49265621792779</v>
      </c>
    </row>
    <row r="829" spans="1:14" x14ac:dyDescent="0.35">
      <c r="A829" t="s">
        <v>49</v>
      </c>
      <c r="B829">
        <v>22</v>
      </c>
      <c r="C829" t="s">
        <v>50</v>
      </c>
      <c r="D829">
        <v>19</v>
      </c>
      <c r="E829">
        <v>64.919250000000005</v>
      </c>
      <c r="F829">
        <v>1.7480419439269601</v>
      </c>
      <c r="G829" t="s">
        <v>49</v>
      </c>
      <c r="H829">
        <v>22</v>
      </c>
      <c r="I829">
        <v>19</v>
      </c>
      <c r="J829">
        <v>1.6587644259082299</v>
      </c>
      <c r="K829" t="b">
        <f t="shared" si="48"/>
        <v>1</v>
      </c>
      <c r="L829">
        <f t="shared" si="49"/>
        <v>68.3260563698352</v>
      </c>
      <c r="M829">
        <f t="shared" si="50"/>
        <v>273.3042254793408</v>
      </c>
      <c r="N829">
        <f t="shared" si="51"/>
        <v>333.97776353575443</v>
      </c>
    </row>
    <row r="830" spans="1:14" x14ac:dyDescent="0.35">
      <c r="A830" t="s">
        <v>49</v>
      </c>
      <c r="B830">
        <v>22</v>
      </c>
      <c r="C830" t="s">
        <v>50</v>
      </c>
      <c r="D830">
        <v>20</v>
      </c>
      <c r="E830">
        <v>73.494630000000001</v>
      </c>
      <c r="F830">
        <v>2.07737115160915</v>
      </c>
      <c r="G830" t="s">
        <v>49</v>
      </c>
      <c r="H830">
        <v>22</v>
      </c>
      <c r="I830">
        <v>20</v>
      </c>
      <c r="J830">
        <v>1.9070976863392399</v>
      </c>
      <c r="K830" t="b">
        <f t="shared" si="48"/>
        <v>1</v>
      </c>
      <c r="L830">
        <f t="shared" si="49"/>
        <v>77.479098837948399</v>
      </c>
      <c r="M830">
        <f t="shared" si="50"/>
        <v>309.9163953517936</v>
      </c>
      <c r="N830">
        <f t="shared" si="51"/>
        <v>378.71783511989179</v>
      </c>
    </row>
    <row r="831" spans="1:14" x14ac:dyDescent="0.35">
      <c r="A831" t="s">
        <v>49</v>
      </c>
      <c r="B831">
        <v>22</v>
      </c>
      <c r="C831" t="s">
        <v>50</v>
      </c>
      <c r="D831">
        <v>21</v>
      </c>
      <c r="E831">
        <v>82.070009999999996</v>
      </c>
      <c r="F831">
        <v>2.44136559906087</v>
      </c>
      <c r="G831" t="s">
        <v>49</v>
      </c>
      <c r="H831">
        <v>22</v>
      </c>
      <c r="I831">
        <v>21</v>
      </c>
      <c r="J831">
        <v>2.1663459881490801</v>
      </c>
      <c r="K831" t="b">
        <f t="shared" si="48"/>
        <v>1</v>
      </c>
      <c r="L831">
        <f t="shared" si="49"/>
        <v>86.677721587209945</v>
      </c>
      <c r="M831">
        <f t="shared" si="50"/>
        <v>346.71088634883978</v>
      </c>
      <c r="N831">
        <f t="shared" si="51"/>
        <v>423.68070311828222</v>
      </c>
    </row>
    <row r="832" spans="1:14" x14ac:dyDescent="0.35">
      <c r="A832" t="s">
        <v>49</v>
      </c>
      <c r="B832">
        <v>22</v>
      </c>
      <c r="C832" t="s">
        <v>50</v>
      </c>
      <c r="D832">
        <v>22</v>
      </c>
      <c r="E832">
        <v>90.645390000000006</v>
      </c>
      <c r="F832">
        <v>2.8389853290890499</v>
      </c>
      <c r="G832" t="s">
        <v>49</v>
      </c>
      <c r="H832">
        <v>22</v>
      </c>
      <c r="I832">
        <v>22</v>
      </c>
      <c r="J832">
        <v>2.4330308853070299</v>
      </c>
      <c r="K832" t="b">
        <f t="shared" si="48"/>
        <v>1</v>
      </c>
      <c r="L832">
        <f t="shared" si="49"/>
        <v>95.917406214396095</v>
      </c>
      <c r="M832">
        <f t="shared" si="50"/>
        <v>383.66962485758438</v>
      </c>
      <c r="N832">
        <f t="shared" si="51"/>
        <v>468.84428157596813</v>
      </c>
    </row>
    <row r="833" spans="1:14" x14ac:dyDescent="0.35">
      <c r="A833" t="s">
        <v>49</v>
      </c>
      <c r="B833">
        <v>22</v>
      </c>
      <c r="C833" t="s">
        <v>50</v>
      </c>
      <c r="D833">
        <v>23</v>
      </c>
      <c r="E833">
        <v>99.220770000000002</v>
      </c>
      <c r="F833">
        <v>3.26922158321638</v>
      </c>
      <c r="G833" t="s">
        <v>49</v>
      </c>
      <c r="H833">
        <v>22</v>
      </c>
      <c r="I833">
        <v>23</v>
      </c>
      <c r="J833">
        <v>2.7049042667071101</v>
      </c>
      <c r="K833" t="b">
        <f t="shared" si="48"/>
        <v>1</v>
      </c>
      <c r="L833">
        <f t="shared" si="49"/>
        <v>105.19489584992348</v>
      </c>
      <c r="M833">
        <f t="shared" si="50"/>
        <v>420.77958339969393</v>
      </c>
      <c r="N833">
        <f t="shared" si="51"/>
        <v>514.19265091442594</v>
      </c>
    </row>
    <row r="834" spans="1:14" x14ac:dyDescent="0.35">
      <c r="A834" t="s">
        <v>49</v>
      </c>
      <c r="B834">
        <v>22</v>
      </c>
      <c r="C834" t="s">
        <v>50</v>
      </c>
      <c r="D834">
        <v>24</v>
      </c>
      <c r="E834">
        <v>108.798624</v>
      </c>
      <c r="F834">
        <v>3.73630325251988</v>
      </c>
      <c r="G834" t="s">
        <v>49</v>
      </c>
      <c r="H834">
        <v>22</v>
      </c>
      <c r="I834">
        <v>24</v>
      </c>
      <c r="J834">
        <v>2.9918174019827299</v>
      </c>
      <c r="K834" t="b">
        <f t="shared" si="48"/>
        <v>1</v>
      </c>
      <c r="L834">
        <f t="shared" si="49"/>
        <v>115.52674465450261</v>
      </c>
      <c r="M834">
        <f t="shared" si="50"/>
        <v>462.10697861801043</v>
      </c>
      <c r="N834">
        <f t="shared" si="51"/>
        <v>564.69472787120878</v>
      </c>
    </row>
    <row r="835" spans="1:14" x14ac:dyDescent="0.35">
      <c r="A835" t="s">
        <v>49</v>
      </c>
      <c r="B835">
        <v>22</v>
      </c>
      <c r="C835" t="s">
        <v>50</v>
      </c>
      <c r="D835">
        <v>25</v>
      </c>
      <c r="E835">
        <v>118.335298785284</v>
      </c>
      <c r="F835">
        <v>4.2750880203818298</v>
      </c>
      <c r="G835" t="s">
        <v>49</v>
      </c>
      <c r="H835">
        <v>22</v>
      </c>
      <c r="I835">
        <v>25</v>
      </c>
      <c r="J835">
        <v>3.28808417887464</v>
      </c>
      <c r="K835" t="b">
        <f t="shared" ref="K835:K898" si="52">H835=B835</f>
        <v>1</v>
      </c>
      <c r="L835">
        <f t="shared" ref="L835:L898" si="53">E835+F835+J835</f>
        <v>125.89847098454047</v>
      </c>
      <c r="M835">
        <f t="shared" ref="M835:M898" si="54">(L835*2)*(100/50)</f>
        <v>503.59388393816187</v>
      </c>
      <c r="N835">
        <f t="shared" ref="N835:N898" si="55">M835*1.222</f>
        <v>615.39172617243378</v>
      </c>
    </row>
    <row r="836" spans="1:14" x14ac:dyDescent="0.35">
      <c r="A836" t="s">
        <v>49</v>
      </c>
      <c r="B836">
        <v>22</v>
      </c>
      <c r="C836" t="s">
        <v>50</v>
      </c>
      <c r="D836">
        <v>26</v>
      </c>
      <c r="E836">
        <v>127.36405515907499</v>
      </c>
      <c r="F836">
        <v>5.2903596672192803</v>
      </c>
      <c r="G836" t="s">
        <v>49</v>
      </c>
      <c r="H836">
        <v>22</v>
      </c>
      <c r="I836">
        <v>26</v>
      </c>
      <c r="J836">
        <v>3.5848851688989201</v>
      </c>
      <c r="K836" t="b">
        <f t="shared" si="52"/>
        <v>1</v>
      </c>
      <c r="L836">
        <f t="shared" si="53"/>
        <v>136.23929999519319</v>
      </c>
      <c r="M836">
        <f t="shared" si="54"/>
        <v>544.95719998077277</v>
      </c>
      <c r="N836">
        <f t="shared" si="55"/>
        <v>665.93769837650427</v>
      </c>
    </row>
    <row r="837" spans="1:14" x14ac:dyDescent="0.35">
      <c r="A837" t="s">
        <v>49</v>
      </c>
      <c r="B837">
        <v>22</v>
      </c>
      <c r="C837" t="s">
        <v>50</v>
      </c>
      <c r="D837">
        <v>27</v>
      </c>
      <c r="E837">
        <v>136.03020203337601</v>
      </c>
      <c r="F837">
        <v>6.6325258423770297</v>
      </c>
      <c r="G837" t="s">
        <v>49</v>
      </c>
      <c r="H837">
        <v>22</v>
      </c>
      <c r="I837">
        <v>27</v>
      </c>
      <c r="J837">
        <v>3.8782919887241301</v>
      </c>
      <c r="K837" t="b">
        <f t="shared" si="52"/>
        <v>1</v>
      </c>
      <c r="L837">
        <f t="shared" si="53"/>
        <v>146.54101986447716</v>
      </c>
      <c r="M837">
        <f t="shared" si="54"/>
        <v>586.16407945790866</v>
      </c>
      <c r="N837">
        <f t="shared" si="55"/>
        <v>716.29250509756434</v>
      </c>
    </row>
    <row r="838" spans="1:14" x14ac:dyDescent="0.35">
      <c r="A838" t="s">
        <v>49</v>
      </c>
      <c r="B838">
        <v>22</v>
      </c>
      <c r="C838" t="s">
        <v>50</v>
      </c>
      <c r="D838">
        <v>28</v>
      </c>
      <c r="E838">
        <v>144.415142716632</v>
      </c>
      <c r="F838">
        <v>8.2149837556137104</v>
      </c>
      <c r="G838" t="s">
        <v>49</v>
      </c>
      <c r="H838">
        <v>22</v>
      </c>
      <c r="I838">
        <v>28</v>
      </c>
      <c r="J838">
        <v>4.1666555981882496</v>
      </c>
      <c r="K838" t="b">
        <f t="shared" si="52"/>
        <v>1</v>
      </c>
      <c r="L838">
        <f t="shared" si="53"/>
        <v>156.79678207043395</v>
      </c>
      <c r="M838">
        <f t="shared" si="54"/>
        <v>627.1871282817358</v>
      </c>
      <c r="N838">
        <f t="shared" si="55"/>
        <v>766.42267076028111</v>
      </c>
    </row>
    <row r="839" spans="1:14" x14ac:dyDescent="0.35">
      <c r="A839" t="s">
        <v>49</v>
      </c>
      <c r="B839">
        <v>22</v>
      </c>
      <c r="C839" t="s">
        <v>50</v>
      </c>
      <c r="D839">
        <v>29</v>
      </c>
      <c r="E839">
        <v>152.87950293798099</v>
      </c>
      <c r="F839">
        <v>9.8440474028120999</v>
      </c>
      <c r="G839" t="s">
        <v>49</v>
      </c>
      <c r="H839">
        <v>22</v>
      </c>
      <c r="I839">
        <v>29</v>
      </c>
      <c r="J839">
        <v>4.4529109961640998</v>
      </c>
      <c r="K839" t="b">
        <f t="shared" si="52"/>
        <v>1</v>
      </c>
      <c r="L839">
        <f t="shared" si="53"/>
        <v>167.17646133695717</v>
      </c>
      <c r="M839">
        <f t="shared" si="54"/>
        <v>668.7058453478287</v>
      </c>
      <c r="N839">
        <f t="shared" si="55"/>
        <v>817.15854301504669</v>
      </c>
    </row>
    <row r="840" spans="1:14" x14ac:dyDescent="0.35">
      <c r="A840" t="s">
        <v>49</v>
      </c>
      <c r="B840">
        <v>22</v>
      </c>
      <c r="C840" t="s">
        <v>50</v>
      </c>
      <c r="D840">
        <v>30</v>
      </c>
      <c r="E840">
        <v>161.251058787418</v>
      </c>
      <c r="F840">
        <v>11.536316287709001</v>
      </c>
      <c r="G840" t="s">
        <v>49</v>
      </c>
      <c r="H840">
        <v>22</v>
      </c>
      <c r="I840">
        <v>30</v>
      </c>
      <c r="J840">
        <v>4.7368631346416796</v>
      </c>
      <c r="K840" t="b">
        <f t="shared" si="52"/>
        <v>1</v>
      </c>
      <c r="L840">
        <f t="shared" si="53"/>
        <v>177.5242382097687</v>
      </c>
      <c r="M840">
        <f t="shared" si="54"/>
        <v>710.09695283907479</v>
      </c>
      <c r="N840">
        <f t="shared" si="55"/>
        <v>867.73847636934943</v>
      </c>
    </row>
    <row r="841" spans="1:14" x14ac:dyDescent="0.35">
      <c r="A841" t="s">
        <v>49</v>
      </c>
      <c r="B841">
        <v>22</v>
      </c>
      <c r="C841" t="s">
        <v>50</v>
      </c>
      <c r="D841">
        <v>31</v>
      </c>
      <c r="E841">
        <v>169.51546026883</v>
      </c>
      <c r="F841">
        <v>13.301523861298101</v>
      </c>
      <c r="G841" t="s">
        <v>49</v>
      </c>
      <c r="H841">
        <v>22</v>
      </c>
      <c r="I841">
        <v>31</v>
      </c>
      <c r="J841">
        <v>5.0181873842657403</v>
      </c>
      <c r="K841" t="b">
        <f t="shared" si="52"/>
        <v>1</v>
      </c>
      <c r="L841">
        <f t="shared" si="53"/>
        <v>187.83517151439383</v>
      </c>
      <c r="M841">
        <f t="shared" si="54"/>
        <v>751.34068605757534</v>
      </c>
      <c r="N841">
        <f t="shared" si="55"/>
        <v>918.13831836235704</v>
      </c>
    </row>
    <row r="842" spans="1:14" x14ac:dyDescent="0.35">
      <c r="A842" t="s">
        <v>49</v>
      </c>
      <c r="B842">
        <v>22</v>
      </c>
      <c r="C842" t="s">
        <v>50</v>
      </c>
      <c r="D842">
        <v>32</v>
      </c>
      <c r="E842">
        <v>177.66291305118</v>
      </c>
      <c r="F842">
        <v>15.144915705721999</v>
      </c>
      <c r="G842" t="s">
        <v>49</v>
      </c>
      <c r="H842">
        <v>22</v>
      </c>
      <c r="I842">
        <v>32</v>
      </c>
      <c r="J842">
        <v>5.2965384976488998</v>
      </c>
      <c r="K842" t="b">
        <f t="shared" si="52"/>
        <v>1</v>
      </c>
      <c r="L842">
        <f t="shared" si="53"/>
        <v>198.10436725455088</v>
      </c>
      <c r="M842">
        <f t="shared" si="54"/>
        <v>792.41746901820352</v>
      </c>
      <c r="N842">
        <f t="shared" si="55"/>
        <v>968.33414714024468</v>
      </c>
    </row>
    <row r="843" spans="1:14" x14ac:dyDescent="0.35">
      <c r="A843" t="s">
        <v>49</v>
      </c>
      <c r="B843">
        <v>22</v>
      </c>
      <c r="C843" t="s">
        <v>50</v>
      </c>
      <c r="D843">
        <v>33</v>
      </c>
      <c r="E843">
        <v>185.657277478781</v>
      </c>
      <c r="F843">
        <v>17.068810573546799</v>
      </c>
      <c r="G843" t="s">
        <v>49</v>
      </c>
      <c r="H843">
        <v>22</v>
      </c>
      <c r="I843">
        <v>33</v>
      </c>
      <c r="J843">
        <v>5.5715979177325403</v>
      </c>
      <c r="K843" t="b">
        <f t="shared" si="52"/>
        <v>1</v>
      </c>
      <c r="L843">
        <f t="shared" si="53"/>
        <v>208.29768597006031</v>
      </c>
      <c r="M843">
        <f t="shared" si="54"/>
        <v>833.19074388024126</v>
      </c>
      <c r="N843">
        <f t="shared" si="55"/>
        <v>1018.1590890216548</v>
      </c>
    </row>
    <row r="844" spans="1:14" x14ac:dyDescent="0.35">
      <c r="A844" t="s">
        <v>49</v>
      </c>
      <c r="B844">
        <v>22</v>
      </c>
      <c r="C844" t="s">
        <v>50</v>
      </c>
      <c r="D844">
        <v>34</v>
      </c>
      <c r="E844">
        <v>193.11816446783499</v>
      </c>
      <c r="F844">
        <v>18.887547919087101</v>
      </c>
      <c r="G844" t="s">
        <v>49</v>
      </c>
      <c r="H844">
        <v>22</v>
      </c>
      <c r="I844">
        <v>34</v>
      </c>
      <c r="J844">
        <v>5.8391094563817401</v>
      </c>
      <c r="K844" t="b">
        <f t="shared" si="52"/>
        <v>1</v>
      </c>
      <c r="L844">
        <f t="shared" si="53"/>
        <v>217.84482184330383</v>
      </c>
      <c r="M844">
        <f t="shared" si="54"/>
        <v>871.37928737321533</v>
      </c>
      <c r="N844">
        <f t="shared" si="55"/>
        <v>1064.8254891700692</v>
      </c>
    </row>
    <row r="845" spans="1:14" x14ac:dyDescent="0.35">
      <c r="A845" t="s">
        <v>49</v>
      </c>
      <c r="B845">
        <v>22</v>
      </c>
      <c r="C845" t="s">
        <v>50</v>
      </c>
      <c r="D845">
        <v>35</v>
      </c>
      <c r="E845">
        <v>200.587945818013</v>
      </c>
      <c r="F845">
        <v>20.669463355949599</v>
      </c>
      <c r="G845" t="s">
        <v>49</v>
      </c>
      <c r="H845">
        <v>22</v>
      </c>
      <c r="I845">
        <v>35</v>
      </c>
      <c r="J845">
        <v>6.1019147737769304</v>
      </c>
      <c r="K845" t="b">
        <f t="shared" si="52"/>
        <v>1</v>
      </c>
      <c r="L845">
        <f t="shared" si="53"/>
        <v>227.35932394773954</v>
      </c>
      <c r="M845">
        <f t="shared" si="54"/>
        <v>909.43729579095816</v>
      </c>
      <c r="N845">
        <f t="shared" si="55"/>
        <v>1111.3323754565508</v>
      </c>
    </row>
    <row r="846" spans="1:14" x14ac:dyDescent="0.35">
      <c r="A846" t="s">
        <v>49</v>
      </c>
      <c r="B846">
        <v>22</v>
      </c>
      <c r="C846" t="s">
        <v>50</v>
      </c>
      <c r="D846">
        <v>36</v>
      </c>
      <c r="E846">
        <v>208.02318134921001</v>
      </c>
      <c r="F846">
        <v>22.454834308045601</v>
      </c>
      <c r="G846" t="s">
        <v>49</v>
      </c>
      <c r="H846">
        <v>22</v>
      </c>
      <c r="I846">
        <v>36</v>
      </c>
      <c r="J846">
        <v>6.3612520891405904</v>
      </c>
      <c r="K846" t="b">
        <f t="shared" si="52"/>
        <v>1</v>
      </c>
      <c r="L846">
        <f t="shared" si="53"/>
        <v>236.83926774639619</v>
      </c>
      <c r="M846">
        <f t="shared" si="54"/>
        <v>947.35707098558476</v>
      </c>
      <c r="N846">
        <f t="shared" si="55"/>
        <v>1157.6703407443845</v>
      </c>
    </row>
    <row r="847" spans="1:14" x14ac:dyDescent="0.35">
      <c r="A847" t="s">
        <v>49</v>
      </c>
      <c r="B847">
        <v>22</v>
      </c>
      <c r="C847" t="s">
        <v>50</v>
      </c>
      <c r="D847">
        <v>37</v>
      </c>
      <c r="E847">
        <v>215.397590822111</v>
      </c>
      <c r="F847">
        <v>24.266812199083901</v>
      </c>
      <c r="G847" t="s">
        <v>49</v>
      </c>
      <c r="H847">
        <v>22</v>
      </c>
      <c r="I847">
        <v>37</v>
      </c>
      <c r="J847">
        <v>6.6175881606349796</v>
      </c>
      <c r="K847" t="b">
        <f t="shared" si="52"/>
        <v>1</v>
      </c>
      <c r="L847">
        <f t="shared" si="53"/>
        <v>246.28199118182988</v>
      </c>
      <c r="M847">
        <f t="shared" si="54"/>
        <v>985.12796472731952</v>
      </c>
      <c r="N847">
        <f t="shared" si="55"/>
        <v>1203.8263728967845</v>
      </c>
    </row>
    <row r="848" spans="1:14" x14ac:dyDescent="0.35">
      <c r="A848" t="s">
        <v>49</v>
      </c>
      <c r="B848">
        <v>22</v>
      </c>
      <c r="C848" t="s">
        <v>50</v>
      </c>
      <c r="D848">
        <v>38</v>
      </c>
      <c r="E848">
        <v>222.69528393135599</v>
      </c>
      <c r="F848">
        <v>26.118227982271499</v>
      </c>
      <c r="G848" t="s">
        <v>49</v>
      </c>
      <c r="H848">
        <v>22</v>
      </c>
      <c r="I848">
        <v>38</v>
      </c>
      <c r="J848">
        <v>6.8710379634243202</v>
      </c>
      <c r="K848" t="b">
        <f t="shared" si="52"/>
        <v>1</v>
      </c>
      <c r="L848">
        <f t="shared" si="53"/>
        <v>255.68454987705181</v>
      </c>
      <c r="M848">
        <f t="shared" si="54"/>
        <v>1022.7381995082072</v>
      </c>
      <c r="N848">
        <f t="shared" si="55"/>
        <v>1249.7860797990293</v>
      </c>
    </row>
    <row r="849" spans="1:14" x14ac:dyDescent="0.35">
      <c r="A849" t="s">
        <v>49</v>
      </c>
      <c r="B849">
        <v>22</v>
      </c>
      <c r="C849" t="s">
        <v>50</v>
      </c>
      <c r="D849">
        <v>39</v>
      </c>
      <c r="E849">
        <v>229.17665622337901</v>
      </c>
      <c r="F849">
        <v>27.827341211058201</v>
      </c>
      <c r="G849" t="s">
        <v>49</v>
      </c>
      <c r="H849">
        <v>22</v>
      </c>
      <c r="I849">
        <v>39</v>
      </c>
      <c r="J849">
        <v>7.1132211200334101</v>
      </c>
      <c r="K849" t="b">
        <f t="shared" si="52"/>
        <v>1</v>
      </c>
      <c r="L849">
        <f t="shared" si="53"/>
        <v>264.11721855447064</v>
      </c>
      <c r="M849">
        <f t="shared" si="54"/>
        <v>1056.4688742178826</v>
      </c>
      <c r="N849">
        <f t="shared" si="55"/>
        <v>1291.0049642942524</v>
      </c>
    </row>
    <row r="850" spans="1:14" x14ac:dyDescent="0.35">
      <c r="A850" t="s">
        <v>49</v>
      </c>
      <c r="B850">
        <v>22</v>
      </c>
      <c r="C850" t="s">
        <v>50</v>
      </c>
      <c r="D850">
        <v>40</v>
      </c>
      <c r="E850">
        <v>235.699512780915</v>
      </c>
      <c r="F850">
        <v>29.471689735714701</v>
      </c>
      <c r="G850" t="s">
        <v>49</v>
      </c>
      <c r="H850">
        <v>22</v>
      </c>
      <c r="I850">
        <v>40</v>
      </c>
      <c r="J850">
        <v>7.3486844293626197</v>
      </c>
      <c r="K850" t="b">
        <f t="shared" si="52"/>
        <v>1</v>
      </c>
      <c r="L850">
        <f t="shared" si="53"/>
        <v>272.51988694599231</v>
      </c>
      <c r="M850">
        <f t="shared" si="54"/>
        <v>1090.0795477839692</v>
      </c>
      <c r="N850">
        <f t="shared" si="55"/>
        <v>1332.0772073920105</v>
      </c>
    </row>
    <row r="851" spans="1:14" x14ac:dyDescent="0.35">
      <c r="A851" t="s">
        <v>49</v>
      </c>
      <c r="B851">
        <v>22</v>
      </c>
      <c r="C851" t="s">
        <v>50</v>
      </c>
      <c r="D851">
        <v>41</v>
      </c>
      <c r="E851">
        <v>242.21688360701299</v>
      </c>
      <c r="F851">
        <v>31.095919687210898</v>
      </c>
      <c r="G851" t="s">
        <v>49</v>
      </c>
      <c r="H851">
        <v>22</v>
      </c>
      <c r="I851">
        <v>41</v>
      </c>
      <c r="J851">
        <v>7.5796773691043002</v>
      </c>
      <c r="K851" t="b">
        <f t="shared" si="52"/>
        <v>1</v>
      </c>
      <c r="L851">
        <f t="shared" si="53"/>
        <v>280.89248066332817</v>
      </c>
      <c r="M851">
        <f t="shared" si="54"/>
        <v>1123.5699226533127</v>
      </c>
      <c r="N851">
        <f t="shared" si="55"/>
        <v>1373.0024454823481</v>
      </c>
    </row>
    <row r="852" spans="1:14" x14ac:dyDescent="0.35">
      <c r="A852" t="s">
        <v>49</v>
      </c>
      <c r="B852">
        <v>22</v>
      </c>
      <c r="C852" t="s">
        <v>50</v>
      </c>
      <c r="D852">
        <v>42</v>
      </c>
      <c r="E852">
        <v>248.70124832874501</v>
      </c>
      <c r="F852">
        <v>32.725327364203999</v>
      </c>
      <c r="G852" t="s">
        <v>49</v>
      </c>
      <c r="H852">
        <v>22</v>
      </c>
      <c r="I852">
        <v>42</v>
      </c>
      <c r="J852">
        <v>7.8072892144765502</v>
      </c>
      <c r="K852" t="b">
        <f t="shared" si="52"/>
        <v>1</v>
      </c>
      <c r="L852">
        <f t="shared" si="53"/>
        <v>289.23386490742558</v>
      </c>
      <c r="M852">
        <f t="shared" si="54"/>
        <v>1156.9354596297023</v>
      </c>
      <c r="N852">
        <f t="shared" si="55"/>
        <v>1413.7751316674962</v>
      </c>
    </row>
    <row r="853" spans="1:14" x14ac:dyDescent="0.35">
      <c r="A853" t="s">
        <v>49</v>
      </c>
      <c r="B853">
        <v>22</v>
      </c>
      <c r="C853" t="s">
        <v>50</v>
      </c>
      <c r="D853">
        <v>43</v>
      </c>
      <c r="E853">
        <v>255.136491182192</v>
      </c>
      <c r="F853">
        <v>34.373898231476097</v>
      </c>
      <c r="G853" t="s">
        <v>49</v>
      </c>
      <c r="H853">
        <v>22</v>
      </c>
      <c r="I853">
        <v>43</v>
      </c>
      <c r="J853">
        <v>8.0320336524125295</v>
      </c>
      <c r="K853" t="b">
        <f t="shared" si="52"/>
        <v>1</v>
      </c>
      <c r="L853">
        <f t="shared" si="53"/>
        <v>297.54242306608063</v>
      </c>
      <c r="M853">
        <f t="shared" si="54"/>
        <v>1190.1696922643225</v>
      </c>
      <c r="N853">
        <f t="shared" si="55"/>
        <v>1454.3873639470021</v>
      </c>
    </row>
    <row r="854" spans="1:14" x14ac:dyDescent="0.35">
      <c r="A854" t="s">
        <v>49</v>
      </c>
      <c r="B854">
        <v>22</v>
      </c>
      <c r="C854" t="s">
        <v>50</v>
      </c>
      <c r="D854">
        <v>44</v>
      </c>
      <c r="E854">
        <v>260.70952573220097</v>
      </c>
      <c r="F854">
        <v>35.883240572796197</v>
      </c>
      <c r="G854" t="s">
        <v>49</v>
      </c>
      <c r="H854">
        <v>22</v>
      </c>
      <c r="I854">
        <v>44</v>
      </c>
      <c r="J854">
        <v>8.24495335101855</v>
      </c>
      <c r="K854" t="b">
        <f t="shared" si="52"/>
        <v>1</v>
      </c>
      <c r="L854">
        <f t="shared" si="53"/>
        <v>304.83771965601568</v>
      </c>
      <c r="M854">
        <f t="shared" si="54"/>
        <v>1219.3508786240627</v>
      </c>
      <c r="N854">
        <f t="shared" si="55"/>
        <v>1490.0467736786045</v>
      </c>
    </row>
    <row r="855" spans="1:14" x14ac:dyDescent="0.35">
      <c r="A855" t="s">
        <v>49</v>
      </c>
      <c r="B855">
        <v>22</v>
      </c>
      <c r="C855" t="s">
        <v>50</v>
      </c>
      <c r="D855">
        <v>45</v>
      </c>
      <c r="E855">
        <v>266.33190751341601</v>
      </c>
      <c r="F855">
        <v>37.3253941680656</v>
      </c>
      <c r="G855" t="s">
        <v>49</v>
      </c>
      <c r="H855">
        <v>22</v>
      </c>
      <c r="I855">
        <v>45</v>
      </c>
      <c r="J855">
        <v>8.45085988695363</v>
      </c>
      <c r="K855" t="b">
        <f t="shared" si="52"/>
        <v>1</v>
      </c>
      <c r="L855">
        <f t="shared" si="53"/>
        <v>312.10816156843526</v>
      </c>
      <c r="M855">
        <f t="shared" si="54"/>
        <v>1248.4326462737411</v>
      </c>
      <c r="N855">
        <f t="shared" si="55"/>
        <v>1525.5846937465114</v>
      </c>
    </row>
    <row r="856" spans="1:14" x14ac:dyDescent="0.35">
      <c r="A856" t="s">
        <v>49</v>
      </c>
      <c r="B856">
        <v>22</v>
      </c>
      <c r="C856" t="s">
        <v>50</v>
      </c>
      <c r="D856">
        <v>46</v>
      </c>
      <c r="E856">
        <v>271.96094651915098</v>
      </c>
      <c r="F856">
        <v>38.741268395363903</v>
      </c>
      <c r="G856" t="s">
        <v>49</v>
      </c>
      <c r="H856">
        <v>22</v>
      </c>
      <c r="I856">
        <v>46</v>
      </c>
      <c r="J856">
        <v>8.6522221456306792</v>
      </c>
      <c r="K856" t="b">
        <f t="shared" si="52"/>
        <v>1</v>
      </c>
      <c r="L856">
        <f t="shared" si="53"/>
        <v>319.35443706014559</v>
      </c>
      <c r="M856">
        <f t="shared" si="54"/>
        <v>1277.4177482405823</v>
      </c>
      <c r="N856">
        <f t="shared" si="55"/>
        <v>1561.0044883499916</v>
      </c>
    </row>
    <row r="857" spans="1:14" x14ac:dyDescent="0.35">
      <c r="A857" t="s">
        <v>49</v>
      </c>
      <c r="B857">
        <v>22</v>
      </c>
      <c r="C857" t="s">
        <v>50</v>
      </c>
      <c r="D857">
        <v>47</v>
      </c>
      <c r="E857">
        <v>277.57204298371801</v>
      </c>
      <c r="F857">
        <v>40.1538104821052</v>
      </c>
      <c r="G857" t="s">
        <v>49</v>
      </c>
      <c r="H857">
        <v>22</v>
      </c>
      <c r="I857">
        <v>47</v>
      </c>
      <c r="J857">
        <v>8.8503060497651607</v>
      </c>
      <c r="K857" t="b">
        <f t="shared" si="52"/>
        <v>1</v>
      </c>
      <c r="L857">
        <f t="shared" si="53"/>
        <v>326.57615951558836</v>
      </c>
      <c r="M857">
        <f t="shared" si="54"/>
        <v>1306.3046380623534</v>
      </c>
      <c r="N857">
        <f t="shared" si="55"/>
        <v>1596.304267712196</v>
      </c>
    </row>
    <row r="858" spans="1:14" x14ac:dyDescent="0.35">
      <c r="A858" t="s">
        <v>49</v>
      </c>
      <c r="B858">
        <v>22</v>
      </c>
      <c r="C858" t="s">
        <v>50</v>
      </c>
      <c r="D858">
        <v>48</v>
      </c>
      <c r="E858">
        <v>283.151025544167</v>
      </c>
      <c r="F858">
        <v>41.575639161199</v>
      </c>
      <c r="G858" t="s">
        <v>49</v>
      </c>
      <c r="H858">
        <v>22</v>
      </c>
      <c r="I858">
        <v>48</v>
      </c>
      <c r="J858">
        <v>9.0457644112611995</v>
      </c>
      <c r="K858" t="b">
        <f t="shared" si="52"/>
        <v>1</v>
      </c>
      <c r="L858">
        <f t="shared" si="53"/>
        <v>333.77242911662717</v>
      </c>
      <c r="M858">
        <f t="shared" si="54"/>
        <v>1335.0897164665087</v>
      </c>
      <c r="N858">
        <f t="shared" si="55"/>
        <v>1631.4796335220735</v>
      </c>
    </row>
    <row r="859" spans="1:14" x14ac:dyDescent="0.35">
      <c r="A859" t="s">
        <v>49</v>
      </c>
      <c r="B859">
        <v>22</v>
      </c>
      <c r="C859" t="s">
        <v>50</v>
      </c>
      <c r="D859">
        <v>49</v>
      </c>
      <c r="E859">
        <v>287.96167003950802</v>
      </c>
      <c r="F859">
        <v>42.897636853827997</v>
      </c>
      <c r="G859" t="s">
        <v>49</v>
      </c>
      <c r="H859">
        <v>22</v>
      </c>
      <c r="I859">
        <v>49</v>
      </c>
      <c r="J859">
        <v>9.2306122944342093</v>
      </c>
      <c r="K859" t="b">
        <f t="shared" si="52"/>
        <v>1</v>
      </c>
      <c r="L859">
        <f t="shared" si="53"/>
        <v>340.08991918777019</v>
      </c>
      <c r="M859">
        <f t="shared" si="54"/>
        <v>1360.3596767510808</v>
      </c>
      <c r="N859">
        <f t="shared" si="55"/>
        <v>1662.3595249898206</v>
      </c>
    </row>
    <row r="860" spans="1:14" x14ac:dyDescent="0.35">
      <c r="A860" t="s">
        <v>49</v>
      </c>
      <c r="B860">
        <v>22</v>
      </c>
      <c r="C860" t="s">
        <v>50</v>
      </c>
      <c r="D860">
        <v>50</v>
      </c>
      <c r="E860">
        <v>292.80403612609399</v>
      </c>
      <c r="F860">
        <v>44.172292060580503</v>
      </c>
      <c r="G860" t="s">
        <v>49</v>
      </c>
      <c r="H860">
        <v>22</v>
      </c>
      <c r="I860">
        <v>50</v>
      </c>
      <c r="J860">
        <v>9.4090029873922791</v>
      </c>
      <c r="K860" t="b">
        <f t="shared" si="52"/>
        <v>1</v>
      </c>
      <c r="L860">
        <f t="shared" si="53"/>
        <v>346.38533117406678</v>
      </c>
      <c r="M860">
        <f t="shared" si="54"/>
        <v>1385.5413246962671</v>
      </c>
      <c r="N860">
        <f t="shared" si="55"/>
        <v>1693.1314987788385</v>
      </c>
    </row>
    <row r="861" spans="1:14" x14ac:dyDescent="0.35">
      <c r="A861" t="s">
        <v>49</v>
      </c>
      <c r="B861">
        <v>22</v>
      </c>
      <c r="C861" t="s">
        <v>50</v>
      </c>
      <c r="D861">
        <v>51</v>
      </c>
      <c r="E861">
        <v>297.64722696005998</v>
      </c>
      <c r="F861">
        <v>45.429079271931897</v>
      </c>
      <c r="G861" t="s">
        <v>49</v>
      </c>
      <c r="H861">
        <v>22</v>
      </c>
      <c r="I861">
        <v>51</v>
      </c>
      <c r="J861">
        <v>9.5831391076061703</v>
      </c>
      <c r="K861" t="b">
        <f t="shared" si="52"/>
        <v>1</v>
      </c>
      <c r="L861">
        <f t="shared" si="53"/>
        <v>352.65944533959805</v>
      </c>
      <c r="M861">
        <f t="shared" si="54"/>
        <v>1410.6377813583922</v>
      </c>
      <c r="N861">
        <f t="shared" si="55"/>
        <v>1723.7993688199551</v>
      </c>
    </row>
    <row r="862" spans="1:14" x14ac:dyDescent="0.35">
      <c r="A862" t="s">
        <v>49</v>
      </c>
      <c r="B862">
        <v>22</v>
      </c>
      <c r="C862" t="s">
        <v>50</v>
      </c>
      <c r="D862">
        <v>52</v>
      </c>
      <c r="E862">
        <v>302.47359238590798</v>
      </c>
      <c r="F862">
        <v>46.684344671514999</v>
      </c>
      <c r="G862" t="s">
        <v>49</v>
      </c>
      <c r="H862">
        <v>22</v>
      </c>
      <c r="I862">
        <v>52</v>
      </c>
      <c r="J862">
        <v>9.7542018091302598</v>
      </c>
      <c r="K862" t="b">
        <f t="shared" si="52"/>
        <v>1</v>
      </c>
      <c r="L862">
        <f t="shared" si="53"/>
        <v>358.91213886655328</v>
      </c>
      <c r="M862">
        <f t="shared" si="54"/>
        <v>1435.6485554662131</v>
      </c>
      <c r="N862">
        <f t="shared" si="55"/>
        <v>1754.3625347797124</v>
      </c>
    </row>
    <row r="863" spans="1:14" x14ac:dyDescent="0.35">
      <c r="A863" t="s">
        <v>49</v>
      </c>
      <c r="B863">
        <v>22</v>
      </c>
      <c r="C863" t="s">
        <v>50</v>
      </c>
      <c r="D863">
        <v>53</v>
      </c>
      <c r="E863">
        <v>307.273043332219</v>
      </c>
      <c r="F863">
        <v>47.946961163395699</v>
      </c>
      <c r="G863" t="s">
        <v>49</v>
      </c>
      <c r="H863">
        <v>22</v>
      </c>
      <c r="I863">
        <v>53</v>
      </c>
      <c r="J863">
        <v>9.9228371432348297</v>
      </c>
      <c r="K863" t="b">
        <f t="shared" si="52"/>
        <v>1</v>
      </c>
      <c r="L863">
        <f t="shared" si="53"/>
        <v>365.14284163884952</v>
      </c>
      <c r="M863">
        <f t="shared" si="54"/>
        <v>1460.5713665553981</v>
      </c>
      <c r="N863">
        <f t="shared" si="55"/>
        <v>1784.8182099306964</v>
      </c>
    </row>
    <row r="864" spans="1:14" x14ac:dyDescent="0.35">
      <c r="A864" t="s">
        <v>49</v>
      </c>
      <c r="B864">
        <v>22</v>
      </c>
      <c r="C864" t="s">
        <v>50</v>
      </c>
      <c r="D864">
        <v>54</v>
      </c>
      <c r="E864">
        <v>311.43190309143898</v>
      </c>
      <c r="F864">
        <v>49.095145694623803</v>
      </c>
      <c r="G864" t="s">
        <v>49</v>
      </c>
      <c r="H864">
        <v>22</v>
      </c>
      <c r="I864">
        <v>54</v>
      </c>
      <c r="J864">
        <v>10.0824566838533</v>
      </c>
      <c r="K864" t="b">
        <f t="shared" si="52"/>
        <v>1</v>
      </c>
      <c r="L864">
        <f t="shared" si="53"/>
        <v>370.60950546991609</v>
      </c>
      <c r="M864">
        <f t="shared" si="54"/>
        <v>1482.4380218796643</v>
      </c>
      <c r="N864">
        <f t="shared" si="55"/>
        <v>1811.5392627369497</v>
      </c>
    </row>
    <row r="865" spans="1:14" x14ac:dyDescent="0.35">
      <c r="A865" t="s">
        <v>49</v>
      </c>
      <c r="B865">
        <v>22</v>
      </c>
      <c r="C865" t="s">
        <v>50</v>
      </c>
      <c r="D865">
        <v>55</v>
      </c>
      <c r="E865">
        <v>315.63849642438203</v>
      </c>
      <c r="F865">
        <v>50.185791762507002</v>
      </c>
      <c r="G865" t="s">
        <v>49</v>
      </c>
      <c r="H865">
        <v>22</v>
      </c>
      <c r="I865">
        <v>55</v>
      </c>
      <c r="J865">
        <v>10.2368132738555</v>
      </c>
      <c r="K865" t="b">
        <f t="shared" si="52"/>
        <v>1</v>
      </c>
      <c r="L865">
        <f t="shared" si="53"/>
        <v>376.06110146074451</v>
      </c>
      <c r="M865">
        <f t="shared" si="54"/>
        <v>1504.244405842978</v>
      </c>
      <c r="N865">
        <f t="shared" si="55"/>
        <v>1838.1866639401192</v>
      </c>
    </row>
    <row r="866" spans="1:14" x14ac:dyDescent="0.35">
      <c r="A866" t="s">
        <v>49</v>
      </c>
      <c r="B866">
        <v>22</v>
      </c>
      <c r="C866" t="s">
        <v>50</v>
      </c>
      <c r="D866">
        <v>56</v>
      </c>
      <c r="E866">
        <v>319.85976190050798</v>
      </c>
      <c r="F866">
        <v>51.250753739332303</v>
      </c>
      <c r="G866" t="s">
        <v>49</v>
      </c>
      <c r="H866">
        <v>22</v>
      </c>
      <c r="I866">
        <v>56</v>
      </c>
      <c r="J866">
        <v>10.3878452439134</v>
      </c>
      <c r="K866" t="b">
        <f t="shared" si="52"/>
        <v>1</v>
      </c>
      <c r="L866">
        <f t="shared" si="53"/>
        <v>381.49836088375366</v>
      </c>
      <c r="M866">
        <f t="shared" si="54"/>
        <v>1525.9934435350146</v>
      </c>
      <c r="N866">
        <f t="shared" si="55"/>
        <v>1864.7639879997878</v>
      </c>
    </row>
    <row r="867" spans="1:14" x14ac:dyDescent="0.35">
      <c r="A867" t="s">
        <v>49</v>
      </c>
      <c r="B867">
        <v>22</v>
      </c>
      <c r="C867" t="s">
        <v>50</v>
      </c>
      <c r="D867">
        <v>57</v>
      </c>
      <c r="E867">
        <v>324.07696119352602</v>
      </c>
      <c r="F867">
        <v>52.307695720569697</v>
      </c>
      <c r="G867" t="s">
        <v>49</v>
      </c>
      <c r="H867">
        <v>22</v>
      </c>
      <c r="I867">
        <v>57</v>
      </c>
      <c r="J867">
        <v>10.5365602773023</v>
      </c>
      <c r="K867" t="b">
        <f t="shared" si="52"/>
        <v>1</v>
      </c>
      <c r="L867">
        <f t="shared" si="53"/>
        <v>386.921217191398</v>
      </c>
      <c r="M867">
        <f t="shared" si="54"/>
        <v>1547.684868765592</v>
      </c>
      <c r="N867">
        <f t="shared" si="55"/>
        <v>1891.2709096315534</v>
      </c>
    </row>
    <row r="868" spans="1:14" x14ac:dyDescent="0.35">
      <c r="A868" t="s">
        <v>49</v>
      </c>
      <c r="B868">
        <v>22</v>
      </c>
      <c r="C868" t="s">
        <v>50</v>
      </c>
      <c r="D868">
        <v>58</v>
      </c>
      <c r="E868">
        <v>328.27947837967099</v>
      </c>
      <c r="F868">
        <v>53.366252681869</v>
      </c>
      <c r="G868" t="s">
        <v>49</v>
      </c>
      <c r="H868">
        <v>22</v>
      </c>
      <c r="I868">
        <v>58</v>
      </c>
      <c r="J868">
        <v>10.683490611026601</v>
      </c>
      <c r="K868" t="b">
        <f t="shared" si="52"/>
        <v>1</v>
      </c>
      <c r="L868">
        <f t="shared" si="53"/>
        <v>392.32922167256663</v>
      </c>
      <c r="M868">
        <f t="shared" si="54"/>
        <v>1569.3168866902665</v>
      </c>
      <c r="N868">
        <f t="shared" si="55"/>
        <v>1917.7052355355056</v>
      </c>
    </row>
    <row r="869" spans="1:14" x14ac:dyDescent="0.35">
      <c r="A869" t="s">
        <v>49</v>
      </c>
      <c r="B869">
        <v>22</v>
      </c>
      <c r="C869" t="s">
        <v>50</v>
      </c>
      <c r="D869">
        <v>59</v>
      </c>
      <c r="E869">
        <v>331.85287991901203</v>
      </c>
      <c r="F869">
        <v>54.353322008048302</v>
      </c>
      <c r="G869" t="s">
        <v>49</v>
      </c>
      <c r="H869">
        <v>22</v>
      </c>
      <c r="I869">
        <v>59</v>
      </c>
      <c r="J869">
        <v>10.8219669352825</v>
      </c>
      <c r="K869" t="b">
        <f t="shared" si="52"/>
        <v>1</v>
      </c>
      <c r="L869">
        <f t="shared" si="53"/>
        <v>397.0281688623428</v>
      </c>
      <c r="M869">
        <f t="shared" si="54"/>
        <v>1588.1126754493712</v>
      </c>
      <c r="N869">
        <f t="shared" si="55"/>
        <v>1940.6736893991315</v>
      </c>
    </row>
    <row r="870" spans="1:14" x14ac:dyDescent="0.35">
      <c r="A870" t="s">
        <v>49</v>
      </c>
      <c r="B870">
        <v>22</v>
      </c>
      <c r="C870" t="s">
        <v>50</v>
      </c>
      <c r="D870">
        <v>60</v>
      </c>
      <c r="E870">
        <v>335.45209657567</v>
      </c>
      <c r="F870">
        <v>55.305705333021599</v>
      </c>
      <c r="G870" t="s">
        <v>49</v>
      </c>
      <c r="H870">
        <v>22</v>
      </c>
      <c r="I870">
        <v>60</v>
      </c>
      <c r="J870">
        <v>10.9553077695727</v>
      </c>
      <c r="K870" t="b">
        <f t="shared" si="52"/>
        <v>1</v>
      </c>
      <c r="L870">
        <f t="shared" si="53"/>
        <v>401.71310967826429</v>
      </c>
      <c r="M870">
        <f t="shared" si="54"/>
        <v>1606.8524387130572</v>
      </c>
      <c r="N870">
        <f t="shared" si="55"/>
        <v>1963.5736801073558</v>
      </c>
    </row>
    <row r="871" spans="1:14" x14ac:dyDescent="0.35">
      <c r="A871" t="s">
        <v>49</v>
      </c>
      <c r="B871">
        <v>22</v>
      </c>
      <c r="C871" t="s">
        <v>50</v>
      </c>
      <c r="D871">
        <v>61</v>
      </c>
      <c r="E871">
        <v>339.055705769589</v>
      </c>
      <c r="F871">
        <v>56.243841950069999</v>
      </c>
      <c r="G871" t="s">
        <v>49</v>
      </c>
      <c r="H871">
        <v>22</v>
      </c>
      <c r="I871">
        <v>61</v>
      </c>
      <c r="J871">
        <v>11.0853096021144</v>
      </c>
      <c r="K871" t="b">
        <f t="shared" si="52"/>
        <v>1</v>
      </c>
      <c r="L871">
        <f t="shared" si="53"/>
        <v>406.38485732177344</v>
      </c>
      <c r="M871">
        <f t="shared" si="54"/>
        <v>1625.5394292870938</v>
      </c>
      <c r="N871">
        <f t="shared" si="55"/>
        <v>1986.4091825888286</v>
      </c>
    </row>
    <row r="872" spans="1:14" x14ac:dyDescent="0.35">
      <c r="A872" t="s">
        <v>49</v>
      </c>
      <c r="B872">
        <v>22</v>
      </c>
      <c r="C872" t="s">
        <v>50</v>
      </c>
      <c r="D872">
        <v>62</v>
      </c>
      <c r="E872">
        <v>342.65160998067398</v>
      </c>
      <c r="F872">
        <v>57.1789481212205</v>
      </c>
      <c r="G872" t="s">
        <v>49</v>
      </c>
      <c r="H872">
        <v>22</v>
      </c>
      <c r="I872">
        <v>62</v>
      </c>
      <c r="J872">
        <v>11.2129615737249</v>
      </c>
      <c r="K872" t="b">
        <f t="shared" si="52"/>
        <v>1</v>
      </c>
      <c r="L872">
        <f t="shared" si="53"/>
        <v>411.04351967561939</v>
      </c>
      <c r="M872">
        <f t="shared" si="54"/>
        <v>1644.1740787024776</v>
      </c>
      <c r="N872">
        <f t="shared" si="55"/>
        <v>2009.1807241744275</v>
      </c>
    </row>
    <row r="873" spans="1:14" x14ac:dyDescent="0.35">
      <c r="A873" t="s">
        <v>49</v>
      </c>
      <c r="B873">
        <v>22</v>
      </c>
      <c r="C873" t="s">
        <v>50</v>
      </c>
      <c r="D873">
        <v>63</v>
      </c>
      <c r="E873">
        <v>346.23297543302101</v>
      </c>
      <c r="F873">
        <v>58.117049034008602</v>
      </c>
      <c r="G873" t="s">
        <v>49</v>
      </c>
      <c r="H873">
        <v>22</v>
      </c>
      <c r="I873">
        <v>63</v>
      </c>
      <c r="J873">
        <v>11.338822409019899</v>
      </c>
      <c r="K873" t="b">
        <f t="shared" si="52"/>
        <v>1</v>
      </c>
      <c r="L873">
        <f t="shared" si="53"/>
        <v>415.68884687604947</v>
      </c>
      <c r="M873">
        <f t="shared" si="54"/>
        <v>1662.7553875041979</v>
      </c>
      <c r="N873">
        <f t="shared" si="55"/>
        <v>2031.8870835301298</v>
      </c>
    </row>
    <row r="874" spans="1:14" x14ac:dyDescent="0.35">
      <c r="A874" t="s">
        <v>49</v>
      </c>
      <c r="B874">
        <v>22</v>
      </c>
      <c r="C874" t="s">
        <v>50</v>
      </c>
      <c r="D874">
        <v>64</v>
      </c>
      <c r="E874">
        <v>349.290869169475</v>
      </c>
      <c r="F874">
        <v>58.918320637010403</v>
      </c>
      <c r="G874" t="s">
        <v>49</v>
      </c>
      <c r="H874">
        <v>22</v>
      </c>
      <c r="I874">
        <v>64</v>
      </c>
      <c r="J874">
        <v>11.457442276616799</v>
      </c>
      <c r="K874" t="b">
        <f t="shared" si="52"/>
        <v>1</v>
      </c>
      <c r="L874">
        <f t="shared" si="53"/>
        <v>419.66663208310223</v>
      </c>
      <c r="M874">
        <f t="shared" si="54"/>
        <v>1678.6665283324089</v>
      </c>
      <c r="N874">
        <f t="shared" si="55"/>
        <v>2051.3304976222034</v>
      </c>
    </row>
    <row r="875" spans="1:14" x14ac:dyDescent="0.35">
      <c r="A875" t="s">
        <v>49</v>
      </c>
      <c r="B875">
        <v>22</v>
      </c>
      <c r="C875" t="s">
        <v>50</v>
      </c>
      <c r="D875">
        <v>65</v>
      </c>
      <c r="E875">
        <v>352.42148136724899</v>
      </c>
      <c r="F875">
        <v>59.648239227092098</v>
      </c>
      <c r="G875" t="s">
        <v>49</v>
      </c>
      <c r="H875">
        <v>22</v>
      </c>
      <c r="I875">
        <v>65</v>
      </c>
      <c r="J875">
        <v>11.572232217050001</v>
      </c>
      <c r="K875" t="b">
        <f t="shared" si="52"/>
        <v>1</v>
      </c>
      <c r="L875">
        <f t="shared" si="53"/>
        <v>423.64195281139109</v>
      </c>
      <c r="M875">
        <f t="shared" si="54"/>
        <v>1694.5678112455644</v>
      </c>
      <c r="N875">
        <f t="shared" si="55"/>
        <v>2070.7618653420795</v>
      </c>
    </row>
    <row r="876" spans="1:14" x14ac:dyDescent="0.35">
      <c r="A876" t="s">
        <v>49</v>
      </c>
      <c r="B876">
        <v>22</v>
      </c>
      <c r="C876" t="s">
        <v>50</v>
      </c>
      <c r="D876">
        <v>66</v>
      </c>
      <c r="E876">
        <v>355.58723153726697</v>
      </c>
      <c r="F876">
        <v>60.343304925633298</v>
      </c>
      <c r="G876" t="s">
        <v>49</v>
      </c>
      <c r="H876">
        <v>22</v>
      </c>
      <c r="I876">
        <v>66</v>
      </c>
      <c r="J876">
        <v>11.684871456019</v>
      </c>
      <c r="K876" t="b">
        <f t="shared" si="52"/>
        <v>1</v>
      </c>
      <c r="L876">
        <f t="shared" si="53"/>
        <v>427.61540791891923</v>
      </c>
      <c r="M876">
        <f t="shared" si="54"/>
        <v>1710.4616316756769</v>
      </c>
      <c r="N876">
        <f t="shared" si="55"/>
        <v>2090.1841139076773</v>
      </c>
    </row>
    <row r="877" spans="1:14" x14ac:dyDescent="0.35">
      <c r="A877" t="s">
        <v>49</v>
      </c>
      <c r="B877">
        <v>22</v>
      </c>
      <c r="C877" t="s">
        <v>50</v>
      </c>
      <c r="D877">
        <v>67</v>
      </c>
      <c r="E877">
        <v>358.76699146203799</v>
      </c>
      <c r="F877">
        <v>61.023727086897701</v>
      </c>
      <c r="G877" t="s">
        <v>49</v>
      </c>
      <c r="H877">
        <v>22</v>
      </c>
      <c r="I877">
        <v>67</v>
      </c>
      <c r="J877">
        <v>11.796179684103301</v>
      </c>
      <c r="K877" t="b">
        <f t="shared" si="52"/>
        <v>1</v>
      </c>
      <c r="L877">
        <f t="shared" si="53"/>
        <v>431.58689823303899</v>
      </c>
      <c r="M877">
        <f t="shared" si="54"/>
        <v>1726.347592932156</v>
      </c>
      <c r="N877">
        <f t="shared" si="55"/>
        <v>2109.5967585630947</v>
      </c>
    </row>
    <row r="878" spans="1:14" x14ac:dyDescent="0.35">
      <c r="A878" t="s">
        <v>49</v>
      </c>
      <c r="B878">
        <v>22</v>
      </c>
      <c r="C878" t="s">
        <v>50</v>
      </c>
      <c r="D878">
        <v>68</v>
      </c>
      <c r="E878">
        <v>361.94889039416603</v>
      </c>
      <c r="F878">
        <v>61.700564736842601</v>
      </c>
      <c r="G878" t="s">
        <v>49</v>
      </c>
      <c r="H878">
        <v>22</v>
      </c>
      <c r="I878">
        <v>68</v>
      </c>
      <c r="J878">
        <v>11.906555832462301</v>
      </c>
      <c r="K878" t="b">
        <f t="shared" si="52"/>
        <v>1</v>
      </c>
      <c r="L878">
        <f t="shared" si="53"/>
        <v>435.5560109634709</v>
      </c>
      <c r="M878">
        <f t="shared" si="54"/>
        <v>1742.2240438538836</v>
      </c>
      <c r="N878">
        <f t="shared" si="55"/>
        <v>2128.9977815894458</v>
      </c>
    </row>
    <row r="879" spans="1:14" x14ac:dyDescent="0.35">
      <c r="A879" t="s">
        <v>49</v>
      </c>
      <c r="B879">
        <v>22</v>
      </c>
      <c r="C879" t="s">
        <v>50</v>
      </c>
      <c r="D879">
        <v>69</v>
      </c>
      <c r="E879">
        <v>364.64916719367898</v>
      </c>
      <c r="F879">
        <v>62.323526022476599</v>
      </c>
      <c r="G879" t="s">
        <v>49</v>
      </c>
      <c r="H879">
        <v>22</v>
      </c>
      <c r="I879">
        <v>69</v>
      </c>
      <c r="J879">
        <v>12.0107390813968</v>
      </c>
      <c r="K879" t="b">
        <f t="shared" si="52"/>
        <v>1</v>
      </c>
      <c r="L879">
        <f t="shared" si="53"/>
        <v>438.98343229755238</v>
      </c>
      <c r="M879">
        <f t="shared" si="54"/>
        <v>1755.9337291902095</v>
      </c>
      <c r="N879">
        <f t="shared" si="55"/>
        <v>2145.7510170704359</v>
      </c>
    </row>
    <row r="880" spans="1:14" x14ac:dyDescent="0.35">
      <c r="A880" t="s">
        <v>49</v>
      </c>
      <c r="B880">
        <v>22</v>
      </c>
      <c r="C880" t="s">
        <v>50</v>
      </c>
      <c r="D880">
        <v>70</v>
      </c>
      <c r="E880">
        <v>367.37608383379802</v>
      </c>
      <c r="F880">
        <v>62.920947095135503</v>
      </c>
      <c r="G880" t="s">
        <v>49</v>
      </c>
      <c r="H880">
        <v>22</v>
      </c>
      <c r="I880">
        <v>70</v>
      </c>
      <c r="J880">
        <v>12.111253337336001</v>
      </c>
      <c r="K880" t="b">
        <f t="shared" si="52"/>
        <v>1</v>
      </c>
      <c r="L880">
        <f t="shared" si="53"/>
        <v>442.4082842662695</v>
      </c>
      <c r="M880">
        <f t="shared" si="54"/>
        <v>1769.633137065078</v>
      </c>
      <c r="N880">
        <f t="shared" si="55"/>
        <v>2162.4916934935254</v>
      </c>
    </row>
    <row r="881" spans="1:14" x14ac:dyDescent="0.35">
      <c r="A881" t="s">
        <v>49</v>
      </c>
      <c r="B881">
        <v>22</v>
      </c>
      <c r="C881" t="s">
        <v>50</v>
      </c>
      <c r="D881">
        <v>71</v>
      </c>
      <c r="E881">
        <v>370.11318878035797</v>
      </c>
      <c r="F881">
        <v>63.508444023981902</v>
      </c>
      <c r="G881" t="s">
        <v>49</v>
      </c>
      <c r="H881">
        <v>22</v>
      </c>
      <c r="I881">
        <v>71</v>
      </c>
      <c r="J881">
        <v>12.209463103045699</v>
      </c>
      <c r="K881" t="b">
        <f t="shared" si="52"/>
        <v>1</v>
      </c>
      <c r="L881">
        <f t="shared" si="53"/>
        <v>445.83109590738559</v>
      </c>
      <c r="M881">
        <f t="shared" si="54"/>
        <v>1783.3243836295424</v>
      </c>
      <c r="N881">
        <f t="shared" si="55"/>
        <v>2179.2223967953009</v>
      </c>
    </row>
    <row r="882" spans="1:14" x14ac:dyDescent="0.35">
      <c r="A882" t="s">
        <v>49</v>
      </c>
      <c r="B882">
        <v>22</v>
      </c>
      <c r="C882" t="s">
        <v>50</v>
      </c>
      <c r="D882">
        <v>72</v>
      </c>
      <c r="E882">
        <v>372.85124883864398</v>
      </c>
      <c r="F882">
        <v>64.094506096692697</v>
      </c>
      <c r="G882" t="s">
        <v>49</v>
      </c>
      <c r="H882">
        <v>22</v>
      </c>
      <c r="I882">
        <v>72</v>
      </c>
      <c r="J882">
        <v>12.306119151842999</v>
      </c>
      <c r="K882" t="b">
        <f t="shared" si="52"/>
        <v>1</v>
      </c>
      <c r="L882">
        <f t="shared" si="53"/>
        <v>449.25187408717971</v>
      </c>
      <c r="M882">
        <f t="shared" si="54"/>
        <v>1797.0074963487189</v>
      </c>
      <c r="N882">
        <f t="shared" si="55"/>
        <v>2195.9431605381342</v>
      </c>
    </row>
    <row r="883" spans="1:14" x14ac:dyDescent="0.35">
      <c r="A883" t="s">
        <v>49</v>
      </c>
      <c r="B883">
        <v>22</v>
      </c>
      <c r="C883" t="s">
        <v>50</v>
      </c>
      <c r="D883">
        <v>73</v>
      </c>
      <c r="E883">
        <v>375.585083122132</v>
      </c>
      <c r="F883">
        <v>64.683635860873295</v>
      </c>
      <c r="G883" t="s">
        <v>49</v>
      </c>
      <c r="H883">
        <v>22</v>
      </c>
      <c r="I883">
        <v>73</v>
      </c>
      <c r="J883">
        <v>12.401645636510599</v>
      </c>
      <c r="K883" t="b">
        <f t="shared" si="52"/>
        <v>1</v>
      </c>
      <c r="L883">
        <f t="shared" si="53"/>
        <v>452.67036461951591</v>
      </c>
      <c r="M883">
        <f t="shared" si="54"/>
        <v>1810.6814584780636</v>
      </c>
      <c r="N883">
        <f t="shared" si="55"/>
        <v>2212.6527422601939</v>
      </c>
    </row>
    <row r="884" spans="1:14" x14ac:dyDescent="0.35">
      <c r="A884" t="s">
        <v>49</v>
      </c>
      <c r="B884">
        <v>22</v>
      </c>
      <c r="C884" t="s">
        <v>50</v>
      </c>
      <c r="D884">
        <v>74</v>
      </c>
      <c r="E884">
        <v>377.91906832424502</v>
      </c>
      <c r="F884">
        <v>65.258799517892697</v>
      </c>
      <c r="G884" t="s">
        <v>49</v>
      </c>
      <c r="H884">
        <v>22</v>
      </c>
      <c r="I884">
        <v>74</v>
      </c>
      <c r="J884">
        <v>12.4917993250445</v>
      </c>
      <c r="K884" t="b">
        <f t="shared" si="52"/>
        <v>1</v>
      </c>
      <c r="L884">
        <f t="shared" si="53"/>
        <v>455.66966716718224</v>
      </c>
      <c r="M884">
        <f t="shared" si="54"/>
        <v>1822.678668668729</v>
      </c>
      <c r="N884">
        <f t="shared" si="55"/>
        <v>2227.3133331131867</v>
      </c>
    </row>
    <row r="885" spans="1:14" x14ac:dyDescent="0.35">
      <c r="A885" t="s">
        <v>49</v>
      </c>
      <c r="B885">
        <v>22</v>
      </c>
      <c r="C885" t="s">
        <v>50</v>
      </c>
      <c r="D885">
        <v>75</v>
      </c>
      <c r="E885">
        <v>380.25540718904699</v>
      </c>
      <c r="F885">
        <v>65.8292771089056</v>
      </c>
      <c r="G885" t="s">
        <v>49</v>
      </c>
      <c r="H885">
        <v>22</v>
      </c>
      <c r="I885">
        <v>75</v>
      </c>
      <c r="J885">
        <v>12.5785266578053</v>
      </c>
      <c r="K885" t="b">
        <f t="shared" si="52"/>
        <v>1</v>
      </c>
      <c r="L885">
        <f t="shared" si="53"/>
        <v>458.6632109557579</v>
      </c>
      <c r="M885">
        <f t="shared" si="54"/>
        <v>1834.6528438230316</v>
      </c>
      <c r="N885">
        <f t="shared" si="55"/>
        <v>2241.9457751517448</v>
      </c>
    </row>
    <row r="886" spans="1:14" x14ac:dyDescent="0.35">
      <c r="A886" t="s">
        <v>49</v>
      </c>
      <c r="B886">
        <v>22</v>
      </c>
      <c r="C886" t="s">
        <v>50</v>
      </c>
      <c r="D886">
        <v>76</v>
      </c>
      <c r="E886">
        <v>382.58852942130102</v>
      </c>
      <c r="F886">
        <v>66.400049336402105</v>
      </c>
      <c r="G886" t="s">
        <v>49</v>
      </c>
      <c r="H886">
        <v>22</v>
      </c>
      <c r="I886">
        <v>76</v>
      </c>
      <c r="J886">
        <v>12.6629596458226</v>
      </c>
      <c r="K886" t="b">
        <f t="shared" si="52"/>
        <v>1</v>
      </c>
      <c r="L886">
        <f t="shared" si="53"/>
        <v>461.65153840352571</v>
      </c>
      <c r="M886">
        <f t="shared" si="54"/>
        <v>1846.6061536141028</v>
      </c>
      <c r="N886">
        <f t="shared" si="55"/>
        <v>2256.5527197164338</v>
      </c>
    </row>
    <row r="887" spans="1:14" x14ac:dyDescent="0.35">
      <c r="A887" t="s">
        <v>49</v>
      </c>
      <c r="B887">
        <v>22</v>
      </c>
      <c r="C887" t="s">
        <v>50</v>
      </c>
      <c r="D887">
        <v>77</v>
      </c>
      <c r="E887">
        <v>384.91531021454301</v>
      </c>
      <c r="F887">
        <v>66.9736993145833</v>
      </c>
      <c r="G887" t="s">
        <v>49</v>
      </c>
      <c r="H887">
        <v>22</v>
      </c>
      <c r="I887">
        <v>77</v>
      </c>
      <c r="J887">
        <v>12.745771891319899</v>
      </c>
      <c r="K887" t="b">
        <f t="shared" si="52"/>
        <v>1</v>
      </c>
      <c r="L887">
        <f t="shared" si="53"/>
        <v>464.63478142044625</v>
      </c>
      <c r="M887">
        <f t="shared" si="54"/>
        <v>1858.539125681785</v>
      </c>
      <c r="N887">
        <f t="shared" si="55"/>
        <v>2271.1348115831411</v>
      </c>
    </row>
    <row r="888" spans="1:14" x14ac:dyDescent="0.35">
      <c r="A888" t="s">
        <v>49</v>
      </c>
      <c r="B888">
        <v>22</v>
      </c>
      <c r="C888" t="s">
        <v>50</v>
      </c>
      <c r="D888">
        <v>78</v>
      </c>
      <c r="E888">
        <v>387.23399513524498</v>
      </c>
      <c r="F888">
        <v>67.551477707051205</v>
      </c>
      <c r="G888" t="s">
        <v>49</v>
      </c>
      <c r="H888">
        <v>22</v>
      </c>
      <c r="I888">
        <v>78</v>
      </c>
      <c r="J888">
        <v>12.8273754796119</v>
      </c>
      <c r="K888" t="b">
        <f t="shared" si="52"/>
        <v>1</v>
      </c>
      <c r="L888">
        <f t="shared" si="53"/>
        <v>467.61284832190807</v>
      </c>
      <c r="M888">
        <f t="shared" si="54"/>
        <v>1870.4513932876323</v>
      </c>
      <c r="N888">
        <f t="shared" si="55"/>
        <v>2285.6916025974865</v>
      </c>
    </row>
    <row r="889" spans="1:14" x14ac:dyDescent="0.35">
      <c r="A889" t="s">
        <v>49</v>
      </c>
      <c r="B889">
        <v>22</v>
      </c>
      <c r="C889" t="s">
        <v>50</v>
      </c>
      <c r="D889">
        <v>79</v>
      </c>
      <c r="E889">
        <v>389.42545813454097</v>
      </c>
      <c r="F889">
        <v>67.998182097491195</v>
      </c>
      <c r="G889" t="s">
        <v>49</v>
      </c>
      <c r="H889">
        <v>22</v>
      </c>
      <c r="I889">
        <v>79</v>
      </c>
      <c r="J889">
        <v>12.906679369118001</v>
      </c>
      <c r="K889" t="b">
        <f t="shared" si="52"/>
        <v>1</v>
      </c>
      <c r="L889">
        <f t="shared" si="53"/>
        <v>470.33031960115022</v>
      </c>
      <c r="M889">
        <f t="shared" si="54"/>
        <v>1881.3212784046009</v>
      </c>
      <c r="N889">
        <f t="shared" si="55"/>
        <v>2298.9746022104223</v>
      </c>
    </row>
    <row r="890" spans="1:14" x14ac:dyDescent="0.35">
      <c r="A890" t="s">
        <v>49</v>
      </c>
      <c r="B890">
        <v>22</v>
      </c>
      <c r="C890" t="s">
        <v>50</v>
      </c>
      <c r="D890">
        <v>80</v>
      </c>
      <c r="E890">
        <v>391.56235589183899</v>
      </c>
      <c r="F890">
        <v>68.425197943195002</v>
      </c>
      <c r="G890" t="s">
        <v>49</v>
      </c>
      <c r="H890">
        <v>22</v>
      </c>
      <c r="I890">
        <v>80</v>
      </c>
      <c r="J890">
        <v>12.983841089566599</v>
      </c>
      <c r="K890" t="b">
        <f t="shared" si="52"/>
        <v>1</v>
      </c>
      <c r="L890">
        <f t="shared" si="53"/>
        <v>472.97139492460059</v>
      </c>
      <c r="M890">
        <f t="shared" si="54"/>
        <v>1891.8855796984024</v>
      </c>
      <c r="N890">
        <f t="shared" si="55"/>
        <v>2311.8841783914477</v>
      </c>
    </row>
    <row r="891" spans="1:14" x14ac:dyDescent="0.35">
      <c r="A891" t="s">
        <v>49</v>
      </c>
      <c r="B891">
        <v>22</v>
      </c>
      <c r="C891" t="s">
        <v>50</v>
      </c>
      <c r="D891">
        <v>81</v>
      </c>
      <c r="E891">
        <v>393.64512455224798</v>
      </c>
      <c r="F891">
        <v>68.834373017495807</v>
      </c>
      <c r="G891" t="s">
        <v>49</v>
      </c>
      <c r="H891">
        <v>22</v>
      </c>
      <c r="I891">
        <v>81</v>
      </c>
      <c r="J891">
        <v>13.0589637877814</v>
      </c>
      <c r="K891" t="b">
        <f t="shared" si="52"/>
        <v>1</v>
      </c>
      <c r="L891">
        <f t="shared" si="53"/>
        <v>475.53846135752519</v>
      </c>
      <c r="M891">
        <f t="shared" si="54"/>
        <v>1902.1538454301008</v>
      </c>
      <c r="N891">
        <f t="shared" si="55"/>
        <v>2324.431999115583</v>
      </c>
    </row>
    <row r="892" spans="1:14" x14ac:dyDescent="0.35">
      <c r="A892" t="s">
        <v>49</v>
      </c>
      <c r="B892">
        <v>22</v>
      </c>
      <c r="C892" t="s">
        <v>50</v>
      </c>
      <c r="D892">
        <v>82</v>
      </c>
      <c r="E892">
        <v>395.67465732893402</v>
      </c>
      <c r="F892">
        <v>69.227026668919905</v>
      </c>
      <c r="G892" t="s">
        <v>49</v>
      </c>
      <c r="H892">
        <v>22</v>
      </c>
      <c r="I892">
        <v>82</v>
      </c>
      <c r="J892">
        <v>13.132123336887901</v>
      </c>
      <c r="K892" t="b">
        <f t="shared" si="52"/>
        <v>1</v>
      </c>
      <c r="L892">
        <f t="shared" si="53"/>
        <v>478.03380733474182</v>
      </c>
      <c r="M892">
        <f t="shared" si="54"/>
        <v>1912.1352293389673</v>
      </c>
      <c r="N892">
        <f t="shared" si="55"/>
        <v>2336.6292502522178</v>
      </c>
    </row>
    <row r="893" spans="1:14" x14ac:dyDescent="0.35">
      <c r="A893" t="s">
        <v>49</v>
      </c>
      <c r="B893">
        <v>22</v>
      </c>
      <c r="C893" t="s">
        <v>50</v>
      </c>
      <c r="D893">
        <v>83</v>
      </c>
      <c r="E893">
        <v>397.65208281552702</v>
      </c>
      <c r="F893">
        <v>69.604172126964599</v>
      </c>
      <c r="G893" t="s">
        <v>49</v>
      </c>
      <c r="H893">
        <v>22</v>
      </c>
      <c r="I893">
        <v>83</v>
      </c>
      <c r="J893">
        <v>13.2033818738861</v>
      </c>
      <c r="K893" t="b">
        <f t="shared" si="52"/>
        <v>1</v>
      </c>
      <c r="L893">
        <f t="shared" si="53"/>
        <v>480.45963681637772</v>
      </c>
      <c r="M893">
        <f t="shared" si="54"/>
        <v>1921.8385472655109</v>
      </c>
      <c r="N893">
        <f t="shared" si="55"/>
        <v>2348.4867047584544</v>
      </c>
    </row>
    <row r="894" spans="1:14" x14ac:dyDescent="0.35">
      <c r="A894" t="s">
        <v>49</v>
      </c>
      <c r="B894">
        <v>22</v>
      </c>
      <c r="C894" t="s">
        <v>50</v>
      </c>
      <c r="D894">
        <v>84</v>
      </c>
      <c r="E894">
        <v>399.57864166667702</v>
      </c>
      <c r="F894">
        <v>69.966641171025501</v>
      </c>
      <c r="G894" t="s">
        <v>49</v>
      </c>
      <c r="H894">
        <v>22</v>
      </c>
      <c r="I894">
        <v>84</v>
      </c>
      <c r="J894">
        <v>13.272794449605</v>
      </c>
      <c r="K894" t="b">
        <f t="shared" si="52"/>
        <v>1</v>
      </c>
      <c r="L894">
        <f t="shared" si="53"/>
        <v>482.81807728730752</v>
      </c>
      <c r="M894">
        <f t="shared" si="54"/>
        <v>1931.2723091492301</v>
      </c>
      <c r="N894">
        <f t="shared" si="55"/>
        <v>2360.0147617803591</v>
      </c>
    </row>
    <row r="895" spans="1:14" x14ac:dyDescent="0.35">
      <c r="A895" t="s">
        <v>49</v>
      </c>
      <c r="B895">
        <v>22</v>
      </c>
      <c r="C895" t="s">
        <v>50</v>
      </c>
      <c r="D895">
        <v>85</v>
      </c>
      <c r="E895">
        <v>401.45561833584702</v>
      </c>
      <c r="F895">
        <v>70.315154127021898</v>
      </c>
      <c r="G895" t="s">
        <v>49</v>
      </c>
      <c r="H895">
        <v>22</v>
      </c>
      <c r="I895">
        <v>85</v>
      </c>
      <c r="J895">
        <v>13.340412228143499</v>
      </c>
      <c r="K895" t="b">
        <f t="shared" si="52"/>
        <v>1</v>
      </c>
      <c r="L895">
        <f t="shared" si="53"/>
        <v>485.11118469101245</v>
      </c>
      <c r="M895">
        <f t="shared" si="54"/>
        <v>1940.4447387640498</v>
      </c>
      <c r="N895">
        <f t="shared" si="55"/>
        <v>2371.2234707696689</v>
      </c>
    </row>
    <row r="896" spans="1:14" x14ac:dyDescent="0.35">
      <c r="A896" t="s">
        <v>49</v>
      </c>
      <c r="B896">
        <v>22</v>
      </c>
      <c r="C896" t="s">
        <v>50</v>
      </c>
      <c r="D896">
        <v>86</v>
      </c>
      <c r="E896">
        <v>403.284303604917</v>
      </c>
      <c r="F896">
        <v>70.6503592621753</v>
      </c>
      <c r="G896" t="s">
        <v>49</v>
      </c>
      <c r="H896">
        <v>22</v>
      </c>
      <c r="I896">
        <v>86</v>
      </c>
      <c r="J896">
        <v>13.4062839861387</v>
      </c>
      <c r="K896" t="b">
        <f t="shared" si="52"/>
        <v>1</v>
      </c>
      <c r="L896">
        <f t="shared" si="53"/>
        <v>487.340946853231</v>
      </c>
      <c r="M896">
        <f t="shared" si="54"/>
        <v>1949.363787412924</v>
      </c>
      <c r="N896">
        <f t="shared" si="55"/>
        <v>2382.1225482185932</v>
      </c>
    </row>
    <row r="897" spans="1:14" x14ac:dyDescent="0.35">
      <c r="A897" t="s">
        <v>49</v>
      </c>
      <c r="B897">
        <v>22</v>
      </c>
      <c r="C897" t="s">
        <v>50</v>
      </c>
      <c r="D897">
        <v>87</v>
      </c>
      <c r="E897">
        <v>405.06597431516099</v>
      </c>
      <c r="F897">
        <v>70.972855058641699</v>
      </c>
      <c r="G897" t="s">
        <v>49</v>
      </c>
      <c r="H897">
        <v>22</v>
      </c>
      <c r="I897">
        <v>87</v>
      </c>
      <c r="J897">
        <v>13.4704567925394</v>
      </c>
      <c r="K897" t="b">
        <f t="shared" si="52"/>
        <v>1</v>
      </c>
      <c r="L897">
        <f t="shared" si="53"/>
        <v>489.50928616634206</v>
      </c>
      <c r="M897">
        <f t="shared" si="54"/>
        <v>1958.0371446653683</v>
      </c>
      <c r="N897">
        <f t="shared" si="55"/>
        <v>2392.7213907810801</v>
      </c>
    </row>
    <row r="898" spans="1:14" x14ac:dyDescent="0.35">
      <c r="A898" t="s">
        <v>49</v>
      </c>
      <c r="B898">
        <v>22</v>
      </c>
      <c r="C898" t="s">
        <v>50</v>
      </c>
      <c r="D898">
        <v>88</v>
      </c>
      <c r="E898">
        <v>406.80188269097999</v>
      </c>
      <c r="F898">
        <v>71.283202913090705</v>
      </c>
      <c r="G898" t="s">
        <v>49</v>
      </c>
      <c r="H898">
        <v>22</v>
      </c>
      <c r="I898">
        <v>88</v>
      </c>
      <c r="J898">
        <v>13.5329763052492</v>
      </c>
      <c r="K898" t="b">
        <f t="shared" si="52"/>
        <v>1</v>
      </c>
      <c r="L898">
        <f t="shared" si="53"/>
        <v>491.61806190931986</v>
      </c>
      <c r="M898">
        <f t="shared" si="54"/>
        <v>1966.4722476372795</v>
      </c>
      <c r="N898">
        <f t="shared" si="55"/>
        <v>2403.0290866127552</v>
      </c>
    </row>
    <row r="899" spans="1:14" x14ac:dyDescent="0.35">
      <c r="A899" t="s">
        <v>49</v>
      </c>
      <c r="B899">
        <v>22</v>
      </c>
      <c r="C899" t="s">
        <v>50</v>
      </c>
      <c r="D899">
        <v>89</v>
      </c>
      <c r="E899">
        <v>408.49325099857799</v>
      </c>
      <c r="F899">
        <v>71.581934485613402</v>
      </c>
      <c r="G899" t="s">
        <v>49</v>
      </c>
      <c r="H899">
        <v>22</v>
      </c>
      <c r="I899">
        <v>89</v>
      </c>
      <c r="J899">
        <v>13.593886896531201</v>
      </c>
      <c r="K899" t="b">
        <f t="shared" ref="K899:K962" si="56">H899=B899</f>
        <v>1</v>
      </c>
      <c r="L899">
        <f t="shared" ref="L899:L962" si="57">E899+F899+J899</f>
        <v>493.66907238072258</v>
      </c>
      <c r="M899">
        <f t="shared" ref="M899:M962" si="58">(L899*2)*(100/50)</f>
        <v>1974.6762895228903</v>
      </c>
      <c r="N899">
        <f t="shared" ref="N899:N962" si="59">M899*1.222</f>
        <v>2413.0544257969718</v>
      </c>
    </row>
    <row r="900" spans="1:14" x14ac:dyDescent="0.35">
      <c r="A900" t="s">
        <v>49</v>
      </c>
      <c r="B900">
        <v>22</v>
      </c>
      <c r="C900" t="s">
        <v>50</v>
      </c>
      <c r="D900">
        <v>90</v>
      </c>
      <c r="E900">
        <v>410.14126915840802</v>
      </c>
      <c r="F900">
        <v>71.869556060134499</v>
      </c>
      <c r="G900" t="s">
        <v>49</v>
      </c>
      <c r="H900">
        <v>22</v>
      </c>
      <c r="I900">
        <v>90</v>
      </c>
      <c r="J900">
        <v>13.6532317072436</v>
      </c>
      <c r="K900" t="b">
        <f t="shared" si="56"/>
        <v>1</v>
      </c>
      <c r="L900">
        <f t="shared" si="57"/>
        <v>495.66405692578616</v>
      </c>
      <c r="M900">
        <f t="shared" si="58"/>
        <v>1982.6562277031446</v>
      </c>
      <c r="N900">
        <f t="shared" si="59"/>
        <v>2422.8059102532425</v>
      </c>
    </row>
    <row r="901" spans="1:14" x14ac:dyDescent="0.35">
      <c r="A901" t="s">
        <v>49</v>
      </c>
      <c r="B901">
        <v>22</v>
      </c>
      <c r="C901" t="s">
        <v>50</v>
      </c>
      <c r="D901">
        <v>91</v>
      </c>
      <c r="E901">
        <v>411.74709398069501</v>
      </c>
      <c r="F901">
        <v>72.146551236620098</v>
      </c>
      <c r="G901" t="s">
        <v>49</v>
      </c>
      <c r="H901">
        <v>22</v>
      </c>
      <c r="I901">
        <v>91</v>
      </c>
      <c r="J901">
        <v>13.7110526752805</v>
      </c>
      <c r="K901" t="b">
        <f t="shared" si="56"/>
        <v>1</v>
      </c>
      <c r="L901">
        <f t="shared" si="57"/>
        <v>497.6046978925956</v>
      </c>
      <c r="M901">
        <f t="shared" si="58"/>
        <v>1990.4187915703824</v>
      </c>
      <c r="N901">
        <f t="shared" si="59"/>
        <v>2432.291763299007</v>
      </c>
    </row>
    <row r="902" spans="1:14" x14ac:dyDescent="0.35">
      <c r="A902" t="s">
        <v>49</v>
      </c>
      <c r="B902">
        <v>22</v>
      </c>
      <c r="C902" t="s">
        <v>50</v>
      </c>
      <c r="D902">
        <v>92</v>
      </c>
      <c r="E902">
        <v>413.31184928136901</v>
      </c>
      <c r="F902">
        <v>72.413382692351604</v>
      </c>
      <c r="G902" t="s">
        <v>49</v>
      </c>
      <c r="H902">
        <v>22</v>
      </c>
      <c r="I902">
        <v>92</v>
      </c>
      <c r="J902">
        <v>13.7673905574933</v>
      </c>
      <c r="K902" t="b">
        <f t="shared" si="56"/>
        <v>1</v>
      </c>
      <c r="L902">
        <f t="shared" si="57"/>
        <v>499.4926225312139</v>
      </c>
      <c r="M902">
        <f t="shared" si="58"/>
        <v>1997.9704901248556</v>
      </c>
      <c r="N902">
        <f t="shared" si="59"/>
        <v>2441.5199389325735</v>
      </c>
    </row>
    <row r="903" spans="1:14" x14ac:dyDescent="0.35">
      <c r="A903" t="s">
        <v>49</v>
      </c>
      <c r="B903">
        <v>22</v>
      </c>
      <c r="C903" t="s">
        <v>50</v>
      </c>
      <c r="D903">
        <v>93</v>
      </c>
      <c r="E903">
        <v>414.83662646461897</v>
      </c>
      <c r="F903">
        <v>72.6704934234197</v>
      </c>
      <c r="G903" t="s">
        <v>49</v>
      </c>
      <c r="H903">
        <v>22</v>
      </c>
      <c r="I903">
        <v>93</v>
      </c>
      <c r="J903">
        <v>13.822284952351399</v>
      </c>
      <c r="K903" t="b">
        <f t="shared" si="56"/>
        <v>1</v>
      </c>
      <c r="L903">
        <f t="shared" si="57"/>
        <v>501.32940484039011</v>
      </c>
      <c r="M903">
        <f t="shared" si="58"/>
        <v>2005.3176193615604</v>
      </c>
      <c r="N903">
        <f t="shared" si="59"/>
        <v>2450.4981308598267</v>
      </c>
    </row>
    <row r="904" spans="1:14" x14ac:dyDescent="0.35">
      <c r="A904" t="s">
        <v>49</v>
      </c>
      <c r="B904">
        <v>22</v>
      </c>
      <c r="C904" t="s">
        <v>50</v>
      </c>
      <c r="D904">
        <v>94</v>
      </c>
      <c r="E904">
        <v>416.32248534220201</v>
      </c>
      <c r="F904">
        <v>72.918307695287993</v>
      </c>
      <c r="G904" t="s">
        <v>49</v>
      </c>
      <c r="H904">
        <v>22</v>
      </c>
      <c r="I904">
        <v>94</v>
      </c>
      <c r="J904">
        <v>13.875774325353101</v>
      </c>
      <c r="K904" t="b">
        <f t="shared" si="56"/>
        <v>1</v>
      </c>
      <c r="L904">
        <f t="shared" si="57"/>
        <v>503.11656736284311</v>
      </c>
      <c r="M904">
        <f t="shared" si="58"/>
        <v>2012.4662694513725</v>
      </c>
      <c r="N904">
        <f t="shared" si="59"/>
        <v>2459.2337812695769</v>
      </c>
    </row>
    <row r="905" spans="1:14" x14ac:dyDescent="0.35">
      <c r="A905" t="s">
        <v>49</v>
      </c>
      <c r="B905">
        <v>22</v>
      </c>
      <c r="C905" t="s">
        <v>50</v>
      </c>
      <c r="D905">
        <v>95</v>
      </c>
      <c r="E905">
        <v>417.77045506242399</v>
      </c>
      <c r="F905">
        <v>73.157231829431396</v>
      </c>
      <c r="G905" t="s">
        <v>49</v>
      </c>
      <c r="H905">
        <v>22</v>
      </c>
      <c r="I905">
        <v>95</v>
      </c>
      <c r="J905">
        <v>13.9278960371288</v>
      </c>
      <c r="K905" t="b">
        <f t="shared" si="56"/>
        <v>1</v>
      </c>
      <c r="L905">
        <f t="shared" si="57"/>
        <v>504.85558292898418</v>
      </c>
      <c r="M905">
        <f t="shared" si="58"/>
        <v>2019.4223317159367</v>
      </c>
      <c r="N905">
        <f t="shared" si="59"/>
        <v>2467.7340893568744</v>
      </c>
    </row>
    <row r="906" spans="1:14" x14ac:dyDescent="0.35">
      <c r="A906" t="s">
        <v>49</v>
      </c>
      <c r="B906">
        <v>22</v>
      </c>
      <c r="C906" t="s">
        <v>50</v>
      </c>
      <c r="D906">
        <v>96</v>
      </c>
      <c r="E906">
        <v>419.18153507908301</v>
      </c>
      <c r="F906">
        <v>73.387654896223594</v>
      </c>
      <c r="G906" t="s">
        <v>49</v>
      </c>
      <c r="H906">
        <v>22</v>
      </c>
      <c r="I906">
        <v>96</v>
      </c>
      <c r="J906">
        <v>13.978686373504299</v>
      </c>
      <c r="K906" t="b">
        <f t="shared" si="56"/>
        <v>1</v>
      </c>
      <c r="L906">
        <f t="shared" si="57"/>
        <v>506.54787634881086</v>
      </c>
      <c r="M906">
        <f t="shared" si="58"/>
        <v>2026.1915053952434</v>
      </c>
      <c r="N906">
        <f t="shared" si="59"/>
        <v>2476.0060195929873</v>
      </c>
    </row>
    <row r="907" spans="1:14" x14ac:dyDescent="0.35">
      <c r="A907" t="s">
        <v>49</v>
      </c>
      <c r="B907">
        <v>22</v>
      </c>
      <c r="C907" t="s">
        <v>50</v>
      </c>
      <c r="D907">
        <v>97</v>
      </c>
      <c r="E907">
        <v>420.55669612265399</v>
      </c>
      <c r="F907">
        <v>73.6099493525806</v>
      </c>
      <c r="G907" t="s">
        <v>49</v>
      </c>
      <c r="H907">
        <v>22</v>
      </c>
      <c r="I907">
        <v>97</v>
      </c>
      <c r="J907">
        <v>14.0281805767151</v>
      </c>
      <c r="K907" t="b">
        <f t="shared" si="56"/>
        <v>1</v>
      </c>
      <c r="L907">
        <f t="shared" si="57"/>
        <v>508.19482605194969</v>
      </c>
      <c r="M907">
        <f t="shared" si="58"/>
        <v>2032.7793042077988</v>
      </c>
      <c r="N907">
        <f t="shared" si="59"/>
        <v>2484.0563097419299</v>
      </c>
    </row>
    <row r="908" spans="1:14" x14ac:dyDescent="0.35">
      <c r="A908" t="s">
        <v>49</v>
      </c>
      <c r="B908">
        <v>22</v>
      </c>
      <c r="C908" t="s">
        <v>50</v>
      </c>
      <c r="D908">
        <v>98</v>
      </c>
      <c r="E908">
        <v>421.896881153778</v>
      </c>
      <c r="F908">
        <v>73.8244716452635</v>
      </c>
      <c r="G908" t="s">
        <v>49</v>
      </c>
      <c r="H908">
        <v>22</v>
      </c>
      <c r="I908">
        <v>98</v>
      </c>
      <c r="J908">
        <v>14.076412877079299</v>
      </c>
      <c r="K908" t="b">
        <f t="shared" si="56"/>
        <v>1</v>
      </c>
      <c r="L908">
        <f t="shared" si="57"/>
        <v>509.79776567612078</v>
      </c>
      <c r="M908">
        <f t="shared" si="58"/>
        <v>2039.1910627044831</v>
      </c>
      <c r="N908">
        <f t="shared" si="59"/>
        <v>2491.8914786248783</v>
      </c>
    </row>
    <row r="909" spans="1:14" x14ac:dyDescent="0.35">
      <c r="A909" t="s">
        <v>49</v>
      </c>
      <c r="B909">
        <v>22</v>
      </c>
      <c r="C909" t="s">
        <v>50</v>
      </c>
      <c r="D909">
        <v>99</v>
      </c>
      <c r="E909">
        <v>423.20300628901202</v>
      </c>
      <c r="F909">
        <v>74.031562790998095</v>
      </c>
      <c r="G909" t="s">
        <v>49</v>
      </c>
      <c r="H909">
        <v>22</v>
      </c>
      <c r="I909">
        <v>99</v>
      </c>
      <c r="J909">
        <v>14.123416524608601</v>
      </c>
      <c r="K909" t="b">
        <f t="shared" si="56"/>
        <v>1</v>
      </c>
      <c r="L909">
        <f t="shared" si="57"/>
        <v>511.35798560461876</v>
      </c>
      <c r="M909">
        <f t="shared" si="58"/>
        <v>2045.431942418475</v>
      </c>
      <c r="N909">
        <f t="shared" si="59"/>
        <v>2499.5178336353765</v>
      </c>
    </row>
    <row r="910" spans="1:14" x14ac:dyDescent="0.35">
      <c r="A910" t="s">
        <v>49</v>
      </c>
      <c r="B910">
        <v>22</v>
      </c>
      <c r="C910" t="s">
        <v>50</v>
      </c>
      <c r="D910">
        <v>100</v>
      </c>
      <c r="E910">
        <v>424.47596169420802</v>
      </c>
      <c r="F910">
        <v>74.231548939199797</v>
      </c>
      <c r="G910" t="s">
        <v>49</v>
      </c>
      <c r="H910">
        <v>22</v>
      </c>
      <c r="I910">
        <v>100</v>
      </c>
      <c r="J910">
        <v>14.169223820191799</v>
      </c>
      <c r="K910" t="b">
        <f t="shared" si="56"/>
        <v>1</v>
      </c>
      <c r="L910">
        <f t="shared" si="57"/>
        <v>512.87673445359962</v>
      </c>
      <c r="M910">
        <f t="shared" si="58"/>
        <v>2051.5069378143985</v>
      </c>
      <c r="N910">
        <f t="shared" si="59"/>
        <v>2506.9414780091947</v>
      </c>
    </row>
    <row r="911" spans="1:14" x14ac:dyDescent="0.35">
      <c r="A911" t="s">
        <v>49</v>
      </c>
      <c r="B911">
        <v>24</v>
      </c>
      <c r="C911" t="s">
        <v>50</v>
      </c>
      <c r="D911">
        <v>0</v>
      </c>
      <c r="E911">
        <v>0</v>
      </c>
      <c r="F911">
        <v>0</v>
      </c>
      <c r="G911" t="s">
        <v>49</v>
      </c>
      <c r="H911">
        <v>24</v>
      </c>
      <c r="I911">
        <v>0</v>
      </c>
      <c r="J911">
        <v>0</v>
      </c>
      <c r="K911" t="b">
        <f t="shared" si="56"/>
        <v>1</v>
      </c>
      <c r="L911">
        <f t="shared" si="57"/>
        <v>0</v>
      </c>
      <c r="M911">
        <f t="shared" si="58"/>
        <v>0</v>
      </c>
      <c r="N911">
        <f t="shared" si="59"/>
        <v>0</v>
      </c>
    </row>
    <row r="912" spans="1:14" x14ac:dyDescent="0.35">
      <c r="A912" t="s">
        <v>49</v>
      </c>
      <c r="B912">
        <v>24</v>
      </c>
      <c r="C912" t="s">
        <v>50</v>
      </c>
      <c r="D912">
        <v>1</v>
      </c>
      <c r="E912">
        <v>0.39486993929658298</v>
      </c>
      <c r="F912">
        <v>2.0511659251110999E-3</v>
      </c>
      <c r="G912" t="s">
        <v>49</v>
      </c>
      <c r="H912">
        <v>24</v>
      </c>
      <c r="I912">
        <v>1</v>
      </c>
      <c r="J912">
        <v>4.4669816214908996E-3</v>
      </c>
      <c r="K912" t="b">
        <f t="shared" si="56"/>
        <v>1</v>
      </c>
      <c r="L912">
        <f t="shared" si="57"/>
        <v>0.401388086843185</v>
      </c>
      <c r="M912">
        <f t="shared" si="58"/>
        <v>1.60555234737274</v>
      </c>
      <c r="N912">
        <f t="shared" si="59"/>
        <v>1.9619849684894883</v>
      </c>
    </row>
    <row r="913" spans="1:14" x14ac:dyDescent="0.35">
      <c r="A913" t="s">
        <v>49</v>
      </c>
      <c r="B913">
        <v>24</v>
      </c>
      <c r="C913" t="s">
        <v>50</v>
      </c>
      <c r="D913">
        <v>2</v>
      </c>
      <c r="E913">
        <v>0.88845736341731196</v>
      </c>
      <c r="F913">
        <v>6.6047542788577503E-3</v>
      </c>
      <c r="G913" t="s">
        <v>49</v>
      </c>
      <c r="H913">
        <v>24</v>
      </c>
      <c r="I913">
        <v>2</v>
      </c>
      <c r="J913">
        <v>1.28598566836474E-2</v>
      </c>
      <c r="K913" t="b">
        <f t="shared" si="56"/>
        <v>1</v>
      </c>
      <c r="L913">
        <f t="shared" si="57"/>
        <v>0.90792197437981714</v>
      </c>
      <c r="M913">
        <f t="shared" si="58"/>
        <v>3.6316878975192686</v>
      </c>
      <c r="N913">
        <f t="shared" si="59"/>
        <v>4.4379226107685463</v>
      </c>
    </row>
    <row r="914" spans="1:14" x14ac:dyDescent="0.35">
      <c r="A914" t="s">
        <v>49</v>
      </c>
      <c r="B914">
        <v>24</v>
      </c>
      <c r="C914" t="s">
        <v>50</v>
      </c>
      <c r="D914">
        <v>3</v>
      </c>
      <c r="E914">
        <v>1.5054416435682201</v>
      </c>
      <c r="F914">
        <v>1.4226681739978099E-2</v>
      </c>
      <c r="G914" t="s">
        <v>49</v>
      </c>
      <c r="H914">
        <v>24</v>
      </c>
      <c r="I914">
        <v>3</v>
      </c>
      <c r="J914">
        <v>2.5158476122086999E-2</v>
      </c>
      <c r="K914" t="b">
        <f t="shared" si="56"/>
        <v>1</v>
      </c>
      <c r="L914">
        <f t="shared" si="57"/>
        <v>1.5448268014302853</v>
      </c>
      <c r="M914">
        <f t="shared" si="58"/>
        <v>6.1793072057211411</v>
      </c>
      <c r="N914">
        <f t="shared" si="59"/>
        <v>7.5511134053912343</v>
      </c>
    </row>
    <row r="915" spans="1:14" x14ac:dyDescent="0.35">
      <c r="A915" t="s">
        <v>49</v>
      </c>
      <c r="B915">
        <v>24</v>
      </c>
      <c r="C915" t="s">
        <v>50</v>
      </c>
      <c r="D915">
        <v>4</v>
      </c>
      <c r="E915">
        <v>2.2766719937568598</v>
      </c>
      <c r="F915">
        <v>2.5626134824747401E-2</v>
      </c>
      <c r="G915" t="s">
        <v>49</v>
      </c>
      <c r="H915">
        <v>24</v>
      </c>
      <c r="I915">
        <v>4</v>
      </c>
      <c r="J915">
        <v>4.17236422615056E-2</v>
      </c>
      <c r="K915" t="b">
        <f t="shared" si="56"/>
        <v>1</v>
      </c>
      <c r="L915">
        <f t="shared" si="57"/>
        <v>2.3440217708431126</v>
      </c>
      <c r="M915">
        <f t="shared" si="58"/>
        <v>9.3760870833724503</v>
      </c>
      <c r="N915">
        <f t="shared" si="59"/>
        <v>11.457578415881134</v>
      </c>
    </row>
    <row r="916" spans="1:14" x14ac:dyDescent="0.35">
      <c r="A916" t="s">
        <v>49</v>
      </c>
      <c r="B916">
        <v>24</v>
      </c>
      <c r="C916" t="s">
        <v>50</v>
      </c>
      <c r="D916">
        <v>5</v>
      </c>
      <c r="E916">
        <v>3.24070993149265</v>
      </c>
      <c r="F916">
        <v>4.1691333626327001E-2</v>
      </c>
      <c r="G916" t="s">
        <v>49</v>
      </c>
      <c r="H916">
        <v>24</v>
      </c>
      <c r="I916">
        <v>5</v>
      </c>
      <c r="J916">
        <v>6.32359141370432E-2</v>
      </c>
      <c r="K916" t="b">
        <f t="shared" si="56"/>
        <v>1</v>
      </c>
      <c r="L916">
        <f t="shared" si="57"/>
        <v>3.3456371792560202</v>
      </c>
      <c r="M916">
        <f t="shared" si="58"/>
        <v>13.382548717024081</v>
      </c>
      <c r="N916">
        <f t="shared" si="59"/>
        <v>16.353474532203428</v>
      </c>
    </row>
    <row r="917" spans="1:14" x14ac:dyDescent="0.35">
      <c r="A917" t="s">
        <v>49</v>
      </c>
      <c r="B917">
        <v>24</v>
      </c>
      <c r="C917" t="s">
        <v>50</v>
      </c>
      <c r="D917">
        <v>6</v>
      </c>
      <c r="E917">
        <v>4.4457573536624002</v>
      </c>
      <c r="F917">
        <v>6.3534238100550797E-2</v>
      </c>
      <c r="G917" t="s">
        <v>49</v>
      </c>
      <c r="H917">
        <v>24</v>
      </c>
      <c r="I917">
        <v>6</v>
      </c>
      <c r="J917">
        <v>9.0684407434714703E-2</v>
      </c>
      <c r="K917" t="b">
        <f t="shared" si="56"/>
        <v>1</v>
      </c>
      <c r="L917">
        <f t="shared" si="57"/>
        <v>4.5999759991976656</v>
      </c>
      <c r="M917">
        <f t="shared" si="58"/>
        <v>18.399903996790663</v>
      </c>
      <c r="N917">
        <f t="shared" si="59"/>
        <v>22.484682684078191</v>
      </c>
    </row>
    <row r="918" spans="1:14" x14ac:dyDescent="0.35">
      <c r="A918" t="s">
        <v>49</v>
      </c>
      <c r="B918">
        <v>24</v>
      </c>
      <c r="C918" t="s">
        <v>50</v>
      </c>
      <c r="D918">
        <v>7</v>
      </c>
      <c r="E918">
        <v>5.9520666313745902</v>
      </c>
      <c r="F918">
        <v>9.2546432486412297E-2</v>
      </c>
      <c r="G918" t="s">
        <v>49</v>
      </c>
      <c r="H918">
        <v>24</v>
      </c>
      <c r="I918">
        <v>7</v>
      </c>
      <c r="J918">
        <v>0.12539039089090101</v>
      </c>
      <c r="K918" t="b">
        <f t="shared" si="56"/>
        <v>1</v>
      </c>
      <c r="L918">
        <f t="shared" si="57"/>
        <v>6.170003454751904</v>
      </c>
      <c r="M918">
        <f t="shared" si="58"/>
        <v>24.680013819007616</v>
      </c>
      <c r="N918">
        <f t="shared" si="59"/>
        <v>30.158976886827308</v>
      </c>
    </row>
    <row r="919" spans="1:14" x14ac:dyDescent="0.35">
      <c r="A919" t="s">
        <v>49</v>
      </c>
      <c r="B919">
        <v>24</v>
      </c>
      <c r="C919" t="s">
        <v>50</v>
      </c>
      <c r="D919">
        <v>8</v>
      </c>
      <c r="E919">
        <v>7.8349532285148102</v>
      </c>
      <c r="F919">
        <v>0.13046898234802901</v>
      </c>
      <c r="G919" t="s">
        <v>49</v>
      </c>
      <c r="H919">
        <v>24</v>
      </c>
      <c r="I919">
        <v>8</v>
      </c>
      <c r="J919">
        <v>0.169058531250704</v>
      </c>
      <c r="K919" t="b">
        <f t="shared" si="56"/>
        <v>1</v>
      </c>
      <c r="L919">
        <f t="shared" si="57"/>
        <v>8.1344807421135439</v>
      </c>
      <c r="M919">
        <f t="shared" si="58"/>
        <v>32.537922968454176</v>
      </c>
      <c r="N919">
        <f t="shared" si="59"/>
        <v>39.761341867451002</v>
      </c>
    </row>
    <row r="920" spans="1:14" x14ac:dyDescent="0.35">
      <c r="A920" t="s">
        <v>49</v>
      </c>
      <c r="B920">
        <v>24</v>
      </c>
      <c r="C920" t="s">
        <v>50</v>
      </c>
      <c r="D920">
        <v>9</v>
      </c>
      <c r="E920">
        <v>10.1885614749401</v>
      </c>
      <c r="F920">
        <v>0.17947975734796001</v>
      </c>
      <c r="G920" t="s">
        <v>49</v>
      </c>
      <c r="H920">
        <v>24</v>
      </c>
      <c r="I920">
        <v>9</v>
      </c>
      <c r="J920">
        <v>0.22385360926210801</v>
      </c>
      <c r="K920" t="b">
        <f t="shared" si="56"/>
        <v>1</v>
      </c>
      <c r="L920">
        <f t="shared" si="57"/>
        <v>10.591894841550166</v>
      </c>
      <c r="M920">
        <f t="shared" si="58"/>
        <v>42.367579366200665</v>
      </c>
      <c r="N920">
        <f t="shared" si="59"/>
        <v>51.77318198549721</v>
      </c>
    </row>
    <row r="921" spans="1:14" x14ac:dyDescent="0.35">
      <c r="A921" t="s">
        <v>49</v>
      </c>
      <c r="B921">
        <v>24</v>
      </c>
      <c r="C921" t="s">
        <v>50</v>
      </c>
      <c r="D921">
        <v>10</v>
      </c>
      <c r="E921">
        <v>13.1305717829717</v>
      </c>
      <c r="F921">
        <v>0.24230258614059699</v>
      </c>
      <c r="G921" t="s">
        <v>49</v>
      </c>
      <c r="H921">
        <v>24</v>
      </c>
      <c r="I921">
        <v>10</v>
      </c>
      <c r="J921">
        <v>0.29250384320911998</v>
      </c>
      <c r="K921" t="b">
        <f t="shared" si="56"/>
        <v>1</v>
      </c>
      <c r="L921">
        <f t="shared" si="57"/>
        <v>13.665378212321418</v>
      </c>
      <c r="M921">
        <f t="shared" si="58"/>
        <v>54.661512849285671</v>
      </c>
      <c r="N921">
        <f t="shared" si="59"/>
        <v>66.796368701827092</v>
      </c>
    </row>
    <row r="922" spans="1:14" x14ac:dyDescent="0.35">
      <c r="A922" t="s">
        <v>49</v>
      </c>
      <c r="B922">
        <v>24</v>
      </c>
      <c r="C922" t="s">
        <v>50</v>
      </c>
      <c r="D922">
        <v>11</v>
      </c>
      <c r="E922">
        <v>16.808084668011201</v>
      </c>
      <c r="F922">
        <v>0.32234370137283502</v>
      </c>
      <c r="G922" t="s">
        <v>49</v>
      </c>
      <c r="H922">
        <v>24</v>
      </c>
      <c r="I922">
        <v>11</v>
      </c>
      <c r="J922">
        <v>0.37843444764513701</v>
      </c>
      <c r="K922" t="b">
        <f t="shared" si="56"/>
        <v>1</v>
      </c>
      <c r="L922">
        <f t="shared" si="57"/>
        <v>17.508862817029172</v>
      </c>
      <c r="M922">
        <f t="shared" si="58"/>
        <v>70.035451268116688</v>
      </c>
      <c r="N922">
        <f t="shared" si="59"/>
        <v>85.583321449638589</v>
      </c>
    </row>
    <row r="923" spans="1:14" x14ac:dyDescent="0.35">
      <c r="A923" t="s">
        <v>49</v>
      </c>
      <c r="B923">
        <v>24</v>
      </c>
      <c r="C923" t="s">
        <v>50</v>
      </c>
      <c r="D923">
        <v>12</v>
      </c>
      <c r="E923">
        <v>21.4049757743106</v>
      </c>
      <c r="F923">
        <v>0.42386229727733199</v>
      </c>
      <c r="G923" t="s">
        <v>49</v>
      </c>
      <c r="H923">
        <v>24</v>
      </c>
      <c r="I923">
        <v>12</v>
      </c>
      <c r="J923">
        <v>0.48593722737042599</v>
      </c>
      <c r="K923" t="b">
        <f t="shared" si="56"/>
        <v>1</v>
      </c>
      <c r="L923">
        <f t="shared" si="57"/>
        <v>22.314775298958356</v>
      </c>
      <c r="M923">
        <f t="shared" si="58"/>
        <v>89.259101195833424</v>
      </c>
      <c r="N923">
        <f t="shared" si="59"/>
        <v>109.07462166130844</v>
      </c>
    </row>
    <row r="924" spans="1:14" x14ac:dyDescent="0.35">
      <c r="A924" t="s">
        <v>49</v>
      </c>
      <c r="B924">
        <v>24</v>
      </c>
      <c r="C924" t="s">
        <v>50</v>
      </c>
      <c r="D924">
        <v>13</v>
      </c>
      <c r="E924">
        <v>27.151089657184801</v>
      </c>
      <c r="F924">
        <v>0.55218372796622495</v>
      </c>
      <c r="G924" t="s">
        <v>49</v>
      </c>
      <c r="H924">
        <v>24</v>
      </c>
      <c r="I924">
        <v>13</v>
      </c>
      <c r="J924">
        <v>0.620384184650701</v>
      </c>
      <c r="K924" t="b">
        <f t="shared" si="56"/>
        <v>1</v>
      </c>
      <c r="L924">
        <f t="shared" si="57"/>
        <v>28.323657569801725</v>
      </c>
      <c r="M924">
        <f t="shared" si="58"/>
        <v>113.2946302792069</v>
      </c>
      <c r="N924">
        <f t="shared" si="59"/>
        <v>138.44603820119082</v>
      </c>
    </row>
    <row r="925" spans="1:14" x14ac:dyDescent="0.35">
      <c r="A925" t="s">
        <v>49</v>
      </c>
      <c r="B925">
        <v>24</v>
      </c>
      <c r="C925" t="s">
        <v>50</v>
      </c>
      <c r="D925">
        <v>14</v>
      </c>
      <c r="E925">
        <v>34.325676000000001</v>
      </c>
      <c r="F925">
        <v>0.71392415932723796</v>
      </c>
      <c r="G925" t="s">
        <v>49</v>
      </c>
      <c r="H925">
        <v>24</v>
      </c>
      <c r="I925">
        <v>14</v>
      </c>
      <c r="J925">
        <v>0.78840439879023105</v>
      </c>
      <c r="K925" t="b">
        <f t="shared" si="56"/>
        <v>1</v>
      </c>
      <c r="L925">
        <f t="shared" si="57"/>
        <v>35.82800455811747</v>
      </c>
      <c r="M925">
        <f t="shared" si="58"/>
        <v>143.31201823246988</v>
      </c>
      <c r="N925">
        <f t="shared" si="59"/>
        <v>175.12728628007818</v>
      </c>
    </row>
    <row r="926" spans="1:14" x14ac:dyDescent="0.35">
      <c r="A926" t="s">
        <v>49</v>
      </c>
      <c r="B926">
        <v>24</v>
      </c>
      <c r="C926" t="s">
        <v>50</v>
      </c>
      <c r="D926">
        <v>15</v>
      </c>
      <c r="E926">
        <v>42.170337000000004</v>
      </c>
      <c r="F926">
        <v>0.91156174794742095</v>
      </c>
      <c r="G926" t="s">
        <v>49</v>
      </c>
      <c r="H926">
        <v>24</v>
      </c>
      <c r="I926">
        <v>15</v>
      </c>
      <c r="J926">
        <v>0.98570253723855705</v>
      </c>
      <c r="K926" t="b">
        <f t="shared" si="56"/>
        <v>1</v>
      </c>
      <c r="L926">
        <f t="shared" si="57"/>
        <v>44.067601285185987</v>
      </c>
      <c r="M926">
        <f t="shared" si="58"/>
        <v>176.27040514074395</v>
      </c>
      <c r="N926">
        <f t="shared" si="59"/>
        <v>215.4024350819891</v>
      </c>
    </row>
    <row r="927" spans="1:14" x14ac:dyDescent="0.35">
      <c r="A927" t="s">
        <v>49</v>
      </c>
      <c r="B927">
        <v>24</v>
      </c>
      <c r="C927" t="s">
        <v>50</v>
      </c>
      <c r="D927">
        <v>16</v>
      </c>
      <c r="E927">
        <v>50.014997999999999</v>
      </c>
      <c r="F927">
        <v>1.144019579109</v>
      </c>
      <c r="G927" t="s">
        <v>49</v>
      </c>
      <c r="H927">
        <v>24</v>
      </c>
      <c r="I927">
        <v>16</v>
      </c>
      <c r="J927">
        <v>1.2021408084383101</v>
      </c>
      <c r="K927" t="b">
        <f t="shared" si="56"/>
        <v>1</v>
      </c>
      <c r="L927">
        <f t="shared" si="57"/>
        <v>52.361158387547306</v>
      </c>
      <c r="M927">
        <f t="shared" si="58"/>
        <v>209.44463355018922</v>
      </c>
      <c r="N927">
        <f t="shared" si="59"/>
        <v>255.94134219833123</v>
      </c>
    </row>
    <row r="928" spans="1:14" x14ac:dyDescent="0.35">
      <c r="A928" t="s">
        <v>49</v>
      </c>
      <c r="B928">
        <v>24</v>
      </c>
      <c r="C928" t="s">
        <v>50</v>
      </c>
      <c r="D928">
        <v>17</v>
      </c>
      <c r="E928">
        <v>57.859659000000001</v>
      </c>
      <c r="F928">
        <v>1.4102530455357301</v>
      </c>
      <c r="G928" t="s">
        <v>49</v>
      </c>
      <c r="H928">
        <v>24</v>
      </c>
      <c r="I928">
        <v>17</v>
      </c>
      <c r="J928">
        <v>1.43140784153169</v>
      </c>
      <c r="K928" t="b">
        <f t="shared" si="56"/>
        <v>1</v>
      </c>
      <c r="L928">
        <f t="shared" si="57"/>
        <v>60.70131988706742</v>
      </c>
      <c r="M928">
        <f t="shared" si="58"/>
        <v>242.80527954826968</v>
      </c>
      <c r="N928">
        <f t="shared" si="59"/>
        <v>296.70805160798557</v>
      </c>
    </row>
    <row r="929" spans="1:14" x14ac:dyDescent="0.35">
      <c r="A929" t="s">
        <v>49</v>
      </c>
      <c r="B929">
        <v>24</v>
      </c>
      <c r="C929" t="s">
        <v>50</v>
      </c>
      <c r="D929">
        <v>18</v>
      </c>
      <c r="E929">
        <v>65.704319999999996</v>
      </c>
      <c r="F929">
        <v>1.70924887816966</v>
      </c>
      <c r="G929" t="s">
        <v>49</v>
      </c>
      <c r="H929">
        <v>24</v>
      </c>
      <c r="I929">
        <v>18</v>
      </c>
      <c r="J929">
        <v>1.66948772082341</v>
      </c>
      <c r="K929" t="b">
        <f t="shared" si="56"/>
        <v>1</v>
      </c>
      <c r="L929">
        <f t="shared" si="57"/>
        <v>69.083056598993068</v>
      </c>
      <c r="M929">
        <f t="shared" si="58"/>
        <v>276.33222639597227</v>
      </c>
      <c r="N929">
        <f t="shared" si="59"/>
        <v>337.67798065587812</v>
      </c>
    </row>
    <row r="930" spans="1:14" x14ac:dyDescent="0.35">
      <c r="A930" t="s">
        <v>49</v>
      </c>
      <c r="B930">
        <v>24</v>
      </c>
      <c r="C930" t="s">
        <v>50</v>
      </c>
      <c r="D930">
        <v>19</v>
      </c>
      <c r="E930">
        <v>75.445227000000003</v>
      </c>
      <c r="F930">
        <v>2.0498743232245702</v>
      </c>
      <c r="G930" t="s">
        <v>49</v>
      </c>
      <c r="H930">
        <v>24</v>
      </c>
      <c r="I930">
        <v>19</v>
      </c>
      <c r="J930">
        <v>1.9352147461210201</v>
      </c>
      <c r="K930" t="b">
        <f t="shared" si="56"/>
        <v>1</v>
      </c>
      <c r="L930">
        <f t="shared" si="57"/>
        <v>79.430316069345594</v>
      </c>
      <c r="M930">
        <f t="shared" si="58"/>
        <v>317.72126427738237</v>
      </c>
      <c r="N930">
        <f t="shared" si="59"/>
        <v>388.25538494696127</v>
      </c>
    </row>
    <row r="931" spans="1:14" x14ac:dyDescent="0.35">
      <c r="A931" t="s">
        <v>49</v>
      </c>
      <c r="B931">
        <v>24</v>
      </c>
      <c r="C931" t="s">
        <v>50</v>
      </c>
      <c r="D931">
        <v>20</v>
      </c>
      <c r="E931">
        <v>85.186133999999996</v>
      </c>
      <c r="F931">
        <v>2.4308804923278302</v>
      </c>
      <c r="G931" t="s">
        <v>49</v>
      </c>
      <c r="H931">
        <v>24</v>
      </c>
      <c r="I931">
        <v>20</v>
      </c>
      <c r="J931">
        <v>2.2188791984323402</v>
      </c>
      <c r="K931" t="b">
        <f t="shared" si="56"/>
        <v>1</v>
      </c>
      <c r="L931">
        <f t="shared" si="57"/>
        <v>89.835893690760173</v>
      </c>
      <c r="M931">
        <f t="shared" si="58"/>
        <v>359.34357476304069</v>
      </c>
      <c r="N931">
        <f t="shared" si="59"/>
        <v>439.11784836043574</v>
      </c>
    </row>
    <row r="932" spans="1:14" x14ac:dyDescent="0.35">
      <c r="A932" t="s">
        <v>49</v>
      </c>
      <c r="B932">
        <v>24</v>
      </c>
      <c r="C932" t="s">
        <v>50</v>
      </c>
      <c r="D932">
        <v>21</v>
      </c>
      <c r="E932">
        <v>94.927041000000003</v>
      </c>
      <c r="F932">
        <v>2.85105596375799</v>
      </c>
      <c r="G932" t="s">
        <v>49</v>
      </c>
      <c r="H932">
        <v>24</v>
      </c>
      <c r="I932">
        <v>21</v>
      </c>
      <c r="J932">
        <v>2.5144736811722002</v>
      </c>
      <c r="K932" t="b">
        <f t="shared" si="56"/>
        <v>1</v>
      </c>
      <c r="L932">
        <f t="shared" si="57"/>
        <v>100.29257064493019</v>
      </c>
      <c r="M932">
        <f t="shared" si="58"/>
        <v>401.17028257972078</v>
      </c>
      <c r="N932">
        <f t="shared" si="59"/>
        <v>490.23008531241879</v>
      </c>
    </row>
    <row r="933" spans="1:14" x14ac:dyDescent="0.35">
      <c r="A933" t="s">
        <v>49</v>
      </c>
      <c r="B933">
        <v>24</v>
      </c>
      <c r="C933" t="s">
        <v>50</v>
      </c>
      <c r="D933">
        <v>22</v>
      </c>
      <c r="E933">
        <v>104.667948</v>
      </c>
      <c r="F933">
        <v>3.30922565844525</v>
      </c>
      <c r="G933" t="s">
        <v>49</v>
      </c>
      <c r="H933">
        <v>24</v>
      </c>
      <c r="I933">
        <v>22</v>
      </c>
      <c r="J933">
        <v>2.8182023758520098</v>
      </c>
      <c r="K933" t="b">
        <f t="shared" si="56"/>
        <v>1</v>
      </c>
      <c r="L933">
        <f t="shared" si="57"/>
        <v>110.79537603429726</v>
      </c>
      <c r="M933">
        <f t="shared" si="58"/>
        <v>443.18150413718905</v>
      </c>
      <c r="N933">
        <f t="shared" si="59"/>
        <v>541.56779805564497</v>
      </c>
    </row>
    <row r="934" spans="1:14" x14ac:dyDescent="0.35">
      <c r="A934" t="s">
        <v>49</v>
      </c>
      <c r="B934">
        <v>24</v>
      </c>
      <c r="C934" t="s">
        <v>50</v>
      </c>
      <c r="D934">
        <v>23</v>
      </c>
      <c r="E934">
        <v>114.408855</v>
      </c>
      <c r="F934">
        <v>3.8042497496919001</v>
      </c>
      <c r="G934" t="s">
        <v>49</v>
      </c>
      <c r="H934">
        <v>24</v>
      </c>
      <c r="I934">
        <v>23</v>
      </c>
      <c r="J934">
        <v>3.1276102396750498</v>
      </c>
      <c r="K934" t="b">
        <f t="shared" si="56"/>
        <v>1</v>
      </c>
      <c r="L934">
        <f t="shared" si="57"/>
        <v>121.34071498936696</v>
      </c>
      <c r="M934">
        <f t="shared" si="58"/>
        <v>485.36285995746783</v>
      </c>
      <c r="N934">
        <f t="shared" si="59"/>
        <v>593.11341486802564</v>
      </c>
    </row>
    <row r="935" spans="1:14" x14ac:dyDescent="0.35">
      <c r="A935" t="s">
        <v>49</v>
      </c>
      <c r="B935">
        <v>24</v>
      </c>
      <c r="C935" t="s">
        <v>50</v>
      </c>
      <c r="D935">
        <v>24</v>
      </c>
      <c r="E935">
        <v>124.550111919958</v>
      </c>
      <c r="F935">
        <v>4.69630992812644</v>
      </c>
      <c r="G935" t="s">
        <v>49</v>
      </c>
      <c r="H935">
        <v>24</v>
      </c>
      <c r="I935">
        <v>24</v>
      </c>
      <c r="J935">
        <v>3.44559866415036</v>
      </c>
      <c r="K935" t="b">
        <f t="shared" si="56"/>
        <v>1</v>
      </c>
      <c r="L935">
        <f t="shared" si="57"/>
        <v>132.69202051223482</v>
      </c>
      <c r="M935">
        <f t="shared" si="58"/>
        <v>530.76808204893928</v>
      </c>
      <c r="N935">
        <f t="shared" si="59"/>
        <v>648.59859626380376</v>
      </c>
    </row>
    <row r="936" spans="1:14" x14ac:dyDescent="0.35">
      <c r="A936" t="s">
        <v>49</v>
      </c>
      <c r="B936">
        <v>24</v>
      </c>
      <c r="C936" t="s">
        <v>50</v>
      </c>
      <c r="D936">
        <v>25</v>
      </c>
      <c r="E936">
        <v>134.29801998308599</v>
      </c>
      <c r="F936">
        <v>5.95315810212887</v>
      </c>
      <c r="G936" t="s">
        <v>49</v>
      </c>
      <c r="H936">
        <v>24</v>
      </c>
      <c r="I936">
        <v>25</v>
      </c>
      <c r="J936">
        <v>3.76493080058879</v>
      </c>
      <c r="K936" t="b">
        <f t="shared" si="56"/>
        <v>1</v>
      </c>
      <c r="L936">
        <f t="shared" si="57"/>
        <v>144.01610888580365</v>
      </c>
      <c r="M936">
        <f t="shared" si="58"/>
        <v>576.06443554321459</v>
      </c>
      <c r="N936">
        <f t="shared" si="59"/>
        <v>703.95074023380823</v>
      </c>
    </row>
    <row r="937" spans="1:14" x14ac:dyDescent="0.35">
      <c r="A937" t="s">
        <v>49</v>
      </c>
      <c r="B937">
        <v>24</v>
      </c>
      <c r="C937" t="s">
        <v>50</v>
      </c>
      <c r="D937">
        <v>26</v>
      </c>
      <c r="E937">
        <v>143.74304800396999</v>
      </c>
      <c r="F937">
        <v>7.4785507828619204</v>
      </c>
      <c r="G937" t="s">
        <v>49</v>
      </c>
      <c r="H937">
        <v>24</v>
      </c>
      <c r="I937">
        <v>26</v>
      </c>
      <c r="J937">
        <v>4.0820461500445697</v>
      </c>
      <c r="K937" t="b">
        <f t="shared" si="56"/>
        <v>1</v>
      </c>
      <c r="L937">
        <f t="shared" si="57"/>
        <v>155.30364493687648</v>
      </c>
      <c r="M937">
        <f t="shared" si="58"/>
        <v>621.21457974750592</v>
      </c>
      <c r="N937">
        <f t="shared" si="59"/>
        <v>759.12421645145218</v>
      </c>
    </row>
    <row r="938" spans="1:14" x14ac:dyDescent="0.35">
      <c r="A938" t="s">
        <v>49</v>
      </c>
      <c r="B938">
        <v>24</v>
      </c>
      <c r="C938" t="s">
        <v>50</v>
      </c>
      <c r="D938">
        <v>27</v>
      </c>
      <c r="E938">
        <v>152.93738943227601</v>
      </c>
      <c r="F938">
        <v>9.2142668369648799</v>
      </c>
      <c r="G938" t="s">
        <v>49</v>
      </c>
      <c r="H938">
        <v>24</v>
      </c>
      <c r="I938">
        <v>27</v>
      </c>
      <c r="J938">
        <v>4.3952060751692796</v>
      </c>
      <c r="K938" t="b">
        <f t="shared" si="56"/>
        <v>1</v>
      </c>
      <c r="L938">
        <f t="shared" si="57"/>
        <v>166.54686234441016</v>
      </c>
      <c r="M938">
        <f t="shared" si="58"/>
        <v>666.18744937764063</v>
      </c>
      <c r="N938">
        <f t="shared" si="59"/>
        <v>814.08106313947678</v>
      </c>
    </row>
    <row r="939" spans="1:14" x14ac:dyDescent="0.35">
      <c r="A939" t="s">
        <v>49</v>
      </c>
      <c r="B939">
        <v>24</v>
      </c>
      <c r="C939" t="s">
        <v>50</v>
      </c>
      <c r="D939">
        <v>28</v>
      </c>
      <c r="E939">
        <v>161.911473570775</v>
      </c>
      <c r="F939">
        <v>11.1238518538158</v>
      </c>
      <c r="G939" t="s">
        <v>49</v>
      </c>
      <c r="H939">
        <v>24</v>
      </c>
      <c r="I939">
        <v>28</v>
      </c>
      <c r="J939">
        <v>4.7035640676461599</v>
      </c>
      <c r="K939" t="b">
        <f t="shared" si="56"/>
        <v>1</v>
      </c>
      <c r="L939">
        <f t="shared" si="57"/>
        <v>177.73888949223698</v>
      </c>
      <c r="M939">
        <f t="shared" si="58"/>
        <v>710.95555796894791</v>
      </c>
      <c r="N939">
        <f t="shared" si="59"/>
        <v>868.78769183805434</v>
      </c>
    </row>
    <row r="940" spans="1:14" x14ac:dyDescent="0.35">
      <c r="A940" t="s">
        <v>49</v>
      </c>
      <c r="B940">
        <v>24</v>
      </c>
      <c r="C940" t="s">
        <v>50</v>
      </c>
      <c r="D940">
        <v>29</v>
      </c>
      <c r="E940">
        <v>170.73798003673301</v>
      </c>
      <c r="F940">
        <v>13.003026971034201</v>
      </c>
      <c r="G940" t="s">
        <v>49</v>
      </c>
      <c r="H940">
        <v>24</v>
      </c>
      <c r="I940">
        <v>29</v>
      </c>
      <c r="J940">
        <v>5.0073240007414297</v>
      </c>
      <c r="K940" t="b">
        <f t="shared" si="56"/>
        <v>1</v>
      </c>
      <c r="L940">
        <f t="shared" si="57"/>
        <v>188.74833100850861</v>
      </c>
      <c r="M940">
        <f t="shared" si="58"/>
        <v>754.99332403403446</v>
      </c>
      <c r="N940">
        <f t="shared" si="59"/>
        <v>922.60184196959005</v>
      </c>
    </row>
    <row r="941" spans="1:14" x14ac:dyDescent="0.35">
      <c r="A941" t="s">
        <v>49</v>
      </c>
      <c r="B941">
        <v>24</v>
      </c>
      <c r="C941" t="s">
        <v>50</v>
      </c>
      <c r="D941">
        <v>30</v>
      </c>
      <c r="E941">
        <v>179.51487912681401</v>
      </c>
      <c r="F941">
        <v>14.8998364520144</v>
      </c>
      <c r="G941" t="s">
        <v>49</v>
      </c>
      <c r="H941">
        <v>24</v>
      </c>
      <c r="I941">
        <v>30</v>
      </c>
      <c r="J941">
        <v>5.30765277235104</v>
      </c>
      <c r="K941" t="b">
        <f t="shared" si="56"/>
        <v>1</v>
      </c>
      <c r="L941">
        <f t="shared" si="57"/>
        <v>199.72236835117945</v>
      </c>
      <c r="M941">
        <f t="shared" si="58"/>
        <v>798.88947340471782</v>
      </c>
      <c r="N941">
        <f t="shared" si="59"/>
        <v>976.24293650056518</v>
      </c>
    </row>
    <row r="942" spans="1:14" x14ac:dyDescent="0.35">
      <c r="A942" t="s">
        <v>49</v>
      </c>
      <c r="B942">
        <v>24</v>
      </c>
      <c r="C942" t="s">
        <v>50</v>
      </c>
      <c r="D942">
        <v>31</v>
      </c>
      <c r="E942">
        <v>188.151420555534</v>
      </c>
      <c r="F942">
        <v>16.843217019893601</v>
      </c>
      <c r="G942" t="s">
        <v>49</v>
      </c>
      <c r="H942">
        <v>24</v>
      </c>
      <c r="I942">
        <v>31</v>
      </c>
      <c r="J942">
        <v>5.6048533202255602</v>
      </c>
      <c r="K942" t="b">
        <f t="shared" si="56"/>
        <v>1</v>
      </c>
      <c r="L942">
        <f t="shared" si="57"/>
        <v>210.59949089565316</v>
      </c>
      <c r="M942">
        <f t="shared" si="58"/>
        <v>842.39796358261265</v>
      </c>
      <c r="N942">
        <f t="shared" si="59"/>
        <v>1029.4103114979525</v>
      </c>
    </row>
    <row r="943" spans="1:14" x14ac:dyDescent="0.35">
      <c r="A943" t="s">
        <v>49</v>
      </c>
      <c r="B943">
        <v>24</v>
      </c>
      <c r="C943" t="s">
        <v>50</v>
      </c>
      <c r="D943">
        <v>32</v>
      </c>
      <c r="E943">
        <v>196.64610593027101</v>
      </c>
      <c r="F943">
        <v>18.849881623866601</v>
      </c>
      <c r="G943" t="s">
        <v>49</v>
      </c>
      <c r="H943">
        <v>24</v>
      </c>
      <c r="I943">
        <v>32</v>
      </c>
      <c r="J943">
        <v>5.8988492012481997</v>
      </c>
      <c r="K943" t="b">
        <f t="shared" si="56"/>
        <v>1</v>
      </c>
      <c r="L943">
        <f t="shared" si="57"/>
        <v>221.3948367553858</v>
      </c>
      <c r="M943">
        <f t="shared" si="58"/>
        <v>885.57934702154319</v>
      </c>
      <c r="N943">
        <f t="shared" si="59"/>
        <v>1082.1779620603259</v>
      </c>
    </row>
    <row r="944" spans="1:14" x14ac:dyDescent="0.35">
      <c r="A944" t="s">
        <v>49</v>
      </c>
      <c r="B944">
        <v>24</v>
      </c>
      <c r="C944" t="s">
        <v>50</v>
      </c>
      <c r="D944">
        <v>33</v>
      </c>
      <c r="E944">
        <v>205.023523062462</v>
      </c>
      <c r="F944">
        <v>20.928859929814301</v>
      </c>
      <c r="G944" t="s">
        <v>49</v>
      </c>
      <c r="H944">
        <v>24</v>
      </c>
      <c r="I944">
        <v>33</v>
      </c>
      <c r="J944">
        <v>6.1894234508420301</v>
      </c>
      <c r="K944" t="b">
        <f t="shared" si="56"/>
        <v>1</v>
      </c>
      <c r="L944">
        <f t="shared" si="57"/>
        <v>232.14180644311836</v>
      </c>
      <c r="M944">
        <f t="shared" si="58"/>
        <v>928.56722577247342</v>
      </c>
      <c r="N944">
        <f t="shared" si="59"/>
        <v>1134.7091498939626</v>
      </c>
    </row>
    <row r="945" spans="1:14" x14ac:dyDescent="0.35">
      <c r="A945" t="s">
        <v>49</v>
      </c>
      <c r="B945">
        <v>24</v>
      </c>
      <c r="C945" t="s">
        <v>50</v>
      </c>
      <c r="D945">
        <v>34</v>
      </c>
      <c r="E945">
        <v>212.726844217267</v>
      </c>
      <c r="F945">
        <v>22.878749838289799</v>
      </c>
      <c r="G945" t="s">
        <v>49</v>
      </c>
      <c r="H945">
        <v>24</v>
      </c>
      <c r="I945">
        <v>34</v>
      </c>
      <c r="J945">
        <v>6.4700597746121398</v>
      </c>
      <c r="K945" t="b">
        <f t="shared" si="56"/>
        <v>1</v>
      </c>
      <c r="L945">
        <f t="shared" si="57"/>
        <v>242.07565383016893</v>
      </c>
      <c r="M945">
        <f t="shared" si="58"/>
        <v>968.30261532067573</v>
      </c>
      <c r="N945">
        <f t="shared" si="59"/>
        <v>1183.2657959218657</v>
      </c>
    </row>
    <row r="946" spans="1:14" x14ac:dyDescent="0.35">
      <c r="A946" t="s">
        <v>49</v>
      </c>
      <c r="B946">
        <v>24</v>
      </c>
      <c r="C946" t="s">
        <v>50</v>
      </c>
      <c r="D946">
        <v>35</v>
      </c>
      <c r="E946">
        <v>220.44957138046101</v>
      </c>
      <c r="F946">
        <v>24.779212884892502</v>
      </c>
      <c r="G946" t="s">
        <v>49</v>
      </c>
      <c r="H946">
        <v>24</v>
      </c>
      <c r="I946">
        <v>35</v>
      </c>
      <c r="J946">
        <v>6.7445822483062701</v>
      </c>
      <c r="K946" t="b">
        <f t="shared" si="56"/>
        <v>1</v>
      </c>
      <c r="L946">
        <f t="shared" si="57"/>
        <v>251.97336651365978</v>
      </c>
      <c r="M946">
        <f t="shared" si="58"/>
        <v>1007.8934660546391</v>
      </c>
      <c r="N946">
        <f t="shared" si="59"/>
        <v>1231.645815518769</v>
      </c>
    </row>
    <row r="947" spans="1:14" x14ac:dyDescent="0.35">
      <c r="A947" t="s">
        <v>49</v>
      </c>
      <c r="B947">
        <v>24</v>
      </c>
      <c r="C947" t="s">
        <v>50</v>
      </c>
      <c r="D947">
        <v>36</v>
      </c>
      <c r="E947">
        <v>228.141885519612</v>
      </c>
      <c r="F947">
        <v>26.6767455009232</v>
      </c>
      <c r="G947" t="s">
        <v>49</v>
      </c>
      <c r="H947">
        <v>24</v>
      </c>
      <c r="I947">
        <v>36</v>
      </c>
      <c r="J947">
        <v>7.0147590083333702</v>
      </c>
      <c r="K947" t="b">
        <f t="shared" si="56"/>
        <v>1</v>
      </c>
      <c r="L947">
        <f t="shared" si="57"/>
        <v>261.83339002886856</v>
      </c>
      <c r="M947">
        <f t="shared" si="58"/>
        <v>1047.3335601154743</v>
      </c>
      <c r="N947">
        <f t="shared" si="59"/>
        <v>1279.8416104611094</v>
      </c>
    </row>
    <row r="948" spans="1:14" x14ac:dyDescent="0.35">
      <c r="A948" t="s">
        <v>49</v>
      </c>
      <c r="B948">
        <v>24</v>
      </c>
      <c r="C948" t="s">
        <v>50</v>
      </c>
      <c r="D948">
        <v>37</v>
      </c>
      <c r="E948">
        <v>235.77400939346299</v>
      </c>
      <c r="F948">
        <v>28.5978725156019</v>
      </c>
      <c r="G948" t="s">
        <v>49</v>
      </c>
      <c r="H948">
        <v>24</v>
      </c>
      <c r="I948">
        <v>37</v>
      </c>
      <c r="J948">
        <v>7.28134832395929</v>
      </c>
      <c r="K948" t="b">
        <f t="shared" si="56"/>
        <v>1</v>
      </c>
      <c r="L948">
        <f t="shared" si="57"/>
        <v>271.65323023302415</v>
      </c>
      <c r="M948">
        <f t="shared" si="58"/>
        <v>1086.6129209320966</v>
      </c>
      <c r="N948">
        <f t="shared" si="59"/>
        <v>1327.8409893790219</v>
      </c>
    </row>
    <row r="949" spans="1:14" x14ac:dyDescent="0.35">
      <c r="A949" t="s">
        <v>49</v>
      </c>
      <c r="B949">
        <v>24</v>
      </c>
      <c r="C949" t="s">
        <v>50</v>
      </c>
      <c r="D949">
        <v>38</v>
      </c>
      <c r="E949">
        <v>243.328165829753</v>
      </c>
      <c r="F949">
        <v>30.5572132199853</v>
      </c>
      <c r="G949" t="s">
        <v>49</v>
      </c>
      <c r="H949">
        <v>24</v>
      </c>
      <c r="I949">
        <v>38</v>
      </c>
      <c r="J949">
        <v>7.5446305161131297</v>
      </c>
      <c r="K949" t="b">
        <f t="shared" si="56"/>
        <v>1</v>
      </c>
      <c r="L949">
        <f t="shared" si="57"/>
        <v>281.43000956585138</v>
      </c>
      <c r="M949">
        <f t="shared" si="58"/>
        <v>1125.7200382634055</v>
      </c>
      <c r="N949">
        <f t="shared" si="59"/>
        <v>1375.6298867578814</v>
      </c>
    </row>
    <row r="950" spans="1:14" x14ac:dyDescent="0.35">
      <c r="A950" t="s">
        <v>49</v>
      </c>
      <c r="B950">
        <v>24</v>
      </c>
      <c r="C950" t="s">
        <v>50</v>
      </c>
      <c r="D950">
        <v>39</v>
      </c>
      <c r="E950">
        <v>249.985818389999</v>
      </c>
      <c r="F950">
        <v>32.357871585827198</v>
      </c>
      <c r="G950" t="s">
        <v>49</v>
      </c>
      <c r="H950">
        <v>24</v>
      </c>
      <c r="I950">
        <v>39</v>
      </c>
      <c r="J950">
        <v>7.7954316650231101</v>
      </c>
      <c r="K950" t="b">
        <f t="shared" si="56"/>
        <v>1</v>
      </c>
      <c r="L950">
        <f t="shared" si="57"/>
        <v>290.13912164084928</v>
      </c>
      <c r="M950">
        <f t="shared" si="58"/>
        <v>1160.5564865633971</v>
      </c>
      <c r="N950">
        <f t="shared" si="59"/>
        <v>1418.2000265804713</v>
      </c>
    </row>
    <row r="951" spans="1:14" x14ac:dyDescent="0.35">
      <c r="A951" t="s">
        <v>49</v>
      </c>
      <c r="B951">
        <v>24</v>
      </c>
      <c r="C951" t="s">
        <v>50</v>
      </c>
      <c r="D951">
        <v>40</v>
      </c>
      <c r="E951">
        <v>256.69195039116602</v>
      </c>
      <c r="F951">
        <v>34.085562237794598</v>
      </c>
      <c r="G951" t="s">
        <v>49</v>
      </c>
      <c r="H951">
        <v>24</v>
      </c>
      <c r="I951">
        <v>40</v>
      </c>
      <c r="J951">
        <v>8.0388019420351498</v>
      </c>
      <c r="K951" t="b">
        <f t="shared" si="56"/>
        <v>1</v>
      </c>
      <c r="L951">
        <f t="shared" si="57"/>
        <v>298.81631457099576</v>
      </c>
      <c r="M951">
        <f t="shared" si="58"/>
        <v>1195.265258283983</v>
      </c>
      <c r="N951">
        <f t="shared" si="59"/>
        <v>1460.6141456230273</v>
      </c>
    </row>
    <row r="952" spans="1:14" x14ac:dyDescent="0.35">
      <c r="A952" t="s">
        <v>49</v>
      </c>
      <c r="B952">
        <v>24</v>
      </c>
      <c r="C952" t="s">
        <v>50</v>
      </c>
      <c r="D952">
        <v>41</v>
      </c>
      <c r="E952">
        <v>263.395031444528</v>
      </c>
      <c r="F952">
        <v>35.789331277949103</v>
      </c>
      <c r="G952" t="s">
        <v>49</v>
      </c>
      <c r="H952">
        <v>24</v>
      </c>
      <c r="I952">
        <v>41</v>
      </c>
      <c r="J952">
        <v>8.2772517624977109</v>
      </c>
      <c r="K952" t="b">
        <f t="shared" si="56"/>
        <v>1</v>
      </c>
      <c r="L952">
        <f t="shared" si="57"/>
        <v>307.4616144849748</v>
      </c>
      <c r="M952">
        <f t="shared" si="58"/>
        <v>1229.8464579398992</v>
      </c>
      <c r="N952">
        <f t="shared" si="59"/>
        <v>1502.8723716025568</v>
      </c>
    </row>
    <row r="953" spans="1:14" x14ac:dyDescent="0.35">
      <c r="A953" t="s">
        <v>49</v>
      </c>
      <c r="B953">
        <v>24</v>
      </c>
      <c r="C953" t="s">
        <v>50</v>
      </c>
      <c r="D953">
        <v>42</v>
      </c>
      <c r="E953">
        <v>270.065072372261</v>
      </c>
      <c r="F953">
        <v>37.496815293978798</v>
      </c>
      <c r="G953" t="s">
        <v>49</v>
      </c>
      <c r="H953">
        <v>24</v>
      </c>
      <c r="I953">
        <v>42</v>
      </c>
      <c r="J953">
        <v>8.5120083858258493</v>
      </c>
      <c r="K953" t="b">
        <f t="shared" si="56"/>
        <v>1</v>
      </c>
      <c r="L953">
        <f t="shared" si="57"/>
        <v>316.07389605206561</v>
      </c>
      <c r="M953">
        <f t="shared" si="58"/>
        <v>1264.2955842082624</v>
      </c>
      <c r="N953">
        <f t="shared" si="59"/>
        <v>1544.9692039024967</v>
      </c>
    </row>
    <row r="954" spans="1:14" x14ac:dyDescent="0.35">
      <c r="A954" t="s">
        <v>49</v>
      </c>
      <c r="B954">
        <v>24</v>
      </c>
      <c r="C954" t="s">
        <v>50</v>
      </c>
      <c r="D954">
        <v>43</v>
      </c>
      <c r="E954">
        <v>276.68463518751798</v>
      </c>
      <c r="F954">
        <v>39.223214412914601</v>
      </c>
      <c r="G954" t="s">
        <v>49</v>
      </c>
      <c r="H954">
        <v>24</v>
      </c>
      <c r="I954">
        <v>43</v>
      </c>
      <c r="J954">
        <v>8.7436610704501998</v>
      </c>
      <c r="K954" t="b">
        <f t="shared" si="56"/>
        <v>1</v>
      </c>
      <c r="L954">
        <f t="shared" si="57"/>
        <v>324.65151067088277</v>
      </c>
      <c r="M954">
        <f t="shared" si="58"/>
        <v>1298.6060426835311</v>
      </c>
      <c r="N954">
        <f t="shared" si="59"/>
        <v>1586.8965841592749</v>
      </c>
    </row>
    <row r="955" spans="1:14" x14ac:dyDescent="0.35">
      <c r="A955" t="s">
        <v>49</v>
      </c>
      <c r="B955">
        <v>24</v>
      </c>
      <c r="C955" t="s">
        <v>50</v>
      </c>
      <c r="D955">
        <v>44</v>
      </c>
      <c r="E955">
        <v>282.42198797597302</v>
      </c>
      <c r="F955">
        <v>40.805367271596801</v>
      </c>
      <c r="G955" t="s">
        <v>49</v>
      </c>
      <c r="H955">
        <v>24</v>
      </c>
      <c r="I955">
        <v>44</v>
      </c>
      <c r="J955">
        <v>8.9630908354548495</v>
      </c>
      <c r="K955" t="b">
        <f t="shared" si="56"/>
        <v>1</v>
      </c>
      <c r="L955">
        <f t="shared" si="57"/>
        <v>332.19044608302471</v>
      </c>
      <c r="M955">
        <f t="shared" si="58"/>
        <v>1328.7617843320988</v>
      </c>
      <c r="N955">
        <f t="shared" si="59"/>
        <v>1623.7469004538248</v>
      </c>
    </row>
    <row r="956" spans="1:14" x14ac:dyDescent="0.35">
      <c r="A956" t="s">
        <v>49</v>
      </c>
      <c r="B956">
        <v>24</v>
      </c>
      <c r="C956" t="s">
        <v>50</v>
      </c>
      <c r="D956">
        <v>45</v>
      </c>
      <c r="E956">
        <v>288.20915669147098</v>
      </c>
      <c r="F956">
        <v>42.318554839820798</v>
      </c>
      <c r="G956" t="s">
        <v>49</v>
      </c>
      <c r="H956">
        <v>24</v>
      </c>
      <c r="I956">
        <v>45</v>
      </c>
      <c r="J956">
        <v>9.1752453636167797</v>
      </c>
      <c r="K956" t="b">
        <f t="shared" si="56"/>
        <v>1</v>
      </c>
      <c r="L956">
        <f t="shared" si="57"/>
        <v>339.7029568949086</v>
      </c>
      <c r="M956">
        <f t="shared" si="58"/>
        <v>1358.8118275796344</v>
      </c>
      <c r="N956">
        <f t="shared" si="59"/>
        <v>1660.4680533023131</v>
      </c>
    </row>
    <row r="957" spans="1:14" x14ac:dyDescent="0.35">
      <c r="A957" t="s">
        <v>49</v>
      </c>
      <c r="B957">
        <v>24</v>
      </c>
      <c r="C957" t="s">
        <v>50</v>
      </c>
      <c r="D957">
        <v>46</v>
      </c>
      <c r="E957">
        <v>294.00168449552501</v>
      </c>
      <c r="F957">
        <v>43.8053096011473</v>
      </c>
      <c r="G957" t="s">
        <v>49</v>
      </c>
      <c r="H957">
        <v>24</v>
      </c>
      <c r="I957">
        <v>46</v>
      </c>
      <c r="J957">
        <v>9.3826600556562596</v>
      </c>
      <c r="K957" t="b">
        <f t="shared" si="56"/>
        <v>1</v>
      </c>
      <c r="L957">
        <f t="shared" si="57"/>
        <v>347.18965415232856</v>
      </c>
      <c r="M957">
        <f t="shared" si="58"/>
        <v>1388.7586166093142</v>
      </c>
      <c r="N957">
        <f t="shared" si="59"/>
        <v>1697.063029496582</v>
      </c>
    </row>
    <row r="958" spans="1:14" x14ac:dyDescent="0.35">
      <c r="A958" t="s">
        <v>49</v>
      </c>
      <c r="B958">
        <v>24</v>
      </c>
      <c r="C958" t="s">
        <v>50</v>
      </c>
      <c r="D958">
        <v>47</v>
      </c>
      <c r="E958">
        <v>299.774069640074</v>
      </c>
      <c r="F958">
        <v>45.289359592660396</v>
      </c>
      <c r="G958" t="s">
        <v>49</v>
      </c>
      <c r="H958">
        <v>24</v>
      </c>
      <c r="I958">
        <v>47</v>
      </c>
      <c r="J958">
        <v>9.58663440790483</v>
      </c>
      <c r="K958" t="b">
        <f t="shared" si="56"/>
        <v>1</v>
      </c>
      <c r="L958">
        <f t="shared" si="57"/>
        <v>354.65006364063925</v>
      </c>
      <c r="M958">
        <f t="shared" si="58"/>
        <v>1418.600254562557</v>
      </c>
      <c r="N958">
        <f t="shared" si="59"/>
        <v>1733.5295110754446</v>
      </c>
    </row>
    <row r="959" spans="1:14" x14ac:dyDescent="0.35">
      <c r="A959" t="s">
        <v>49</v>
      </c>
      <c r="B959">
        <v>24</v>
      </c>
      <c r="C959" t="s">
        <v>50</v>
      </c>
      <c r="D959">
        <v>48</v>
      </c>
      <c r="E959">
        <v>305.511692696306</v>
      </c>
      <c r="F959">
        <v>46.7836656834208</v>
      </c>
      <c r="G959" t="s">
        <v>49</v>
      </c>
      <c r="H959">
        <v>24</v>
      </c>
      <c r="I959">
        <v>48</v>
      </c>
      <c r="J959">
        <v>9.7878393128418608</v>
      </c>
      <c r="K959" t="b">
        <f t="shared" si="56"/>
        <v>1</v>
      </c>
      <c r="L959">
        <f t="shared" si="57"/>
        <v>362.08319769256866</v>
      </c>
      <c r="M959">
        <f t="shared" si="58"/>
        <v>1448.3327907702746</v>
      </c>
      <c r="N959">
        <f t="shared" si="59"/>
        <v>1769.8626703212756</v>
      </c>
    </row>
    <row r="960" spans="1:14" x14ac:dyDescent="0.35">
      <c r="A960" t="s">
        <v>49</v>
      </c>
      <c r="B960">
        <v>24</v>
      </c>
      <c r="C960" t="s">
        <v>50</v>
      </c>
      <c r="D960">
        <v>49</v>
      </c>
      <c r="E960">
        <v>310.47901111298</v>
      </c>
      <c r="F960">
        <v>48.151911268634599</v>
      </c>
      <c r="G960" t="s">
        <v>49</v>
      </c>
      <c r="H960">
        <v>24</v>
      </c>
      <c r="I960">
        <v>49</v>
      </c>
      <c r="J960">
        <v>9.9783108135793608</v>
      </c>
      <c r="K960" t="b">
        <f t="shared" si="56"/>
        <v>1</v>
      </c>
      <c r="L960">
        <f t="shared" si="57"/>
        <v>368.60923319519395</v>
      </c>
      <c r="M960">
        <f t="shared" si="58"/>
        <v>1474.4369327807758</v>
      </c>
      <c r="N960">
        <f t="shared" si="59"/>
        <v>1801.761931858108</v>
      </c>
    </row>
    <row r="961" spans="1:14" x14ac:dyDescent="0.35">
      <c r="A961" t="s">
        <v>49</v>
      </c>
      <c r="B961">
        <v>24</v>
      </c>
      <c r="C961" t="s">
        <v>50</v>
      </c>
      <c r="D961">
        <v>50</v>
      </c>
      <c r="E961">
        <v>315.49360629382602</v>
      </c>
      <c r="F961">
        <v>49.458742742788601</v>
      </c>
      <c r="G961" t="s">
        <v>49</v>
      </c>
      <c r="H961">
        <v>24</v>
      </c>
      <c r="I961">
        <v>50</v>
      </c>
      <c r="J961">
        <v>10.1624172663949</v>
      </c>
      <c r="K961" t="b">
        <f t="shared" si="56"/>
        <v>1</v>
      </c>
      <c r="L961">
        <f t="shared" si="57"/>
        <v>375.11476630300956</v>
      </c>
      <c r="M961">
        <f t="shared" si="58"/>
        <v>1500.4590652120382</v>
      </c>
      <c r="N961">
        <f t="shared" si="59"/>
        <v>1833.5609776891106</v>
      </c>
    </row>
    <row r="962" spans="1:14" x14ac:dyDescent="0.35">
      <c r="A962" t="s">
        <v>49</v>
      </c>
      <c r="B962">
        <v>24</v>
      </c>
      <c r="C962" t="s">
        <v>50</v>
      </c>
      <c r="D962">
        <v>51</v>
      </c>
      <c r="E962">
        <v>320.517682923324</v>
      </c>
      <c r="F962">
        <v>50.740397293208602</v>
      </c>
      <c r="G962" t="s">
        <v>49</v>
      </c>
      <c r="H962">
        <v>24</v>
      </c>
      <c r="I962">
        <v>51</v>
      </c>
      <c r="J962">
        <v>10.342418886418301</v>
      </c>
      <c r="K962" t="b">
        <f t="shared" si="56"/>
        <v>1</v>
      </c>
      <c r="L962">
        <f t="shared" si="57"/>
        <v>381.60049910295095</v>
      </c>
      <c r="M962">
        <f t="shared" si="58"/>
        <v>1526.4019964118038</v>
      </c>
      <c r="N962">
        <f t="shared" si="59"/>
        <v>1865.2632396152242</v>
      </c>
    </row>
    <row r="963" spans="1:14" x14ac:dyDescent="0.35">
      <c r="A963" t="s">
        <v>49</v>
      </c>
      <c r="B963">
        <v>24</v>
      </c>
      <c r="C963" t="s">
        <v>50</v>
      </c>
      <c r="D963">
        <v>52</v>
      </c>
      <c r="E963">
        <v>325.52975075935501</v>
      </c>
      <c r="F963">
        <v>52.016956601139498</v>
      </c>
      <c r="G963" t="s">
        <v>49</v>
      </c>
      <c r="H963">
        <v>24</v>
      </c>
      <c r="I963">
        <v>52</v>
      </c>
      <c r="J963">
        <v>10.5194919977693</v>
      </c>
      <c r="K963" t="b">
        <f t="shared" ref="K963:K1026" si="60">H963=B963</f>
        <v>1</v>
      </c>
      <c r="L963">
        <f t="shared" ref="L963:L1026" si="61">E963+F963+J963</f>
        <v>388.06619935826382</v>
      </c>
      <c r="M963">
        <f t="shared" ref="M963:M1026" si="62">(L963*2)*(100/50)</f>
        <v>1552.2647974330553</v>
      </c>
      <c r="N963">
        <f t="shared" ref="N963:N1026" si="63">M963*1.222</f>
        <v>1896.8675824631935</v>
      </c>
    </row>
    <row r="964" spans="1:14" x14ac:dyDescent="0.35">
      <c r="A964" t="s">
        <v>49</v>
      </c>
      <c r="B964">
        <v>24</v>
      </c>
      <c r="C964" t="s">
        <v>50</v>
      </c>
      <c r="D964">
        <v>53</v>
      </c>
      <c r="E964">
        <v>330.51759776542502</v>
      </c>
      <c r="F964">
        <v>53.299332547118297</v>
      </c>
      <c r="G964" t="s">
        <v>49</v>
      </c>
      <c r="H964">
        <v>24</v>
      </c>
      <c r="I964">
        <v>53</v>
      </c>
      <c r="J964">
        <v>10.694257925105999</v>
      </c>
      <c r="K964" t="b">
        <f t="shared" si="60"/>
        <v>1</v>
      </c>
      <c r="L964">
        <f t="shared" si="61"/>
        <v>394.51118823764932</v>
      </c>
      <c r="M964">
        <f t="shared" si="62"/>
        <v>1578.0447529505973</v>
      </c>
      <c r="N964">
        <f t="shared" si="63"/>
        <v>1928.3706881056298</v>
      </c>
    </row>
    <row r="965" spans="1:14" x14ac:dyDescent="0.35">
      <c r="A965" t="s">
        <v>49</v>
      </c>
      <c r="B965">
        <v>24</v>
      </c>
      <c r="C965" t="s">
        <v>50</v>
      </c>
      <c r="D965">
        <v>54</v>
      </c>
      <c r="E965">
        <v>334.824600929756</v>
      </c>
      <c r="F965">
        <v>54.4772018968739</v>
      </c>
      <c r="G965" t="s">
        <v>49</v>
      </c>
      <c r="H965">
        <v>24</v>
      </c>
      <c r="I965">
        <v>54</v>
      </c>
      <c r="J965">
        <v>10.8596233130184</v>
      </c>
      <c r="K965" t="b">
        <f t="shared" si="60"/>
        <v>1</v>
      </c>
      <c r="L965">
        <f t="shared" si="61"/>
        <v>400.16142613964831</v>
      </c>
      <c r="M965">
        <f t="shared" si="62"/>
        <v>1600.6457045585933</v>
      </c>
      <c r="N965">
        <f t="shared" si="63"/>
        <v>1955.9890509706008</v>
      </c>
    </row>
    <row r="966" spans="1:14" x14ac:dyDescent="0.35">
      <c r="A966" t="s">
        <v>49</v>
      </c>
      <c r="B966">
        <v>24</v>
      </c>
      <c r="C966" t="s">
        <v>50</v>
      </c>
      <c r="D966">
        <v>55</v>
      </c>
      <c r="E966">
        <v>339.17241056885598</v>
      </c>
      <c r="F966">
        <v>55.603905401077398</v>
      </c>
      <c r="G966" t="s">
        <v>49</v>
      </c>
      <c r="H966">
        <v>24</v>
      </c>
      <c r="I966">
        <v>55</v>
      </c>
      <c r="J966">
        <v>11.0194057151205</v>
      </c>
      <c r="K966" t="b">
        <f t="shared" si="60"/>
        <v>1</v>
      </c>
      <c r="L966">
        <f t="shared" si="61"/>
        <v>405.79572168505388</v>
      </c>
      <c r="M966">
        <f t="shared" si="62"/>
        <v>1623.1828867402155</v>
      </c>
      <c r="N966">
        <f t="shared" si="63"/>
        <v>1983.5294875965433</v>
      </c>
    </row>
    <row r="967" spans="1:14" x14ac:dyDescent="0.35">
      <c r="A967" t="s">
        <v>49</v>
      </c>
      <c r="B967">
        <v>24</v>
      </c>
      <c r="C967" t="s">
        <v>50</v>
      </c>
      <c r="D967">
        <v>56</v>
      </c>
      <c r="E967">
        <v>343.53001213329401</v>
      </c>
      <c r="F967">
        <v>56.7091646251139</v>
      </c>
      <c r="G967" t="s">
        <v>49</v>
      </c>
      <c r="H967">
        <v>24</v>
      </c>
      <c r="I967">
        <v>56</v>
      </c>
      <c r="J967">
        <v>11.1756037195302</v>
      </c>
      <c r="K967" t="b">
        <f t="shared" si="60"/>
        <v>1</v>
      </c>
      <c r="L967">
        <f t="shared" si="61"/>
        <v>411.41478047793811</v>
      </c>
      <c r="M967">
        <f t="shared" si="62"/>
        <v>1645.6591219117524</v>
      </c>
      <c r="N967">
        <f t="shared" si="63"/>
        <v>2010.9954469761615</v>
      </c>
    </row>
    <row r="968" spans="1:14" x14ac:dyDescent="0.35">
      <c r="A968" t="s">
        <v>49</v>
      </c>
      <c r="B968">
        <v>24</v>
      </c>
      <c r="C968" t="s">
        <v>50</v>
      </c>
      <c r="D968">
        <v>57</v>
      </c>
      <c r="E968">
        <v>347.87987526090899</v>
      </c>
      <c r="F968">
        <v>57.809354703559102</v>
      </c>
      <c r="G968" t="s">
        <v>49</v>
      </c>
      <c r="H968">
        <v>24</v>
      </c>
      <c r="I968">
        <v>57</v>
      </c>
      <c r="J968">
        <v>11.3292745443614</v>
      </c>
      <c r="K968" t="b">
        <f t="shared" si="60"/>
        <v>1</v>
      </c>
      <c r="L968">
        <f t="shared" si="61"/>
        <v>417.01850450882949</v>
      </c>
      <c r="M968">
        <f t="shared" si="62"/>
        <v>1668.074018035318</v>
      </c>
      <c r="N968">
        <f t="shared" si="63"/>
        <v>2038.3864500391585</v>
      </c>
    </row>
    <row r="969" spans="1:14" x14ac:dyDescent="0.35">
      <c r="A969" t="s">
        <v>49</v>
      </c>
      <c r="B969">
        <v>24</v>
      </c>
      <c r="C969" t="s">
        <v>50</v>
      </c>
      <c r="D969">
        <v>58</v>
      </c>
      <c r="E969">
        <v>352.21209765257902</v>
      </c>
      <c r="F969">
        <v>58.913320474631</v>
      </c>
      <c r="G969" t="s">
        <v>49</v>
      </c>
      <c r="H969">
        <v>24</v>
      </c>
      <c r="I969">
        <v>58</v>
      </c>
      <c r="J969">
        <v>11.480988727045</v>
      </c>
      <c r="K969" t="b">
        <f t="shared" si="60"/>
        <v>1</v>
      </c>
      <c r="L969">
        <f t="shared" si="61"/>
        <v>422.606406854255</v>
      </c>
      <c r="M969">
        <f t="shared" si="62"/>
        <v>1690.42562741702</v>
      </c>
      <c r="N969">
        <f t="shared" si="63"/>
        <v>2065.7001167035983</v>
      </c>
    </row>
    <row r="970" spans="1:14" x14ac:dyDescent="0.35">
      <c r="A970" t="s">
        <v>49</v>
      </c>
      <c r="B970">
        <v>24</v>
      </c>
      <c r="C970" t="s">
        <v>50</v>
      </c>
      <c r="D970">
        <v>59</v>
      </c>
      <c r="E970">
        <v>355.90831940647502</v>
      </c>
      <c r="F970">
        <v>59.914166563236201</v>
      </c>
      <c r="G970" t="s">
        <v>49</v>
      </c>
      <c r="H970">
        <v>24</v>
      </c>
      <c r="I970">
        <v>59</v>
      </c>
      <c r="J970">
        <v>11.6240558613506</v>
      </c>
      <c r="K970" t="b">
        <f t="shared" si="60"/>
        <v>1</v>
      </c>
      <c r="L970">
        <f t="shared" si="61"/>
        <v>427.44654183106184</v>
      </c>
      <c r="M970">
        <f t="shared" si="62"/>
        <v>1709.7861673242473</v>
      </c>
      <c r="N970">
        <f t="shared" si="63"/>
        <v>2089.3586964702304</v>
      </c>
    </row>
    <row r="971" spans="1:14" x14ac:dyDescent="0.35">
      <c r="A971" t="s">
        <v>49</v>
      </c>
      <c r="B971">
        <v>24</v>
      </c>
      <c r="C971" t="s">
        <v>50</v>
      </c>
      <c r="D971">
        <v>60</v>
      </c>
      <c r="E971">
        <v>359.65029319986701</v>
      </c>
      <c r="F971">
        <v>60.863458530868101</v>
      </c>
      <c r="G971" t="s">
        <v>49</v>
      </c>
      <c r="H971">
        <v>24</v>
      </c>
      <c r="I971">
        <v>60</v>
      </c>
      <c r="J971">
        <v>11.762088130141001</v>
      </c>
      <c r="K971" t="b">
        <f t="shared" si="60"/>
        <v>1</v>
      </c>
      <c r="L971">
        <f t="shared" si="61"/>
        <v>432.27583986087615</v>
      </c>
      <c r="M971">
        <f t="shared" si="62"/>
        <v>1729.1033594435046</v>
      </c>
      <c r="N971">
        <f t="shared" si="63"/>
        <v>2112.9643052399624</v>
      </c>
    </row>
    <row r="972" spans="1:14" x14ac:dyDescent="0.35">
      <c r="A972" t="s">
        <v>49</v>
      </c>
      <c r="B972">
        <v>24</v>
      </c>
      <c r="C972" t="s">
        <v>50</v>
      </c>
      <c r="D972">
        <v>61</v>
      </c>
      <c r="E972">
        <v>363.40821430866998</v>
      </c>
      <c r="F972">
        <v>61.789852238025098</v>
      </c>
      <c r="G972" t="s">
        <v>49</v>
      </c>
      <c r="H972">
        <v>24</v>
      </c>
      <c r="I972">
        <v>61</v>
      </c>
      <c r="J972">
        <v>11.8969707435574</v>
      </c>
      <c r="K972" t="b">
        <f t="shared" si="60"/>
        <v>1</v>
      </c>
      <c r="L972">
        <f t="shared" si="61"/>
        <v>437.09503729025249</v>
      </c>
      <c r="M972">
        <f t="shared" si="62"/>
        <v>1748.38014916101</v>
      </c>
      <c r="N972">
        <f t="shared" si="63"/>
        <v>2136.520542274754</v>
      </c>
    </row>
    <row r="973" spans="1:14" x14ac:dyDescent="0.35">
      <c r="A973" t="s">
        <v>49</v>
      </c>
      <c r="B973">
        <v>24</v>
      </c>
      <c r="C973" t="s">
        <v>50</v>
      </c>
      <c r="D973">
        <v>62</v>
      </c>
      <c r="E973">
        <v>367.165305740191</v>
      </c>
      <c r="F973">
        <v>62.709114131201503</v>
      </c>
      <c r="G973" t="s">
        <v>49</v>
      </c>
      <c r="H973">
        <v>24</v>
      </c>
      <c r="I973">
        <v>62</v>
      </c>
      <c r="J973">
        <v>12.0296977469769</v>
      </c>
      <c r="K973" t="b">
        <f t="shared" si="60"/>
        <v>1</v>
      </c>
      <c r="L973">
        <f t="shared" si="61"/>
        <v>441.90411761836941</v>
      </c>
      <c r="M973">
        <f t="shared" si="62"/>
        <v>1767.6164704734776</v>
      </c>
      <c r="N973">
        <f t="shared" si="63"/>
        <v>2160.0273269185896</v>
      </c>
    </row>
    <row r="974" spans="1:14" x14ac:dyDescent="0.35">
      <c r="A974" t="s">
        <v>49</v>
      </c>
      <c r="B974">
        <v>24</v>
      </c>
      <c r="C974" t="s">
        <v>50</v>
      </c>
      <c r="D974">
        <v>63</v>
      </c>
      <c r="E974">
        <v>370.91212904000798</v>
      </c>
      <c r="F974">
        <v>63.6297678517601</v>
      </c>
      <c r="G974" t="s">
        <v>49</v>
      </c>
      <c r="H974">
        <v>24</v>
      </c>
      <c r="I974">
        <v>63</v>
      </c>
      <c r="J974">
        <v>12.1608038644821</v>
      </c>
      <c r="K974" t="b">
        <f t="shared" si="60"/>
        <v>1</v>
      </c>
      <c r="L974">
        <f t="shared" si="61"/>
        <v>446.70270075625018</v>
      </c>
      <c r="M974">
        <f t="shared" si="62"/>
        <v>1786.8108030250007</v>
      </c>
      <c r="N974">
        <f t="shared" si="63"/>
        <v>2183.4828012965509</v>
      </c>
    </row>
    <row r="975" spans="1:14" x14ac:dyDescent="0.35">
      <c r="A975" t="s">
        <v>49</v>
      </c>
      <c r="B975">
        <v>24</v>
      </c>
      <c r="C975" t="s">
        <v>50</v>
      </c>
      <c r="D975">
        <v>64</v>
      </c>
      <c r="E975">
        <v>374.02523817099899</v>
      </c>
      <c r="F975">
        <v>64.476042296550105</v>
      </c>
      <c r="G975" t="s">
        <v>49</v>
      </c>
      <c r="H975">
        <v>24</v>
      </c>
      <c r="I975">
        <v>64</v>
      </c>
      <c r="J975">
        <v>12.2835164153281</v>
      </c>
      <c r="K975" t="b">
        <f t="shared" si="60"/>
        <v>1</v>
      </c>
      <c r="L975">
        <f t="shared" si="61"/>
        <v>450.78479688287723</v>
      </c>
      <c r="M975">
        <f t="shared" si="62"/>
        <v>1803.1391875315089</v>
      </c>
      <c r="N975">
        <f t="shared" si="63"/>
        <v>2203.436087163504</v>
      </c>
    </row>
    <row r="976" spans="1:14" x14ac:dyDescent="0.35">
      <c r="A976" t="s">
        <v>49</v>
      </c>
      <c r="B976">
        <v>24</v>
      </c>
      <c r="C976" t="s">
        <v>50</v>
      </c>
      <c r="D976">
        <v>65</v>
      </c>
      <c r="E976">
        <v>377.170330893749</v>
      </c>
      <c r="F976">
        <v>65.2858960645911</v>
      </c>
      <c r="G976" t="s">
        <v>49</v>
      </c>
      <c r="H976">
        <v>24</v>
      </c>
      <c r="I976">
        <v>65</v>
      </c>
      <c r="J976">
        <v>12.401210749103999</v>
      </c>
      <c r="K976" t="b">
        <f t="shared" si="60"/>
        <v>1</v>
      </c>
      <c r="L976">
        <f t="shared" si="61"/>
        <v>454.85743770744409</v>
      </c>
      <c r="M976">
        <f t="shared" si="62"/>
        <v>1819.4297508297764</v>
      </c>
      <c r="N976">
        <f t="shared" si="63"/>
        <v>2223.3431555139869</v>
      </c>
    </row>
    <row r="977" spans="1:14" x14ac:dyDescent="0.35">
      <c r="A977" t="s">
        <v>49</v>
      </c>
      <c r="B977">
        <v>24</v>
      </c>
      <c r="C977" t="s">
        <v>50</v>
      </c>
      <c r="D977">
        <v>66</v>
      </c>
      <c r="E977">
        <v>380.32544196457098</v>
      </c>
      <c r="F977">
        <v>66.080309545659901</v>
      </c>
      <c r="G977" t="s">
        <v>49</v>
      </c>
      <c r="H977">
        <v>24</v>
      </c>
      <c r="I977">
        <v>66</v>
      </c>
      <c r="J977">
        <v>12.515710995524501</v>
      </c>
      <c r="K977" t="b">
        <f t="shared" si="60"/>
        <v>1</v>
      </c>
      <c r="L977">
        <f t="shared" si="61"/>
        <v>458.92146250575536</v>
      </c>
      <c r="M977">
        <f t="shared" si="62"/>
        <v>1835.6858500230214</v>
      </c>
      <c r="N977">
        <f t="shared" si="63"/>
        <v>2243.2081087281322</v>
      </c>
    </row>
    <row r="978" spans="1:14" x14ac:dyDescent="0.35">
      <c r="A978" t="s">
        <v>49</v>
      </c>
      <c r="B978">
        <v>24</v>
      </c>
      <c r="C978" t="s">
        <v>50</v>
      </c>
      <c r="D978">
        <v>67</v>
      </c>
      <c r="E978">
        <v>383.47823697206002</v>
      </c>
      <c r="F978">
        <v>66.870745896065898</v>
      </c>
      <c r="G978" t="s">
        <v>49</v>
      </c>
      <c r="H978">
        <v>24</v>
      </c>
      <c r="I978">
        <v>67</v>
      </c>
      <c r="J978">
        <v>12.628020129746901</v>
      </c>
      <c r="K978" t="b">
        <f t="shared" si="60"/>
        <v>1</v>
      </c>
      <c r="L978">
        <f t="shared" si="61"/>
        <v>462.97700299787283</v>
      </c>
      <c r="M978">
        <f t="shared" si="62"/>
        <v>1851.9080119914913</v>
      </c>
      <c r="N978">
        <f t="shared" si="63"/>
        <v>2263.0315906536025</v>
      </c>
    </row>
    <row r="979" spans="1:14" x14ac:dyDescent="0.35">
      <c r="A979" t="s">
        <v>49</v>
      </c>
      <c r="B979">
        <v>24</v>
      </c>
      <c r="C979" t="s">
        <v>50</v>
      </c>
      <c r="D979">
        <v>68</v>
      </c>
      <c r="E979">
        <v>386.62178892376397</v>
      </c>
      <c r="F979">
        <v>67.663340325555396</v>
      </c>
      <c r="G979" t="s">
        <v>49</v>
      </c>
      <c r="H979">
        <v>24</v>
      </c>
      <c r="I979">
        <v>68</v>
      </c>
      <c r="J979">
        <v>12.7387041599252</v>
      </c>
      <c r="K979" t="b">
        <f t="shared" si="60"/>
        <v>1</v>
      </c>
      <c r="L979">
        <f t="shared" si="61"/>
        <v>467.02383340924456</v>
      </c>
      <c r="M979">
        <f t="shared" si="62"/>
        <v>1868.0953336369782</v>
      </c>
      <c r="N979">
        <f t="shared" si="63"/>
        <v>2282.8124977043872</v>
      </c>
    </row>
    <row r="980" spans="1:14" x14ac:dyDescent="0.35">
      <c r="A980" t="s">
        <v>49</v>
      </c>
      <c r="B980">
        <v>24</v>
      </c>
      <c r="C980" t="s">
        <v>50</v>
      </c>
      <c r="D980">
        <v>69</v>
      </c>
      <c r="E980">
        <v>389.31529668565003</v>
      </c>
      <c r="F980">
        <v>68.348325991628798</v>
      </c>
      <c r="G980" t="s">
        <v>49</v>
      </c>
      <c r="H980">
        <v>24</v>
      </c>
      <c r="I980">
        <v>69</v>
      </c>
      <c r="J980">
        <v>12.843096970294299</v>
      </c>
      <c r="K980" t="b">
        <f t="shared" si="60"/>
        <v>1</v>
      </c>
      <c r="L980">
        <f t="shared" si="61"/>
        <v>470.50671964757311</v>
      </c>
      <c r="M980">
        <f t="shared" si="62"/>
        <v>1882.0268785902924</v>
      </c>
      <c r="N980">
        <f t="shared" si="63"/>
        <v>2299.8368456373373</v>
      </c>
    </row>
    <row r="981" spans="1:14" x14ac:dyDescent="0.35">
      <c r="A981" t="s">
        <v>49</v>
      </c>
      <c r="B981">
        <v>24</v>
      </c>
      <c r="C981" t="s">
        <v>50</v>
      </c>
      <c r="D981">
        <v>70</v>
      </c>
      <c r="E981">
        <v>392.06608413472702</v>
      </c>
      <c r="F981">
        <v>68.978551830445895</v>
      </c>
      <c r="G981" t="s">
        <v>49</v>
      </c>
      <c r="H981">
        <v>24</v>
      </c>
      <c r="I981">
        <v>70</v>
      </c>
      <c r="J981">
        <v>12.9440860210265</v>
      </c>
      <c r="K981" t="b">
        <f t="shared" si="60"/>
        <v>1</v>
      </c>
      <c r="L981">
        <f t="shared" si="61"/>
        <v>473.98872198619944</v>
      </c>
      <c r="M981">
        <f t="shared" si="62"/>
        <v>1895.9548879447977</v>
      </c>
      <c r="N981">
        <f t="shared" si="63"/>
        <v>2316.8568730685429</v>
      </c>
    </row>
    <row r="982" spans="1:14" x14ac:dyDescent="0.35">
      <c r="A982" t="s">
        <v>49</v>
      </c>
      <c r="B982">
        <v>24</v>
      </c>
      <c r="C982" t="s">
        <v>50</v>
      </c>
      <c r="D982">
        <v>71</v>
      </c>
      <c r="E982">
        <v>394.84382429509202</v>
      </c>
      <c r="F982">
        <v>69.583288838308704</v>
      </c>
      <c r="G982" t="s">
        <v>49</v>
      </c>
      <c r="H982">
        <v>24</v>
      </c>
      <c r="I982">
        <v>71</v>
      </c>
      <c r="J982">
        <v>13.0431114022201</v>
      </c>
      <c r="K982" t="b">
        <f t="shared" si="60"/>
        <v>1</v>
      </c>
      <c r="L982">
        <f t="shared" si="61"/>
        <v>477.47022453562084</v>
      </c>
      <c r="M982">
        <f t="shared" si="62"/>
        <v>1909.8808981424834</v>
      </c>
      <c r="N982">
        <f t="shared" si="63"/>
        <v>2333.8744575301148</v>
      </c>
    </row>
    <row r="983" spans="1:14" x14ac:dyDescent="0.35">
      <c r="A983" t="s">
        <v>49</v>
      </c>
      <c r="B983">
        <v>24</v>
      </c>
      <c r="C983" t="s">
        <v>50</v>
      </c>
      <c r="D983">
        <v>72</v>
      </c>
      <c r="E983">
        <v>397.63153095455499</v>
      </c>
      <c r="F983">
        <v>70.178615129692801</v>
      </c>
      <c r="G983" t="s">
        <v>49</v>
      </c>
      <c r="H983">
        <v>24</v>
      </c>
      <c r="I983">
        <v>72</v>
      </c>
      <c r="J983">
        <v>13.1408901500341</v>
      </c>
      <c r="K983" t="b">
        <f t="shared" si="60"/>
        <v>1</v>
      </c>
      <c r="L983">
        <f t="shared" si="61"/>
        <v>480.9510362342819</v>
      </c>
      <c r="M983">
        <f t="shared" si="62"/>
        <v>1923.8041449371276</v>
      </c>
      <c r="N983">
        <f t="shared" si="63"/>
        <v>2350.8886651131697</v>
      </c>
    </row>
    <row r="984" spans="1:14" x14ac:dyDescent="0.35">
      <c r="A984" t="s">
        <v>49</v>
      </c>
      <c r="B984">
        <v>24</v>
      </c>
      <c r="C984" t="s">
        <v>50</v>
      </c>
      <c r="D984">
        <v>73</v>
      </c>
      <c r="E984">
        <v>400.41969245920001</v>
      </c>
      <c r="F984">
        <v>70.773233482072101</v>
      </c>
      <c r="G984" t="s">
        <v>49</v>
      </c>
      <c r="H984">
        <v>24</v>
      </c>
      <c r="I984">
        <v>73</v>
      </c>
      <c r="J984">
        <v>13.2377816863335</v>
      </c>
      <c r="K984" t="b">
        <f t="shared" si="60"/>
        <v>1</v>
      </c>
      <c r="L984">
        <f t="shared" si="61"/>
        <v>484.43070762760561</v>
      </c>
      <c r="M984">
        <f t="shared" si="62"/>
        <v>1937.7228305104225</v>
      </c>
      <c r="N984">
        <f t="shared" si="63"/>
        <v>2367.8972988837363</v>
      </c>
    </row>
    <row r="985" spans="1:14" x14ac:dyDescent="0.35">
      <c r="A985" t="s">
        <v>49</v>
      </c>
      <c r="B985">
        <v>24</v>
      </c>
      <c r="C985" t="s">
        <v>50</v>
      </c>
      <c r="D985">
        <v>74</v>
      </c>
      <c r="E985">
        <v>402.86228953376201</v>
      </c>
      <c r="F985">
        <v>71.290567765154606</v>
      </c>
      <c r="G985" t="s">
        <v>49</v>
      </c>
      <c r="H985">
        <v>24</v>
      </c>
      <c r="I985">
        <v>74</v>
      </c>
      <c r="J985">
        <v>13.330073440287</v>
      </c>
      <c r="K985" t="b">
        <f t="shared" si="60"/>
        <v>1</v>
      </c>
      <c r="L985">
        <f t="shared" si="61"/>
        <v>487.4829307392036</v>
      </c>
      <c r="M985">
        <f t="shared" si="62"/>
        <v>1949.9317229568144</v>
      </c>
      <c r="N985">
        <f t="shared" si="63"/>
        <v>2382.8165654532272</v>
      </c>
    </row>
    <row r="986" spans="1:14" x14ac:dyDescent="0.35">
      <c r="A986" t="s">
        <v>49</v>
      </c>
      <c r="B986">
        <v>24</v>
      </c>
      <c r="C986" t="s">
        <v>50</v>
      </c>
      <c r="D986">
        <v>75</v>
      </c>
      <c r="E986">
        <v>405.34888387830603</v>
      </c>
      <c r="F986">
        <v>71.769971214022306</v>
      </c>
      <c r="G986" t="s">
        <v>49</v>
      </c>
      <c r="H986">
        <v>24</v>
      </c>
      <c r="I986">
        <v>75</v>
      </c>
      <c r="J986">
        <v>13.419903285259499</v>
      </c>
      <c r="K986" t="b">
        <f t="shared" si="60"/>
        <v>1</v>
      </c>
      <c r="L986">
        <f t="shared" si="61"/>
        <v>490.53875837758784</v>
      </c>
      <c r="M986">
        <f t="shared" si="62"/>
        <v>1962.1550335103514</v>
      </c>
      <c r="N986">
        <f t="shared" si="63"/>
        <v>2397.7534509496495</v>
      </c>
    </row>
    <row r="987" spans="1:14" x14ac:dyDescent="0.35">
      <c r="A987" t="s">
        <v>49</v>
      </c>
      <c r="B987">
        <v>24</v>
      </c>
      <c r="C987" t="s">
        <v>50</v>
      </c>
      <c r="D987">
        <v>76</v>
      </c>
      <c r="E987">
        <v>407.85682851919103</v>
      </c>
      <c r="F987">
        <v>72.233138081599094</v>
      </c>
      <c r="G987" t="s">
        <v>49</v>
      </c>
      <c r="H987">
        <v>24</v>
      </c>
      <c r="I987">
        <v>76</v>
      </c>
      <c r="J987">
        <v>13.5083348205017</v>
      </c>
      <c r="K987" t="b">
        <f t="shared" si="60"/>
        <v>1</v>
      </c>
      <c r="L987">
        <f t="shared" si="61"/>
        <v>493.59830142129186</v>
      </c>
      <c r="M987">
        <f t="shared" si="62"/>
        <v>1974.3932056851675</v>
      </c>
      <c r="N987">
        <f t="shared" si="63"/>
        <v>2412.7084973472747</v>
      </c>
    </row>
    <row r="988" spans="1:14" x14ac:dyDescent="0.35">
      <c r="A988" t="s">
        <v>49</v>
      </c>
      <c r="B988">
        <v>24</v>
      </c>
      <c r="C988" t="s">
        <v>50</v>
      </c>
      <c r="D988">
        <v>77</v>
      </c>
      <c r="E988">
        <v>410.37346255919698</v>
      </c>
      <c r="F988">
        <v>72.691898706230205</v>
      </c>
      <c r="G988" t="s">
        <v>49</v>
      </c>
      <c r="H988">
        <v>24</v>
      </c>
      <c r="I988">
        <v>77</v>
      </c>
      <c r="J988">
        <v>13.5958959992651</v>
      </c>
      <c r="K988" t="b">
        <f t="shared" si="60"/>
        <v>1</v>
      </c>
      <c r="L988">
        <f t="shared" si="61"/>
        <v>496.66125726469232</v>
      </c>
      <c r="M988">
        <f t="shared" si="62"/>
        <v>1986.6450290587693</v>
      </c>
      <c r="N988">
        <f t="shared" si="63"/>
        <v>2427.680225509816</v>
      </c>
    </row>
    <row r="989" spans="1:14" x14ac:dyDescent="0.35">
      <c r="A989" t="s">
        <v>49</v>
      </c>
      <c r="B989">
        <v>24</v>
      </c>
      <c r="C989" t="s">
        <v>50</v>
      </c>
      <c r="D989">
        <v>78</v>
      </c>
      <c r="E989">
        <v>412.89171282058601</v>
      </c>
      <c r="F989">
        <v>73.152580016944299</v>
      </c>
      <c r="G989" t="s">
        <v>49</v>
      </c>
      <c r="H989">
        <v>24</v>
      </c>
      <c r="I989">
        <v>78</v>
      </c>
      <c r="J989">
        <v>13.6828504868507</v>
      </c>
      <c r="K989" t="b">
        <f t="shared" si="60"/>
        <v>1</v>
      </c>
      <c r="L989">
        <f t="shared" si="61"/>
        <v>499.72714332438102</v>
      </c>
      <c r="M989">
        <f t="shared" si="62"/>
        <v>1998.9085732975241</v>
      </c>
      <c r="N989">
        <f t="shared" si="63"/>
        <v>2442.6662765695742</v>
      </c>
    </row>
    <row r="990" spans="1:14" x14ac:dyDescent="0.35">
      <c r="A990" t="s">
        <v>49</v>
      </c>
      <c r="B990">
        <v>24</v>
      </c>
      <c r="C990" t="s">
        <v>50</v>
      </c>
      <c r="D990">
        <v>79</v>
      </c>
      <c r="E990">
        <v>415.05345683589002</v>
      </c>
      <c r="F990">
        <v>73.683432078957694</v>
      </c>
      <c r="G990" t="s">
        <v>49</v>
      </c>
      <c r="H990">
        <v>24</v>
      </c>
      <c r="I990">
        <v>79</v>
      </c>
      <c r="J990">
        <v>13.7652819219101</v>
      </c>
      <c r="K990" t="b">
        <f t="shared" si="60"/>
        <v>1</v>
      </c>
      <c r="L990">
        <f t="shared" si="61"/>
        <v>502.50217083675784</v>
      </c>
      <c r="M990">
        <f t="shared" si="62"/>
        <v>2010.0086833470314</v>
      </c>
      <c r="N990">
        <f t="shared" si="63"/>
        <v>2456.2306110500722</v>
      </c>
    </row>
    <row r="991" spans="1:14" x14ac:dyDescent="0.35">
      <c r="A991" t="s">
        <v>49</v>
      </c>
      <c r="B991">
        <v>24</v>
      </c>
      <c r="C991" t="s">
        <v>50</v>
      </c>
      <c r="D991">
        <v>80</v>
      </c>
      <c r="E991">
        <v>417.198638601109</v>
      </c>
      <c r="F991">
        <v>74.154660699818905</v>
      </c>
      <c r="G991" t="s">
        <v>49</v>
      </c>
      <c r="H991">
        <v>24</v>
      </c>
      <c r="I991">
        <v>80</v>
      </c>
      <c r="J991">
        <v>13.844627939643001</v>
      </c>
      <c r="K991" t="b">
        <f t="shared" si="60"/>
        <v>1</v>
      </c>
      <c r="L991">
        <f t="shared" si="61"/>
        <v>505.19792724057089</v>
      </c>
      <c r="M991">
        <f t="shared" si="62"/>
        <v>2020.7917089622836</v>
      </c>
      <c r="N991">
        <f t="shared" si="63"/>
        <v>2469.4074683519107</v>
      </c>
    </row>
    <row r="992" spans="1:14" x14ac:dyDescent="0.35">
      <c r="A992" t="s">
        <v>49</v>
      </c>
      <c r="B992">
        <v>24</v>
      </c>
      <c r="C992" t="s">
        <v>50</v>
      </c>
      <c r="D992">
        <v>81</v>
      </c>
      <c r="E992">
        <v>419.31039180071201</v>
      </c>
      <c r="F992">
        <v>74.585378290348103</v>
      </c>
      <c r="G992" t="s">
        <v>49</v>
      </c>
      <c r="H992">
        <v>24</v>
      </c>
      <c r="I992">
        <v>81</v>
      </c>
      <c r="J992">
        <v>13.921572737926001</v>
      </c>
      <c r="K992" t="b">
        <f t="shared" si="60"/>
        <v>1</v>
      </c>
      <c r="L992">
        <f t="shared" si="61"/>
        <v>507.81734282898611</v>
      </c>
      <c r="M992">
        <f t="shared" si="62"/>
        <v>2031.2693713159445</v>
      </c>
      <c r="N992">
        <f t="shared" si="63"/>
        <v>2482.2111717480839</v>
      </c>
    </row>
    <row r="993" spans="1:14" x14ac:dyDescent="0.35">
      <c r="A993" t="s">
        <v>49</v>
      </c>
      <c r="B993">
        <v>24</v>
      </c>
      <c r="C993" t="s">
        <v>50</v>
      </c>
      <c r="D993">
        <v>82</v>
      </c>
      <c r="E993">
        <v>421.379953060905</v>
      </c>
      <c r="F993">
        <v>74.986581633133795</v>
      </c>
      <c r="G993" t="s">
        <v>49</v>
      </c>
      <c r="H993">
        <v>24</v>
      </c>
      <c r="I993">
        <v>82</v>
      </c>
      <c r="J993">
        <v>13.996440125174299</v>
      </c>
      <c r="K993" t="b">
        <f t="shared" si="60"/>
        <v>1</v>
      </c>
      <c r="L993">
        <f t="shared" si="61"/>
        <v>510.36297481921309</v>
      </c>
      <c r="M993">
        <f t="shared" si="62"/>
        <v>2041.4518992768524</v>
      </c>
      <c r="N993">
        <f t="shared" si="63"/>
        <v>2494.6542209163135</v>
      </c>
    </row>
    <row r="994" spans="1:14" x14ac:dyDescent="0.35">
      <c r="A994" t="s">
        <v>49</v>
      </c>
      <c r="B994">
        <v>24</v>
      </c>
      <c r="C994" t="s">
        <v>50</v>
      </c>
      <c r="D994">
        <v>83</v>
      </c>
      <c r="E994">
        <v>423.40306660797501</v>
      </c>
      <c r="F994">
        <v>75.364719941774595</v>
      </c>
      <c r="G994" t="s">
        <v>49</v>
      </c>
      <c r="H994">
        <v>24</v>
      </c>
      <c r="I994">
        <v>83</v>
      </c>
      <c r="J994">
        <v>14.0693868469418</v>
      </c>
      <c r="K994" t="b">
        <f t="shared" si="60"/>
        <v>1</v>
      </c>
      <c r="L994">
        <f t="shared" si="61"/>
        <v>512.83717339669136</v>
      </c>
      <c r="M994">
        <f t="shared" si="62"/>
        <v>2051.3486935867654</v>
      </c>
      <c r="N994">
        <f t="shared" si="63"/>
        <v>2506.7481035630271</v>
      </c>
    </row>
    <row r="995" spans="1:14" x14ac:dyDescent="0.35">
      <c r="A995" t="s">
        <v>49</v>
      </c>
      <c r="B995">
        <v>24</v>
      </c>
      <c r="C995" t="s">
        <v>50</v>
      </c>
      <c r="D995">
        <v>84</v>
      </c>
      <c r="E995">
        <v>425.37797555051401</v>
      </c>
      <c r="F995">
        <v>75.723689408194403</v>
      </c>
      <c r="G995" t="s">
        <v>49</v>
      </c>
      <c r="H995">
        <v>24</v>
      </c>
      <c r="I995">
        <v>84</v>
      </c>
      <c r="J995">
        <v>14.140495634955</v>
      </c>
      <c r="K995" t="b">
        <f t="shared" si="60"/>
        <v>1</v>
      </c>
      <c r="L995">
        <f t="shared" si="61"/>
        <v>515.24216059366336</v>
      </c>
      <c r="M995">
        <f t="shared" si="62"/>
        <v>2060.9686423746534</v>
      </c>
      <c r="N995">
        <f t="shared" si="63"/>
        <v>2518.5036809818266</v>
      </c>
    </row>
    <row r="996" spans="1:14" x14ac:dyDescent="0.35">
      <c r="A996" t="s">
        <v>49</v>
      </c>
      <c r="B996">
        <v>24</v>
      </c>
      <c r="C996" t="s">
        <v>50</v>
      </c>
      <c r="D996">
        <v>85</v>
      </c>
      <c r="E996">
        <v>427.304300016176</v>
      </c>
      <c r="F996">
        <v>76.065948203975594</v>
      </c>
      <c r="G996" t="s">
        <v>49</v>
      </c>
      <c r="H996">
        <v>24</v>
      </c>
      <c r="I996">
        <v>85</v>
      </c>
      <c r="J996">
        <v>14.209818668362299</v>
      </c>
      <c r="K996" t="b">
        <f t="shared" si="60"/>
        <v>1</v>
      </c>
      <c r="L996">
        <f t="shared" si="61"/>
        <v>517.5800668885139</v>
      </c>
      <c r="M996">
        <f t="shared" si="62"/>
        <v>2070.3202675540556</v>
      </c>
      <c r="N996">
        <f t="shared" si="63"/>
        <v>2529.9313669510557</v>
      </c>
    </row>
    <row r="997" spans="1:14" x14ac:dyDescent="0.35">
      <c r="A997" t="s">
        <v>49</v>
      </c>
      <c r="B997">
        <v>24</v>
      </c>
      <c r="C997" t="s">
        <v>50</v>
      </c>
      <c r="D997">
        <v>86</v>
      </c>
      <c r="E997">
        <v>429.18241098065999</v>
      </c>
      <c r="F997">
        <v>76.393139853167398</v>
      </c>
      <c r="G997" t="s">
        <v>49</v>
      </c>
      <c r="H997">
        <v>24</v>
      </c>
      <c r="I997">
        <v>86</v>
      </c>
      <c r="J997">
        <v>14.2773969968912</v>
      </c>
      <c r="K997" t="b">
        <f t="shared" si="60"/>
        <v>1</v>
      </c>
      <c r="L997">
        <f t="shared" si="61"/>
        <v>519.85294783071856</v>
      </c>
      <c r="M997">
        <f t="shared" si="62"/>
        <v>2079.4117913228743</v>
      </c>
      <c r="N997">
        <f t="shared" si="63"/>
        <v>2541.0412089965521</v>
      </c>
    </row>
    <row r="998" spans="1:14" x14ac:dyDescent="0.35">
      <c r="A998" t="s">
        <v>49</v>
      </c>
      <c r="B998">
        <v>24</v>
      </c>
      <c r="C998" t="s">
        <v>50</v>
      </c>
      <c r="D998">
        <v>87</v>
      </c>
      <c r="E998">
        <v>431.01308111299699</v>
      </c>
      <c r="F998">
        <v>76.706441835349807</v>
      </c>
      <c r="G998" t="s">
        <v>49</v>
      </c>
      <c r="H998">
        <v>24</v>
      </c>
      <c r="I998">
        <v>87</v>
      </c>
      <c r="J998">
        <v>14.3432686233603</v>
      </c>
      <c r="K998" t="b">
        <f t="shared" si="60"/>
        <v>1</v>
      </c>
      <c r="L998">
        <f t="shared" si="61"/>
        <v>522.06279157170707</v>
      </c>
      <c r="M998">
        <f t="shared" si="62"/>
        <v>2088.2511662868283</v>
      </c>
      <c r="N998">
        <f t="shared" si="63"/>
        <v>2551.8429252025039</v>
      </c>
    </row>
    <row r="999" spans="1:14" x14ac:dyDescent="0.35">
      <c r="A999" t="s">
        <v>49</v>
      </c>
      <c r="B999">
        <v>24</v>
      </c>
      <c r="C999" t="s">
        <v>50</v>
      </c>
      <c r="D999">
        <v>88</v>
      </c>
      <c r="E999">
        <v>432.79729039405902</v>
      </c>
      <c r="F999">
        <v>77.006760643914106</v>
      </c>
      <c r="G999" t="s">
        <v>49</v>
      </c>
      <c r="H999">
        <v>24</v>
      </c>
      <c r="I999">
        <v>88</v>
      </c>
      <c r="J999">
        <v>14.407471441547001</v>
      </c>
      <c r="K999" t="b">
        <f t="shared" si="60"/>
        <v>1</v>
      </c>
      <c r="L999">
        <f t="shared" si="61"/>
        <v>524.21152247952011</v>
      </c>
      <c r="M999">
        <f t="shared" si="62"/>
        <v>2096.8460899180805</v>
      </c>
      <c r="N999">
        <f t="shared" si="63"/>
        <v>2562.3459218798944</v>
      </c>
    </row>
    <row r="1000" spans="1:14" x14ac:dyDescent="0.35">
      <c r="A1000" t="s">
        <v>49</v>
      </c>
      <c r="B1000">
        <v>24</v>
      </c>
      <c r="C1000" t="s">
        <v>50</v>
      </c>
      <c r="D1000">
        <v>89</v>
      </c>
      <c r="E1000">
        <v>434.53611818131498</v>
      </c>
      <c r="F1000">
        <v>77.294841056087407</v>
      </c>
      <c r="G1000" t="s">
        <v>49</v>
      </c>
      <c r="H1000">
        <v>24</v>
      </c>
      <c r="I1000">
        <v>89</v>
      </c>
      <c r="J1000">
        <v>14.470043979586199</v>
      </c>
      <c r="K1000" t="b">
        <f t="shared" si="60"/>
        <v>1</v>
      </c>
      <c r="L1000">
        <f t="shared" si="61"/>
        <v>526.30100321698865</v>
      </c>
      <c r="M1000">
        <f t="shared" si="62"/>
        <v>2105.2040128679546</v>
      </c>
      <c r="N1000">
        <f t="shared" si="63"/>
        <v>2572.5593037246404</v>
      </c>
    </row>
    <row r="1001" spans="1:14" x14ac:dyDescent="0.35">
      <c r="A1001" t="s">
        <v>49</v>
      </c>
      <c r="B1001">
        <v>24</v>
      </c>
      <c r="C1001" t="s">
        <v>50</v>
      </c>
      <c r="D1001">
        <v>90</v>
      </c>
      <c r="E1001">
        <v>436.23068353577497</v>
      </c>
      <c r="F1001">
        <v>77.571327479452506</v>
      </c>
      <c r="G1001" t="s">
        <v>49</v>
      </c>
      <c r="H1001">
        <v>24</v>
      </c>
      <c r="I1001">
        <v>90</v>
      </c>
      <c r="J1001">
        <v>14.5310253056708</v>
      </c>
      <c r="K1001" t="b">
        <f t="shared" si="60"/>
        <v>1</v>
      </c>
      <c r="L1001">
        <f t="shared" si="61"/>
        <v>528.33303632089826</v>
      </c>
      <c r="M1001">
        <f t="shared" si="62"/>
        <v>2113.332145283593</v>
      </c>
      <c r="N1001">
        <f t="shared" si="63"/>
        <v>2582.4918815365509</v>
      </c>
    </row>
    <row r="1002" spans="1:14" x14ac:dyDescent="0.35">
      <c r="A1002" t="s">
        <v>49</v>
      </c>
      <c r="B1002">
        <v>24</v>
      </c>
      <c r="C1002" t="s">
        <v>50</v>
      </c>
      <c r="D1002">
        <v>91</v>
      </c>
      <c r="E1002">
        <v>437.88211247669602</v>
      </c>
      <c r="F1002">
        <v>77.836798530923602</v>
      </c>
      <c r="G1002" t="s">
        <v>49</v>
      </c>
      <c r="H1002">
        <v>24</v>
      </c>
      <c r="I1002">
        <v>91</v>
      </c>
      <c r="J1002">
        <v>14.5904546878727</v>
      </c>
      <c r="K1002" t="b">
        <f t="shared" si="60"/>
        <v>1</v>
      </c>
      <c r="L1002">
        <f t="shared" si="61"/>
        <v>530.30936569549237</v>
      </c>
      <c r="M1002">
        <f t="shared" si="62"/>
        <v>2121.2374627819695</v>
      </c>
      <c r="N1002">
        <f t="shared" si="63"/>
        <v>2592.1521795195667</v>
      </c>
    </row>
    <row r="1003" spans="1:14" x14ac:dyDescent="0.35">
      <c r="A1003" t="s">
        <v>49</v>
      </c>
      <c r="B1003">
        <v>24</v>
      </c>
      <c r="C1003" t="s">
        <v>50</v>
      </c>
      <c r="D1003">
        <v>92</v>
      </c>
      <c r="E1003">
        <v>439.49152024684599</v>
      </c>
      <c r="F1003">
        <v>78.091786665945307</v>
      </c>
      <c r="G1003" t="s">
        <v>49</v>
      </c>
      <c r="H1003">
        <v>24</v>
      </c>
      <c r="I1003">
        <v>92</v>
      </c>
      <c r="J1003">
        <v>14.6483712438763</v>
      </c>
      <c r="K1003" t="b">
        <f t="shared" si="60"/>
        <v>1</v>
      </c>
      <c r="L1003">
        <f t="shared" si="61"/>
        <v>532.23167815666761</v>
      </c>
      <c r="M1003">
        <f t="shared" si="62"/>
        <v>2128.9267126266705</v>
      </c>
      <c r="N1003">
        <f t="shared" si="63"/>
        <v>2601.5484428297914</v>
      </c>
    </row>
    <row r="1004" spans="1:14" x14ac:dyDescent="0.35">
      <c r="A1004" t="s">
        <v>49</v>
      </c>
      <c r="B1004">
        <v>24</v>
      </c>
      <c r="C1004" t="s">
        <v>50</v>
      </c>
      <c r="D1004">
        <v>93</v>
      </c>
      <c r="E1004">
        <v>441.06000193336098</v>
      </c>
      <c r="F1004">
        <v>78.336789457758698</v>
      </c>
      <c r="G1004" t="s">
        <v>49</v>
      </c>
      <c r="H1004">
        <v>24</v>
      </c>
      <c r="I1004">
        <v>93</v>
      </c>
      <c r="J1004">
        <v>14.7048136581537</v>
      </c>
      <c r="K1004" t="b">
        <f t="shared" si="60"/>
        <v>1</v>
      </c>
      <c r="L1004">
        <f t="shared" si="61"/>
        <v>534.10160504927342</v>
      </c>
      <c r="M1004">
        <f t="shared" si="62"/>
        <v>2136.4064201970937</v>
      </c>
      <c r="N1004">
        <f t="shared" si="63"/>
        <v>2610.6886454808482</v>
      </c>
    </row>
    <row r="1005" spans="1:14" x14ac:dyDescent="0.35">
      <c r="A1005" t="s">
        <v>49</v>
      </c>
      <c r="B1005">
        <v>24</v>
      </c>
      <c r="C1005" t="s">
        <v>50</v>
      </c>
      <c r="D1005">
        <v>94</v>
      </c>
      <c r="E1005">
        <v>442.58862772913398</v>
      </c>
      <c r="F1005">
        <v>78.572276211568195</v>
      </c>
      <c r="G1005" t="s">
        <v>49</v>
      </c>
      <c r="H1005">
        <v>24</v>
      </c>
      <c r="I1005">
        <v>94</v>
      </c>
      <c r="J1005">
        <v>14.7598199788678</v>
      </c>
      <c r="K1005" t="b">
        <f t="shared" si="60"/>
        <v>1</v>
      </c>
      <c r="L1005">
        <f t="shared" si="61"/>
        <v>535.92072391956992</v>
      </c>
      <c r="M1005">
        <f t="shared" si="62"/>
        <v>2143.6828956782797</v>
      </c>
      <c r="N1005">
        <f t="shared" si="63"/>
        <v>2619.5804985188579</v>
      </c>
    </row>
    <row r="1006" spans="1:14" x14ac:dyDescent="0.35">
      <c r="A1006" t="s">
        <v>49</v>
      </c>
      <c r="B1006">
        <v>24</v>
      </c>
      <c r="C1006" t="s">
        <v>50</v>
      </c>
      <c r="D1006">
        <v>95</v>
      </c>
      <c r="E1006">
        <v>444.07844076178299</v>
      </c>
      <c r="F1006">
        <v>78.798691970283002</v>
      </c>
      <c r="G1006" t="s">
        <v>49</v>
      </c>
      <c r="H1006">
        <v>24</v>
      </c>
      <c r="I1006">
        <v>95</v>
      </c>
      <c r="J1006">
        <v>14.813427483561799</v>
      </c>
      <c r="K1006" t="b">
        <f t="shared" si="60"/>
        <v>1</v>
      </c>
      <c r="L1006">
        <f t="shared" si="61"/>
        <v>537.69056021562778</v>
      </c>
      <c r="M1006">
        <f t="shared" si="62"/>
        <v>2150.7622408625111</v>
      </c>
      <c r="N1006">
        <f t="shared" si="63"/>
        <v>2628.2314583339885</v>
      </c>
    </row>
    <row r="1007" spans="1:14" x14ac:dyDescent="0.35">
      <c r="A1007" t="s">
        <v>49</v>
      </c>
      <c r="B1007">
        <v>24</v>
      </c>
      <c r="C1007" t="s">
        <v>50</v>
      </c>
      <c r="D1007">
        <v>96</v>
      </c>
      <c r="E1007">
        <v>445.53045633424301</v>
      </c>
      <c r="F1007">
        <v>79.016460059347295</v>
      </c>
      <c r="G1007" t="s">
        <v>49</v>
      </c>
      <c r="H1007">
        <v>24</v>
      </c>
      <c r="I1007">
        <v>96</v>
      </c>
      <c r="J1007">
        <v>14.865672597269301</v>
      </c>
      <c r="K1007" t="b">
        <f t="shared" si="60"/>
        <v>1</v>
      </c>
      <c r="L1007">
        <f t="shared" si="61"/>
        <v>539.4125889908596</v>
      </c>
      <c r="M1007">
        <f t="shared" si="62"/>
        <v>2157.6503559634384</v>
      </c>
      <c r="N1007">
        <f t="shared" si="63"/>
        <v>2636.6487349873219</v>
      </c>
    </row>
    <row r="1008" spans="1:14" x14ac:dyDescent="0.35">
      <c r="A1008" t="s">
        <v>49</v>
      </c>
      <c r="B1008">
        <v>24</v>
      </c>
      <c r="C1008" t="s">
        <v>50</v>
      </c>
      <c r="D1008">
        <v>97</v>
      </c>
      <c r="E1008">
        <v>446.94566193296401</v>
      </c>
      <c r="F1008">
        <v>79.225983810608199</v>
      </c>
      <c r="G1008" t="s">
        <v>49</v>
      </c>
      <c r="H1008">
        <v>24</v>
      </c>
      <c r="I1008">
        <v>97</v>
      </c>
      <c r="J1008">
        <v>14.916590847980199</v>
      </c>
      <c r="K1008" t="b">
        <f t="shared" si="60"/>
        <v>1</v>
      </c>
      <c r="L1008">
        <f t="shared" si="61"/>
        <v>541.08823659155235</v>
      </c>
      <c r="M1008">
        <f t="shared" si="62"/>
        <v>2164.3529463662094</v>
      </c>
      <c r="N1008">
        <f t="shared" si="63"/>
        <v>2644.8393004595077</v>
      </c>
    </row>
    <row r="1009" spans="1:14" x14ac:dyDescent="0.35">
      <c r="A1009" t="s">
        <v>49</v>
      </c>
      <c r="B1009">
        <v>24</v>
      </c>
      <c r="C1009" t="s">
        <v>50</v>
      </c>
      <c r="D1009">
        <v>98</v>
      </c>
      <c r="E1009">
        <v>448.32501764546998</v>
      </c>
      <c r="F1009">
        <v>79.427647821901004</v>
      </c>
      <c r="G1009" t="s">
        <v>49</v>
      </c>
      <c r="H1009">
        <v>24</v>
      </c>
      <c r="I1009">
        <v>98</v>
      </c>
      <c r="J1009">
        <v>14.966216847602301</v>
      </c>
      <c r="K1009" t="b">
        <f t="shared" si="60"/>
        <v>1</v>
      </c>
      <c r="L1009">
        <f t="shared" si="61"/>
        <v>542.71888231497326</v>
      </c>
      <c r="M1009">
        <f t="shared" si="62"/>
        <v>2170.875529259893</v>
      </c>
      <c r="N1009">
        <f t="shared" si="63"/>
        <v>2652.8098967555893</v>
      </c>
    </row>
    <row r="1010" spans="1:14" x14ac:dyDescent="0.35">
      <c r="A1010" t="s">
        <v>49</v>
      </c>
      <c r="B1010">
        <v>24</v>
      </c>
      <c r="C1010" t="s">
        <v>50</v>
      </c>
      <c r="D1010">
        <v>99</v>
      </c>
      <c r="E1010">
        <v>449.66945678841302</v>
      </c>
      <c r="F1010">
        <v>79.6218189509962</v>
      </c>
      <c r="G1010" t="s">
        <v>49</v>
      </c>
      <c r="H1010">
        <v>24</v>
      </c>
      <c r="I1010">
        <v>99</v>
      </c>
      <c r="J1010">
        <v>15.014584289777501</v>
      </c>
      <c r="K1010" t="b">
        <f t="shared" si="60"/>
        <v>1</v>
      </c>
      <c r="L1010">
        <f t="shared" si="61"/>
        <v>544.30586002918676</v>
      </c>
      <c r="M1010">
        <f t="shared" si="62"/>
        <v>2177.223440116747</v>
      </c>
      <c r="N1010">
        <f t="shared" si="63"/>
        <v>2660.5670438226648</v>
      </c>
    </row>
    <row r="1011" spans="1:14" x14ac:dyDescent="0.35">
      <c r="A1011" t="s">
        <v>49</v>
      </c>
      <c r="B1011">
        <v>24</v>
      </c>
      <c r="C1011" t="s">
        <v>50</v>
      </c>
      <c r="D1011">
        <v>100</v>
      </c>
      <c r="E1011">
        <v>450.97988663620703</v>
      </c>
      <c r="F1011">
        <v>79.808847154423603</v>
      </c>
      <c r="G1011" t="s">
        <v>49</v>
      </c>
      <c r="H1011">
        <v>24</v>
      </c>
      <c r="I1011">
        <v>100</v>
      </c>
      <c r="J1011">
        <v>15.061725958544599</v>
      </c>
      <c r="K1011" t="b">
        <f t="shared" si="60"/>
        <v>1</v>
      </c>
      <c r="L1011">
        <f t="shared" si="61"/>
        <v>545.85045974917523</v>
      </c>
      <c r="M1011">
        <f t="shared" si="62"/>
        <v>2183.4018389967009</v>
      </c>
      <c r="N1011">
        <f t="shared" si="63"/>
        <v>2668.1170472539684</v>
      </c>
    </row>
    <row r="1012" spans="1:14" x14ac:dyDescent="0.35">
      <c r="A1012" t="s">
        <v>51</v>
      </c>
      <c r="B1012">
        <v>2</v>
      </c>
      <c r="C1012" t="s">
        <v>50</v>
      </c>
      <c r="D1012">
        <v>0</v>
      </c>
      <c r="E1012">
        <v>0</v>
      </c>
      <c r="F1012">
        <v>0</v>
      </c>
      <c r="G1012" t="s">
        <v>51</v>
      </c>
      <c r="H1012">
        <v>2</v>
      </c>
      <c r="I1012">
        <v>0</v>
      </c>
      <c r="J1012">
        <v>0</v>
      </c>
      <c r="K1012" t="b">
        <f t="shared" si="60"/>
        <v>1</v>
      </c>
      <c r="L1012">
        <f t="shared" si="61"/>
        <v>0</v>
      </c>
      <c r="M1012">
        <f t="shared" si="62"/>
        <v>0</v>
      </c>
      <c r="N1012">
        <f t="shared" si="63"/>
        <v>0</v>
      </c>
    </row>
    <row r="1013" spans="1:14" x14ac:dyDescent="0.35">
      <c r="A1013" t="s">
        <v>51</v>
      </c>
      <c r="B1013">
        <v>2</v>
      </c>
      <c r="C1013" t="s">
        <v>50</v>
      </c>
      <c r="D1013">
        <v>1</v>
      </c>
      <c r="E1013">
        <v>1.1094484103037999E-3</v>
      </c>
      <c r="F1013" s="19">
        <v>4.4053536292181004E-6</v>
      </c>
      <c r="G1013" t="s">
        <v>51</v>
      </c>
      <c r="H1013">
        <v>2</v>
      </c>
      <c r="I1013">
        <v>1</v>
      </c>
      <c r="J1013" s="19">
        <v>1.49958743662321E-5</v>
      </c>
      <c r="K1013" t="b">
        <f t="shared" si="60"/>
        <v>1</v>
      </c>
      <c r="L1013">
        <f t="shared" si="61"/>
        <v>1.12884963829925E-3</v>
      </c>
      <c r="M1013">
        <f t="shared" si="62"/>
        <v>4.5153985531969998E-3</v>
      </c>
      <c r="N1013">
        <f t="shared" si="63"/>
        <v>5.5178170320067336E-3</v>
      </c>
    </row>
    <row r="1014" spans="1:14" x14ac:dyDescent="0.35">
      <c r="A1014" t="s">
        <v>51</v>
      </c>
      <c r="B1014">
        <v>2</v>
      </c>
      <c r="C1014" t="s">
        <v>50</v>
      </c>
      <c r="D1014">
        <v>2</v>
      </c>
      <c r="E1014">
        <v>2.4962589231835699E-3</v>
      </c>
      <c r="F1014" s="19">
        <v>1.41852386860823E-5</v>
      </c>
      <c r="G1014" t="s">
        <v>51</v>
      </c>
      <c r="H1014">
        <v>2</v>
      </c>
      <c r="I1014">
        <v>2</v>
      </c>
      <c r="J1014" s="19">
        <v>4.3376370298160698E-5</v>
      </c>
      <c r="K1014" t="b">
        <f t="shared" si="60"/>
        <v>1</v>
      </c>
      <c r="L1014">
        <f t="shared" si="61"/>
        <v>2.5538205321678129E-3</v>
      </c>
      <c r="M1014">
        <f t="shared" si="62"/>
        <v>1.0215282128671252E-2</v>
      </c>
      <c r="N1014">
        <f t="shared" si="63"/>
        <v>1.2483074761236269E-2</v>
      </c>
    </row>
    <row r="1015" spans="1:14" x14ac:dyDescent="0.35">
      <c r="A1015" t="s">
        <v>51</v>
      </c>
      <c r="B1015">
        <v>2</v>
      </c>
      <c r="C1015" t="s">
        <v>50</v>
      </c>
      <c r="D1015">
        <v>3</v>
      </c>
      <c r="E1015">
        <v>4.2297720642832997E-3</v>
      </c>
      <c r="F1015" s="19">
        <v>3.0555092236893797E-5</v>
      </c>
      <c r="G1015" t="s">
        <v>51</v>
      </c>
      <c r="H1015">
        <v>2</v>
      </c>
      <c r="I1015">
        <v>3</v>
      </c>
      <c r="J1015" s="19">
        <v>8.5196606837085196E-5</v>
      </c>
      <c r="K1015" t="b">
        <f t="shared" si="60"/>
        <v>1</v>
      </c>
      <c r="L1015">
        <f t="shared" si="61"/>
        <v>4.3455237633572789E-3</v>
      </c>
      <c r="M1015">
        <f t="shared" si="62"/>
        <v>1.7382095053429115E-2</v>
      </c>
      <c r="N1015">
        <f t="shared" si="63"/>
        <v>2.1240920155290378E-2</v>
      </c>
    </row>
    <row r="1016" spans="1:14" x14ac:dyDescent="0.35">
      <c r="A1016" t="s">
        <v>51</v>
      </c>
      <c r="B1016">
        <v>2</v>
      </c>
      <c r="C1016" t="s">
        <v>50</v>
      </c>
      <c r="D1016">
        <v>4</v>
      </c>
      <c r="E1016">
        <v>6.3966634906579504E-3</v>
      </c>
      <c r="F1016" s="19">
        <v>5.5038056488247603E-5</v>
      </c>
      <c r="G1016" t="s">
        <v>51</v>
      </c>
      <c r="H1016">
        <v>2</v>
      </c>
      <c r="I1016">
        <v>4</v>
      </c>
      <c r="J1016" s="19">
        <v>1.4175519815987E-4</v>
      </c>
      <c r="K1016" t="b">
        <f t="shared" si="60"/>
        <v>1</v>
      </c>
      <c r="L1016">
        <f t="shared" si="61"/>
        <v>6.5934567453060679E-3</v>
      </c>
      <c r="M1016">
        <f t="shared" si="62"/>
        <v>2.6373826981224271E-2</v>
      </c>
      <c r="N1016">
        <f t="shared" si="63"/>
        <v>3.2228816571056057E-2</v>
      </c>
    </row>
    <row r="1017" spans="1:14" x14ac:dyDescent="0.35">
      <c r="A1017" t="s">
        <v>51</v>
      </c>
      <c r="B1017">
        <v>2</v>
      </c>
      <c r="C1017" t="s">
        <v>50</v>
      </c>
      <c r="D1017">
        <v>5</v>
      </c>
      <c r="E1017">
        <v>9.1052777736262708E-3</v>
      </c>
      <c r="F1017" s="19">
        <v>8.9541789695894006E-5</v>
      </c>
      <c r="G1017" t="s">
        <v>51</v>
      </c>
      <c r="H1017">
        <v>2</v>
      </c>
      <c r="I1017">
        <v>5</v>
      </c>
      <c r="J1017" s="19">
        <v>2.1541624868992999E-4</v>
      </c>
      <c r="K1017" t="b">
        <f t="shared" si="60"/>
        <v>1</v>
      </c>
      <c r="L1017">
        <f t="shared" si="61"/>
        <v>9.4102358120120942E-3</v>
      </c>
      <c r="M1017">
        <f t="shared" si="62"/>
        <v>3.7640943248048377E-2</v>
      </c>
      <c r="N1017">
        <f t="shared" si="63"/>
        <v>4.5997232649115115E-2</v>
      </c>
    </row>
    <row r="1018" spans="1:14" x14ac:dyDescent="0.35">
      <c r="A1018" t="s">
        <v>51</v>
      </c>
      <c r="B1018">
        <v>2</v>
      </c>
      <c r="C1018" t="s">
        <v>50</v>
      </c>
      <c r="D1018">
        <v>6</v>
      </c>
      <c r="E1018">
        <v>1.24910456273366E-2</v>
      </c>
      <c r="F1018" s="19">
        <v>1.3645448326210001E-4</v>
      </c>
      <c r="G1018" t="s">
        <v>51</v>
      </c>
      <c r="H1018">
        <v>2</v>
      </c>
      <c r="I1018">
        <v>6</v>
      </c>
      <c r="J1018" s="19">
        <v>3.0958867379399002E-4</v>
      </c>
      <c r="K1018" t="b">
        <f t="shared" si="60"/>
        <v>1</v>
      </c>
      <c r="L1018">
        <f t="shared" si="61"/>
        <v>1.2937088784392691E-2</v>
      </c>
      <c r="M1018">
        <f t="shared" si="62"/>
        <v>5.1748355137570763E-2</v>
      </c>
      <c r="N1018">
        <f t="shared" si="63"/>
        <v>6.3236489978111474E-2</v>
      </c>
    </row>
    <row r="1019" spans="1:14" x14ac:dyDescent="0.35">
      <c r="A1019" t="s">
        <v>51</v>
      </c>
      <c r="B1019">
        <v>2</v>
      </c>
      <c r="C1019" t="s">
        <v>50</v>
      </c>
      <c r="D1019">
        <v>7</v>
      </c>
      <c r="E1019">
        <v>1.6723255444474599E-2</v>
      </c>
      <c r="F1019" s="19">
        <v>1.9876488646480999E-4</v>
      </c>
      <c r="G1019" t="s">
        <v>51</v>
      </c>
      <c r="H1019">
        <v>2</v>
      </c>
      <c r="I1019">
        <v>7</v>
      </c>
      <c r="J1019" s="19">
        <v>4.2881707097296E-4</v>
      </c>
      <c r="K1019" t="b">
        <f t="shared" si="60"/>
        <v>1</v>
      </c>
      <c r="L1019">
        <f t="shared" si="61"/>
        <v>1.7350837401912369E-2</v>
      </c>
      <c r="M1019">
        <f t="shared" si="62"/>
        <v>6.9403349607649475E-2</v>
      </c>
      <c r="N1019">
        <f t="shared" si="63"/>
        <v>8.4810893220547662E-2</v>
      </c>
    </row>
    <row r="1020" spans="1:14" x14ac:dyDescent="0.35">
      <c r="A1020" t="s">
        <v>51</v>
      </c>
      <c r="B1020">
        <v>2</v>
      </c>
      <c r="C1020" t="s">
        <v>50</v>
      </c>
      <c r="D1020">
        <v>8</v>
      </c>
      <c r="E1020">
        <v>2.2013517715897098E-2</v>
      </c>
      <c r="F1020" s="19">
        <v>2.8021234062579998E-4</v>
      </c>
      <c r="G1020" t="s">
        <v>51</v>
      </c>
      <c r="H1020">
        <v>2</v>
      </c>
      <c r="I1020">
        <v>8</v>
      </c>
      <c r="J1020" s="19">
        <v>5.7896322118291003E-4</v>
      </c>
      <c r="K1020" t="b">
        <f t="shared" si="60"/>
        <v>1</v>
      </c>
      <c r="L1020">
        <f t="shared" si="61"/>
        <v>2.2872693277705809E-2</v>
      </c>
      <c r="M1020">
        <f t="shared" si="62"/>
        <v>9.1490773110823237E-2</v>
      </c>
      <c r="N1020">
        <f t="shared" si="63"/>
        <v>0.111801724741426</v>
      </c>
    </row>
    <row r="1021" spans="1:14" x14ac:dyDescent="0.35">
      <c r="A1021" t="s">
        <v>51</v>
      </c>
      <c r="B1021">
        <v>2</v>
      </c>
      <c r="C1021" t="s">
        <v>50</v>
      </c>
      <c r="D1021">
        <v>9</v>
      </c>
      <c r="E1021">
        <v>2.8626345555175299E-2</v>
      </c>
      <c r="F1021" s="19">
        <v>3.8547432497992E-4</v>
      </c>
      <c r="G1021" t="s">
        <v>51</v>
      </c>
      <c r="H1021">
        <v>2</v>
      </c>
      <c r="I1021">
        <v>9</v>
      </c>
      <c r="J1021" s="19">
        <v>7.6747279424979001E-4</v>
      </c>
      <c r="K1021" t="b">
        <f t="shared" si="60"/>
        <v>1</v>
      </c>
      <c r="L1021">
        <f t="shared" si="61"/>
        <v>2.977929267440501E-2</v>
      </c>
      <c r="M1021">
        <f t="shared" si="62"/>
        <v>0.11911717069762004</v>
      </c>
      <c r="N1021">
        <f t="shared" si="63"/>
        <v>0.14556118259249168</v>
      </c>
    </row>
    <row r="1022" spans="1:14" x14ac:dyDescent="0.35">
      <c r="A1022" t="s">
        <v>51</v>
      </c>
      <c r="B1022">
        <v>2</v>
      </c>
      <c r="C1022" t="s">
        <v>50</v>
      </c>
      <c r="D1022">
        <v>10</v>
      </c>
      <c r="E1022">
        <v>3.6892380354272801E-2</v>
      </c>
      <c r="F1022" s="19">
        <v>5.2040089207585E-4</v>
      </c>
      <c r="G1022" t="s">
        <v>51</v>
      </c>
      <c r="H1022">
        <v>2</v>
      </c>
      <c r="I1022">
        <v>10</v>
      </c>
      <c r="J1022">
        <v>1.0037323289256101E-3</v>
      </c>
      <c r="K1022" t="b">
        <f t="shared" si="60"/>
        <v>1</v>
      </c>
      <c r="L1022">
        <f t="shared" si="61"/>
        <v>3.8416513575274258E-2</v>
      </c>
      <c r="M1022">
        <f t="shared" si="62"/>
        <v>0.15366605430109703</v>
      </c>
      <c r="N1022">
        <f t="shared" si="63"/>
        <v>0.18777991835594057</v>
      </c>
    </row>
    <row r="1023" spans="1:14" x14ac:dyDescent="0.35">
      <c r="A1023" t="s">
        <v>51</v>
      </c>
      <c r="B1023">
        <v>2</v>
      </c>
      <c r="C1023" t="s">
        <v>50</v>
      </c>
      <c r="D1023">
        <v>11</v>
      </c>
      <c r="E1023">
        <v>4.7224923853144897E-2</v>
      </c>
      <c r="F1023" s="19">
        <v>6.9230771499945002E-4</v>
      </c>
      <c r="G1023" t="s">
        <v>51</v>
      </c>
      <c r="H1023">
        <v>2</v>
      </c>
      <c r="I1023">
        <v>11</v>
      </c>
      <c r="J1023">
        <v>1.29952962100672E-3</v>
      </c>
      <c r="K1023" t="b">
        <f t="shared" si="60"/>
        <v>1</v>
      </c>
      <c r="L1023">
        <f t="shared" si="61"/>
        <v>4.9216761189151068E-2</v>
      </c>
      <c r="M1023">
        <f t="shared" si="62"/>
        <v>0.19686704475660427</v>
      </c>
      <c r="N1023">
        <f t="shared" si="63"/>
        <v>0.24057152869257042</v>
      </c>
    </row>
    <row r="1024" spans="1:14" x14ac:dyDescent="0.35">
      <c r="A1024" t="s">
        <v>51</v>
      </c>
      <c r="B1024">
        <v>2</v>
      </c>
      <c r="C1024" t="s">
        <v>50</v>
      </c>
      <c r="D1024">
        <v>12</v>
      </c>
      <c r="E1024">
        <v>6.0140603226735E-2</v>
      </c>
      <c r="F1024" s="19">
        <v>9.1034239928603996E-4</v>
      </c>
      <c r="G1024" t="s">
        <v>51</v>
      </c>
      <c r="H1024">
        <v>2</v>
      </c>
      <c r="I1024">
        <v>12</v>
      </c>
      <c r="J1024">
        <v>1.66963784431496E-3</v>
      </c>
      <c r="K1024" t="b">
        <f t="shared" si="60"/>
        <v>1</v>
      </c>
      <c r="L1024">
        <f t="shared" si="61"/>
        <v>6.2720583470336003E-2</v>
      </c>
      <c r="M1024">
        <f t="shared" si="62"/>
        <v>0.25088233388134401</v>
      </c>
      <c r="N1024">
        <f t="shared" si="63"/>
        <v>0.30657821200300239</v>
      </c>
    </row>
    <row r="1025" spans="1:14" x14ac:dyDescent="0.35">
      <c r="A1025" t="s">
        <v>51</v>
      </c>
      <c r="B1025">
        <v>2</v>
      </c>
      <c r="C1025" t="s">
        <v>50</v>
      </c>
      <c r="D1025">
        <v>13</v>
      </c>
      <c r="E1025">
        <v>7.6285202443722694E-2</v>
      </c>
      <c r="F1025">
        <v>1.18594237560739E-3</v>
      </c>
      <c r="G1025" t="s">
        <v>51</v>
      </c>
      <c r="H1025">
        <v>2</v>
      </c>
      <c r="I1025">
        <v>13</v>
      </c>
      <c r="J1025">
        <v>2.1325510676785901E-3</v>
      </c>
      <c r="K1025" t="b">
        <f t="shared" si="60"/>
        <v>1</v>
      </c>
      <c r="L1025">
        <f t="shared" si="61"/>
        <v>7.9603695887008677E-2</v>
      </c>
      <c r="M1025">
        <f t="shared" si="62"/>
        <v>0.31841478354803471</v>
      </c>
      <c r="N1025">
        <f t="shared" si="63"/>
        <v>0.38910286549569839</v>
      </c>
    </row>
    <row r="1026" spans="1:14" x14ac:dyDescent="0.35">
      <c r="A1026" t="s">
        <v>51</v>
      </c>
      <c r="B1026">
        <v>2</v>
      </c>
      <c r="C1026" t="s">
        <v>50</v>
      </c>
      <c r="D1026">
        <v>14</v>
      </c>
      <c r="E1026">
        <v>9.6465951464957095E-2</v>
      </c>
      <c r="F1026">
        <v>1.5334072683432899E-3</v>
      </c>
      <c r="G1026" t="s">
        <v>51</v>
      </c>
      <c r="H1026">
        <v>2</v>
      </c>
      <c r="I1026">
        <v>14</v>
      </c>
      <c r="J1026">
        <v>2.7114070578629201E-3</v>
      </c>
      <c r="K1026" t="b">
        <f t="shared" si="60"/>
        <v>1</v>
      </c>
      <c r="L1026">
        <f t="shared" si="61"/>
        <v>0.10071076579116331</v>
      </c>
      <c r="M1026">
        <f t="shared" si="62"/>
        <v>0.40284306316465324</v>
      </c>
      <c r="N1026">
        <f t="shared" si="63"/>
        <v>0.49227422318720626</v>
      </c>
    </row>
    <row r="1027" spans="1:14" x14ac:dyDescent="0.35">
      <c r="A1027" t="s">
        <v>51</v>
      </c>
      <c r="B1027">
        <v>2</v>
      </c>
      <c r="C1027" t="s">
        <v>50</v>
      </c>
      <c r="D1027">
        <v>15</v>
      </c>
      <c r="E1027">
        <v>0.1216918877415</v>
      </c>
      <c r="F1027">
        <v>1.9706143589273699E-3</v>
      </c>
      <c r="G1027" t="s">
        <v>51</v>
      </c>
      <c r="H1027">
        <v>2</v>
      </c>
      <c r="I1027">
        <v>15</v>
      </c>
      <c r="J1027">
        <v>3.4351429980490102E-3</v>
      </c>
      <c r="K1027" t="b">
        <f t="shared" ref="K1027:K1090" si="64">H1027=B1027</f>
        <v>1</v>
      </c>
      <c r="L1027">
        <f t="shared" ref="L1027:L1090" si="65">E1027+F1027+J1027</f>
        <v>0.12709764509847638</v>
      </c>
      <c r="M1027">
        <f t="shared" ref="M1027:M1090" si="66">(L1027*2)*(100/50)</f>
        <v>0.5083905803939055</v>
      </c>
      <c r="N1027">
        <f t="shared" ref="N1027:N1090" si="67">M1027*1.222</f>
        <v>0.62125328924135248</v>
      </c>
    </row>
    <row r="1028" spans="1:14" x14ac:dyDescent="0.35">
      <c r="A1028" t="s">
        <v>51</v>
      </c>
      <c r="B1028">
        <v>2</v>
      </c>
      <c r="C1028" t="s">
        <v>50</v>
      </c>
      <c r="D1028">
        <v>16</v>
      </c>
      <c r="E1028">
        <v>0.15322430808717899</v>
      </c>
      <c r="F1028">
        <v>2.5199129175817402E-3</v>
      </c>
      <c r="G1028" t="s">
        <v>51</v>
      </c>
      <c r="H1028">
        <v>2</v>
      </c>
      <c r="I1028">
        <v>16</v>
      </c>
      <c r="J1028">
        <v>4.3399416120958496E-3</v>
      </c>
      <c r="K1028" t="b">
        <f t="shared" si="64"/>
        <v>1</v>
      </c>
      <c r="L1028">
        <f t="shared" si="65"/>
        <v>0.1600841626168566</v>
      </c>
      <c r="M1028">
        <f t="shared" si="66"/>
        <v>0.64033665046742638</v>
      </c>
      <c r="N1028">
        <f t="shared" si="67"/>
        <v>0.78249138687119502</v>
      </c>
    </row>
    <row r="1029" spans="1:14" x14ac:dyDescent="0.35">
      <c r="A1029" t="s">
        <v>51</v>
      </c>
      <c r="B1029">
        <v>2</v>
      </c>
      <c r="C1029" t="s">
        <v>50</v>
      </c>
      <c r="D1029">
        <v>17</v>
      </c>
      <c r="E1029">
        <v>0.19263983351927699</v>
      </c>
      <c r="F1029">
        <v>3.2092421204612501E-3</v>
      </c>
      <c r="G1029" t="s">
        <v>51</v>
      </c>
      <c r="H1029">
        <v>2</v>
      </c>
      <c r="I1029">
        <v>17</v>
      </c>
      <c r="J1029">
        <v>5.4710398284275501E-3</v>
      </c>
      <c r="K1029" t="b">
        <f t="shared" si="64"/>
        <v>1</v>
      </c>
      <c r="L1029">
        <f t="shared" si="65"/>
        <v>0.20132011546816581</v>
      </c>
      <c r="M1029">
        <f t="shared" si="66"/>
        <v>0.80528046187266322</v>
      </c>
      <c r="N1029">
        <f t="shared" si="67"/>
        <v>0.98405272440839442</v>
      </c>
    </row>
    <row r="1030" spans="1:14" x14ac:dyDescent="0.35">
      <c r="A1030" t="s">
        <v>51</v>
      </c>
      <c r="B1030">
        <v>2</v>
      </c>
      <c r="C1030" t="s">
        <v>50</v>
      </c>
      <c r="D1030">
        <v>18</v>
      </c>
      <c r="E1030">
        <v>0.241909240309401</v>
      </c>
      <c r="F1030">
        <v>4.0735284484853199E-3</v>
      </c>
      <c r="G1030" t="s">
        <v>51</v>
      </c>
      <c r="H1030">
        <v>2</v>
      </c>
      <c r="I1030">
        <v>18</v>
      </c>
      <c r="J1030">
        <v>6.8849903153981196E-3</v>
      </c>
      <c r="K1030" t="b">
        <f t="shared" si="64"/>
        <v>1</v>
      </c>
      <c r="L1030">
        <f t="shared" si="65"/>
        <v>0.25286775907328446</v>
      </c>
      <c r="M1030">
        <f t="shared" si="66"/>
        <v>1.0114710362931378</v>
      </c>
      <c r="N1030">
        <f t="shared" si="67"/>
        <v>1.2360176063502144</v>
      </c>
    </row>
    <row r="1031" spans="1:14" x14ac:dyDescent="0.35">
      <c r="A1031" t="s">
        <v>51</v>
      </c>
      <c r="B1031">
        <v>2</v>
      </c>
      <c r="C1031" t="s">
        <v>50</v>
      </c>
      <c r="D1031">
        <v>19</v>
      </c>
      <c r="E1031">
        <v>0.30349599879705502</v>
      </c>
      <c r="F1031">
        <v>5.1564324382073704E-3</v>
      </c>
      <c r="G1031" t="s">
        <v>51</v>
      </c>
      <c r="H1031">
        <v>2</v>
      </c>
      <c r="I1031">
        <v>19</v>
      </c>
      <c r="J1031">
        <v>8.6524889046686107E-3</v>
      </c>
      <c r="K1031" t="b">
        <f t="shared" si="64"/>
        <v>1</v>
      </c>
      <c r="L1031">
        <f t="shared" si="65"/>
        <v>0.317304920139931</v>
      </c>
      <c r="M1031">
        <f t="shared" si="66"/>
        <v>1.269219680559724</v>
      </c>
      <c r="N1031">
        <f t="shared" si="67"/>
        <v>1.5509864496439827</v>
      </c>
    </row>
    <row r="1032" spans="1:14" x14ac:dyDescent="0.35">
      <c r="A1032" t="s">
        <v>51</v>
      </c>
      <c r="B1032">
        <v>2</v>
      </c>
      <c r="C1032" t="s">
        <v>50</v>
      </c>
      <c r="D1032">
        <v>20</v>
      </c>
      <c r="E1032">
        <v>0.380479446906622</v>
      </c>
      <c r="F1032">
        <v>6.5125321226611301E-3</v>
      </c>
      <c r="G1032" t="s">
        <v>51</v>
      </c>
      <c r="H1032">
        <v>2</v>
      </c>
      <c r="I1032">
        <v>20</v>
      </c>
      <c r="J1032">
        <v>1.0861909237473299E-2</v>
      </c>
      <c r="K1032" t="b">
        <f t="shared" si="64"/>
        <v>1</v>
      </c>
      <c r="L1032">
        <f t="shared" si="65"/>
        <v>0.39785388826675644</v>
      </c>
      <c r="M1032">
        <f t="shared" si="66"/>
        <v>1.5914155530670258</v>
      </c>
      <c r="N1032">
        <f t="shared" si="67"/>
        <v>1.9447098058479055</v>
      </c>
    </row>
    <row r="1033" spans="1:14" x14ac:dyDescent="0.35">
      <c r="A1033" t="s">
        <v>51</v>
      </c>
      <c r="B1033">
        <v>2</v>
      </c>
      <c r="C1033" t="s">
        <v>50</v>
      </c>
      <c r="D1033">
        <v>21</v>
      </c>
      <c r="E1033">
        <v>0.47670875704358201</v>
      </c>
      <c r="F1033">
        <v>8.2100523346104893E-3</v>
      </c>
      <c r="G1033" t="s">
        <v>51</v>
      </c>
      <c r="H1033">
        <v>2</v>
      </c>
      <c r="I1033">
        <v>21</v>
      </c>
      <c r="J1033">
        <v>1.3623721343855101E-2</v>
      </c>
      <c r="K1033" t="b">
        <f t="shared" si="64"/>
        <v>1</v>
      </c>
      <c r="L1033">
        <f t="shared" si="65"/>
        <v>0.49854253072204757</v>
      </c>
      <c r="M1033">
        <f t="shared" si="66"/>
        <v>1.9941701228881903</v>
      </c>
      <c r="N1033">
        <f t="shared" si="67"/>
        <v>2.4368758901693686</v>
      </c>
    </row>
    <row r="1034" spans="1:14" x14ac:dyDescent="0.35">
      <c r="A1034" t="s">
        <v>51</v>
      </c>
      <c r="B1034">
        <v>2</v>
      </c>
      <c r="C1034" t="s">
        <v>50</v>
      </c>
      <c r="D1034">
        <v>22</v>
      </c>
      <c r="E1034">
        <v>0.59699539471478102</v>
      </c>
      <c r="F1034">
        <v>1.03342763377379E-2</v>
      </c>
      <c r="G1034" t="s">
        <v>51</v>
      </c>
      <c r="H1034">
        <v>2</v>
      </c>
      <c r="I1034">
        <v>22</v>
      </c>
      <c r="J1034">
        <v>1.7076015069941101E-2</v>
      </c>
      <c r="K1034" t="b">
        <f t="shared" si="64"/>
        <v>1</v>
      </c>
      <c r="L1034">
        <f t="shared" si="65"/>
        <v>0.62440568612245995</v>
      </c>
      <c r="M1034">
        <f t="shared" si="66"/>
        <v>2.4976227444898398</v>
      </c>
      <c r="N1034">
        <f t="shared" si="67"/>
        <v>3.052094993766584</v>
      </c>
    </row>
    <row r="1035" spans="1:14" x14ac:dyDescent="0.35">
      <c r="A1035" t="s">
        <v>51</v>
      </c>
      <c r="B1035">
        <v>2</v>
      </c>
      <c r="C1035" t="s">
        <v>50</v>
      </c>
      <c r="D1035">
        <v>23</v>
      </c>
      <c r="E1035">
        <v>0.74735369180377997</v>
      </c>
      <c r="F1035">
        <v>1.29918103676921E-2</v>
      </c>
      <c r="G1035" t="s">
        <v>51</v>
      </c>
      <c r="H1035">
        <v>2</v>
      </c>
      <c r="I1035">
        <v>23</v>
      </c>
      <c r="J1035">
        <v>2.13914045157492E-2</v>
      </c>
      <c r="K1035" t="b">
        <f t="shared" si="64"/>
        <v>1</v>
      </c>
      <c r="L1035">
        <f t="shared" si="65"/>
        <v>0.78173690668722129</v>
      </c>
      <c r="M1035">
        <f t="shared" si="66"/>
        <v>3.1269476267488852</v>
      </c>
      <c r="N1035">
        <f t="shared" si="67"/>
        <v>3.8211299998871375</v>
      </c>
    </row>
    <row r="1036" spans="1:14" x14ac:dyDescent="0.35">
      <c r="A1036" t="s">
        <v>51</v>
      </c>
      <c r="B1036">
        <v>2</v>
      </c>
      <c r="C1036" t="s">
        <v>50</v>
      </c>
      <c r="D1036">
        <v>24</v>
      </c>
      <c r="E1036">
        <v>0.93530156316502799</v>
      </c>
      <c r="F1036">
        <v>1.6315914310398499E-2</v>
      </c>
      <c r="G1036" t="s">
        <v>51</v>
      </c>
      <c r="H1036">
        <v>2</v>
      </c>
      <c r="I1036">
        <v>24</v>
      </c>
      <c r="J1036">
        <v>2.6785658699609499E-2</v>
      </c>
      <c r="K1036" t="b">
        <f t="shared" si="64"/>
        <v>1</v>
      </c>
      <c r="L1036">
        <f t="shared" si="65"/>
        <v>0.97840313617503594</v>
      </c>
      <c r="M1036">
        <f t="shared" si="66"/>
        <v>3.9136125447001437</v>
      </c>
      <c r="N1036">
        <f t="shared" si="67"/>
        <v>4.7824345296235755</v>
      </c>
    </row>
    <row r="1037" spans="1:14" x14ac:dyDescent="0.35">
      <c r="A1037" t="s">
        <v>51</v>
      </c>
      <c r="B1037">
        <v>2</v>
      </c>
      <c r="C1037" t="s">
        <v>50</v>
      </c>
      <c r="D1037">
        <v>25</v>
      </c>
      <c r="E1037">
        <v>1.1702364023665901</v>
      </c>
      <c r="F1037">
        <v>2.0473165051887201E-2</v>
      </c>
      <c r="G1037" t="s">
        <v>51</v>
      </c>
      <c r="H1037">
        <v>2</v>
      </c>
      <c r="I1037">
        <v>25</v>
      </c>
      <c r="J1037">
        <v>3.35284899785257E-2</v>
      </c>
      <c r="K1037" t="b">
        <f t="shared" si="64"/>
        <v>1</v>
      </c>
      <c r="L1037">
        <f t="shared" si="65"/>
        <v>1.2242380573970031</v>
      </c>
      <c r="M1037">
        <f t="shared" si="66"/>
        <v>4.8969522295880124</v>
      </c>
      <c r="N1037">
        <f t="shared" si="67"/>
        <v>5.9840756245565512</v>
      </c>
    </row>
    <row r="1038" spans="1:14" x14ac:dyDescent="0.35">
      <c r="A1038" t="s">
        <v>51</v>
      </c>
      <c r="B1038">
        <v>2</v>
      </c>
      <c r="C1038" t="s">
        <v>50</v>
      </c>
      <c r="D1038">
        <v>26</v>
      </c>
      <c r="E1038">
        <v>1.46390495136854</v>
      </c>
      <c r="F1038">
        <v>2.56717856674607E-2</v>
      </c>
      <c r="G1038" t="s">
        <v>51</v>
      </c>
      <c r="H1038">
        <v>2</v>
      </c>
      <c r="I1038">
        <v>26</v>
      </c>
      <c r="J1038">
        <v>4.19570396428154E-2</v>
      </c>
      <c r="K1038" t="b">
        <f t="shared" si="64"/>
        <v>1</v>
      </c>
      <c r="L1038">
        <f t="shared" si="65"/>
        <v>1.5315337766788162</v>
      </c>
      <c r="M1038">
        <f t="shared" si="66"/>
        <v>6.1261351067152647</v>
      </c>
      <c r="N1038">
        <f t="shared" si="67"/>
        <v>7.4861371004060535</v>
      </c>
    </row>
    <row r="1039" spans="1:14" x14ac:dyDescent="0.35">
      <c r="A1039" t="s">
        <v>51</v>
      </c>
      <c r="B1039">
        <v>2</v>
      </c>
      <c r="C1039" t="s">
        <v>50</v>
      </c>
      <c r="D1039">
        <v>27</v>
      </c>
      <c r="E1039">
        <v>1.8309906376209799</v>
      </c>
      <c r="F1039">
        <v>3.2172056909978597E-2</v>
      </c>
      <c r="G1039" t="s">
        <v>51</v>
      </c>
      <c r="H1039">
        <v>2</v>
      </c>
      <c r="I1039">
        <v>27</v>
      </c>
      <c r="J1039">
        <v>5.2492734962876299E-2</v>
      </c>
      <c r="K1039" t="b">
        <f t="shared" si="64"/>
        <v>1</v>
      </c>
      <c r="L1039">
        <f t="shared" si="65"/>
        <v>1.9156554294938348</v>
      </c>
      <c r="M1039">
        <f t="shared" si="66"/>
        <v>7.6626217179753393</v>
      </c>
      <c r="N1039">
        <f t="shared" si="67"/>
        <v>9.3637237393658648</v>
      </c>
    </row>
    <row r="1040" spans="1:14" x14ac:dyDescent="0.35">
      <c r="A1040" t="s">
        <v>51</v>
      </c>
      <c r="B1040">
        <v>2</v>
      </c>
      <c r="C1040" t="s">
        <v>50</v>
      </c>
      <c r="D1040">
        <v>28</v>
      </c>
      <c r="E1040">
        <v>2.28984774543652</v>
      </c>
      <c r="F1040">
        <v>4.0299331571985703E-2</v>
      </c>
      <c r="G1040" t="s">
        <v>51</v>
      </c>
      <c r="H1040">
        <v>2</v>
      </c>
      <c r="I1040">
        <v>28</v>
      </c>
      <c r="J1040">
        <v>6.5662360539063103E-2</v>
      </c>
      <c r="K1040" t="b">
        <f t="shared" si="64"/>
        <v>1</v>
      </c>
      <c r="L1040">
        <f t="shared" si="65"/>
        <v>2.3958094375475687</v>
      </c>
      <c r="M1040">
        <f t="shared" si="66"/>
        <v>9.5832377501902748</v>
      </c>
      <c r="N1040">
        <f t="shared" si="67"/>
        <v>11.710716530732515</v>
      </c>
    </row>
    <row r="1041" spans="1:14" x14ac:dyDescent="0.35">
      <c r="A1041" t="s">
        <v>51</v>
      </c>
      <c r="B1041">
        <v>2</v>
      </c>
      <c r="C1041" t="s">
        <v>50</v>
      </c>
      <c r="D1041">
        <v>29</v>
      </c>
      <c r="E1041">
        <v>2.8634191302059602</v>
      </c>
      <c r="F1041">
        <v>5.0460302440088499E-2</v>
      </c>
      <c r="G1041" t="s">
        <v>51</v>
      </c>
      <c r="H1041">
        <v>2</v>
      </c>
      <c r="I1041">
        <v>29</v>
      </c>
      <c r="J1041">
        <v>8.2124397521177298E-2</v>
      </c>
      <c r="K1041" t="b">
        <f t="shared" si="64"/>
        <v>1</v>
      </c>
      <c r="L1041">
        <f t="shared" si="65"/>
        <v>2.996003830167226</v>
      </c>
      <c r="M1041">
        <f t="shared" si="66"/>
        <v>11.984015320668904</v>
      </c>
      <c r="N1041">
        <f t="shared" si="67"/>
        <v>14.6444667218574</v>
      </c>
    </row>
    <row r="1042" spans="1:14" x14ac:dyDescent="0.35">
      <c r="A1042" t="s">
        <v>51</v>
      </c>
      <c r="B1042">
        <v>2</v>
      </c>
      <c r="C1042" t="s">
        <v>50</v>
      </c>
      <c r="D1042">
        <v>30</v>
      </c>
      <c r="E1042">
        <v>3.5790299999999902</v>
      </c>
      <c r="F1042">
        <v>6.3157963366885797E-2</v>
      </c>
      <c r="G1042" t="s">
        <v>51</v>
      </c>
      <c r="H1042">
        <v>2</v>
      </c>
      <c r="I1042">
        <v>30</v>
      </c>
      <c r="J1042">
        <v>0.102683654933377</v>
      </c>
      <c r="K1042" t="b">
        <f t="shared" si="64"/>
        <v>1</v>
      </c>
      <c r="L1042">
        <f t="shared" si="65"/>
        <v>3.7448716183002531</v>
      </c>
      <c r="M1042">
        <f t="shared" si="66"/>
        <v>14.979486473201012</v>
      </c>
      <c r="N1042">
        <f t="shared" si="67"/>
        <v>18.304932470251636</v>
      </c>
    </row>
    <row r="1043" spans="1:14" x14ac:dyDescent="0.35">
      <c r="A1043" t="s">
        <v>51</v>
      </c>
      <c r="B1043">
        <v>2</v>
      </c>
      <c r="C1043" t="s">
        <v>50</v>
      </c>
      <c r="D1043">
        <v>31</v>
      </c>
      <c r="E1043">
        <v>4.3570799999999901</v>
      </c>
      <c r="F1043">
        <v>7.8564144465879199E-2</v>
      </c>
      <c r="G1043" t="s">
        <v>51</v>
      </c>
      <c r="H1043">
        <v>2</v>
      </c>
      <c r="I1043">
        <v>31</v>
      </c>
      <c r="J1043">
        <v>0.12679679404758901</v>
      </c>
      <c r="K1043" t="b">
        <f t="shared" si="64"/>
        <v>1</v>
      </c>
      <c r="L1043">
        <f t="shared" si="65"/>
        <v>4.5624409385134586</v>
      </c>
      <c r="M1043">
        <f t="shared" si="66"/>
        <v>18.249763754053834</v>
      </c>
      <c r="N1043">
        <f t="shared" si="67"/>
        <v>22.301211307453784</v>
      </c>
    </row>
    <row r="1044" spans="1:14" x14ac:dyDescent="0.35">
      <c r="A1044" t="s">
        <v>51</v>
      </c>
      <c r="B1044">
        <v>2</v>
      </c>
      <c r="C1044" t="s">
        <v>50</v>
      </c>
      <c r="D1044">
        <v>32</v>
      </c>
      <c r="E1044">
        <v>5.1351300000000002</v>
      </c>
      <c r="F1044">
        <v>9.6597590131902805E-2</v>
      </c>
      <c r="G1044" t="s">
        <v>51</v>
      </c>
      <c r="H1044">
        <v>2</v>
      </c>
      <c r="I1044">
        <v>32</v>
      </c>
      <c r="J1044">
        <v>0.15328985393772299</v>
      </c>
      <c r="K1044" t="b">
        <f t="shared" si="64"/>
        <v>1</v>
      </c>
      <c r="L1044">
        <f t="shared" si="65"/>
        <v>5.3850174440696259</v>
      </c>
      <c r="M1044">
        <f t="shared" si="66"/>
        <v>21.540069776278504</v>
      </c>
      <c r="N1044">
        <f t="shared" si="67"/>
        <v>26.321965266612331</v>
      </c>
    </row>
    <row r="1045" spans="1:14" x14ac:dyDescent="0.35">
      <c r="A1045" t="s">
        <v>51</v>
      </c>
      <c r="B1045">
        <v>2</v>
      </c>
      <c r="C1045" t="s">
        <v>50</v>
      </c>
      <c r="D1045">
        <v>33</v>
      </c>
      <c r="E1045">
        <v>5.9131799999999997</v>
      </c>
      <c r="F1045">
        <v>0.117179482427946</v>
      </c>
      <c r="G1045" t="s">
        <v>51</v>
      </c>
      <c r="H1045">
        <v>2</v>
      </c>
      <c r="I1045">
        <v>33</v>
      </c>
      <c r="J1045">
        <v>0.181416445604792</v>
      </c>
      <c r="K1045" t="b">
        <f t="shared" si="64"/>
        <v>1</v>
      </c>
      <c r="L1045">
        <f t="shared" si="65"/>
        <v>6.2117759280327371</v>
      </c>
      <c r="M1045">
        <f t="shared" si="66"/>
        <v>24.847103712130949</v>
      </c>
      <c r="N1045">
        <f t="shared" si="67"/>
        <v>30.363160736224017</v>
      </c>
    </row>
    <row r="1046" spans="1:14" x14ac:dyDescent="0.35">
      <c r="A1046" t="s">
        <v>51</v>
      </c>
      <c r="B1046">
        <v>2</v>
      </c>
      <c r="C1046" t="s">
        <v>50</v>
      </c>
      <c r="D1046">
        <v>34</v>
      </c>
      <c r="E1046">
        <v>6.69123</v>
      </c>
      <c r="F1046">
        <v>0.14023336795510699</v>
      </c>
      <c r="G1046" t="s">
        <v>51</v>
      </c>
      <c r="H1046">
        <v>2</v>
      </c>
      <c r="I1046">
        <v>34</v>
      </c>
      <c r="J1046">
        <v>0.21069058704799601</v>
      </c>
      <c r="K1046" t="b">
        <f t="shared" si="64"/>
        <v>1</v>
      </c>
      <c r="L1046">
        <f t="shared" si="65"/>
        <v>7.0421539550031023</v>
      </c>
      <c r="M1046">
        <f t="shared" si="66"/>
        <v>28.168615820012409</v>
      </c>
      <c r="N1046">
        <f t="shared" si="67"/>
        <v>34.422048532055165</v>
      </c>
    </row>
    <row r="1047" spans="1:14" x14ac:dyDescent="0.35">
      <c r="A1047" t="s">
        <v>51</v>
      </c>
      <c r="B1047">
        <v>2</v>
      </c>
      <c r="C1047" t="s">
        <v>50</v>
      </c>
      <c r="D1047">
        <v>35</v>
      </c>
      <c r="E1047">
        <v>7.4692800000000004</v>
      </c>
      <c r="F1047">
        <v>0.16568508691645401</v>
      </c>
      <c r="G1047" t="s">
        <v>51</v>
      </c>
      <c r="H1047">
        <v>2</v>
      </c>
      <c r="I1047">
        <v>35</v>
      </c>
      <c r="J1047">
        <v>0.24078787671483201</v>
      </c>
      <c r="K1047" t="b">
        <f t="shared" si="64"/>
        <v>1</v>
      </c>
      <c r="L1047">
        <f t="shared" si="65"/>
        <v>7.8757529636312871</v>
      </c>
      <c r="M1047">
        <f t="shared" si="66"/>
        <v>31.503011854525148</v>
      </c>
      <c r="N1047">
        <f t="shared" si="67"/>
        <v>38.496680486229728</v>
      </c>
    </row>
    <row r="1048" spans="1:14" x14ac:dyDescent="0.35">
      <c r="A1048" t="s">
        <v>51</v>
      </c>
      <c r="B1048">
        <v>2</v>
      </c>
      <c r="C1048" t="s">
        <v>50</v>
      </c>
      <c r="D1048">
        <v>36</v>
      </c>
      <c r="E1048">
        <v>8.3167559999999998</v>
      </c>
      <c r="F1048">
        <v>0.19373837830896101</v>
      </c>
      <c r="G1048" t="s">
        <v>51</v>
      </c>
      <c r="H1048">
        <v>2</v>
      </c>
      <c r="I1048">
        <v>36</v>
      </c>
      <c r="J1048">
        <v>0.27242474074376699</v>
      </c>
      <c r="K1048" t="b">
        <f t="shared" si="64"/>
        <v>1</v>
      </c>
      <c r="L1048">
        <f t="shared" si="65"/>
        <v>8.7829191190527283</v>
      </c>
      <c r="M1048">
        <f t="shared" si="66"/>
        <v>35.131676476210913</v>
      </c>
      <c r="N1048">
        <f t="shared" si="67"/>
        <v>42.930908653929734</v>
      </c>
    </row>
    <row r="1049" spans="1:14" x14ac:dyDescent="0.35">
      <c r="A1049" t="s">
        <v>51</v>
      </c>
      <c r="B1049">
        <v>2</v>
      </c>
      <c r="C1049" t="s">
        <v>50</v>
      </c>
      <c r="D1049">
        <v>37</v>
      </c>
      <c r="E1049">
        <v>9.1642320000000002</v>
      </c>
      <c r="F1049">
        <v>0.22431519495969199</v>
      </c>
      <c r="G1049" t="s">
        <v>51</v>
      </c>
      <c r="H1049">
        <v>2</v>
      </c>
      <c r="I1049">
        <v>37</v>
      </c>
      <c r="J1049">
        <v>0.305110264956854</v>
      </c>
      <c r="K1049" t="b">
        <f t="shared" si="64"/>
        <v>1</v>
      </c>
      <c r="L1049">
        <f t="shared" si="65"/>
        <v>9.6936574599165457</v>
      </c>
      <c r="M1049">
        <f t="shared" si="66"/>
        <v>38.774629839666183</v>
      </c>
      <c r="N1049">
        <f t="shared" si="67"/>
        <v>47.382597664072073</v>
      </c>
    </row>
    <row r="1050" spans="1:14" x14ac:dyDescent="0.35">
      <c r="A1050" t="s">
        <v>51</v>
      </c>
      <c r="B1050">
        <v>2</v>
      </c>
      <c r="C1050" t="s">
        <v>50</v>
      </c>
      <c r="D1050">
        <v>38</v>
      </c>
      <c r="E1050">
        <v>10.011708</v>
      </c>
      <c r="F1050">
        <v>0.25733983111090097</v>
      </c>
      <c r="G1050" t="s">
        <v>51</v>
      </c>
      <c r="H1050">
        <v>2</v>
      </c>
      <c r="I1050">
        <v>38</v>
      </c>
      <c r="J1050">
        <v>0.338527255260968</v>
      </c>
      <c r="K1050" t="b">
        <f t="shared" si="64"/>
        <v>1</v>
      </c>
      <c r="L1050">
        <f t="shared" si="65"/>
        <v>10.60757508637187</v>
      </c>
      <c r="M1050">
        <f t="shared" si="66"/>
        <v>42.430300345487481</v>
      </c>
      <c r="N1050">
        <f t="shared" si="67"/>
        <v>51.8498270221857</v>
      </c>
    </row>
    <row r="1051" spans="1:14" x14ac:dyDescent="0.35">
      <c r="A1051" t="s">
        <v>51</v>
      </c>
      <c r="B1051">
        <v>2</v>
      </c>
      <c r="C1051" t="s">
        <v>50</v>
      </c>
      <c r="D1051">
        <v>39</v>
      </c>
      <c r="E1051">
        <v>10.8591839999999</v>
      </c>
      <c r="F1051">
        <v>0.292738852177574</v>
      </c>
      <c r="G1051" t="s">
        <v>51</v>
      </c>
      <c r="H1051">
        <v>2</v>
      </c>
      <c r="I1051">
        <v>39</v>
      </c>
      <c r="J1051">
        <v>0.37246564366672202</v>
      </c>
      <c r="K1051" t="b">
        <f t="shared" si="64"/>
        <v>1</v>
      </c>
      <c r="L1051">
        <f t="shared" si="65"/>
        <v>11.524388495844196</v>
      </c>
      <c r="M1051">
        <f t="shared" si="66"/>
        <v>46.097553983376784</v>
      </c>
      <c r="N1051">
        <f t="shared" si="67"/>
        <v>56.331210967686431</v>
      </c>
    </row>
    <row r="1052" spans="1:14" x14ac:dyDescent="0.35">
      <c r="A1052" t="s">
        <v>51</v>
      </c>
      <c r="B1052">
        <v>2</v>
      </c>
      <c r="C1052" t="s">
        <v>50</v>
      </c>
      <c r="D1052">
        <v>40</v>
      </c>
      <c r="E1052">
        <v>11.706659999999999</v>
      </c>
      <c r="F1052">
        <v>0.330441026612247</v>
      </c>
      <c r="G1052" t="s">
        <v>51</v>
      </c>
      <c r="H1052">
        <v>2</v>
      </c>
      <c r="I1052">
        <v>40</v>
      </c>
      <c r="J1052">
        <v>0.40678279673633999</v>
      </c>
      <c r="K1052" t="b">
        <f t="shared" si="64"/>
        <v>1</v>
      </c>
      <c r="L1052">
        <f t="shared" si="65"/>
        <v>12.443883823348587</v>
      </c>
      <c r="M1052">
        <f t="shared" si="66"/>
        <v>49.775535293394348</v>
      </c>
      <c r="N1052">
        <f t="shared" si="67"/>
        <v>60.825704128527896</v>
      </c>
    </row>
    <row r="1053" spans="1:14" x14ac:dyDescent="0.35">
      <c r="A1053" t="s">
        <v>51</v>
      </c>
      <c r="B1053">
        <v>2</v>
      </c>
      <c r="C1053" t="s">
        <v>50</v>
      </c>
      <c r="D1053">
        <v>41</v>
      </c>
      <c r="E1053">
        <v>12.722913</v>
      </c>
      <c r="F1053">
        <v>0.37104743281387897</v>
      </c>
      <c r="G1053" t="s">
        <v>51</v>
      </c>
      <c r="H1053">
        <v>2</v>
      </c>
      <c r="I1053">
        <v>41</v>
      </c>
      <c r="J1053">
        <v>0.44366079456241098</v>
      </c>
      <c r="K1053" t="b">
        <f t="shared" si="64"/>
        <v>1</v>
      </c>
      <c r="L1053">
        <f t="shared" si="65"/>
        <v>13.537621227376292</v>
      </c>
      <c r="M1053">
        <f t="shared" si="66"/>
        <v>54.150484909505167</v>
      </c>
      <c r="N1053">
        <f t="shared" si="67"/>
        <v>66.171892559415312</v>
      </c>
    </row>
    <row r="1054" spans="1:14" x14ac:dyDescent="0.35">
      <c r="A1054" t="s">
        <v>51</v>
      </c>
      <c r="B1054">
        <v>2</v>
      </c>
      <c r="C1054" t="s">
        <v>50</v>
      </c>
      <c r="D1054">
        <v>42</v>
      </c>
      <c r="E1054">
        <v>13.7391659999999</v>
      </c>
      <c r="F1054">
        <v>0.41447094382946298</v>
      </c>
      <c r="G1054" t="s">
        <v>51</v>
      </c>
      <c r="H1054">
        <v>2</v>
      </c>
      <c r="I1054">
        <v>42</v>
      </c>
      <c r="J1054">
        <v>0.48221368122241298</v>
      </c>
      <c r="K1054" t="b">
        <f t="shared" si="64"/>
        <v>1</v>
      </c>
      <c r="L1054">
        <f t="shared" si="65"/>
        <v>14.635850625051775</v>
      </c>
      <c r="M1054">
        <f t="shared" si="66"/>
        <v>58.543402500207101</v>
      </c>
      <c r="N1054">
        <f t="shared" si="67"/>
        <v>71.540037855253075</v>
      </c>
    </row>
    <row r="1055" spans="1:14" x14ac:dyDescent="0.35">
      <c r="A1055" t="s">
        <v>51</v>
      </c>
      <c r="B1055">
        <v>2</v>
      </c>
      <c r="C1055" t="s">
        <v>50</v>
      </c>
      <c r="D1055">
        <v>43</v>
      </c>
      <c r="E1055">
        <v>14.755419</v>
      </c>
      <c r="F1055">
        <v>0.46062704651457897</v>
      </c>
      <c r="G1055" t="s">
        <v>51</v>
      </c>
      <c r="H1055">
        <v>2</v>
      </c>
      <c r="I1055">
        <v>43</v>
      </c>
      <c r="J1055">
        <v>0.52188968759385601</v>
      </c>
      <c r="K1055" t="b">
        <f t="shared" si="64"/>
        <v>1</v>
      </c>
      <c r="L1055">
        <f t="shared" si="65"/>
        <v>15.737935734108435</v>
      </c>
      <c r="M1055">
        <f t="shared" si="66"/>
        <v>62.951742936433739</v>
      </c>
      <c r="N1055">
        <f t="shared" si="67"/>
        <v>76.927029868322023</v>
      </c>
    </row>
    <row r="1056" spans="1:14" x14ac:dyDescent="0.35">
      <c r="A1056" t="s">
        <v>51</v>
      </c>
      <c r="B1056">
        <v>2</v>
      </c>
      <c r="C1056" t="s">
        <v>50</v>
      </c>
      <c r="D1056">
        <v>44</v>
      </c>
      <c r="E1056">
        <v>15.771672000000001</v>
      </c>
      <c r="F1056">
        <v>0.50943376311914201</v>
      </c>
      <c r="G1056" t="s">
        <v>51</v>
      </c>
      <c r="H1056">
        <v>2</v>
      </c>
      <c r="I1056">
        <v>44</v>
      </c>
      <c r="J1056">
        <v>0.56233757466581002</v>
      </c>
      <c r="K1056" t="b">
        <f t="shared" si="64"/>
        <v>1</v>
      </c>
      <c r="L1056">
        <f t="shared" si="65"/>
        <v>16.843443337784954</v>
      </c>
      <c r="M1056">
        <f t="shared" si="66"/>
        <v>67.373773351139818</v>
      </c>
      <c r="N1056">
        <f t="shared" si="67"/>
        <v>82.33075103509286</v>
      </c>
    </row>
    <row r="1057" spans="1:14" x14ac:dyDescent="0.35">
      <c r="A1057" t="s">
        <v>51</v>
      </c>
      <c r="B1057">
        <v>2</v>
      </c>
      <c r="C1057" t="s">
        <v>50</v>
      </c>
      <c r="D1057">
        <v>45</v>
      </c>
      <c r="E1057">
        <v>16.787925000000001</v>
      </c>
      <c r="F1057">
        <v>0.56081157522556702</v>
      </c>
      <c r="G1057" t="s">
        <v>51</v>
      </c>
      <c r="H1057">
        <v>2</v>
      </c>
      <c r="I1057">
        <v>45</v>
      </c>
      <c r="J1057">
        <v>0.60332834614408004</v>
      </c>
      <c r="K1057" t="b">
        <f t="shared" si="64"/>
        <v>1</v>
      </c>
      <c r="L1057">
        <f t="shared" si="65"/>
        <v>17.952064921369651</v>
      </c>
      <c r="M1057">
        <f t="shared" si="66"/>
        <v>71.808259685478603</v>
      </c>
      <c r="N1057">
        <f t="shared" si="67"/>
        <v>87.749693335654854</v>
      </c>
    </row>
    <row r="1058" spans="1:14" x14ac:dyDescent="0.35">
      <c r="A1058" t="s">
        <v>51</v>
      </c>
      <c r="B1058">
        <v>2</v>
      </c>
      <c r="C1058" t="s">
        <v>50</v>
      </c>
      <c r="D1058">
        <v>46</v>
      </c>
      <c r="E1058">
        <v>17.933453999999902</v>
      </c>
      <c r="F1058">
        <v>0.61519667396880096</v>
      </c>
      <c r="G1058" t="s">
        <v>51</v>
      </c>
      <c r="H1058">
        <v>2</v>
      </c>
      <c r="I1058">
        <v>46</v>
      </c>
      <c r="J1058">
        <v>0.64645629903421997</v>
      </c>
      <c r="K1058" t="b">
        <f t="shared" si="64"/>
        <v>1</v>
      </c>
      <c r="L1058">
        <f t="shared" si="65"/>
        <v>19.195106973002922</v>
      </c>
      <c r="M1058">
        <f t="shared" si="66"/>
        <v>76.780427892011687</v>
      </c>
      <c r="N1058">
        <f t="shared" si="67"/>
        <v>93.825682884038287</v>
      </c>
    </row>
    <row r="1059" spans="1:14" x14ac:dyDescent="0.35">
      <c r="A1059" t="s">
        <v>51</v>
      </c>
      <c r="B1059">
        <v>2</v>
      </c>
      <c r="C1059" t="s">
        <v>50</v>
      </c>
      <c r="D1059">
        <v>47</v>
      </c>
      <c r="E1059">
        <v>19.078983000000001</v>
      </c>
      <c r="F1059">
        <v>0.67249884074973698</v>
      </c>
      <c r="G1059" t="s">
        <v>51</v>
      </c>
      <c r="H1059">
        <v>2</v>
      </c>
      <c r="I1059">
        <v>47</v>
      </c>
      <c r="J1059">
        <v>0.69099197587758499</v>
      </c>
      <c r="K1059" t="b">
        <f t="shared" si="64"/>
        <v>1</v>
      </c>
      <c r="L1059">
        <f t="shared" si="65"/>
        <v>20.44247381662732</v>
      </c>
      <c r="M1059">
        <f t="shared" si="66"/>
        <v>81.76989526650928</v>
      </c>
      <c r="N1059">
        <f t="shared" si="67"/>
        <v>99.922812015674339</v>
      </c>
    </row>
    <row r="1060" spans="1:14" x14ac:dyDescent="0.35">
      <c r="A1060" t="s">
        <v>51</v>
      </c>
      <c r="B1060">
        <v>2</v>
      </c>
      <c r="C1060" t="s">
        <v>50</v>
      </c>
      <c r="D1060">
        <v>48</v>
      </c>
      <c r="E1060">
        <v>20.224512000000001</v>
      </c>
      <c r="F1060">
        <v>0.73263056352724498</v>
      </c>
      <c r="G1060" t="s">
        <v>51</v>
      </c>
      <c r="H1060">
        <v>2</v>
      </c>
      <c r="I1060">
        <v>48</v>
      </c>
      <c r="J1060">
        <v>0.73647834845717297</v>
      </c>
      <c r="K1060" t="b">
        <f t="shared" si="64"/>
        <v>1</v>
      </c>
      <c r="L1060">
        <f t="shared" si="65"/>
        <v>21.693620911984418</v>
      </c>
      <c r="M1060">
        <f t="shared" si="66"/>
        <v>86.774483647937672</v>
      </c>
      <c r="N1060">
        <f t="shared" si="67"/>
        <v>106.03841901777983</v>
      </c>
    </row>
    <row r="1061" spans="1:14" x14ac:dyDescent="0.35">
      <c r="A1061" t="s">
        <v>51</v>
      </c>
      <c r="B1061">
        <v>2</v>
      </c>
      <c r="C1061" t="s">
        <v>50</v>
      </c>
      <c r="D1061">
        <v>49</v>
      </c>
      <c r="E1061">
        <v>21.370041000000001</v>
      </c>
      <c r="F1061">
        <v>0.79550695562142704</v>
      </c>
      <c r="G1061" t="s">
        <v>51</v>
      </c>
      <c r="H1061">
        <v>2</v>
      </c>
      <c r="I1061">
        <v>49</v>
      </c>
      <c r="J1061">
        <v>0.78262254717298696</v>
      </c>
      <c r="K1061" t="b">
        <f t="shared" si="64"/>
        <v>1</v>
      </c>
      <c r="L1061">
        <f t="shared" si="65"/>
        <v>22.948170502794415</v>
      </c>
      <c r="M1061">
        <f t="shared" si="66"/>
        <v>91.792682011177661</v>
      </c>
      <c r="N1061">
        <f t="shared" si="67"/>
        <v>112.1706574176591</v>
      </c>
    </row>
    <row r="1062" spans="1:14" x14ac:dyDescent="0.35">
      <c r="A1062" t="s">
        <v>51</v>
      </c>
      <c r="B1062">
        <v>2</v>
      </c>
      <c r="C1062" t="s">
        <v>50</v>
      </c>
      <c r="D1062">
        <v>50</v>
      </c>
      <c r="E1062">
        <v>22.51557</v>
      </c>
      <c r="F1062">
        <v>0.861045676952784</v>
      </c>
      <c r="G1062" t="s">
        <v>51</v>
      </c>
      <c r="H1062">
        <v>2</v>
      </c>
      <c r="I1062">
        <v>50</v>
      </c>
      <c r="J1062">
        <v>0.82923228013444095</v>
      </c>
      <c r="K1062" t="b">
        <f t="shared" si="64"/>
        <v>1</v>
      </c>
      <c r="L1062">
        <f t="shared" si="65"/>
        <v>24.205847957087226</v>
      </c>
      <c r="M1062">
        <f t="shared" si="66"/>
        <v>96.823391828348903</v>
      </c>
      <c r="N1062">
        <f t="shared" si="67"/>
        <v>118.31818481424236</v>
      </c>
    </row>
    <row r="1063" spans="1:14" x14ac:dyDescent="0.35">
      <c r="A1063" t="s">
        <v>51</v>
      </c>
      <c r="B1063">
        <v>2</v>
      </c>
      <c r="C1063" t="s">
        <v>50</v>
      </c>
      <c r="D1063">
        <v>51</v>
      </c>
      <c r="E1063">
        <v>23.729327999999999</v>
      </c>
      <c r="F1063">
        <v>0.92943777864420096</v>
      </c>
      <c r="G1063" t="s">
        <v>51</v>
      </c>
      <c r="H1063">
        <v>2</v>
      </c>
      <c r="I1063">
        <v>51</v>
      </c>
      <c r="J1063">
        <v>0.87710031728430504</v>
      </c>
      <c r="K1063" t="b">
        <f t="shared" si="64"/>
        <v>1</v>
      </c>
      <c r="L1063">
        <f t="shared" si="65"/>
        <v>25.535866095928505</v>
      </c>
      <c r="M1063">
        <f t="shared" si="66"/>
        <v>102.14346438371402</v>
      </c>
      <c r="N1063">
        <f t="shared" si="67"/>
        <v>124.81931347689853</v>
      </c>
    </row>
    <row r="1064" spans="1:14" x14ac:dyDescent="0.35">
      <c r="A1064" t="s">
        <v>51</v>
      </c>
      <c r="B1064">
        <v>2</v>
      </c>
      <c r="C1064" t="s">
        <v>50</v>
      </c>
      <c r="D1064">
        <v>52</v>
      </c>
      <c r="E1064">
        <v>24.943086000000001</v>
      </c>
      <c r="F1064">
        <v>1.00059765928488</v>
      </c>
      <c r="G1064" t="s">
        <v>51</v>
      </c>
      <c r="H1064">
        <v>2</v>
      </c>
      <c r="I1064">
        <v>52</v>
      </c>
      <c r="J1064">
        <v>0.92580771649368498</v>
      </c>
      <c r="K1064" t="b">
        <f t="shared" si="64"/>
        <v>1</v>
      </c>
      <c r="L1064">
        <f t="shared" si="65"/>
        <v>26.869491375778566</v>
      </c>
      <c r="M1064">
        <f t="shared" si="66"/>
        <v>107.47796550311426</v>
      </c>
      <c r="N1064">
        <f t="shared" si="67"/>
        <v>131.33807384480562</v>
      </c>
    </row>
    <row r="1065" spans="1:14" x14ac:dyDescent="0.35">
      <c r="A1065" t="s">
        <v>51</v>
      </c>
      <c r="B1065">
        <v>2</v>
      </c>
      <c r="C1065" t="s">
        <v>50</v>
      </c>
      <c r="D1065">
        <v>53</v>
      </c>
      <c r="E1065">
        <v>26.141588375122801</v>
      </c>
      <c r="F1065">
        <v>1.08811266360887</v>
      </c>
      <c r="G1065" t="s">
        <v>51</v>
      </c>
      <c r="H1065">
        <v>2</v>
      </c>
      <c r="I1065">
        <v>53</v>
      </c>
      <c r="J1065">
        <v>0.97488286130921198</v>
      </c>
      <c r="K1065" t="b">
        <f t="shared" si="64"/>
        <v>1</v>
      </c>
      <c r="L1065">
        <f t="shared" si="65"/>
        <v>28.204583900040884</v>
      </c>
      <c r="M1065">
        <f t="shared" si="66"/>
        <v>112.81833560016354</v>
      </c>
      <c r="N1065">
        <f t="shared" si="67"/>
        <v>137.86400610339984</v>
      </c>
    </row>
    <row r="1066" spans="1:14" x14ac:dyDescent="0.35">
      <c r="A1066" t="s">
        <v>51</v>
      </c>
      <c r="B1066">
        <v>2</v>
      </c>
      <c r="C1066" t="s">
        <v>50</v>
      </c>
      <c r="D1066">
        <v>54</v>
      </c>
      <c r="E1066">
        <v>27.2635870574655</v>
      </c>
      <c r="F1066">
        <v>1.2461234281534499</v>
      </c>
      <c r="G1066" t="s">
        <v>51</v>
      </c>
      <c r="H1066">
        <v>2</v>
      </c>
      <c r="I1066">
        <v>54</v>
      </c>
      <c r="J1066">
        <v>1.0231932396383401</v>
      </c>
      <c r="K1066" t="b">
        <f t="shared" si="64"/>
        <v>1</v>
      </c>
      <c r="L1066">
        <f t="shared" si="65"/>
        <v>29.532903725257288</v>
      </c>
      <c r="M1066">
        <f t="shared" si="66"/>
        <v>118.13161490102915</v>
      </c>
      <c r="N1066">
        <f t="shared" si="67"/>
        <v>144.35683340905763</v>
      </c>
    </row>
    <row r="1067" spans="1:14" x14ac:dyDescent="0.35">
      <c r="A1067" t="s">
        <v>51</v>
      </c>
      <c r="B1067">
        <v>2</v>
      </c>
      <c r="C1067" t="s">
        <v>50</v>
      </c>
      <c r="D1067">
        <v>55</v>
      </c>
      <c r="E1067">
        <v>28.3550834678576</v>
      </c>
      <c r="F1067">
        <v>1.4300376504975201</v>
      </c>
      <c r="G1067" t="s">
        <v>51</v>
      </c>
      <c r="H1067">
        <v>2</v>
      </c>
      <c r="I1067">
        <v>55</v>
      </c>
      <c r="J1067">
        <v>1.0706269745111301</v>
      </c>
      <c r="K1067" t="b">
        <f t="shared" si="64"/>
        <v>1</v>
      </c>
      <c r="L1067">
        <f t="shared" si="65"/>
        <v>30.85574809286625</v>
      </c>
      <c r="M1067">
        <f t="shared" si="66"/>
        <v>123.422992371465</v>
      </c>
      <c r="N1067">
        <f t="shared" si="67"/>
        <v>150.82289667793023</v>
      </c>
    </row>
    <row r="1068" spans="1:14" x14ac:dyDescent="0.35">
      <c r="A1068" t="s">
        <v>51</v>
      </c>
      <c r="B1068">
        <v>2</v>
      </c>
      <c r="C1068" t="s">
        <v>50</v>
      </c>
      <c r="D1068">
        <v>56</v>
      </c>
      <c r="E1068">
        <v>29.453848547187501</v>
      </c>
      <c r="F1068">
        <v>1.6112476921343299</v>
      </c>
      <c r="G1068" t="s">
        <v>51</v>
      </c>
      <c r="H1068">
        <v>2</v>
      </c>
      <c r="I1068">
        <v>56</v>
      </c>
      <c r="J1068">
        <v>1.1176069379631599</v>
      </c>
      <c r="K1068" t="b">
        <f t="shared" si="64"/>
        <v>1</v>
      </c>
      <c r="L1068">
        <f t="shared" si="65"/>
        <v>32.182703177284992</v>
      </c>
      <c r="M1068">
        <f t="shared" si="66"/>
        <v>128.73081270913997</v>
      </c>
      <c r="N1068">
        <f t="shared" si="67"/>
        <v>157.30905313056903</v>
      </c>
    </row>
    <row r="1069" spans="1:14" x14ac:dyDescent="0.35">
      <c r="A1069" t="s">
        <v>51</v>
      </c>
      <c r="B1069">
        <v>2</v>
      </c>
      <c r="C1069" t="s">
        <v>50</v>
      </c>
      <c r="D1069">
        <v>57</v>
      </c>
      <c r="E1069">
        <v>30.5489221711853</v>
      </c>
      <c r="F1069">
        <v>1.7932935043965801</v>
      </c>
      <c r="G1069" t="s">
        <v>51</v>
      </c>
      <c r="H1069">
        <v>2</v>
      </c>
      <c r="I1069">
        <v>57</v>
      </c>
      <c r="J1069">
        <v>1.1642444321507801</v>
      </c>
      <c r="K1069" t="b">
        <f t="shared" si="64"/>
        <v>1</v>
      </c>
      <c r="L1069">
        <f t="shared" si="65"/>
        <v>33.506460107732664</v>
      </c>
      <c r="M1069">
        <f t="shared" si="66"/>
        <v>134.02584043093066</v>
      </c>
      <c r="N1069">
        <f t="shared" si="67"/>
        <v>163.77957700659726</v>
      </c>
    </row>
    <row r="1070" spans="1:14" x14ac:dyDescent="0.35">
      <c r="A1070" t="s">
        <v>51</v>
      </c>
      <c r="B1070">
        <v>2</v>
      </c>
      <c r="C1070" t="s">
        <v>50</v>
      </c>
      <c r="D1070">
        <v>58</v>
      </c>
      <c r="E1070">
        <v>31.6373781824215</v>
      </c>
      <c r="F1070">
        <v>1.9787793297478999</v>
      </c>
      <c r="G1070" t="s">
        <v>51</v>
      </c>
      <c r="H1070">
        <v>2</v>
      </c>
      <c r="I1070">
        <v>58</v>
      </c>
      <c r="J1070">
        <v>1.2105670823196</v>
      </c>
      <c r="K1070" t="b">
        <f t="shared" si="64"/>
        <v>1</v>
      </c>
      <c r="L1070">
        <f t="shared" si="65"/>
        <v>34.826724594489001</v>
      </c>
      <c r="M1070">
        <f t="shared" si="66"/>
        <v>139.306898377956</v>
      </c>
      <c r="N1070">
        <f t="shared" si="67"/>
        <v>170.23302981786225</v>
      </c>
    </row>
    <row r="1071" spans="1:14" x14ac:dyDescent="0.35">
      <c r="A1071" t="s">
        <v>51</v>
      </c>
      <c r="B1071">
        <v>2</v>
      </c>
      <c r="C1071" t="s">
        <v>50</v>
      </c>
      <c r="D1071">
        <v>59</v>
      </c>
      <c r="E1071">
        <v>32.714722489801403</v>
      </c>
      <c r="F1071">
        <v>2.1715868046100799</v>
      </c>
      <c r="G1071" t="s">
        <v>51</v>
      </c>
      <c r="H1071">
        <v>2</v>
      </c>
      <c r="I1071">
        <v>59</v>
      </c>
      <c r="J1071">
        <v>1.2565299684845299</v>
      </c>
      <c r="K1071" t="b">
        <f t="shared" si="64"/>
        <v>1</v>
      </c>
      <c r="L1071">
        <f t="shared" si="65"/>
        <v>36.142839262896011</v>
      </c>
      <c r="M1071">
        <f t="shared" si="66"/>
        <v>144.57135705158404</v>
      </c>
      <c r="N1071">
        <f t="shared" si="67"/>
        <v>176.66619831703571</v>
      </c>
    </row>
    <row r="1072" spans="1:14" x14ac:dyDescent="0.35">
      <c r="A1072" t="s">
        <v>51</v>
      </c>
      <c r="B1072">
        <v>2</v>
      </c>
      <c r="C1072" t="s">
        <v>50</v>
      </c>
      <c r="D1072">
        <v>60</v>
      </c>
      <c r="E1072">
        <v>33.781634437711297</v>
      </c>
      <c r="F1072">
        <v>2.3707716935244099</v>
      </c>
      <c r="G1072" t="s">
        <v>51</v>
      </c>
      <c r="H1072">
        <v>2</v>
      </c>
      <c r="I1072">
        <v>60</v>
      </c>
      <c r="J1072">
        <v>1.3021123324242401</v>
      </c>
      <c r="K1072" t="b">
        <f t="shared" si="64"/>
        <v>1</v>
      </c>
      <c r="L1072">
        <f t="shared" si="65"/>
        <v>37.454518463659944</v>
      </c>
      <c r="M1072">
        <f t="shared" si="66"/>
        <v>149.81807385463978</v>
      </c>
      <c r="N1072">
        <f t="shared" si="67"/>
        <v>183.07768625036979</v>
      </c>
    </row>
    <row r="1073" spans="1:14" x14ac:dyDescent="0.35">
      <c r="A1073" t="s">
        <v>51</v>
      </c>
      <c r="B1073">
        <v>2</v>
      </c>
      <c r="C1073" t="s">
        <v>50</v>
      </c>
      <c r="D1073">
        <v>61</v>
      </c>
      <c r="E1073">
        <v>34.820673884884698</v>
      </c>
      <c r="F1073">
        <v>2.55934836430548</v>
      </c>
      <c r="G1073" t="s">
        <v>51</v>
      </c>
      <c r="H1073">
        <v>2</v>
      </c>
      <c r="I1073">
        <v>61</v>
      </c>
      <c r="J1073">
        <v>1.34706388700001</v>
      </c>
      <c r="K1073" t="b">
        <f t="shared" si="64"/>
        <v>1</v>
      </c>
      <c r="L1073">
        <f t="shared" si="65"/>
        <v>38.727086136190188</v>
      </c>
      <c r="M1073">
        <f t="shared" si="66"/>
        <v>154.90834454476075</v>
      </c>
      <c r="N1073">
        <f t="shared" si="67"/>
        <v>189.29799703369764</v>
      </c>
    </row>
    <row r="1074" spans="1:14" x14ac:dyDescent="0.35">
      <c r="A1074" t="s">
        <v>51</v>
      </c>
      <c r="B1074">
        <v>2</v>
      </c>
      <c r="C1074" t="s">
        <v>50</v>
      </c>
      <c r="D1074">
        <v>62</v>
      </c>
      <c r="E1074">
        <v>35.8585819423975</v>
      </c>
      <c r="F1074">
        <v>2.7460585081020001</v>
      </c>
      <c r="G1074" t="s">
        <v>51</v>
      </c>
      <c r="H1074">
        <v>2</v>
      </c>
      <c r="I1074">
        <v>62</v>
      </c>
      <c r="J1074">
        <v>1.3915841836462699</v>
      </c>
      <c r="K1074" t="b">
        <f t="shared" si="64"/>
        <v>1</v>
      </c>
      <c r="L1074">
        <f t="shared" si="65"/>
        <v>39.996224634145776</v>
      </c>
      <c r="M1074">
        <f t="shared" si="66"/>
        <v>159.9848985365831</v>
      </c>
      <c r="N1074">
        <f t="shared" si="67"/>
        <v>195.50154601170453</v>
      </c>
    </row>
    <row r="1075" spans="1:14" x14ac:dyDescent="0.35">
      <c r="A1075" t="s">
        <v>51</v>
      </c>
      <c r="B1075">
        <v>2</v>
      </c>
      <c r="C1075" t="s">
        <v>50</v>
      </c>
      <c r="D1075">
        <v>63</v>
      </c>
      <c r="E1075">
        <v>36.891378832229798</v>
      </c>
      <c r="F1075">
        <v>2.9345714206080098</v>
      </c>
      <c r="G1075" t="s">
        <v>51</v>
      </c>
      <c r="H1075">
        <v>2</v>
      </c>
      <c r="I1075">
        <v>63</v>
      </c>
      <c r="J1075">
        <v>1.4357443386139399</v>
      </c>
      <c r="K1075" t="b">
        <f t="shared" si="64"/>
        <v>1</v>
      </c>
      <c r="L1075">
        <f t="shared" si="65"/>
        <v>41.261694591451743</v>
      </c>
      <c r="M1075">
        <f t="shared" si="66"/>
        <v>165.04677836580697</v>
      </c>
      <c r="N1075">
        <f t="shared" si="67"/>
        <v>201.68716316301612</v>
      </c>
    </row>
    <row r="1076" spans="1:14" x14ac:dyDescent="0.35">
      <c r="A1076" t="s">
        <v>51</v>
      </c>
      <c r="B1076">
        <v>2</v>
      </c>
      <c r="C1076" t="s">
        <v>50</v>
      </c>
      <c r="D1076">
        <v>64</v>
      </c>
      <c r="E1076">
        <v>37.9173181174855</v>
      </c>
      <c r="F1076">
        <v>3.1263766891629801</v>
      </c>
      <c r="G1076" t="s">
        <v>51</v>
      </c>
      <c r="H1076">
        <v>2</v>
      </c>
      <c r="I1076">
        <v>64</v>
      </c>
      <c r="J1076">
        <v>1.47956614245632</v>
      </c>
      <c r="K1076" t="b">
        <f t="shared" si="64"/>
        <v>1</v>
      </c>
      <c r="L1076">
        <f t="shared" si="65"/>
        <v>42.523260949104802</v>
      </c>
      <c r="M1076">
        <f t="shared" si="66"/>
        <v>170.09304379641921</v>
      </c>
      <c r="N1076">
        <f t="shared" si="67"/>
        <v>207.85369951922428</v>
      </c>
    </row>
    <row r="1077" spans="1:14" x14ac:dyDescent="0.35">
      <c r="A1077" t="s">
        <v>51</v>
      </c>
      <c r="B1077">
        <v>2</v>
      </c>
      <c r="C1077" t="s">
        <v>50</v>
      </c>
      <c r="D1077">
        <v>65</v>
      </c>
      <c r="E1077">
        <v>38.935602504070197</v>
      </c>
      <c r="F1077">
        <v>3.3220398489851402</v>
      </c>
      <c r="G1077" t="s">
        <v>51</v>
      </c>
      <c r="H1077">
        <v>2</v>
      </c>
      <c r="I1077">
        <v>65</v>
      </c>
      <c r="J1077">
        <v>1.5230533351378099</v>
      </c>
      <c r="K1077" t="b">
        <f t="shared" si="64"/>
        <v>1</v>
      </c>
      <c r="L1077">
        <f t="shared" si="65"/>
        <v>43.780695688193148</v>
      </c>
      <c r="M1077">
        <f t="shared" si="66"/>
        <v>175.12278275277259</v>
      </c>
      <c r="N1077">
        <f t="shared" si="67"/>
        <v>214.00004052388812</v>
      </c>
    </row>
    <row r="1078" spans="1:14" x14ac:dyDescent="0.35">
      <c r="A1078" t="s">
        <v>51</v>
      </c>
      <c r="B1078">
        <v>2</v>
      </c>
      <c r="C1078" t="s">
        <v>50</v>
      </c>
      <c r="D1078">
        <v>66</v>
      </c>
      <c r="E1078">
        <v>39.8924963547449</v>
      </c>
      <c r="F1078">
        <v>3.5048925900311598</v>
      </c>
      <c r="G1078" t="s">
        <v>51</v>
      </c>
      <c r="H1078">
        <v>2</v>
      </c>
      <c r="I1078">
        <v>66</v>
      </c>
      <c r="J1078">
        <v>1.5654825873521001</v>
      </c>
      <c r="K1078" t="b">
        <f t="shared" si="64"/>
        <v>1</v>
      </c>
      <c r="L1078">
        <f t="shared" si="65"/>
        <v>44.962871532128162</v>
      </c>
      <c r="M1078">
        <f t="shared" si="66"/>
        <v>179.85148612851265</v>
      </c>
      <c r="N1078">
        <f t="shared" si="67"/>
        <v>219.77851604904245</v>
      </c>
    </row>
    <row r="1079" spans="1:14" x14ac:dyDescent="0.35">
      <c r="A1079" t="s">
        <v>51</v>
      </c>
      <c r="B1079">
        <v>2</v>
      </c>
      <c r="C1079" t="s">
        <v>50</v>
      </c>
      <c r="D1079">
        <v>67</v>
      </c>
      <c r="E1079">
        <v>40.8498254290446</v>
      </c>
      <c r="F1079">
        <v>3.6845134114259999</v>
      </c>
      <c r="G1079" t="s">
        <v>51</v>
      </c>
      <c r="H1079">
        <v>2</v>
      </c>
      <c r="I1079">
        <v>67</v>
      </c>
      <c r="J1079">
        <v>1.6072252417171899</v>
      </c>
      <c r="K1079" t="b">
        <f t="shared" si="64"/>
        <v>1</v>
      </c>
      <c r="L1079">
        <f t="shared" si="65"/>
        <v>46.141564082187784</v>
      </c>
      <c r="M1079">
        <f t="shared" si="66"/>
        <v>184.56625632875114</v>
      </c>
      <c r="N1079">
        <f t="shared" si="67"/>
        <v>225.53996523373388</v>
      </c>
    </row>
    <row r="1080" spans="1:14" x14ac:dyDescent="0.35">
      <c r="A1080" t="s">
        <v>51</v>
      </c>
      <c r="B1080">
        <v>2</v>
      </c>
      <c r="C1080" t="s">
        <v>50</v>
      </c>
      <c r="D1080">
        <v>68</v>
      </c>
      <c r="E1080">
        <v>41.803424857423302</v>
      </c>
      <c r="F1080">
        <v>3.8647948769893601</v>
      </c>
      <c r="G1080" t="s">
        <v>51</v>
      </c>
      <c r="H1080">
        <v>2</v>
      </c>
      <c r="I1080">
        <v>68</v>
      </c>
      <c r="J1080">
        <v>1.6484565407362199</v>
      </c>
      <c r="K1080" t="b">
        <f t="shared" si="64"/>
        <v>1</v>
      </c>
      <c r="L1080">
        <f t="shared" si="65"/>
        <v>47.316676275148879</v>
      </c>
      <c r="M1080">
        <f t="shared" si="66"/>
        <v>189.26670510059552</v>
      </c>
      <c r="N1080">
        <f t="shared" si="67"/>
        <v>231.28391363292772</v>
      </c>
    </row>
    <row r="1081" spans="1:14" x14ac:dyDescent="0.35">
      <c r="A1081" t="s">
        <v>51</v>
      </c>
      <c r="B1081">
        <v>2</v>
      </c>
      <c r="C1081" t="s">
        <v>50</v>
      </c>
      <c r="D1081">
        <v>69</v>
      </c>
      <c r="E1081">
        <v>42.751547828871402</v>
      </c>
      <c r="F1081">
        <v>4.0472740637944096</v>
      </c>
      <c r="G1081" t="s">
        <v>51</v>
      </c>
      <c r="H1081">
        <v>2</v>
      </c>
      <c r="I1081">
        <v>69</v>
      </c>
      <c r="J1081">
        <v>1.68926428034832</v>
      </c>
      <c r="K1081" t="b">
        <f t="shared" si="64"/>
        <v>1</v>
      </c>
      <c r="L1081">
        <f t="shared" si="65"/>
        <v>48.488086173014132</v>
      </c>
      <c r="M1081">
        <f t="shared" si="66"/>
        <v>193.95234469205653</v>
      </c>
      <c r="N1081">
        <f t="shared" si="67"/>
        <v>237.00976521369307</v>
      </c>
    </row>
    <row r="1082" spans="1:14" x14ac:dyDescent="0.35">
      <c r="A1082" t="s">
        <v>51</v>
      </c>
      <c r="B1082">
        <v>2</v>
      </c>
      <c r="C1082" t="s">
        <v>50</v>
      </c>
      <c r="D1082">
        <v>70</v>
      </c>
      <c r="E1082">
        <v>43.693441534774003</v>
      </c>
      <c r="F1082">
        <v>4.23252200992117</v>
      </c>
      <c r="G1082" t="s">
        <v>51</v>
      </c>
      <c r="H1082">
        <v>2</v>
      </c>
      <c r="I1082">
        <v>70</v>
      </c>
      <c r="J1082">
        <v>1.7296956450607901</v>
      </c>
      <c r="K1082" t="b">
        <f t="shared" si="64"/>
        <v>1</v>
      </c>
      <c r="L1082">
        <f t="shared" si="65"/>
        <v>49.655659189755966</v>
      </c>
      <c r="M1082">
        <f t="shared" si="66"/>
        <v>198.62263675902386</v>
      </c>
      <c r="N1082">
        <f t="shared" si="67"/>
        <v>242.71686211952715</v>
      </c>
    </row>
    <row r="1083" spans="1:14" x14ac:dyDescent="0.35">
      <c r="A1083" t="s">
        <v>51</v>
      </c>
      <c r="B1083">
        <v>2</v>
      </c>
      <c r="C1083" t="s">
        <v>50</v>
      </c>
      <c r="D1083">
        <v>71</v>
      </c>
      <c r="E1083">
        <v>44.565525623883403</v>
      </c>
      <c r="F1083">
        <v>4.4030413989425803</v>
      </c>
      <c r="G1083" t="s">
        <v>51</v>
      </c>
      <c r="H1083">
        <v>2</v>
      </c>
      <c r="I1083">
        <v>71</v>
      </c>
      <c r="J1083">
        <v>1.76892313342246</v>
      </c>
      <c r="K1083" t="b">
        <f t="shared" si="64"/>
        <v>1</v>
      </c>
      <c r="L1083">
        <f t="shared" si="65"/>
        <v>50.737490156248441</v>
      </c>
      <c r="M1083">
        <f t="shared" si="66"/>
        <v>202.94996062499376</v>
      </c>
      <c r="N1083">
        <f t="shared" si="67"/>
        <v>248.00485188374236</v>
      </c>
    </row>
    <row r="1084" spans="1:14" x14ac:dyDescent="0.35">
      <c r="A1084" t="s">
        <v>51</v>
      </c>
      <c r="B1084">
        <v>2</v>
      </c>
      <c r="C1084" t="s">
        <v>50</v>
      </c>
      <c r="D1084">
        <v>72</v>
      </c>
      <c r="E1084">
        <v>45.439646493367597</v>
      </c>
      <c r="F1084">
        <v>4.5691703833982604</v>
      </c>
      <c r="G1084" t="s">
        <v>51</v>
      </c>
      <c r="H1084">
        <v>2</v>
      </c>
      <c r="I1084">
        <v>72</v>
      </c>
      <c r="J1084">
        <v>1.80738773035044</v>
      </c>
      <c r="K1084" t="b">
        <f t="shared" si="64"/>
        <v>1</v>
      </c>
      <c r="L1084">
        <f t="shared" si="65"/>
        <v>51.816204607116298</v>
      </c>
      <c r="M1084">
        <f t="shared" si="66"/>
        <v>207.26481842846519</v>
      </c>
      <c r="N1084">
        <f t="shared" si="67"/>
        <v>253.27760811958447</v>
      </c>
    </row>
    <row r="1085" spans="1:14" x14ac:dyDescent="0.35">
      <c r="A1085" t="s">
        <v>51</v>
      </c>
      <c r="B1085">
        <v>2</v>
      </c>
      <c r="C1085" t="s">
        <v>50</v>
      </c>
      <c r="D1085">
        <v>73</v>
      </c>
      <c r="E1085">
        <v>46.311459501859098</v>
      </c>
      <c r="F1085">
        <v>4.7350119504926296</v>
      </c>
      <c r="G1085" t="s">
        <v>51</v>
      </c>
      <c r="H1085">
        <v>2</v>
      </c>
      <c r="I1085">
        <v>73</v>
      </c>
      <c r="J1085">
        <v>1.8453067336982101</v>
      </c>
      <c r="K1085" t="b">
        <f t="shared" si="64"/>
        <v>1</v>
      </c>
      <c r="L1085">
        <f t="shared" si="65"/>
        <v>52.891778186049933</v>
      </c>
      <c r="M1085">
        <f t="shared" si="66"/>
        <v>211.56711274419973</v>
      </c>
      <c r="N1085">
        <f t="shared" si="67"/>
        <v>258.53501177341207</v>
      </c>
    </row>
    <row r="1086" spans="1:14" x14ac:dyDescent="0.35">
      <c r="A1086" t="s">
        <v>51</v>
      </c>
      <c r="B1086">
        <v>2</v>
      </c>
      <c r="C1086" t="s">
        <v>50</v>
      </c>
      <c r="D1086">
        <v>74</v>
      </c>
      <c r="E1086">
        <v>47.179205373046699</v>
      </c>
      <c r="F1086">
        <v>4.9021539952047801</v>
      </c>
      <c r="G1086" t="s">
        <v>51</v>
      </c>
      <c r="H1086">
        <v>2</v>
      </c>
      <c r="I1086">
        <v>74</v>
      </c>
      <c r="J1086">
        <v>1.88279531911196</v>
      </c>
      <c r="K1086" t="b">
        <f t="shared" si="64"/>
        <v>1</v>
      </c>
      <c r="L1086">
        <f t="shared" si="65"/>
        <v>53.96415468736344</v>
      </c>
      <c r="M1086">
        <f t="shared" si="66"/>
        <v>215.85661874945376</v>
      </c>
      <c r="N1086">
        <f t="shared" si="67"/>
        <v>263.7767881118325</v>
      </c>
    </row>
    <row r="1087" spans="1:14" x14ac:dyDescent="0.35">
      <c r="A1087" t="s">
        <v>51</v>
      </c>
      <c r="B1087">
        <v>2</v>
      </c>
      <c r="C1087" t="s">
        <v>50</v>
      </c>
      <c r="D1087">
        <v>75</v>
      </c>
      <c r="E1087">
        <v>48.042161443883202</v>
      </c>
      <c r="F1087">
        <v>5.0711781916829803</v>
      </c>
      <c r="G1087" t="s">
        <v>51</v>
      </c>
      <c r="H1087">
        <v>2</v>
      </c>
      <c r="I1087">
        <v>75</v>
      </c>
      <c r="J1087">
        <v>1.91991947186157</v>
      </c>
      <c r="K1087" t="b">
        <f t="shared" si="64"/>
        <v>1</v>
      </c>
      <c r="L1087">
        <f t="shared" si="65"/>
        <v>55.033259107427753</v>
      </c>
      <c r="M1087">
        <f t="shared" si="66"/>
        <v>220.13303642971101</v>
      </c>
      <c r="N1087">
        <f t="shared" si="67"/>
        <v>269.00257051710685</v>
      </c>
    </row>
    <row r="1088" spans="1:14" x14ac:dyDescent="0.35">
      <c r="A1088" t="s">
        <v>51</v>
      </c>
      <c r="B1088">
        <v>2</v>
      </c>
      <c r="C1088" t="s">
        <v>50</v>
      </c>
      <c r="D1088">
        <v>76</v>
      </c>
      <c r="E1088">
        <v>48.833714661070204</v>
      </c>
      <c r="F1088">
        <v>5.2305744819026199</v>
      </c>
      <c r="G1088" t="s">
        <v>51</v>
      </c>
      <c r="H1088">
        <v>2</v>
      </c>
      <c r="I1088">
        <v>76</v>
      </c>
      <c r="J1088">
        <v>1.95582362393947</v>
      </c>
      <c r="K1088" t="b">
        <f t="shared" si="64"/>
        <v>1</v>
      </c>
      <c r="L1088">
        <f t="shared" si="65"/>
        <v>56.020112766912298</v>
      </c>
      <c r="M1088">
        <f t="shared" si="66"/>
        <v>224.08045106764919</v>
      </c>
      <c r="N1088">
        <f t="shared" si="67"/>
        <v>273.82631120466732</v>
      </c>
    </row>
    <row r="1089" spans="1:14" x14ac:dyDescent="0.35">
      <c r="A1089" t="s">
        <v>51</v>
      </c>
      <c r="B1089">
        <v>2</v>
      </c>
      <c r="C1089" t="s">
        <v>50</v>
      </c>
      <c r="D1089">
        <v>77</v>
      </c>
      <c r="E1089">
        <v>49.625540226125601</v>
      </c>
      <c r="F1089">
        <v>5.3873647173170198</v>
      </c>
      <c r="G1089" t="s">
        <v>51</v>
      </c>
      <c r="H1089">
        <v>2</v>
      </c>
      <c r="I1089">
        <v>77</v>
      </c>
      <c r="J1089">
        <v>1.99092920003597</v>
      </c>
      <c r="K1089" t="b">
        <f t="shared" si="64"/>
        <v>1</v>
      </c>
      <c r="L1089">
        <f t="shared" si="65"/>
        <v>57.003834143478592</v>
      </c>
      <c r="M1089">
        <f t="shared" si="66"/>
        <v>228.01533657391437</v>
      </c>
      <c r="N1089">
        <f t="shared" si="67"/>
        <v>278.63474129332337</v>
      </c>
    </row>
    <row r="1090" spans="1:14" x14ac:dyDescent="0.35">
      <c r="A1090" t="s">
        <v>51</v>
      </c>
      <c r="B1090">
        <v>2</v>
      </c>
      <c r="C1090" t="s">
        <v>50</v>
      </c>
      <c r="D1090">
        <v>78</v>
      </c>
      <c r="E1090">
        <v>50.414734171167702</v>
      </c>
      <c r="F1090">
        <v>5.5442689416943498</v>
      </c>
      <c r="G1090" t="s">
        <v>51</v>
      </c>
      <c r="H1090">
        <v>2</v>
      </c>
      <c r="I1090">
        <v>78</v>
      </c>
      <c r="J1090">
        <v>2.0254606717516799</v>
      </c>
      <c r="K1090" t="b">
        <f t="shared" si="64"/>
        <v>1</v>
      </c>
      <c r="L1090">
        <f t="shared" si="65"/>
        <v>57.98446378461373</v>
      </c>
      <c r="M1090">
        <f t="shared" si="66"/>
        <v>231.93785513845492</v>
      </c>
      <c r="N1090">
        <f t="shared" si="67"/>
        <v>283.42805897919192</v>
      </c>
    </row>
    <row r="1091" spans="1:14" x14ac:dyDescent="0.35">
      <c r="A1091" t="s">
        <v>51</v>
      </c>
      <c r="B1091">
        <v>2</v>
      </c>
      <c r="C1091" t="s">
        <v>50</v>
      </c>
      <c r="D1091">
        <v>79</v>
      </c>
      <c r="E1091">
        <v>51.200139934874997</v>
      </c>
      <c r="F1091">
        <v>5.7023098478129697</v>
      </c>
      <c r="G1091" t="s">
        <v>51</v>
      </c>
      <c r="H1091">
        <v>2</v>
      </c>
      <c r="I1091">
        <v>79</v>
      </c>
      <c r="J1091">
        <v>2.0595459611135598</v>
      </c>
      <c r="K1091" t="b">
        <f t="shared" ref="K1091:K1154" si="68">H1091=B1091</f>
        <v>1</v>
      </c>
      <c r="L1091">
        <f t="shared" ref="L1091:L1154" si="69">E1091+F1091+J1091</f>
        <v>58.961995743801523</v>
      </c>
      <c r="M1091">
        <f t="shared" ref="M1091:M1154" si="70">(L1091*2)*(100/50)</f>
        <v>235.84798297520609</v>
      </c>
      <c r="N1091">
        <f t="shared" ref="N1091:N1154" si="71">M1091*1.222</f>
        <v>288.20623519570182</v>
      </c>
    </row>
    <row r="1092" spans="1:14" x14ac:dyDescent="0.35">
      <c r="A1092" t="s">
        <v>51</v>
      </c>
      <c r="B1092">
        <v>2</v>
      </c>
      <c r="C1092" t="s">
        <v>50</v>
      </c>
      <c r="D1092">
        <v>80</v>
      </c>
      <c r="E1092">
        <v>51.981288462042997</v>
      </c>
      <c r="F1092">
        <v>5.8618442418150698</v>
      </c>
      <c r="G1092" t="s">
        <v>51</v>
      </c>
      <c r="H1092">
        <v>2</v>
      </c>
      <c r="I1092">
        <v>80</v>
      </c>
      <c r="J1092">
        <v>2.0932627379285602</v>
      </c>
      <c r="K1092" t="b">
        <f t="shared" si="68"/>
        <v>1</v>
      </c>
      <c r="L1092">
        <f t="shared" si="69"/>
        <v>59.93639544178663</v>
      </c>
      <c r="M1092">
        <f t="shared" si="70"/>
        <v>239.74558176714652</v>
      </c>
      <c r="N1092">
        <f t="shared" si="71"/>
        <v>292.96910091945301</v>
      </c>
    </row>
    <row r="1093" spans="1:14" x14ac:dyDescent="0.35">
      <c r="A1093" t="s">
        <v>51</v>
      </c>
      <c r="B1093">
        <v>2</v>
      </c>
      <c r="C1093" t="s">
        <v>50</v>
      </c>
      <c r="D1093">
        <v>81</v>
      </c>
      <c r="E1093">
        <v>52.708136789940198</v>
      </c>
      <c r="F1093">
        <v>6.0094557582112804</v>
      </c>
      <c r="G1093" t="s">
        <v>51</v>
      </c>
      <c r="H1093">
        <v>2</v>
      </c>
      <c r="I1093">
        <v>81</v>
      </c>
      <c r="J1093">
        <v>2.1259870890596999</v>
      </c>
      <c r="K1093" t="b">
        <f t="shared" si="68"/>
        <v>1</v>
      </c>
      <c r="L1093">
        <f t="shared" si="69"/>
        <v>60.843579637211178</v>
      </c>
      <c r="M1093">
        <f t="shared" si="70"/>
        <v>243.37431854884471</v>
      </c>
      <c r="N1093">
        <f t="shared" si="71"/>
        <v>297.40341726668822</v>
      </c>
    </row>
    <row r="1094" spans="1:14" x14ac:dyDescent="0.35">
      <c r="A1094" t="s">
        <v>51</v>
      </c>
      <c r="B1094">
        <v>2</v>
      </c>
      <c r="C1094" t="s">
        <v>50</v>
      </c>
      <c r="D1094">
        <v>82</v>
      </c>
      <c r="E1094">
        <v>53.436718707705701</v>
      </c>
      <c r="F1094">
        <v>6.1534181251876099</v>
      </c>
      <c r="G1094" t="s">
        <v>51</v>
      </c>
      <c r="H1094">
        <v>2</v>
      </c>
      <c r="I1094">
        <v>82</v>
      </c>
      <c r="J1094">
        <v>2.1580781168307399</v>
      </c>
      <c r="K1094" t="b">
        <f t="shared" si="68"/>
        <v>1</v>
      </c>
      <c r="L1094">
        <f t="shared" si="69"/>
        <v>61.748214949724044</v>
      </c>
      <c r="M1094">
        <f t="shared" si="70"/>
        <v>246.99285979889618</v>
      </c>
      <c r="N1094">
        <f t="shared" si="71"/>
        <v>301.82527467425115</v>
      </c>
    </row>
    <row r="1095" spans="1:14" x14ac:dyDescent="0.35">
      <c r="A1095" t="s">
        <v>51</v>
      </c>
      <c r="B1095">
        <v>2</v>
      </c>
      <c r="C1095" t="s">
        <v>50</v>
      </c>
      <c r="D1095">
        <v>83</v>
      </c>
      <c r="E1095">
        <v>54.163686166387699</v>
      </c>
      <c r="F1095">
        <v>6.2968964981235498</v>
      </c>
      <c r="G1095" t="s">
        <v>51</v>
      </c>
      <c r="H1095">
        <v>2</v>
      </c>
      <c r="I1095">
        <v>83</v>
      </c>
      <c r="J1095">
        <v>2.1897167838815501</v>
      </c>
      <c r="K1095" t="b">
        <f t="shared" si="68"/>
        <v>1</v>
      </c>
      <c r="L1095">
        <f t="shared" si="69"/>
        <v>62.650299448392801</v>
      </c>
      <c r="M1095">
        <f t="shared" si="70"/>
        <v>250.6011977935712</v>
      </c>
      <c r="N1095">
        <f t="shared" si="71"/>
        <v>306.23466370374399</v>
      </c>
    </row>
    <row r="1096" spans="1:14" x14ac:dyDescent="0.35">
      <c r="A1096" t="s">
        <v>51</v>
      </c>
      <c r="B1096">
        <v>2</v>
      </c>
      <c r="C1096" t="s">
        <v>50</v>
      </c>
      <c r="D1096">
        <v>84</v>
      </c>
      <c r="E1096">
        <v>54.887735062416198</v>
      </c>
      <c r="F1096">
        <v>6.4410717669078297</v>
      </c>
      <c r="G1096" t="s">
        <v>51</v>
      </c>
      <c r="H1096">
        <v>2</v>
      </c>
      <c r="I1096">
        <v>84</v>
      </c>
      <c r="J1096">
        <v>2.22100221613537</v>
      </c>
      <c r="K1096" t="b">
        <f t="shared" si="68"/>
        <v>1</v>
      </c>
      <c r="L1096">
        <f t="shared" si="69"/>
        <v>63.549809045459398</v>
      </c>
      <c r="M1096">
        <f t="shared" si="70"/>
        <v>254.19923618183759</v>
      </c>
      <c r="N1096">
        <f t="shared" si="71"/>
        <v>310.63146661420552</v>
      </c>
    </row>
    <row r="1097" spans="1:14" x14ac:dyDescent="0.35">
      <c r="A1097" t="s">
        <v>51</v>
      </c>
      <c r="B1097">
        <v>2</v>
      </c>
      <c r="C1097" t="s">
        <v>50</v>
      </c>
      <c r="D1097">
        <v>85</v>
      </c>
      <c r="E1097">
        <v>55.608352886477498</v>
      </c>
      <c r="F1097">
        <v>6.5863582822532996</v>
      </c>
      <c r="G1097" t="s">
        <v>51</v>
      </c>
      <c r="H1097">
        <v>2</v>
      </c>
      <c r="I1097">
        <v>85</v>
      </c>
      <c r="J1097">
        <v>2.2519933635864802</v>
      </c>
      <c r="K1097" t="b">
        <f t="shared" si="68"/>
        <v>1</v>
      </c>
      <c r="L1097">
        <f t="shared" si="69"/>
        <v>64.446704532317284</v>
      </c>
      <c r="M1097">
        <f t="shared" si="70"/>
        <v>257.78681812926914</v>
      </c>
      <c r="N1097">
        <f t="shared" si="71"/>
        <v>315.0154917539669</v>
      </c>
    </row>
    <row r="1098" spans="1:14" x14ac:dyDescent="0.35">
      <c r="A1098" t="s">
        <v>51</v>
      </c>
      <c r="B1098">
        <v>2</v>
      </c>
      <c r="C1098" t="s">
        <v>50</v>
      </c>
      <c r="D1098">
        <v>86</v>
      </c>
      <c r="E1098">
        <v>56.281055408976997</v>
      </c>
      <c r="F1098">
        <v>6.7208388529865797</v>
      </c>
      <c r="G1098" t="s">
        <v>51</v>
      </c>
      <c r="H1098">
        <v>2</v>
      </c>
      <c r="I1098">
        <v>86</v>
      </c>
      <c r="J1098">
        <v>2.2821293866399701</v>
      </c>
      <c r="K1098" t="b">
        <f t="shared" si="68"/>
        <v>1</v>
      </c>
      <c r="L1098">
        <f t="shared" si="69"/>
        <v>65.284023648603551</v>
      </c>
      <c r="M1098">
        <f t="shared" si="70"/>
        <v>261.1360945944142</v>
      </c>
      <c r="N1098">
        <f t="shared" si="71"/>
        <v>319.10830759437414</v>
      </c>
    </row>
    <row r="1099" spans="1:14" x14ac:dyDescent="0.35">
      <c r="A1099" t="s">
        <v>51</v>
      </c>
      <c r="B1099">
        <v>2</v>
      </c>
      <c r="C1099" t="s">
        <v>50</v>
      </c>
      <c r="D1099">
        <v>87</v>
      </c>
      <c r="E1099">
        <v>56.955476001691899</v>
      </c>
      <c r="F1099">
        <v>6.8520310182591597</v>
      </c>
      <c r="G1099" t="s">
        <v>51</v>
      </c>
      <c r="H1099">
        <v>2</v>
      </c>
      <c r="I1099">
        <v>87</v>
      </c>
      <c r="J1099">
        <v>2.3117231901358601</v>
      </c>
      <c r="K1099" t="b">
        <f t="shared" si="68"/>
        <v>1</v>
      </c>
      <c r="L1099">
        <f t="shared" si="69"/>
        <v>66.119230210086926</v>
      </c>
      <c r="M1099">
        <f t="shared" si="70"/>
        <v>264.4769208403477</v>
      </c>
      <c r="N1099">
        <f t="shared" si="71"/>
        <v>323.19079726690489</v>
      </c>
    </row>
    <row r="1100" spans="1:14" x14ac:dyDescent="0.35">
      <c r="A1100" t="s">
        <v>51</v>
      </c>
      <c r="B1100">
        <v>2</v>
      </c>
      <c r="C1100" t="s">
        <v>50</v>
      </c>
      <c r="D1100">
        <v>88</v>
      </c>
      <c r="E1100">
        <v>57.628614366215899</v>
      </c>
      <c r="F1100">
        <v>6.98276904714427</v>
      </c>
      <c r="G1100" t="s">
        <v>51</v>
      </c>
      <c r="H1100">
        <v>2</v>
      </c>
      <c r="I1100">
        <v>88</v>
      </c>
      <c r="J1100">
        <v>2.3409312458519902</v>
      </c>
      <c r="K1100" t="b">
        <f t="shared" si="68"/>
        <v>1</v>
      </c>
      <c r="L1100">
        <f t="shared" si="69"/>
        <v>66.952314659212163</v>
      </c>
      <c r="M1100">
        <f t="shared" si="70"/>
        <v>267.80925863684865</v>
      </c>
      <c r="N1100">
        <f t="shared" si="71"/>
        <v>327.26291405422904</v>
      </c>
    </row>
    <row r="1101" spans="1:14" x14ac:dyDescent="0.35">
      <c r="A1101" t="s">
        <v>51</v>
      </c>
      <c r="B1101">
        <v>2</v>
      </c>
      <c r="C1101" t="s">
        <v>50</v>
      </c>
      <c r="D1101">
        <v>89</v>
      </c>
      <c r="E1101">
        <v>58.299319179201703</v>
      </c>
      <c r="F1101">
        <v>7.1140937436648501</v>
      </c>
      <c r="G1101" t="s">
        <v>51</v>
      </c>
      <c r="H1101">
        <v>2</v>
      </c>
      <c r="I1101">
        <v>89</v>
      </c>
      <c r="J1101">
        <v>2.36983888412112</v>
      </c>
      <c r="K1101" t="b">
        <f t="shared" si="68"/>
        <v>1</v>
      </c>
      <c r="L1101">
        <f t="shared" si="69"/>
        <v>67.783251806987678</v>
      </c>
      <c r="M1101">
        <f t="shared" si="70"/>
        <v>271.13300722795071</v>
      </c>
      <c r="N1101">
        <f t="shared" si="71"/>
        <v>331.32453483255574</v>
      </c>
    </row>
    <row r="1102" spans="1:14" x14ac:dyDescent="0.35">
      <c r="A1102" t="s">
        <v>51</v>
      </c>
      <c r="B1102">
        <v>2</v>
      </c>
      <c r="C1102" t="s">
        <v>50</v>
      </c>
      <c r="D1102">
        <v>90</v>
      </c>
      <c r="E1102">
        <v>58.967145694635498</v>
      </c>
      <c r="F1102">
        <v>7.2463624623813301</v>
      </c>
      <c r="G1102" t="s">
        <v>51</v>
      </c>
      <c r="H1102">
        <v>2</v>
      </c>
      <c r="I1102">
        <v>90</v>
      </c>
      <c r="J1102">
        <v>2.3984967687919001</v>
      </c>
      <c r="K1102" t="b">
        <f t="shared" si="68"/>
        <v>1</v>
      </c>
      <c r="L1102">
        <f t="shared" si="69"/>
        <v>68.612004925808733</v>
      </c>
      <c r="M1102">
        <f t="shared" si="70"/>
        <v>274.44801970323493</v>
      </c>
      <c r="N1102">
        <f t="shared" si="71"/>
        <v>335.37548007735307</v>
      </c>
    </row>
    <row r="1103" spans="1:14" x14ac:dyDescent="0.35">
      <c r="A1103" t="s">
        <v>51</v>
      </c>
      <c r="B1103">
        <v>2</v>
      </c>
      <c r="C1103" t="s">
        <v>50</v>
      </c>
      <c r="D1103">
        <v>91</v>
      </c>
      <c r="E1103">
        <v>59.547029888973299</v>
      </c>
      <c r="F1103">
        <v>7.3620102683864204</v>
      </c>
      <c r="G1103" t="s">
        <v>51</v>
      </c>
      <c r="H1103">
        <v>2</v>
      </c>
      <c r="I1103">
        <v>91</v>
      </c>
      <c r="J1103">
        <v>2.4257898594340301</v>
      </c>
      <c r="K1103" t="b">
        <f t="shared" si="68"/>
        <v>1</v>
      </c>
      <c r="L1103">
        <f t="shared" si="69"/>
        <v>69.334830016793759</v>
      </c>
      <c r="M1103">
        <f t="shared" si="70"/>
        <v>277.33932006717504</v>
      </c>
      <c r="N1103">
        <f t="shared" si="71"/>
        <v>338.90864912208787</v>
      </c>
    </row>
    <row r="1104" spans="1:14" x14ac:dyDescent="0.35">
      <c r="A1104" t="s">
        <v>51</v>
      </c>
      <c r="B1104">
        <v>2</v>
      </c>
      <c r="C1104" t="s">
        <v>50</v>
      </c>
      <c r="D1104">
        <v>92</v>
      </c>
      <c r="E1104">
        <v>60.131619614440602</v>
      </c>
      <c r="F1104">
        <v>7.4721190654644598</v>
      </c>
      <c r="G1104" t="s">
        <v>51</v>
      </c>
      <c r="H1104">
        <v>2</v>
      </c>
      <c r="I1104">
        <v>92</v>
      </c>
      <c r="J1104">
        <v>2.45225601070356</v>
      </c>
      <c r="K1104" t="b">
        <f t="shared" si="68"/>
        <v>1</v>
      </c>
      <c r="L1104">
        <f t="shared" si="69"/>
        <v>70.055994690608628</v>
      </c>
      <c r="M1104">
        <f t="shared" si="70"/>
        <v>280.22397876243451</v>
      </c>
      <c r="N1104">
        <f t="shared" si="71"/>
        <v>342.43370204769496</v>
      </c>
    </row>
    <row r="1105" spans="1:14" x14ac:dyDescent="0.35">
      <c r="A1105" t="s">
        <v>51</v>
      </c>
      <c r="B1105">
        <v>2</v>
      </c>
      <c r="C1105" t="s">
        <v>50</v>
      </c>
      <c r="D1105">
        <v>93</v>
      </c>
      <c r="E1105">
        <v>60.716567148494498</v>
      </c>
      <c r="F1105">
        <v>7.5808362493326999</v>
      </c>
      <c r="G1105" t="s">
        <v>51</v>
      </c>
      <c r="H1105">
        <v>2</v>
      </c>
      <c r="I1105">
        <v>93</v>
      </c>
      <c r="J1105">
        <v>2.47817211409857</v>
      </c>
      <c r="K1105" t="b">
        <f t="shared" si="68"/>
        <v>1</v>
      </c>
      <c r="L1105">
        <f t="shared" si="69"/>
        <v>70.775575511925766</v>
      </c>
      <c r="M1105">
        <f t="shared" si="70"/>
        <v>283.10230204770306</v>
      </c>
      <c r="N1105">
        <f t="shared" si="71"/>
        <v>345.95101310229313</v>
      </c>
    </row>
    <row r="1106" spans="1:14" x14ac:dyDescent="0.35">
      <c r="A1106" t="s">
        <v>51</v>
      </c>
      <c r="B1106">
        <v>2</v>
      </c>
      <c r="C1106" t="s">
        <v>50</v>
      </c>
      <c r="D1106">
        <v>94</v>
      </c>
      <c r="E1106">
        <v>61.300230377326102</v>
      </c>
      <c r="F1106">
        <v>7.6896851650668099</v>
      </c>
      <c r="G1106" t="s">
        <v>51</v>
      </c>
      <c r="H1106">
        <v>2</v>
      </c>
      <c r="I1106">
        <v>94</v>
      </c>
      <c r="J1106">
        <v>2.50369236969527</v>
      </c>
      <c r="K1106" t="b">
        <f t="shared" si="68"/>
        <v>1</v>
      </c>
      <c r="L1106">
        <f t="shared" si="69"/>
        <v>71.49360791208818</v>
      </c>
      <c r="M1106">
        <f t="shared" si="70"/>
        <v>285.97443164835272</v>
      </c>
      <c r="N1106">
        <f t="shared" si="71"/>
        <v>349.460755474287</v>
      </c>
    </row>
    <row r="1107" spans="1:14" x14ac:dyDescent="0.35">
      <c r="A1107" t="s">
        <v>51</v>
      </c>
      <c r="B1107">
        <v>2</v>
      </c>
      <c r="C1107" t="s">
        <v>50</v>
      </c>
      <c r="D1107">
        <v>95</v>
      </c>
      <c r="E1107">
        <v>61.881988192351997</v>
      </c>
      <c r="F1107">
        <v>7.7992009643906899</v>
      </c>
      <c r="G1107" t="s">
        <v>51</v>
      </c>
      <c r="H1107">
        <v>2</v>
      </c>
      <c r="I1107">
        <v>95</v>
      </c>
      <c r="J1107">
        <v>2.52890921875608</v>
      </c>
      <c r="K1107" t="b">
        <f t="shared" si="68"/>
        <v>1</v>
      </c>
      <c r="L1107">
        <f t="shared" si="69"/>
        <v>72.210098375498774</v>
      </c>
      <c r="M1107">
        <f t="shared" si="70"/>
        <v>288.84039350199509</v>
      </c>
      <c r="N1107">
        <f t="shared" si="71"/>
        <v>352.962960859438</v>
      </c>
    </row>
    <row r="1108" spans="1:14" x14ac:dyDescent="0.35">
      <c r="A1108" t="s">
        <v>51</v>
      </c>
      <c r="B1108">
        <v>2</v>
      </c>
      <c r="C1108" t="s">
        <v>50</v>
      </c>
      <c r="D1108">
        <v>96</v>
      </c>
      <c r="E1108">
        <v>62.364630569141099</v>
      </c>
      <c r="F1108">
        <v>7.8930177005501498</v>
      </c>
      <c r="G1108" t="s">
        <v>51</v>
      </c>
      <c r="H1108">
        <v>2</v>
      </c>
      <c r="I1108">
        <v>96</v>
      </c>
      <c r="J1108">
        <v>2.55257093263128</v>
      </c>
      <c r="K1108" t="b">
        <f t="shared" si="68"/>
        <v>1</v>
      </c>
      <c r="L1108">
        <f t="shared" si="69"/>
        <v>72.810219202322529</v>
      </c>
      <c r="M1108">
        <f t="shared" si="70"/>
        <v>291.24087680929011</v>
      </c>
      <c r="N1108">
        <f t="shared" si="71"/>
        <v>355.89635146095253</v>
      </c>
    </row>
    <row r="1109" spans="1:14" x14ac:dyDescent="0.35">
      <c r="A1109" t="s">
        <v>51</v>
      </c>
      <c r="B1109">
        <v>2</v>
      </c>
      <c r="C1109" t="s">
        <v>50</v>
      </c>
      <c r="D1109">
        <v>97</v>
      </c>
      <c r="E1109">
        <v>62.852193680689702</v>
      </c>
      <c r="F1109">
        <v>7.9816186888147902</v>
      </c>
      <c r="G1109" t="s">
        <v>51</v>
      </c>
      <c r="H1109">
        <v>2</v>
      </c>
      <c r="I1109">
        <v>97</v>
      </c>
      <c r="J1109">
        <v>2.57528234466962</v>
      </c>
      <c r="K1109" t="b">
        <f t="shared" si="68"/>
        <v>1</v>
      </c>
      <c r="L1109">
        <f t="shared" si="69"/>
        <v>73.409094714174103</v>
      </c>
      <c r="M1109">
        <f t="shared" si="70"/>
        <v>293.63637885669641</v>
      </c>
      <c r="N1109">
        <f t="shared" si="71"/>
        <v>358.82365496288298</v>
      </c>
    </row>
    <row r="1110" spans="1:14" x14ac:dyDescent="0.35">
      <c r="A1110" t="s">
        <v>51</v>
      </c>
      <c r="B1110">
        <v>2</v>
      </c>
      <c r="C1110" t="s">
        <v>50</v>
      </c>
      <c r="D1110">
        <v>98</v>
      </c>
      <c r="E1110">
        <v>63.340609818749599</v>
      </c>
      <c r="F1110">
        <v>8.0688822155125006</v>
      </c>
      <c r="G1110" t="s">
        <v>51</v>
      </c>
      <c r="H1110">
        <v>2</v>
      </c>
      <c r="I1110">
        <v>98</v>
      </c>
      <c r="J1110">
        <v>2.5973663916693002</v>
      </c>
      <c r="K1110" t="b">
        <f t="shared" si="68"/>
        <v>1</v>
      </c>
      <c r="L1110">
        <f t="shared" si="69"/>
        <v>74.006858425931398</v>
      </c>
      <c r="M1110">
        <f t="shared" si="70"/>
        <v>296.02743370372559</v>
      </c>
      <c r="N1110">
        <f t="shared" si="71"/>
        <v>361.74552398595267</v>
      </c>
    </row>
    <row r="1111" spans="1:14" x14ac:dyDescent="0.35">
      <c r="A1111" t="s">
        <v>51</v>
      </c>
      <c r="B1111">
        <v>2</v>
      </c>
      <c r="C1111" t="s">
        <v>50</v>
      </c>
      <c r="D1111">
        <v>99</v>
      </c>
      <c r="E1111">
        <v>63.828360358538198</v>
      </c>
      <c r="F1111">
        <v>8.1562159399914993</v>
      </c>
      <c r="G1111" t="s">
        <v>51</v>
      </c>
      <c r="H1111">
        <v>2</v>
      </c>
      <c r="I1111">
        <v>99</v>
      </c>
      <c r="J1111">
        <v>2.6190086654034599</v>
      </c>
      <c r="K1111" t="b">
        <f t="shared" si="68"/>
        <v>1</v>
      </c>
      <c r="L1111">
        <f t="shared" si="69"/>
        <v>74.603584963933159</v>
      </c>
      <c r="M1111">
        <f t="shared" si="70"/>
        <v>298.41433985573263</v>
      </c>
      <c r="N1111">
        <f t="shared" si="71"/>
        <v>364.66232330370525</v>
      </c>
    </row>
    <row r="1112" spans="1:14" x14ac:dyDescent="0.35">
      <c r="A1112" t="s">
        <v>51</v>
      </c>
      <c r="B1112">
        <v>2</v>
      </c>
      <c r="C1112" t="s">
        <v>50</v>
      </c>
      <c r="D1112">
        <v>100</v>
      </c>
      <c r="E1112">
        <v>64.314878204660303</v>
      </c>
      <c r="F1112">
        <v>8.2441073616612108</v>
      </c>
      <c r="G1112" t="s">
        <v>51</v>
      </c>
      <c r="H1112">
        <v>2</v>
      </c>
      <c r="I1112">
        <v>100</v>
      </c>
      <c r="J1112">
        <v>2.6403230743962398</v>
      </c>
      <c r="K1112" t="b">
        <f t="shared" si="68"/>
        <v>1</v>
      </c>
      <c r="L1112">
        <f t="shared" si="69"/>
        <v>75.199308640717746</v>
      </c>
      <c r="M1112">
        <f t="shared" si="70"/>
        <v>300.79723456287098</v>
      </c>
      <c r="N1112">
        <f t="shared" si="71"/>
        <v>367.57422063582834</v>
      </c>
    </row>
    <row r="1113" spans="1:14" x14ac:dyDescent="0.35">
      <c r="A1113" t="s">
        <v>51</v>
      </c>
      <c r="B1113">
        <v>4</v>
      </c>
      <c r="C1113" t="s">
        <v>50</v>
      </c>
      <c r="D1113">
        <v>0</v>
      </c>
      <c r="E1113">
        <v>0</v>
      </c>
      <c r="F1113">
        <v>0</v>
      </c>
      <c r="G1113" t="s">
        <v>51</v>
      </c>
      <c r="H1113">
        <v>4</v>
      </c>
      <c r="I1113">
        <v>0</v>
      </c>
      <c r="J1113">
        <v>0</v>
      </c>
      <c r="K1113" t="b">
        <f t="shared" si="68"/>
        <v>1</v>
      </c>
      <c r="L1113">
        <f t="shared" si="69"/>
        <v>0</v>
      </c>
      <c r="M1113">
        <f t="shared" si="70"/>
        <v>0</v>
      </c>
      <c r="N1113">
        <f t="shared" si="71"/>
        <v>0</v>
      </c>
    </row>
    <row r="1114" spans="1:14" x14ac:dyDescent="0.35">
      <c r="A1114" t="s">
        <v>51</v>
      </c>
      <c r="B1114">
        <v>4</v>
      </c>
      <c r="C1114" t="s">
        <v>50</v>
      </c>
      <c r="D1114">
        <v>1</v>
      </c>
      <c r="E1114">
        <v>2.2188968206076302E-3</v>
      </c>
      <c r="F1114" s="19">
        <v>8.8107072584362008E-6</v>
      </c>
      <c r="G1114" t="s">
        <v>51</v>
      </c>
      <c r="H1114">
        <v>4</v>
      </c>
      <c r="I1114">
        <v>1</v>
      </c>
      <c r="J1114" s="19">
        <v>2.9991748732464098E-5</v>
      </c>
      <c r="K1114" t="b">
        <f t="shared" si="68"/>
        <v>1</v>
      </c>
      <c r="L1114">
        <f t="shared" si="69"/>
        <v>2.2576992765985303E-3</v>
      </c>
      <c r="M1114">
        <f t="shared" si="70"/>
        <v>9.0307971063941211E-3</v>
      </c>
      <c r="N1114">
        <f t="shared" si="71"/>
        <v>1.1035634064013616E-2</v>
      </c>
    </row>
    <row r="1115" spans="1:14" x14ac:dyDescent="0.35">
      <c r="A1115" t="s">
        <v>51</v>
      </c>
      <c r="B1115">
        <v>4</v>
      </c>
      <c r="C1115" t="s">
        <v>50</v>
      </c>
      <c r="D1115">
        <v>2</v>
      </c>
      <c r="E1115">
        <v>4.9925178463671796E-3</v>
      </c>
      <c r="F1115" s="19">
        <v>2.8370477372164599E-5</v>
      </c>
      <c r="G1115" t="s">
        <v>51</v>
      </c>
      <c r="H1115">
        <v>4</v>
      </c>
      <c r="I1115">
        <v>2</v>
      </c>
      <c r="J1115" s="19">
        <v>8.6752740596321396E-5</v>
      </c>
      <c r="K1115" t="b">
        <f t="shared" si="68"/>
        <v>1</v>
      </c>
      <c r="L1115">
        <f t="shared" si="69"/>
        <v>5.1076410643356657E-3</v>
      </c>
      <c r="M1115">
        <f t="shared" si="70"/>
        <v>2.0430564257342663E-2</v>
      </c>
      <c r="N1115">
        <f t="shared" si="71"/>
        <v>2.4966149522472732E-2</v>
      </c>
    </row>
    <row r="1116" spans="1:14" x14ac:dyDescent="0.35">
      <c r="A1116" t="s">
        <v>51</v>
      </c>
      <c r="B1116">
        <v>4</v>
      </c>
      <c r="C1116" t="s">
        <v>50</v>
      </c>
      <c r="D1116">
        <v>3</v>
      </c>
      <c r="E1116">
        <v>8.4595441285666394E-3</v>
      </c>
      <c r="F1116" s="19">
        <v>6.1110184473787594E-5</v>
      </c>
      <c r="G1116" t="s">
        <v>51</v>
      </c>
      <c r="H1116">
        <v>4</v>
      </c>
      <c r="I1116">
        <v>3</v>
      </c>
      <c r="J1116" s="19">
        <v>1.7039321367417001E-4</v>
      </c>
      <c r="K1116" t="b">
        <f t="shared" si="68"/>
        <v>1</v>
      </c>
      <c r="L1116">
        <f t="shared" si="69"/>
        <v>8.6910475267145976E-3</v>
      </c>
      <c r="M1116">
        <f t="shared" si="70"/>
        <v>3.4764190106858391E-2</v>
      </c>
      <c r="N1116">
        <f t="shared" si="71"/>
        <v>4.248184031058095E-2</v>
      </c>
    </row>
    <row r="1117" spans="1:14" x14ac:dyDescent="0.35">
      <c r="A1117" t="s">
        <v>51</v>
      </c>
      <c r="B1117">
        <v>4</v>
      </c>
      <c r="C1117" t="s">
        <v>50</v>
      </c>
      <c r="D1117">
        <v>4</v>
      </c>
      <c r="E1117">
        <v>1.2793326981315901E-2</v>
      </c>
      <c r="F1117" s="19">
        <v>1.1007611297649E-4</v>
      </c>
      <c r="G1117" t="s">
        <v>51</v>
      </c>
      <c r="H1117">
        <v>4</v>
      </c>
      <c r="I1117">
        <v>4</v>
      </c>
      <c r="J1117" s="19">
        <v>2.8351039631975002E-4</v>
      </c>
      <c r="K1117" t="b">
        <f t="shared" si="68"/>
        <v>1</v>
      </c>
      <c r="L1117">
        <f t="shared" si="69"/>
        <v>1.3186913490612141E-2</v>
      </c>
      <c r="M1117">
        <f t="shared" si="70"/>
        <v>5.2747653962448564E-2</v>
      </c>
      <c r="N1117">
        <f t="shared" si="71"/>
        <v>6.4457633142112142E-2</v>
      </c>
    </row>
    <row r="1118" spans="1:14" x14ac:dyDescent="0.35">
      <c r="A1118" t="s">
        <v>51</v>
      </c>
      <c r="B1118">
        <v>4</v>
      </c>
      <c r="C1118" t="s">
        <v>50</v>
      </c>
      <c r="D1118">
        <v>5</v>
      </c>
      <c r="E1118">
        <v>1.82105555472525E-2</v>
      </c>
      <c r="F1118" s="19">
        <v>1.7908357939177999E-4</v>
      </c>
      <c r="G1118" t="s">
        <v>51</v>
      </c>
      <c r="H1118">
        <v>4</v>
      </c>
      <c r="I1118">
        <v>5</v>
      </c>
      <c r="J1118" s="19">
        <v>4.3083249737985998E-4</v>
      </c>
      <c r="K1118" t="b">
        <f t="shared" si="68"/>
        <v>1</v>
      </c>
      <c r="L1118">
        <f t="shared" si="69"/>
        <v>1.882047162402414E-2</v>
      </c>
      <c r="M1118">
        <f t="shared" si="70"/>
        <v>7.5281886496096559E-2</v>
      </c>
      <c r="N1118">
        <f t="shared" si="71"/>
        <v>9.1994465298229994E-2</v>
      </c>
    </row>
    <row r="1119" spans="1:14" x14ac:dyDescent="0.35">
      <c r="A1119" t="s">
        <v>51</v>
      </c>
      <c r="B1119">
        <v>4</v>
      </c>
      <c r="C1119" t="s">
        <v>50</v>
      </c>
      <c r="D1119">
        <v>6</v>
      </c>
      <c r="E1119">
        <v>2.4982091254673398E-2</v>
      </c>
      <c r="F1119" s="19">
        <v>2.7290896652420001E-4</v>
      </c>
      <c r="G1119" t="s">
        <v>51</v>
      </c>
      <c r="H1119">
        <v>4</v>
      </c>
      <c r="I1119">
        <v>6</v>
      </c>
      <c r="J1119" s="19">
        <v>6.1917734758798004E-4</v>
      </c>
      <c r="K1119" t="b">
        <f t="shared" si="68"/>
        <v>1</v>
      </c>
      <c r="L1119">
        <f t="shared" si="69"/>
        <v>2.5874177568785579E-2</v>
      </c>
      <c r="M1119">
        <f t="shared" si="70"/>
        <v>0.10349671027514232</v>
      </c>
      <c r="N1119">
        <f t="shared" si="71"/>
        <v>0.12647297995622392</v>
      </c>
    </row>
    <row r="1120" spans="1:14" x14ac:dyDescent="0.35">
      <c r="A1120" t="s">
        <v>51</v>
      </c>
      <c r="B1120">
        <v>4</v>
      </c>
      <c r="C1120" t="s">
        <v>50</v>
      </c>
      <c r="D1120">
        <v>7</v>
      </c>
      <c r="E1120">
        <v>3.3446510888949302E-2</v>
      </c>
      <c r="F1120" s="19">
        <v>3.9752977292961997E-4</v>
      </c>
      <c r="G1120" t="s">
        <v>51</v>
      </c>
      <c r="H1120">
        <v>4</v>
      </c>
      <c r="I1120">
        <v>7</v>
      </c>
      <c r="J1120" s="19">
        <v>8.5763414194592997E-4</v>
      </c>
      <c r="K1120" t="b">
        <f t="shared" si="68"/>
        <v>1</v>
      </c>
      <c r="L1120">
        <f t="shared" si="69"/>
        <v>3.4701674803824849E-2</v>
      </c>
      <c r="M1120">
        <f t="shared" si="70"/>
        <v>0.1388066992152994</v>
      </c>
      <c r="N1120">
        <f t="shared" si="71"/>
        <v>0.16962178644109585</v>
      </c>
    </row>
    <row r="1121" spans="1:14" x14ac:dyDescent="0.35">
      <c r="A1121" t="s">
        <v>51</v>
      </c>
      <c r="B1121">
        <v>4</v>
      </c>
      <c r="C1121" t="s">
        <v>50</v>
      </c>
      <c r="D1121">
        <v>8</v>
      </c>
      <c r="E1121">
        <v>4.4027035431794301E-2</v>
      </c>
      <c r="F1121" s="19">
        <v>5.6042468125161004E-4</v>
      </c>
      <c r="G1121" t="s">
        <v>51</v>
      </c>
      <c r="H1121">
        <v>4</v>
      </c>
      <c r="I1121">
        <v>8</v>
      </c>
      <c r="J1121">
        <v>1.15792644236583E-3</v>
      </c>
      <c r="K1121" t="b">
        <f t="shared" si="68"/>
        <v>1</v>
      </c>
      <c r="L1121">
        <f t="shared" si="69"/>
        <v>4.5745386555411736E-2</v>
      </c>
      <c r="M1121">
        <f t="shared" si="70"/>
        <v>0.18298154622164695</v>
      </c>
      <c r="N1121">
        <f t="shared" si="71"/>
        <v>0.22360344948285257</v>
      </c>
    </row>
    <row r="1122" spans="1:14" x14ac:dyDescent="0.35">
      <c r="A1122" t="s">
        <v>51</v>
      </c>
      <c r="B1122">
        <v>4</v>
      </c>
      <c r="C1122" t="s">
        <v>50</v>
      </c>
      <c r="D1122">
        <v>9</v>
      </c>
      <c r="E1122">
        <v>5.7252691110350501E-2</v>
      </c>
      <c r="F1122" s="19">
        <v>7.7094864995984E-4</v>
      </c>
      <c r="G1122" t="s">
        <v>51</v>
      </c>
      <c r="H1122">
        <v>4</v>
      </c>
      <c r="I1122">
        <v>9</v>
      </c>
      <c r="J1122">
        <v>1.53494558849959E-3</v>
      </c>
      <c r="K1122" t="b">
        <f t="shared" si="68"/>
        <v>1</v>
      </c>
      <c r="L1122">
        <f t="shared" si="69"/>
        <v>5.9558585348809936E-2</v>
      </c>
      <c r="M1122">
        <f t="shared" si="70"/>
        <v>0.23823434139523975</v>
      </c>
      <c r="N1122">
        <f t="shared" si="71"/>
        <v>0.29112236518498297</v>
      </c>
    </row>
    <row r="1123" spans="1:14" x14ac:dyDescent="0.35">
      <c r="A1123" t="s">
        <v>51</v>
      </c>
      <c r="B1123">
        <v>4</v>
      </c>
      <c r="C1123" t="s">
        <v>50</v>
      </c>
      <c r="D1123">
        <v>10</v>
      </c>
      <c r="E1123">
        <v>7.3784760708545699E-2</v>
      </c>
      <c r="F1123">
        <v>1.04080178415171E-3</v>
      </c>
      <c r="G1123" t="s">
        <v>51</v>
      </c>
      <c r="H1123">
        <v>4</v>
      </c>
      <c r="I1123">
        <v>10</v>
      </c>
      <c r="J1123">
        <v>2.0074646578512201E-3</v>
      </c>
      <c r="K1123" t="b">
        <f t="shared" si="68"/>
        <v>1</v>
      </c>
      <c r="L1123">
        <f t="shared" si="69"/>
        <v>7.6833027150548627E-2</v>
      </c>
      <c r="M1123">
        <f t="shared" si="70"/>
        <v>0.30733210860219451</v>
      </c>
      <c r="N1123">
        <f t="shared" si="71"/>
        <v>0.3755598367118817</v>
      </c>
    </row>
    <row r="1124" spans="1:14" x14ac:dyDescent="0.35">
      <c r="A1124" t="s">
        <v>51</v>
      </c>
      <c r="B1124">
        <v>4</v>
      </c>
      <c r="C1124" t="s">
        <v>50</v>
      </c>
      <c r="D1124">
        <v>11</v>
      </c>
      <c r="E1124">
        <v>9.4449847706289794E-2</v>
      </c>
      <c r="F1124">
        <v>1.38461542999892E-3</v>
      </c>
      <c r="G1124" t="s">
        <v>51</v>
      </c>
      <c r="H1124">
        <v>4</v>
      </c>
      <c r="I1124">
        <v>11</v>
      </c>
      <c r="J1124">
        <v>2.59905924201343E-3</v>
      </c>
      <c r="K1124" t="b">
        <f t="shared" si="68"/>
        <v>1</v>
      </c>
      <c r="L1124">
        <f t="shared" si="69"/>
        <v>9.8433522378302135E-2</v>
      </c>
      <c r="M1124">
        <f t="shared" si="70"/>
        <v>0.39373408951320854</v>
      </c>
      <c r="N1124">
        <f t="shared" si="71"/>
        <v>0.48114305738514085</v>
      </c>
    </row>
    <row r="1125" spans="1:14" x14ac:dyDescent="0.35">
      <c r="A1125" t="s">
        <v>51</v>
      </c>
      <c r="B1125">
        <v>4</v>
      </c>
      <c r="C1125" t="s">
        <v>50</v>
      </c>
      <c r="D1125">
        <v>12</v>
      </c>
      <c r="E1125">
        <v>0.12028120645347</v>
      </c>
      <c r="F1125">
        <v>1.8206847985720799E-3</v>
      </c>
      <c r="G1125" t="s">
        <v>51</v>
      </c>
      <c r="H1125">
        <v>4</v>
      </c>
      <c r="I1125">
        <v>12</v>
      </c>
      <c r="J1125">
        <v>3.3392756886299101E-3</v>
      </c>
      <c r="K1125" t="b">
        <f t="shared" si="68"/>
        <v>1</v>
      </c>
      <c r="L1125">
        <f t="shared" si="69"/>
        <v>0.12544116694067201</v>
      </c>
      <c r="M1125">
        <f t="shared" si="70"/>
        <v>0.50176466776268802</v>
      </c>
      <c r="N1125">
        <f t="shared" si="71"/>
        <v>0.61315642400600479</v>
      </c>
    </row>
    <row r="1126" spans="1:14" x14ac:dyDescent="0.35">
      <c r="A1126" t="s">
        <v>51</v>
      </c>
      <c r="B1126">
        <v>4</v>
      </c>
      <c r="C1126" t="s">
        <v>50</v>
      </c>
      <c r="D1126">
        <v>13</v>
      </c>
      <c r="E1126">
        <v>0.152570404887445</v>
      </c>
      <c r="F1126">
        <v>2.3718847512147799E-3</v>
      </c>
      <c r="G1126" t="s">
        <v>51</v>
      </c>
      <c r="H1126">
        <v>4</v>
      </c>
      <c r="I1126">
        <v>13</v>
      </c>
      <c r="J1126">
        <v>4.2651021353571801E-3</v>
      </c>
      <c r="K1126" t="b">
        <f t="shared" si="68"/>
        <v>1</v>
      </c>
      <c r="L1126">
        <f t="shared" si="69"/>
        <v>0.15920739177401697</v>
      </c>
      <c r="M1126">
        <f t="shared" si="70"/>
        <v>0.63682956709606786</v>
      </c>
      <c r="N1126">
        <f t="shared" si="71"/>
        <v>0.7782057309913949</v>
      </c>
    </row>
    <row r="1127" spans="1:14" x14ac:dyDescent="0.35">
      <c r="A1127" t="s">
        <v>51</v>
      </c>
      <c r="B1127">
        <v>4</v>
      </c>
      <c r="C1127" t="s">
        <v>50</v>
      </c>
      <c r="D1127">
        <v>14</v>
      </c>
      <c r="E1127">
        <v>0.192931902929914</v>
      </c>
      <c r="F1127">
        <v>3.0668145366865899E-3</v>
      </c>
      <c r="G1127" t="s">
        <v>51</v>
      </c>
      <c r="H1127">
        <v>4</v>
      </c>
      <c r="I1127">
        <v>14</v>
      </c>
      <c r="J1127">
        <v>5.4228141157258497E-3</v>
      </c>
      <c r="K1127" t="b">
        <f t="shared" si="68"/>
        <v>1</v>
      </c>
      <c r="L1127">
        <f t="shared" si="69"/>
        <v>0.20142153158232642</v>
      </c>
      <c r="M1127">
        <f t="shared" si="70"/>
        <v>0.8056861263293057</v>
      </c>
      <c r="N1127">
        <f t="shared" si="71"/>
        <v>0.98454844637441152</v>
      </c>
    </row>
    <row r="1128" spans="1:14" x14ac:dyDescent="0.35">
      <c r="A1128" t="s">
        <v>51</v>
      </c>
      <c r="B1128">
        <v>4</v>
      </c>
      <c r="C1128" t="s">
        <v>50</v>
      </c>
      <c r="D1128">
        <v>15</v>
      </c>
      <c r="E1128">
        <v>0.243383775482999</v>
      </c>
      <c r="F1128">
        <v>3.9412287178547502E-3</v>
      </c>
      <c r="G1128" t="s">
        <v>51</v>
      </c>
      <c r="H1128">
        <v>4</v>
      </c>
      <c r="I1128">
        <v>15</v>
      </c>
      <c r="J1128">
        <v>6.8702859960980203E-3</v>
      </c>
      <c r="K1128" t="b">
        <f t="shared" si="68"/>
        <v>1</v>
      </c>
      <c r="L1128">
        <f t="shared" si="69"/>
        <v>0.25419529019695175</v>
      </c>
      <c r="M1128">
        <f t="shared" si="70"/>
        <v>1.016781160787807</v>
      </c>
      <c r="N1128">
        <f t="shared" si="71"/>
        <v>1.2425065784827001</v>
      </c>
    </row>
    <row r="1129" spans="1:14" x14ac:dyDescent="0.35">
      <c r="A1129" t="s">
        <v>51</v>
      </c>
      <c r="B1129">
        <v>4</v>
      </c>
      <c r="C1129" t="s">
        <v>50</v>
      </c>
      <c r="D1129">
        <v>16</v>
      </c>
      <c r="E1129">
        <v>0.30644861617435798</v>
      </c>
      <c r="F1129">
        <v>5.03982583516349E-3</v>
      </c>
      <c r="G1129" t="s">
        <v>51</v>
      </c>
      <c r="H1129">
        <v>4</v>
      </c>
      <c r="I1129">
        <v>16</v>
      </c>
      <c r="J1129">
        <v>8.6798832241916993E-3</v>
      </c>
      <c r="K1129" t="b">
        <f t="shared" si="68"/>
        <v>1</v>
      </c>
      <c r="L1129">
        <f t="shared" si="69"/>
        <v>0.32016832523371319</v>
      </c>
      <c r="M1129">
        <f t="shared" si="70"/>
        <v>1.2806733009348528</v>
      </c>
      <c r="N1129">
        <f t="shared" si="71"/>
        <v>1.56498277374239</v>
      </c>
    </row>
    <row r="1130" spans="1:14" x14ac:dyDescent="0.35">
      <c r="A1130" t="s">
        <v>51</v>
      </c>
      <c r="B1130">
        <v>4</v>
      </c>
      <c r="C1130" t="s">
        <v>50</v>
      </c>
      <c r="D1130">
        <v>17</v>
      </c>
      <c r="E1130">
        <v>0.38527966703855498</v>
      </c>
      <c r="F1130">
        <v>6.4184842409224898E-3</v>
      </c>
      <c r="G1130" t="s">
        <v>51</v>
      </c>
      <c r="H1130">
        <v>4</v>
      </c>
      <c r="I1130">
        <v>17</v>
      </c>
      <c r="J1130">
        <v>1.09420796568551E-2</v>
      </c>
      <c r="K1130" t="b">
        <f t="shared" si="68"/>
        <v>1</v>
      </c>
      <c r="L1130">
        <f t="shared" si="69"/>
        <v>0.40264023093633261</v>
      </c>
      <c r="M1130">
        <f t="shared" si="70"/>
        <v>1.6105609237453304</v>
      </c>
      <c r="N1130">
        <f t="shared" si="71"/>
        <v>1.9681054488167937</v>
      </c>
    </row>
    <row r="1131" spans="1:14" x14ac:dyDescent="0.35">
      <c r="A1131" t="s">
        <v>51</v>
      </c>
      <c r="B1131">
        <v>4</v>
      </c>
      <c r="C1131" t="s">
        <v>50</v>
      </c>
      <c r="D1131">
        <v>18</v>
      </c>
      <c r="E1131">
        <v>0.48381848061880101</v>
      </c>
      <c r="F1131">
        <v>8.1470568969706503E-3</v>
      </c>
      <c r="G1131" t="s">
        <v>51</v>
      </c>
      <c r="H1131">
        <v>4</v>
      </c>
      <c r="I1131">
        <v>18</v>
      </c>
      <c r="J1131">
        <v>1.3769980630796199E-2</v>
      </c>
      <c r="K1131" t="b">
        <f t="shared" si="68"/>
        <v>1</v>
      </c>
      <c r="L1131">
        <f t="shared" si="69"/>
        <v>0.50573551814656781</v>
      </c>
      <c r="M1131">
        <f t="shared" si="70"/>
        <v>2.0229420725862712</v>
      </c>
      <c r="N1131">
        <f t="shared" si="71"/>
        <v>2.4720352127004235</v>
      </c>
    </row>
    <row r="1132" spans="1:14" x14ac:dyDescent="0.35">
      <c r="A1132" t="s">
        <v>51</v>
      </c>
      <c r="B1132">
        <v>4</v>
      </c>
      <c r="C1132" t="s">
        <v>50</v>
      </c>
      <c r="D1132">
        <v>19</v>
      </c>
      <c r="E1132">
        <v>0.60699199759410905</v>
      </c>
      <c r="F1132">
        <v>1.0312864876414699E-2</v>
      </c>
      <c r="G1132" t="s">
        <v>51</v>
      </c>
      <c r="H1132">
        <v>4</v>
      </c>
      <c r="I1132">
        <v>19</v>
      </c>
      <c r="J1132">
        <v>1.7304977809337201E-2</v>
      </c>
      <c r="K1132" t="b">
        <f t="shared" si="68"/>
        <v>1</v>
      </c>
      <c r="L1132">
        <f t="shared" si="69"/>
        <v>0.63460984027986089</v>
      </c>
      <c r="M1132">
        <f t="shared" si="70"/>
        <v>2.5384393611194436</v>
      </c>
      <c r="N1132">
        <f t="shared" si="71"/>
        <v>3.1019728992879601</v>
      </c>
    </row>
    <row r="1133" spans="1:14" x14ac:dyDescent="0.35">
      <c r="A1133" t="s">
        <v>51</v>
      </c>
      <c r="B1133">
        <v>4</v>
      </c>
      <c r="C1133" t="s">
        <v>50</v>
      </c>
      <c r="D1133">
        <v>20</v>
      </c>
      <c r="E1133">
        <v>0.760958893813244</v>
      </c>
      <c r="F1133">
        <v>1.30250642453223E-2</v>
      </c>
      <c r="G1133" t="s">
        <v>51</v>
      </c>
      <c r="H1133">
        <v>4</v>
      </c>
      <c r="I1133">
        <v>20</v>
      </c>
      <c r="J1133">
        <v>2.1723818474946699E-2</v>
      </c>
      <c r="K1133" t="b">
        <f t="shared" si="68"/>
        <v>1</v>
      </c>
      <c r="L1133">
        <f t="shared" si="69"/>
        <v>0.79570777653351299</v>
      </c>
      <c r="M1133">
        <f t="shared" si="70"/>
        <v>3.182831106134052</v>
      </c>
      <c r="N1133">
        <f t="shared" si="71"/>
        <v>3.8894196116958115</v>
      </c>
    </row>
    <row r="1134" spans="1:14" x14ac:dyDescent="0.35">
      <c r="A1134" t="s">
        <v>51</v>
      </c>
      <c r="B1134">
        <v>4</v>
      </c>
      <c r="C1134" t="s">
        <v>50</v>
      </c>
      <c r="D1134">
        <v>21</v>
      </c>
      <c r="E1134">
        <v>0.95341751408716302</v>
      </c>
      <c r="F1134">
        <v>1.6420104669220999E-2</v>
      </c>
      <c r="G1134" t="s">
        <v>51</v>
      </c>
      <c r="H1134">
        <v>4</v>
      </c>
      <c r="I1134">
        <v>21</v>
      </c>
      <c r="J1134">
        <v>2.7247442687710299E-2</v>
      </c>
      <c r="K1134" t="b">
        <f t="shared" si="68"/>
        <v>1</v>
      </c>
      <c r="L1134">
        <f t="shared" si="69"/>
        <v>0.99708506144409426</v>
      </c>
      <c r="M1134">
        <f t="shared" si="70"/>
        <v>3.988340245776377</v>
      </c>
      <c r="N1134">
        <f t="shared" si="71"/>
        <v>4.8737517803387327</v>
      </c>
    </row>
    <row r="1135" spans="1:14" x14ac:dyDescent="0.35">
      <c r="A1135" t="s">
        <v>51</v>
      </c>
      <c r="B1135">
        <v>4</v>
      </c>
      <c r="C1135" t="s">
        <v>50</v>
      </c>
      <c r="D1135">
        <v>22</v>
      </c>
      <c r="E1135">
        <v>1.1939907894295601</v>
      </c>
      <c r="F1135">
        <v>2.06685526754758E-2</v>
      </c>
      <c r="G1135" t="s">
        <v>51</v>
      </c>
      <c r="H1135">
        <v>4</v>
      </c>
      <c r="I1135">
        <v>22</v>
      </c>
      <c r="J1135">
        <v>3.41520301398823E-2</v>
      </c>
      <c r="K1135" t="b">
        <f t="shared" si="68"/>
        <v>1</v>
      </c>
      <c r="L1135">
        <f t="shared" si="69"/>
        <v>1.2488113722449181</v>
      </c>
      <c r="M1135">
        <f t="shared" si="70"/>
        <v>4.9952454889796725</v>
      </c>
      <c r="N1135">
        <f t="shared" si="71"/>
        <v>6.10418998753316</v>
      </c>
    </row>
    <row r="1136" spans="1:14" x14ac:dyDescent="0.35">
      <c r="A1136" t="s">
        <v>51</v>
      </c>
      <c r="B1136">
        <v>4</v>
      </c>
      <c r="C1136" t="s">
        <v>50</v>
      </c>
      <c r="D1136">
        <v>23</v>
      </c>
      <c r="E1136">
        <v>1.4947073836075599</v>
      </c>
      <c r="F1136">
        <v>2.59836207353842E-2</v>
      </c>
      <c r="G1136" t="s">
        <v>51</v>
      </c>
      <c r="H1136">
        <v>4</v>
      </c>
      <c r="I1136">
        <v>23</v>
      </c>
      <c r="J1136">
        <v>4.2782809031498399E-2</v>
      </c>
      <c r="K1136" t="b">
        <f t="shared" si="68"/>
        <v>1</v>
      </c>
      <c r="L1136">
        <f t="shared" si="69"/>
        <v>1.5634738133744426</v>
      </c>
      <c r="M1136">
        <f t="shared" si="70"/>
        <v>6.2538952534977703</v>
      </c>
      <c r="N1136">
        <f t="shared" si="71"/>
        <v>7.6422599997742751</v>
      </c>
    </row>
    <row r="1137" spans="1:14" x14ac:dyDescent="0.35">
      <c r="A1137" t="s">
        <v>51</v>
      </c>
      <c r="B1137">
        <v>4</v>
      </c>
      <c r="C1137" t="s">
        <v>50</v>
      </c>
      <c r="D1137">
        <v>24</v>
      </c>
      <c r="E1137">
        <v>1.87060312633005</v>
      </c>
      <c r="F1137">
        <v>3.2631828620796999E-2</v>
      </c>
      <c r="G1137" t="s">
        <v>51</v>
      </c>
      <c r="H1137">
        <v>4</v>
      </c>
      <c r="I1137">
        <v>24</v>
      </c>
      <c r="J1137">
        <v>5.3571317399218998E-2</v>
      </c>
      <c r="K1137" t="b">
        <f t="shared" si="68"/>
        <v>1</v>
      </c>
      <c r="L1137">
        <f t="shared" si="69"/>
        <v>1.9568062723500659</v>
      </c>
      <c r="M1137">
        <f t="shared" si="70"/>
        <v>7.8272250894002635</v>
      </c>
      <c r="N1137">
        <f t="shared" si="71"/>
        <v>9.5648690592471226</v>
      </c>
    </row>
    <row r="1138" spans="1:14" x14ac:dyDescent="0.35">
      <c r="A1138" t="s">
        <v>51</v>
      </c>
      <c r="B1138">
        <v>4</v>
      </c>
      <c r="C1138" t="s">
        <v>50</v>
      </c>
      <c r="D1138">
        <v>25</v>
      </c>
      <c r="E1138">
        <v>2.34047280473317</v>
      </c>
      <c r="F1138">
        <v>4.0946330103774402E-2</v>
      </c>
      <c r="G1138" t="s">
        <v>51</v>
      </c>
      <c r="H1138">
        <v>4</v>
      </c>
      <c r="I1138">
        <v>25</v>
      </c>
      <c r="J1138">
        <v>6.7056979957051399E-2</v>
      </c>
      <c r="K1138" t="b">
        <f t="shared" si="68"/>
        <v>1</v>
      </c>
      <c r="L1138">
        <f t="shared" si="69"/>
        <v>2.448476114793996</v>
      </c>
      <c r="M1138">
        <f t="shared" si="70"/>
        <v>9.7939044591759838</v>
      </c>
      <c r="N1138">
        <f t="shared" si="71"/>
        <v>11.968151249113053</v>
      </c>
    </row>
    <row r="1139" spans="1:14" x14ac:dyDescent="0.35">
      <c r="A1139" t="s">
        <v>51</v>
      </c>
      <c r="B1139">
        <v>4</v>
      </c>
      <c r="C1139" t="s">
        <v>50</v>
      </c>
      <c r="D1139">
        <v>26</v>
      </c>
      <c r="E1139">
        <v>2.9278099027370801</v>
      </c>
      <c r="F1139">
        <v>5.1343571334921297E-2</v>
      </c>
      <c r="G1139" t="s">
        <v>51</v>
      </c>
      <c r="H1139">
        <v>4</v>
      </c>
      <c r="I1139">
        <v>26</v>
      </c>
      <c r="J1139">
        <v>8.3914079285630799E-2</v>
      </c>
      <c r="K1139" t="b">
        <f t="shared" si="68"/>
        <v>1</v>
      </c>
      <c r="L1139">
        <f t="shared" si="69"/>
        <v>3.0630675533576324</v>
      </c>
      <c r="M1139">
        <f t="shared" si="70"/>
        <v>12.252270213430529</v>
      </c>
      <c r="N1139">
        <f t="shared" si="71"/>
        <v>14.972274200812107</v>
      </c>
    </row>
    <row r="1140" spans="1:14" x14ac:dyDescent="0.35">
      <c r="A1140" t="s">
        <v>51</v>
      </c>
      <c r="B1140">
        <v>4</v>
      </c>
      <c r="C1140" t="s">
        <v>50</v>
      </c>
      <c r="D1140">
        <v>27</v>
      </c>
      <c r="E1140">
        <v>3.6619812752419598</v>
      </c>
      <c r="F1140">
        <v>6.4344113819957305E-2</v>
      </c>
      <c r="G1140" t="s">
        <v>51</v>
      </c>
      <c r="H1140">
        <v>4</v>
      </c>
      <c r="I1140">
        <v>27</v>
      </c>
      <c r="J1140">
        <v>0.104985469925753</v>
      </c>
      <c r="K1140" t="b">
        <f t="shared" si="68"/>
        <v>1</v>
      </c>
      <c r="L1140">
        <f t="shared" si="69"/>
        <v>3.8313108589876701</v>
      </c>
      <c r="M1140">
        <f t="shared" si="70"/>
        <v>15.32524343595068</v>
      </c>
      <c r="N1140">
        <f t="shared" si="71"/>
        <v>18.72744747873173</v>
      </c>
    </row>
    <row r="1141" spans="1:14" x14ac:dyDescent="0.35">
      <c r="A1141" t="s">
        <v>51</v>
      </c>
      <c r="B1141">
        <v>4</v>
      </c>
      <c r="C1141" t="s">
        <v>50</v>
      </c>
      <c r="D1141">
        <v>28</v>
      </c>
      <c r="E1141">
        <v>4.5796954908730596</v>
      </c>
      <c r="F1141">
        <v>8.0598663143971502E-2</v>
      </c>
      <c r="G1141" t="s">
        <v>51</v>
      </c>
      <c r="H1141">
        <v>4</v>
      </c>
      <c r="I1141">
        <v>28</v>
      </c>
      <c r="J1141">
        <v>0.13132472107812601</v>
      </c>
      <c r="K1141" t="b">
        <f t="shared" si="68"/>
        <v>1</v>
      </c>
      <c r="L1141">
        <f t="shared" si="69"/>
        <v>4.7916188750951578</v>
      </c>
      <c r="M1141">
        <f t="shared" si="70"/>
        <v>19.166475500380631</v>
      </c>
      <c r="N1141">
        <f t="shared" si="71"/>
        <v>23.42143306146513</v>
      </c>
    </row>
    <row r="1142" spans="1:14" x14ac:dyDescent="0.35">
      <c r="A1142" t="s">
        <v>51</v>
      </c>
      <c r="B1142">
        <v>4</v>
      </c>
      <c r="C1142" t="s">
        <v>50</v>
      </c>
      <c r="D1142">
        <v>29</v>
      </c>
      <c r="E1142">
        <v>5.7268382604119301</v>
      </c>
      <c r="F1142">
        <v>0.100920604880177</v>
      </c>
      <c r="G1142" t="s">
        <v>51</v>
      </c>
      <c r="H1142">
        <v>4</v>
      </c>
      <c r="I1142">
        <v>29</v>
      </c>
      <c r="J1142">
        <v>0.16424879504235501</v>
      </c>
      <c r="K1142" t="b">
        <f t="shared" si="68"/>
        <v>1</v>
      </c>
      <c r="L1142">
        <f t="shared" si="69"/>
        <v>5.9920076603344627</v>
      </c>
      <c r="M1142">
        <f t="shared" si="70"/>
        <v>23.968030641337851</v>
      </c>
      <c r="N1142">
        <f t="shared" si="71"/>
        <v>29.288933443714853</v>
      </c>
    </row>
    <row r="1143" spans="1:14" x14ac:dyDescent="0.35">
      <c r="A1143" t="s">
        <v>51</v>
      </c>
      <c r="B1143">
        <v>4</v>
      </c>
      <c r="C1143" t="s">
        <v>50</v>
      </c>
      <c r="D1143">
        <v>30</v>
      </c>
      <c r="E1143">
        <v>7.1580599999999901</v>
      </c>
      <c r="F1143">
        <v>0.12631592673377201</v>
      </c>
      <c r="G1143" t="s">
        <v>51</v>
      </c>
      <c r="H1143">
        <v>4</v>
      </c>
      <c r="I1143">
        <v>30</v>
      </c>
      <c r="J1143">
        <v>0.205367309866753</v>
      </c>
      <c r="K1143" t="b">
        <f t="shared" si="68"/>
        <v>1</v>
      </c>
      <c r="L1143">
        <f t="shared" si="69"/>
        <v>7.4897432366005159</v>
      </c>
      <c r="M1143">
        <f t="shared" si="70"/>
        <v>29.958972946402064</v>
      </c>
      <c r="N1143">
        <f t="shared" si="71"/>
        <v>36.609864940503321</v>
      </c>
    </row>
    <row r="1144" spans="1:14" x14ac:dyDescent="0.35">
      <c r="A1144" t="s">
        <v>51</v>
      </c>
      <c r="B1144">
        <v>4</v>
      </c>
      <c r="C1144" t="s">
        <v>50</v>
      </c>
      <c r="D1144">
        <v>31</v>
      </c>
      <c r="E1144">
        <v>8.7141599999999997</v>
      </c>
      <c r="F1144">
        <v>0.15712828893175801</v>
      </c>
      <c r="G1144" t="s">
        <v>51</v>
      </c>
      <c r="H1144">
        <v>4</v>
      </c>
      <c r="I1144">
        <v>31</v>
      </c>
      <c r="J1144">
        <v>0.25359358809517701</v>
      </c>
      <c r="K1144" t="b">
        <f t="shared" si="68"/>
        <v>1</v>
      </c>
      <c r="L1144">
        <f t="shared" si="69"/>
        <v>9.1248818770269349</v>
      </c>
      <c r="M1144">
        <f t="shared" si="70"/>
        <v>36.499527508107739</v>
      </c>
      <c r="N1144">
        <f t="shared" si="71"/>
        <v>44.60242261490766</v>
      </c>
    </row>
    <row r="1145" spans="1:14" x14ac:dyDescent="0.35">
      <c r="A1145" t="s">
        <v>51</v>
      </c>
      <c r="B1145">
        <v>4</v>
      </c>
      <c r="C1145" t="s">
        <v>50</v>
      </c>
      <c r="D1145">
        <v>32</v>
      </c>
      <c r="E1145">
        <v>10.27026</v>
      </c>
      <c r="F1145">
        <v>0.193195180263806</v>
      </c>
      <c r="G1145" t="s">
        <v>51</v>
      </c>
      <c r="H1145">
        <v>4</v>
      </c>
      <c r="I1145">
        <v>32</v>
      </c>
      <c r="J1145">
        <v>0.30657970787544597</v>
      </c>
      <c r="K1145" t="b">
        <f t="shared" si="68"/>
        <v>1</v>
      </c>
      <c r="L1145">
        <f t="shared" si="69"/>
        <v>10.770034888139254</v>
      </c>
      <c r="M1145">
        <f t="shared" si="70"/>
        <v>43.080139552557014</v>
      </c>
      <c r="N1145">
        <f t="shared" si="71"/>
        <v>52.643930533224669</v>
      </c>
    </row>
    <row r="1146" spans="1:14" x14ac:dyDescent="0.35">
      <c r="A1146" t="s">
        <v>51</v>
      </c>
      <c r="B1146">
        <v>4</v>
      </c>
      <c r="C1146" t="s">
        <v>50</v>
      </c>
      <c r="D1146">
        <v>33</v>
      </c>
      <c r="E1146">
        <v>11.826359999999999</v>
      </c>
      <c r="F1146">
        <v>0.234358964855891</v>
      </c>
      <c r="G1146" t="s">
        <v>51</v>
      </c>
      <c r="H1146">
        <v>4</v>
      </c>
      <c r="I1146">
        <v>33</v>
      </c>
      <c r="J1146">
        <v>0.36283289120958401</v>
      </c>
      <c r="K1146" t="b">
        <f t="shared" si="68"/>
        <v>1</v>
      </c>
      <c r="L1146">
        <f t="shared" si="69"/>
        <v>12.423551856065474</v>
      </c>
      <c r="M1146">
        <f t="shared" si="70"/>
        <v>49.694207424261897</v>
      </c>
      <c r="N1146">
        <f t="shared" si="71"/>
        <v>60.726321472448035</v>
      </c>
    </row>
    <row r="1147" spans="1:14" x14ac:dyDescent="0.35">
      <c r="A1147" t="s">
        <v>51</v>
      </c>
      <c r="B1147">
        <v>4</v>
      </c>
      <c r="C1147" t="s">
        <v>50</v>
      </c>
      <c r="D1147">
        <v>34</v>
      </c>
      <c r="E1147">
        <v>13.38246</v>
      </c>
      <c r="F1147">
        <v>0.28046673591021498</v>
      </c>
      <c r="G1147" t="s">
        <v>51</v>
      </c>
      <c r="H1147">
        <v>4</v>
      </c>
      <c r="I1147">
        <v>34</v>
      </c>
      <c r="J1147">
        <v>0.42138117409599202</v>
      </c>
      <c r="K1147" t="b">
        <f t="shared" si="68"/>
        <v>1</v>
      </c>
      <c r="L1147">
        <f t="shared" si="69"/>
        <v>14.084307910006206</v>
      </c>
      <c r="M1147">
        <f t="shared" si="70"/>
        <v>56.337231640024825</v>
      </c>
      <c r="N1147">
        <f t="shared" si="71"/>
        <v>68.844097064110329</v>
      </c>
    </row>
    <row r="1148" spans="1:14" x14ac:dyDescent="0.35">
      <c r="A1148" t="s">
        <v>51</v>
      </c>
      <c r="B1148">
        <v>4</v>
      </c>
      <c r="C1148" t="s">
        <v>50</v>
      </c>
      <c r="D1148">
        <v>35</v>
      </c>
      <c r="E1148">
        <v>14.938560000000001</v>
      </c>
      <c r="F1148">
        <v>0.33137017383290801</v>
      </c>
      <c r="G1148" t="s">
        <v>51</v>
      </c>
      <c r="H1148">
        <v>4</v>
      </c>
      <c r="I1148">
        <v>35</v>
      </c>
      <c r="J1148">
        <v>0.48157575342966502</v>
      </c>
      <c r="K1148" t="b">
        <f t="shared" si="68"/>
        <v>1</v>
      </c>
      <c r="L1148">
        <f t="shared" si="69"/>
        <v>15.751505927262574</v>
      </c>
      <c r="M1148">
        <f t="shared" si="70"/>
        <v>63.006023709050297</v>
      </c>
      <c r="N1148">
        <f t="shared" si="71"/>
        <v>76.993360972459456</v>
      </c>
    </row>
    <row r="1149" spans="1:14" x14ac:dyDescent="0.35">
      <c r="A1149" t="s">
        <v>51</v>
      </c>
      <c r="B1149">
        <v>4</v>
      </c>
      <c r="C1149" t="s">
        <v>50</v>
      </c>
      <c r="D1149">
        <v>36</v>
      </c>
      <c r="E1149">
        <v>16.633512</v>
      </c>
      <c r="F1149">
        <v>0.38747675661792103</v>
      </c>
      <c r="G1149" t="s">
        <v>51</v>
      </c>
      <c r="H1149">
        <v>4</v>
      </c>
      <c r="I1149">
        <v>36</v>
      </c>
      <c r="J1149">
        <v>0.54484948148753398</v>
      </c>
      <c r="K1149" t="b">
        <f t="shared" si="68"/>
        <v>1</v>
      </c>
      <c r="L1149">
        <f t="shared" si="69"/>
        <v>17.565838238105457</v>
      </c>
      <c r="M1149">
        <f t="shared" si="70"/>
        <v>70.263352952421826</v>
      </c>
      <c r="N1149">
        <f t="shared" si="71"/>
        <v>85.861817307859468</v>
      </c>
    </row>
    <row r="1150" spans="1:14" x14ac:dyDescent="0.35">
      <c r="A1150" t="s">
        <v>51</v>
      </c>
      <c r="B1150">
        <v>4</v>
      </c>
      <c r="C1150" t="s">
        <v>50</v>
      </c>
      <c r="D1150">
        <v>37</v>
      </c>
      <c r="E1150">
        <v>18.328464</v>
      </c>
      <c r="F1150">
        <v>0.44863038991938298</v>
      </c>
      <c r="G1150" t="s">
        <v>51</v>
      </c>
      <c r="H1150">
        <v>4</v>
      </c>
      <c r="I1150">
        <v>37</v>
      </c>
      <c r="J1150">
        <v>0.61022052991370701</v>
      </c>
      <c r="K1150" t="b">
        <f t="shared" si="68"/>
        <v>1</v>
      </c>
      <c r="L1150">
        <f t="shared" si="69"/>
        <v>19.387314919833091</v>
      </c>
      <c r="M1150">
        <f t="shared" si="70"/>
        <v>77.549259679332366</v>
      </c>
      <c r="N1150">
        <f t="shared" si="71"/>
        <v>94.765195328144145</v>
      </c>
    </row>
    <row r="1151" spans="1:14" x14ac:dyDescent="0.35">
      <c r="A1151" t="s">
        <v>51</v>
      </c>
      <c r="B1151">
        <v>4</v>
      </c>
      <c r="C1151" t="s">
        <v>50</v>
      </c>
      <c r="D1151">
        <v>38</v>
      </c>
      <c r="E1151">
        <v>20.023416000000001</v>
      </c>
      <c r="F1151">
        <v>0.51467966222180195</v>
      </c>
      <c r="G1151" t="s">
        <v>51</v>
      </c>
      <c r="H1151">
        <v>4</v>
      </c>
      <c r="I1151">
        <v>38</v>
      </c>
      <c r="J1151">
        <v>0.67705451052193599</v>
      </c>
      <c r="K1151" t="b">
        <f t="shared" si="68"/>
        <v>1</v>
      </c>
      <c r="L1151">
        <f t="shared" si="69"/>
        <v>21.215150172743741</v>
      </c>
      <c r="M1151">
        <f t="shared" si="70"/>
        <v>84.860600690974962</v>
      </c>
      <c r="N1151">
        <f t="shared" si="71"/>
        <v>103.6996540443714</v>
      </c>
    </row>
    <row r="1152" spans="1:14" x14ac:dyDescent="0.35">
      <c r="A1152" t="s">
        <v>51</v>
      </c>
      <c r="B1152">
        <v>4</v>
      </c>
      <c r="C1152" t="s">
        <v>50</v>
      </c>
      <c r="D1152">
        <v>39</v>
      </c>
      <c r="E1152">
        <v>21.718367999999899</v>
      </c>
      <c r="F1152">
        <v>0.58547770435514801</v>
      </c>
      <c r="G1152" t="s">
        <v>51</v>
      </c>
      <c r="H1152">
        <v>4</v>
      </c>
      <c r="I1152">
        <v>39</v>
      </c>
      <c r="J1152">
        <v>0.74493128733344405</v>
      </c>
      <c r="K1152" t="b">
        <f t="shared" si="68"/>
        <v>1</v>
      </c>
      <c r="L1152">
        <f t="shared" si="69"/>
        <v>23.048776991688491</v>
      </c>
      <c r="M1152">
        <f t="shared" si="70"/>
        <v>92.195107966753966</v>
      </c>
      <c r="N1152">
        <f t="shared" si="71"/>
        <v>112.66242193537335</v>
      </c>
    </row>
    <row r="1153" spans="1:14" x14ac:dyDescent="0.35">
      <c r="A1153" t="s">
        <v>51</v>
      </c>
      <c r="B1153">
        <v>4</v>
      </c>
      <c r="C1153" t="s">
        <v>50</v>
      </c>
      <c r="D1153">
        <v>40</v>
      </c>
      <c r="E1153">
        <v>23.413319999999999</v>
      </c>
      <c r="F1153">
        <v>0.660882053224493</v>
      </c>
      <c r="G1153" t="s">
        <v>51</v>
      </c>
      <c r="H1153">
        <v>4</v>
      </c>
      <c r="I1153">
        <v>40</v>
      </c>
      <c r="J1153">
        <v>0.81356559347267998</v>
      </c>
      <c r="K1153" t="b">
        <f t="shared" si="68"/>
        <v>1</v>
      </c>
      <c r="L1153">
        <f t="shared" si="69"/>
        <v>24.887767646697174</v>
      </c>
      <c r="M1153">
        <f t="shared" si="70"/>
        <v>99.551070586788697</v>
      </c>
      <c r="N1153">
        <f t="shared" si="71"/>
        <v>121.65140825705579</v>
      </c>
    </row>
    <row r="1154" spans="1:14" x14ac:dyDescent="0.35">
      <c r="A1154" t="s">
        <v>51</v>
      </c>
      <c r="B1154">
        <v>4</v>
      </c>
      <c r="C1154" t="s">
        <v>50</v>
      </c>
      <c r="D1154">
        <v>41</v>
      </c>
      <c r="E1154">
        <v>25.445826</v>
      </c>
      <c r="F1154">
        <v>0.74209486562775895</v>
      </c>
      <c r="G1154" t="s">
        <v>51</v>
      </c>
      <c r="H1154">
        <v>4</v>
      </c>
      <c r="I1154">
        <v>41</v>
      </c>
      <c r="J1154">
        <v>0.88732158912482295</v>
      </c>
      <c r="K1154" t="b">
        <f t="shared" si="68"/>
        <v>1</v>
      </c>
      <c r="L1154">
        <f t="shared" si="69"/>
        <v>27.075242454752583</v>
      </c>
      <c r="M1154">
        <f t="shared" si="70"/>
        <v>108.30096981901033</v>
      </c>
      <c r="N1154">
        <f t="shared" si="71"/>
        <v>132.34378511883062</v>
      </c>
    </row>
    <row r="1155" spans="1:14" x14ac:dyDescent="0.35">
      <c r="A1155" t="s">
        <v>51</v>
      </c>
      <c r="B1155">
        <v>4</v>
      </c>
      <c r="C1155" t="s">
        <v>50</v>
      </c>
      <c r="D1155">
        <v>42</v>
      </c>
      <c r="E1155">
        <v>27.478331999999899</v>
      </c>
      <c r="F1155">
        <v>0.82894188765892596</v>
      </c>
      <c r="G1155" t="s">
        <v>51</v>
      </c>
      <c r="H1155">
        <v>4</v>
      </c>
      <c r="I1155">
        <v>42</v>
      </c>
      <c r="J1155">
        <v>0.96442736244482596</v>
      </c>
      <c r="K1155" t="b">
        <f t="shared" ref="K1155:K1218" si="72">H1155=B1155</f>
        <v>1</v>
      </c>
      <c r="L1155">
        <f t="shared" ref="L1155:L1218" si="73">E1155+F1155+J1155</f>
        <v>29.27170125010365</v>
      </c>
      <c r="M1155">
        <f t="shared" ref="M1155:M1218" si="74">(L1155*2)*(100/50)</f>
        <v>117.0868050004146</v>
      </c>
      <c r="N1155">
        <f t="shared" ref="N1155:N1218" si="75">M1155*1.222</f>
        <v>143.08007571050663</v>
      </c>
    </row>
    <row r="1156" spans="1:14" x14ac:dyDescent="0.35">
      <c r="A1156" t="s">
        <v>51</v>
      </c>
      <c r="B1156">
        <v>4</v>
      </c>
      <c r="C1156" t="s">
        <v>50</v>
      </c>
      <c r="D1156">
        <v>43</v>
      </c>
      <c r="E1156">
        <v>29.510838</v>
      </c>
      <c r="F1156">
        <v>0.92125409302915795</v>
      </c>
      <c r="G1156" t="s">
        <v>51</v>
      </c>
      <c r="H1156">
        <v>4</v>
      </c>
      <c r="I1156">
        <v>43</v>
      </c>
      <c r="J1156">
        <v>1.04377937518771</v>
      </c>
      <c r="K1156" t="b">
        <f t="shared" si="72"/>
        <v>1</v>
      </c>
      <c r="L1156">
        <f t="shared" si="73"/>
        <v>31.475871468216869</v>
      </c>
      <c r="M1156">
        <f t="shared" si="74"/>
        <v>125.90348587286748</v>
      </c>
      <c r="N1156">
        <f t="shared" si="75"/>
        <v>153.85405973664405</v>
      </c>
    </row>
    <row r="1157" spans="1:14" x14ac:dyDescent="0.35">
      <c r="A1157" t="s">
        <v>51</v>
      </c>
      <c r="B1157">
        <v>4</v>
      </c>
      <c r="C1157" t="s">
        <v>50</v>
      </c>
      <c r="D1157">
        <v>44</v>
      </c>
      <c r="E1157">
        <v>31.543344000000001</v>
      </c>
      <c r="F1157">
        <v>1.01886752623828</v>
      </c>
      <c r="G1157" t="s">
        <v>51</v>
      </c>
      <c r="H1157">
        <v>4</v>
      </c>
      <c r="I1157">
        <v>44</v>
      </c>
      <c r="J1157">
        <v>1.12467514933162</v>
      </c>
      <c r="K1157" t="b">
        <f t="shared" si="72"/>
        <v>1</v>
      </c>
      <c r="L1157">
        <f t="shared" si="73"/>
        <v>33.686886675569902</v>
      </c>
      <c r="M1157">
        <f t="shared" si="74"/>
        <v>134.74754670227961</v>
      </c>
      <c r="N1157">
        <f t="shared" si="75"/>
        <v>164.66150207018566</v>
      </c>
    </row>
    <row r="1158" spans="1:14" x14ac:dyDescent="0.35">
      <c r="A1158" t="s">
        <v>51</v>
      </c>
      <c r="B1158">
        <v>4</v>
      </c>
      <c r="C1158" t="s">
        <v>50</v>
      </c>
      <c r="D1158">
        <v>45</v>
      </c>
      <c r="E1158">
        <v>33.575850000000003</v>
      </c>
      <c r="F1158">
        <v>1.12162315045113</v>
      </c>
      <c r="G1158" t="s">
        <v>51</v>
      </c>
      <c r="H1158">
        <v>4</v>
      </c>
      <c r="I1158">
        <v>45</v>
      </c>
      <c r="J1158">
        <v>1.2066566922881601</v>
      </c>
      <c r="K1158" t="b">
        <f t="shared" si="72"/>
        <v>1</v>
      </c>
      <c r="L1158">
        <f t="shared" si="73"/>
        <v>35.904129842739295</v>
      </c>
      <c r="M1158">
        <f t="shared" si="74"/>
        <v>143.61651937095718</v>
      </c>
      <c r="N1158">
        <f t="shared" si="75"/>
        <v>175.49938667130968</v>
      </c>
    </row>
    <row r="1159" spans="1:14" x14ac:dyDescent="0.35">
      <c r="A1159" t="s">
        <v>51</v>
      </c>
      <c r="B1159">
        <v>4</v>
      </c>
      <c r="C1159" t="s">
        <v>50</v>
      </c>
      <c r="D1159">
        <v>46</v>
      </c>
      <c r="E1159">
        <v>35.866907999999903</v>
      </c>
      <c r="F1159">
        <v>1.2303933479375999</v>
      </c>
      <c r="G1159" t="s">
        <v>51</v>
      </c>
      <c r="H1159">
        <v>4</v>
      </c>
      <c r="I1159">
        <v>46</v>
      </c>
      <c r="J1159">
        <v>1.2929125980684399</v>
      </c>
      <c r="K1159" t="b">
        <f t="shared" si="72"/>
        <v>1</v>
      </c>
      <c r="L1159">
        <f t="shared" si="73"/>
        <v>38.390213946005943</v>
      </c>
      <c r="M1159">
        <f t="shared" si="74"/>
        <v>153.56085578402377</v>
      </c>
      <c r="N1159">
        <f t="shared" si="75"/>
        <v>187.65136576807706</v>
      </c>
    </row>
    <row r="1160" spans="1:14" x14ac:dyDescent="0.35">
      <c r="A1160" t="s">
        <v>51</v>
      </c>
      <c r="B1160">
        <v>4</v>
      </c>
      <c r="C1160" t="s">
        <v>50</v>
      </c>
      <c r="D1160">
        <v>47</v>
      </c>
      <c r="E1160">
        <v>38.157966000000002</v>
      </c>
      <c r="F1160">
        <v>1.34499768149947</v>
      </c>
      <c r="G1160" t="s">
        <v>51</v>
      </c>
      <c r="H1160">
        <v>4</v>
      </c>
      <c r="I1160">
        <v>47</v>
      </c>
      <c r="J1160">
        <v>1.38198395175517</v>
      </c>
      <c r="K1160" t="b">
        <f t="shared" si="72"/>
        <v>1</v>
      </c>
      <c r="L1160">
        <f t="shared" si="73"/>
        <v>40.88494763325464</v>
      </c>
      <c r="M1160">
        <f t="shared" si="74"/>
        <v>163.53979053301856</v>
      </c>
      <c r="N1160">
        <f t="shared" si="75"/>
        <v>199.84562403134868</v>
      </c>
    </row>
    <row r="1161" spans="1:14" x14ac:dyDescent="0.35">
      <c r="A1161" t="s">
        <v>51</v>
      </c>
      <c r="B1161">
        <v>4</v>
      </c>
      <c r="C1161" t="s">
        <v>50</v>
      </c>
      <c r="D1161">
        <v>48</v>
      </c>
      <c r="E1161">
        <v>40.449024000000001</v>
      </c>
      <c r="F1161">
        <v>1.46526112705449</v>
      </c>
      <c r="G1161" t="s">
        <v>51</v>
      </c>
      <c r="H1161">
        <v>4</v>
      </c>
      <c r="I1161">
        <v>48</v>
      </c>
      <c r="J1161">
        <v>1.4729566969143499</v>
      </c>
      <c r="K1161" t="b">
        <f t="shared" si="72"/>
        <v>1</v>
      </c>
      <c r="L1161">
        <f t="shared" si="73"/>
        <v>43.387241823968843</v>
      </c>
      <c r="M1161">
        <f t="shared" si="74"/>
        <v>173.54896729587537</v>
      </c>
      <c r="N1161">
        <f t="shared" si="75"/>
        <v>212.07683803555969</v>
      </c>
    </row>
    <row r="1162" spans="1:14" x14ac:dyDescent="0.35">
      <c r="A1162" t="s">
        <v>51</v>
      </c>
      <c r="B1162">
        <v>4</v>
      </c>
      <c r="C1162" t="s">
        <v>50</v>
      </c>
      <c r="D1162">
        <v>49</v>
      </c>
      <c r="E1162">
        <v>42.740082000000001</v>
      </c>
      <c r="F1162">
        <v>1.5910139112428501</v>
      </c>
      <c r="G1162" t="s">
        <v>51</v>
      </c>
      <c r="H1162">
        <v>4</v>
      </c>
      <c r="I1162">
        <v>49</v>
      </c>
      <c r="J1162">
        <v>1.5652450943459699</v>
      </c>
      <c r="K1162" t="b">
        <f t="shared" si="72"/>
        <v>1</v>
      </c>
      <c r="L1162">
        <f t="shared" si="73"/>
        <v>45.896341005588816</v>
      </c>
      <c r="M1162">
        <f t="shared" si="74"/>
        <v>183.58536402235526</v>
      </c>
      <c r="N1162">
        <f t="shared" si="75"/>
        <v>224.34131483531812</v>
      </c>
    </row>
    <row r="1163" spans="1:14" x14ac:dyDescent="0.35">
      <c r="A1163" t="s">
        <v>51</v>
      </c>
      <c r="B1163">
        <v>4</v>
      </c>
      <c r="C1163" t="s">
        <v>50</v>
      </c>
      <c r="D1163">
        <v>50</v>
      </c>
      <c r="E1163">
        <v>45.031140000000001</v>
      </c>
      <c r="F1163">
        <v>1.72209135390557</v>
      </c>
      <c r="G1163" t="s">
        <v>51</v>
      </c>
      <c r="H1163">
        <v>4</v>
      </c>
      <c r="I1163">
        <v>50</v>
      </c>
      <c r="J1163">
        <v>1.6584645602688799</v>
      </c>
      <c r="K1163" t="b">
        <f t="shared" si="72"/>
        <v>1</v>
      </c>
      <c r="L1163">
        <f t="shared" si="73"/>
        <v>48.411695914174452</v>
      </c>
      <c r="M1163">
        <f t="shared" si="74"/>
        <v>193.64678365669781</v>
      </c>
      <c r="N1163">
        <f t="shared" si="75"/>
        <v>236.63636962848472</v>
      </c>
    </row>
    <row r="1164" spans="1:14" x14ac:dyDescent="0.35">
      <c r="A1164" t="s">
        <v>51</v>
      </c>
      <c r="B1164">
        <v>4</v>
      </c>
      <c r="C1164" t="s">
        <v>50</v>
      </c>
      <c r="D1164">
        <v>51</v>
      </c>
      <c r="E1164">
        <v>47.458655999999998</v>
      </c>
      <c r="F1164">
        <v>1.8588755572883999</v>
      </c>
      <c r="G1164" t="s">
        <v>51</v>
      </c>
      <c r="H1164">
        <v>4</v>
      </c>
      <c r="I1164">
        <v>51</v>
      </c>
      <c r="J1164">
        <v>1.7542006345686101</v>
      </c>
      <c r="K1164" t="b">
        <f t="shared" si="72"/>
        <v>1</v>
      </c>
      <c r="L1164">
        <f t="shared" si="73"/>
        <v>51.071732191857009</v>
      </c>
      <c r="M1164">
        <f t="shared" si="74"/>
        <v>204.28692876742804</v>
      </c>
      <c r="N1164">
        <f t="shared" si="75"/>
        <v>249.63862695379706</v>
      </c>
    </row>
    <row r="1165" spans="1:14" x14ac:dyDescent="0.35">
      <c r="A1165" t="s">
        <v>51</v>
      </c>
      <c r="B1165">
        <v>4</v>
      </c>
      <c r="C1165" t="s">
        <v>50</v>
      </c>
      <c r="D1165">
        <v>52</v>
      </c>
      <c r="E1165">
        <v>49.886172000000002</v>
      </c>
      <c r="F1165">
        <v>2.0011953185697502</v>
      </c>
      <c r="G1165" t="s">
        <v>51</v>
      </c>
      <c r="H1165">
        <v>4</v>
      </c>
      <c r="I1165">
        <v>52</v>
      </c>
      <c r="J1165">
        <v>1.85161543298737</v>
      </c>
      <c r="K1165" t="b">
        <f t="shared" si="72"/>
        <v>1</v>
      </c>
      <c r="L1165">
        <f t="shared" si="73"/>
        <v>53.738982751557124</v>
      </c>
      <c r="M1165">
        <f t="shared" si="74"/>
        <v>214.9559310062285</v>
      </c>
      <c r="N1165">
        <f t="shared" si="75"/>
        <v>262.67614768961124</v>
      </c>
    </row>
    <row r="1166" spans="1:14" x14ac:dyDescent="0.35">
      <c r="A1166" t="s">
        <v>51</v>
      </c>
      <c r="B1166">
        <v>4</v>
      </c>
      <c r="C1166" t="s">
        <v>50</v>
      </c>
      <c r="D1166">
        <v>53</v>
      </c>
      <c r="E1166">
        <v>52.2831767502459</v>
      </c>
      <c r="F1166">
        <v>2.1762253272177401</v>
      </c>
      <c r="G1166" t="s">
        <v>51</v>
      </c>
      <c r="H1166">
        <v>4</v>
      </c>
      <c r="I1166">
        <v>53</v>
      </c>
      <c r="J1166">
        <v>1.94976572261843</v>
      </c>
      <c r="K1166" t="b">
        <f t="shared" si="72"/>
        <v>1</v>
      </c>
      <c r="L1166">
        <f t="shared" si="73"/>
        <v>56.409167800082074</v>
      </c>
      <c r="M1166">
        <f t="shared" si="74"/>
        <v>225.63667120032829</v>
      </c>
      <c r="N1166">
        <f t="shared" si="75"/>
        <v>275.72801220680117</v>
      </c>
    </row>
    <row r="1167" spans="1:14" x14ac:dyDescent="0.35">
      <c r="A1167" t="s">
        <v>51</v>
      </c>
      <c r="B1167">
        <v>4</v>
      </c>
      <c r="C1167" t="s">
        <v>50</v>
      </c>
      <c r="D1167">
        <v>54</v>
      </c>
      <c r="E1167">
        <v>54.5271741149311</v>
      </c>
      <c r="F1167">
        <v>2.49224685630689</v>
      </c>
      <c r="G1167" t="s">
        <v>51</v>
      </c>
      <c r="H1167">
        <v>4</v>
      </c>
      <c r="I1167">
        <v>54</v>
      </c>
      <c r="J1167">
        <v>2.0463864792766802</v>
      </c>
      <c r="K1167" t="b">
        <f t="shared" si="72"/>
        <v>1</v>
      </c>
      <c r="L1167">
        <f t="shared" si="73"/>
        <v>59.065807450514669</v>
      </c>
      <c r="M1167">
        <f t="shared" si="74"/>
        <v>236.26322980205867</v>
      </c>
      <c r="N1167">
        <f t="shared" si="75"/>
        <v>288.71366681811571</v>
      </c>
    </row>
    <row r="1168" spans="1:14" x14ac:dyDescent="0.35">
      <c r="A1168" t="s">
        <v>51</v>
      </c>
      <c r="B1168">
        <v>4</v>
      </c>
      <c r="C1168" t="s">
        <v>50</v>
      </c>
      <c r="D1168">
        <v>55</v>
      </c>
      <c r="E1168">
        <v>56.710166935715499</v>
      </c>
      <c r="F1168">
        <v>2.8600753009950299</v>
      </c>
      <c r="G1168" t="s">
        <v>51</v>
      </c>
      <c r="H1168">
        <v>4</v>
      </c>
      <c r="I1168">
        <v>55</v>
      </c>
      <c r="J1168">
        <v>2.1412539490222602</v>
      </c>
      <c r="K1168" t="b">
        <f t="shared" si="72"/>
        <v>1</v>
      </c>
      <c r="L1168">
        <f t="shared" si="73"/>
        <v>61.711496185732784</v>
      </c>
      <c r="M1168">
        <f t="shared" si="74"/>
        <v>246.84598474293114</v>
      </c>
      <c r="N1168">
        <f t="shared" si="75"/>
        <v>301.64579335586183</v>
      </c>
    </row>
    <row r="1169" spans="1:14" x14ac:dyDescent="0.35">
      <c r="A1169" t="s">
        <v>51</v>
      </c>
      <c r="B1169">
        <v>4</v>
      </c>
      <c r="C1169" t="s">
        <v>50</v>
      </c>
      <c r="D1169">
        <v>56</v>
      </c>
      <c r="E1169">
        <v>58.907697094374903</v>
      </c>
      <c r="F1169">
        <v>3.2224953842686701</v>
      </c>
      <c r="G1169" t="s">
        <v>51</v>
      </c>
      <c r="H1169">
        <v>4</v>
      </c>
      <c r="I1169">
        <v>56</v>
      </c>
      <c r="J1169">
        <v>2.2352138759263198</v>
      </c>
      <c r="K1169" t="b">
        <f t="shared" si="72"/>
        <v>1</v>
      </c>
      <c r="L1169">
        <f t="shared" si="73"/>
        <v>64.365406354569899</v>
      </c>
      <c r="M1169">
        <f t="shared" si="74"/>
        <v>257.4616254182796</v>
      </c>
      <c r="N1169">
        <f t="shared" si="75"/>
        <v>314.61810626113765</v>
      </c>
    </row>
    <row r="1170" spans="1:14" x14ac:dyDescent="0.35">
      <c r="A1170" t="s">
        <v>51</v>
      </c>
      <c r="B1170">
        <v>4</v>
      </c>
      <c r="C1170" t="s">
        <v>50</v>
      </c>
      <c r="D1170">
        <v>57</v>
      </c>
      <c r="E1170">
        <v>61.0978443423706</v>
      </c>
      <c r="F1170">
        <v>3.5865870087931699</v>
      </c>
      <c r="G1170" t="s">
        <v>51</v>
      </c>
      <c r="H1170">
        <v>4</v>
      </c>
      <c r="I1170">
        <v>57</v>
      </c>
      <c r="J1170">
        <v>2.3284888643015602</v>
      </c>
      <c r="K1170" t="b">
        <f t="shared" si="72"/>
        <v>1</v>
      </c>
      <c r="L1170">
        <f t="shared" si="73"/>
        <v>67.012920215465329</v>
      </c>
      <c r="M1170">
        <f t="shared" si="74"/>
        <v>268.05168086186131</v>
      </c>
      <c r="N1170">
        <f t="shared" si="75"/>
        <v>327.55915401319453</v>
      </c>
    </row>
    <row r="1171" spans="1:14" x14ac:dyDescent="0.35">
      <c r="A1171" t="s">
        <v>51</v>
      </c>
      <c r="B1171">
        <v>4</v>
      </c>
      <c r="C1171" t="s">
        <v>50</v>
      </c>
      <c r="D1171">
        <v>58</v>
      </c>
      <c r="E1171">
        <v>63.274756364843</v>
      </c>
      <c r="F1171">
        <v>3.9575586594958101</v>
      </c>
      <c r="G1171" t="s">
        <v>51</v>
      </c>
      <c r="H1171">
        <v>4</v>
      </c>
      <c r="I1171">
        <v>58</v>
      </c>
      <c r="J1171">
        <v>2.4211341646391999</v>
      </c>
      <c r="K1171" t="b">
        <f t="shared" si="72"/>
        <v>1</v>
      </c>
      <c r="L1171">
        <f t="shared" si="73"/>
        <v>69.653449188978016</v>
      </c>
      <c r="M1171">
        <f t="shared" si="74"/>
        <v>278.61379675591206</v>
      </c>
      <c r="N1171">
        <f t="shared" si="75"/>
        <v>340.46605963572455</v>
      </c>
    </row>
    <row r="1172" spans="1:14" x14ac:dyDescent="0.35">
      <c r="A1172" t="s">
        <v>51</v>
      </c>
      <c r="B1172">
        <v>4</v>
      </c>
      <c r="C1172" t="s">
        <v>50</v>
      </c>
      <c r="D1172">
        <v>59</v>
      </c>
      <c r="E1172">
        <v>65.429444979602707</v>
      </c>
      <c r="F1172">
        <v>4.3431736092201501</v>
      </c>
      <c r="G1172" t="s">
        <v>51</v>
      </c>
      <c r="H1172">
        <v>4</v>
      </c>
      <c r="I1172">
        <v>59</v>
      </c>
      <c r="J1172">
        <v>2.5130599369690598</v>
      </c>
      <c r="K1172" t="b">
        <f t="shared" si="72"/>
        <v>1</v>
      </c>
      <c r="L1172">
        <f t="shared" si="73"/>
        <v>72.285678525791909</v>
      </c>
      <c r="M1172">
        <f t="shared" si="74"/>
        <v>289.14271410316763</v>
      </c>
      <c r="N1172">
        <f t="shared" si="75"/>
        <v>353.33239663407085</v>
      </c>
    </row>
    <row r="1173" spans="1:14" x14ac:dyDescent="0.35">
      <c r="A1173" t="s">
        <v>51</v>
      </c>
      <c r="B1173">
        <v>4</v>
      </c>
      <c r="C1173" t="s">
        <v>50</v>
      </c>
      <c r="D1173">
        <v>60</v>
      </c>
      <c r="E1173">
        <v>67.563268875422693</v>
      </c>
      <c r="F1173">
        <v>4.7415433870488402</v>
      </c>
      <c r="G1173" t="s">
        <v>51</v>
      </c>
      <c r="H1173">
        <v>4</v>
      </c>
      <c r="I1173">
        <v>60</v>
      </c>
      <c r="J1173">
        <v>2.6042246648484699</v>
      </c>
      <c r="K1173" t="b">
        <f t="shared" si="72"/>
        <v>1</v>
      </c>
      <c r="L1173">
        <f t="shared" si="73"/>
        <v>74.909036927320003</v>
      </c>
      <c r="M1173">
        <f t="shared" si="74"/>
        <v>299.63614770928001</v>
      </c>
      <c r="N1173">
        <f t="shared" si="75"/>
        <v>366.15537250074016</v>
      </c>
    </row>
    <row r="1174" spans="1:14" x14ac:dyDescent="0.35">
      <c r="A1174" t="s">
        <v>51</v>
      </c>
      <c r="B1174">
        <v>4</v>
      </c>
      <c r="C1174" t="s">
        <v>50</v>
      </c>
      <c r="D1174">
        <v>61</v>
      </c>
      <c r="E1174">
        <v>69.641347769769396</v>
      </c>
      <c r="F1174">
        <v>5.1186967286109599</v>
      </c>
      <c r="G1174" t="s">
        <v>51</v>
      </c>
      <c r="H1174">
        <v>4</v>
      </c>
      <c r="I1174">
        <v>61</v>
      </c>
      <c r="J1174">
        <v>2.6941277740000298</v>
      </c>
      <c r="K1174" t="b">
        <f t="shared" si="72"/>
        <v>1</v>
      </c>
      <c r="L1174">
        <f t="shared" si="73"/>
        <v>77.454172272380376</v>
      </c>
      <c r="M1174">
        <f t="shared" si="74"/>
        <v>309.8166890895215</v>
      </c>
      <c r="N1174">
        <f t="shared" si="75"/>
        <v>378.59599406739528</v>
      </c>
    </row>
    <row r="1175" spans="1:14" x14ac:dyDescent="0.35">
      <c r="A1175" t="s">
        <v>51</v>
      </c>
      <c r="B1175">
        <v>4</v>
      </c>
      <c r="C1175" t="s">
        <v>50</v>
      </c>
      <c r="D1175">
        <v>62</v>
      </c>
      <c r="E1175">
        <v>71.717163884794999</v>
      </c>
      <c r="F1175">
        <v>5.49211701620401</v>
      </c>
      <c r="G1175" t="s">
        <v>51</v>
      </c>
      <c r="H1175">
        <v>4</v>
      </c>
      <c r="I1175">
        <v>62</v>
      </c>
      <c r="J1175">
        <v>2.7831683672925398</v>
      </c>
      <c r="K1175" t="b">
        <f t="shared" si="72"/>
        <v>1</v>
      </c>
      <c r="L1175">
        <f t="shared" si="73"/>
        <v>79.992449268291551</v>
      </c>
      <c r="M1175">
        <f t="shared" si="74"/>
        <v>319.96979707316621</v>
      </c>
      <c r="N1175">
        <f t="shared" si="75"/>
        <v>391.00309202340907</v>
      </c>
    </row>
    <row r="1176" spans="1:14" x14ac:dyDescent="0.35">
      <c r="A1176" t="s">
        <v>51</v>
      </c>
      <c r="B1176">
        <v>4</v>
      </c>
      <c r="C1176" t="s">
        <v>50</v>
      </c>
      <c r="D1176">
        <v>63</v>
      </c>
      <c r="E1176">
        <v>73.782757664459595</v>
      </c>
      <c r="F1176">
        <v>5.8691428412160098</v>
      </c>
      <c r="G1176" t="s">
        <v>51</v>
      </c>
      <c r="H1176">
        <v>4</v>
      </c>
      <c r="I1176">
        <v>63</v>
      </c>
      <c r="J1176">
        <v>2.8714886772278798</v>
      </c>
      <c r="K1176" t="b">
        <f t="shared" si="72"/>
        <v>1</v>
      </c>
      <c r="L1176">
        <f t="shared" si="73"/>
        <v>82.523389182903472</v>
      </c>
      <c r="M1176">
        <f t="shared" si="74"/>
        <v>330.09355673161389</v>
      </c>
      <c r="N1176">
        <f t="shared" si="75"/>
        <v>403.37432632603219</v>
      </c>
    </row>
    <row r="1177" spans="1:14" x14ac:dyDescent="0.35">
      <c r="A1177" t="s">
        <v>51</v>
      </c>
      <c r="B1177">
        <v>4</v>
      </c>
      <c r="C1177" t="s">
        <v>50</v>
      </c>
      <c r="D1177">
        <v>64</v>
      </c>
      <c r="E1177">
        <v>75.8346362349712</v>
      </c>
      <c r="F1177">
        <v>6.2527533783259601</v>
      </c>
      <c r="G1177" t="s">
        <v>51</v>
      </c>
      <c r="H1177">
        <v>4</v>
      </c>
      <c r="I1177">
        <v>64</v>
      </c>
      <c r="J1177">
        <v>2.95913228491264</v>
      </c>
      <c r="K1177" t="b">
        <f t="shared" si="72"/>
        <v>1</v>
      </c>
      <c r="L1177">
        <f t="shared" si="73"/>
        <v>85.046521898209804</v>
      </c>
      <c r="M1177">
        <f t="shared" si="74"/>
        <v>340.18608759283921</v>
      </c>
      <c r="N1177">
        <f t="shared" si="75"/>
        <v>415.70739903844952</v>
      </c>
    </row>
    <row r="1178" spans="1:14" x14ac:dyDescent="0.35">
      <c r="A1178" t="s">
        <v>51</v>
      </c>
      <c r="B1178">
        <v>4</v>
      </c>
      <c r="C1178" t="s">
        <v>50</v>
      </c>
      <c r="D1178">
        <v>65</v>
      </c>
      <c r="E1178">
        <v>77.871205008140507</v>
      </c>
      <c r="F1178">
        <v>6.6440796979702901</v>
      </c>
      <c r="G1178" t="s">
        <v>51</v>
      </c>
      <c r="H1178">
        <v>4</v>
      </c>
      <c r="I1178">
        <v>65</v>
      </c>
      <c r="J1178">
        <v>3.0461066702756301</v>
      </c>
      <c r="K1178" t="b">
        <f t="shared" si="72"/>
        <v>1</v>
      </c>
      <c r="L1178">
        <f t="shared" si="73"/>
        <v>87.561391376386425</v>
      </c>
      <c r="M1178">
        <f t="shared" si="74"/>
        <v>350.2455655055457</v>
      </c>
      <c r="N1178">
        <f t="shared" si="75"/>
        <v>428.00008104777686</v>
      </c>
    </row>
    <row r="1179" spans="1:14" x14ac:dyDescent="0.35">
      <c r="A1179" t="s">
        <v>51</v>
      </c>
      <c r="B1179">
        <v>4</v>
      </c>
      <c r="C1179" t="s">
        <v>50</v>
      </c>
      <c r="D1179">
        <v>66</v>
      </c>
      <c r="E1179">
        <v>79.784992709489799</v>
      </c>
      <c r="F1179">
        <v>7.0097851800623303</v>
      </c>
      <c r="G1179" t="s">
        <v>51</v>
      </c>
      <c r="H1179">
        <v>4</v>
      </c>
      <c r="I1179">
        <v>66</v>
      </c>
      <c r="J1179">
        <v>3.13096517470419</v>
      </c>
      <c r="K1179" t="b">
        <f t="shared" si="72"/>
        <v>1</v>
      </c>
      <c r="L1179">
        <f t="shared" si="73"/>
        <v>89.925743064256324</v>
      </c>
      <c r="M1179">
        <f t="shared" si="74"/>
        <v>359.70297225702529</v>
      </c>
      <c r="N1179">
        <f t="shared" si="75"/>
        <v>439.5570320980849</v>
      </c>
    </row>
    <row r="1180" spans="1:14" x14ac:dyDescent="0.35">
      <c r="A1180" t="s">
        <v>51</v>
      </c>
      <c r="B1180">
        <v>4</v>
      </c>
      <c r="C1180" t="s">
        <v>50</v>
      </c>
      <c r="D1180">
        <v>67</v>
      </c>
      <c r="E1180">
        <v>81.6996508580891</v>
      </c>
      <c r="F1180">
        <v>7.36902682285199</v>
      </c>
      <c r="G1180" t="s">
        <v>51</v>
      </c>
      <c r="H1180">
        <v>4</v>
      </c>
      <c r="I1180">
        <v>67</v>
      </c>
      <c r="J1180">
        <v>3.2144504834343799</v>
      </c>
      <c r="K1180" t="b">
        <f t="shared" si="72"/>
        <v>1</v>
      </c>
      <c r="L1180">
        <f t="shared" si="73"/>
        <v>92.283128164375469</v>
      </c>
      <c r="M1180">
        <f t="shared" si="74"/>
        <v>369.13251265750188</v>
      </c>
      <c r="N1180">
        <f t="shared" si="75"/>
        <v>451.07993046746731</v>
      </c>
    </row>
    <row r="1181" spans="1:14" x14ac:dyDescent="0.35">
      <c r="A1181" t="s">
        <v>51</v>
      </c>
      <c r="B1181">
        <v>4</v>
      </c>
      <c r="C1181" t="s">
        <v>50</v>
      </c>
      <c r="D1181">
        <v>68</v>
      </c>
      <c r="E1181">
        <v>83.606849714846604</v>
      </c>
      <c r="F1181">
        <v>7.7295897539787202</v>
      </c>
      <c r="G1181" t="s">
        <v>51</v>
      </c>
      <c r="H1181">
        <v>4</v>
      </c>
      <c r="I1181">
        <v>68</v>
      </c>
      <c r="J1181">
        <v>3.2969130814724501</v>
      </c>
      <c r="K1181" t="b">
        <f t="shared" si="72"/>
        <v>1</v>
      </c>
      <c r="L1181">
        <f t="shared" si="73"/>
        <v>94.633352550297772</v>
      </c>
      <c r="M1181">
        <f t="shared" si="74"/>
        <v>378.53341020119109</v>
      </c>
      <c r="N1181">
        <f t="shared" si="75"/>
        <v>462.5678272658555</v>
      </c>
    </row>
    <row r="1182" spans="1:14" x14ac:dyDescent="0.35">
      <c r="A1182" t="s">
        <v>51</v>
      </c>
      <c r="B1182">
        <v>4</v>
      </c>
      <c r="C1182" t="s">
        <v>50</v>
      </c>
      <c r="D1182">
        <v>69</v>
      </c>
      <c r="E1182">
        <v>85.503095657742804</v>
      </c>
      <c r="F1182">
        <v>8.0945481275888298</v>
      </c>
      <c r="G1182" t="s">
        <v>51</v>
      </c>
      <c r="H1182">
        <v>4</v>
      </c>
      <c r="I1182">
        <v>69</v>
      </c>
      <c r="J1182">
        <v>3.37852856069664</v>
      </c>
      <c r="K1182" t="b">
        <f t="shared" si="72"/>
        <v>1</v>
      </c>
      <c r="L1182">
        <f t="shared" si="73"/>
        <v>96.976172346028264</v>
      </c>
      <c r="M1182">
        <f t="shared" si="74"/>
        <v>387.90468938411306</v>
      </c>
      <c r="N1182">
        <f t="shared" si="75"/>
        <v>474.01953042738614</v>
      </c>
    </row>
    <row r="1183" spans="1:14" x14ac:dyDescent="0.35">
      <c r="A1183" t="s">
        <v>51</v>
      </c>
      <c r="B1183">
        <v>4</v>
      </c>
      <c r="C1183" t="s">
        <v>50</v>
      </c>
      <c r="D1183">
        <v>70</v>
      </c>
      <c r="E1183">
        <v>87.386883069548105</v>
      </c>
      <c r="F1183">
        <v>8.46504401984234</v>
      </c>
      <c r="G1183" t="s">
        <v>51</v>
      </c>
      <c r="H1183">
        <v>4</v>
      </c>
      <c r="I1183">
        <v>70</v>
      </c>
      <c r="J1183">
        <v>3.45939129012157</v>
      </c>
      <c r="K1183" t="b">
        <f t="shared" si="72"/>
        <v>1</v>
      </c>
      <c r="L1183">
        <f t="shared" si="73"/>
        <v>99.311318379512016</v>
      </c>
      <c r="M1183">
        <f t="shared" si="74"/>
        <v>397.24527351804807</v>
      </c>
      <c r="N1183">
        <f t="shared" si="75"/>
        <v>485.43372423905475</v>
      </c>
    </row>
    <row r="1184" spans="1:14" x14ac:dyDescent="0.35">
      <c r="A1184" t="s">
        <v>51</v>
      </c>
      <c r="B1184">
        <v>4</v>
      </c>
      <c r="C1184" t="s">
        <v>50</v>
      </c>
      <c r="D1184">
        <v>71</v>
      </c>
      <c r="E1184">
        <v>89.131051247766806</v>
      </c>
      <c r="F1184">
        <v>8.8060827978851606</v>
      </c>
      <c r="G1184" t="s">
        <v>51</v>
      </c>
      <c r="H1184">
        <v>4</v>
      </c>
      <c r="I1184">
        <v>71</v>
      </c>
      <c r="J1184">
        <v>3.5378462668449102</v>
      </c>
      <c r="K1184" t="b">
        <f t="shared" si="72"/>
        <v>1</v>
      </c>
      <c r="L1184">
        <f t="shared" si="73"/>
        <v>101.47498031249687</v>
      </c>
      <c r="M1184">
        <f t="shared" si="74"/>
        <v>405.89992124998747</v>
      </c>
      <c r="N1184">
        <f t="shared" si="75"/>
        <v>496.00970376748467</v>
      </c>
    </row>
    <row r="1185" spans="1:14" x14ac:dyDescent="0.35">
      <c r="A1185" t="s">
        <v>51</v>
      </c>
      <c r="B1185">
        <v>4</v>
      </c>
      <c r="C1185" t="s">
        <v>50</v>
      </c>
      <c r="D1185">
        <v>72</v>
      </c>
      <c r="E1185">
        <v>90.879292986734995</v>
      </c>
      <c r="F1185">
        <v>9.1383407667965102</v>
      </c>
      <c r="G1185" t="s">
        <v>51</v>
      </c>
      <c r="H1185">
        <v>4</v>
      </c>
      <c r="I1185">
        <v>72</v>
      </c>
      <c r="J1185">
        <v>3.6147754607008702</v>
      </c>
      <c r="K1185" t="b">
        <f t="shared" si="72"/>
        <v>1</v>
      </c>
      <c r="L1185">
        <f t="shared" si="73"/>
        <v>103.63240921423237</v>
      </c>
      <c r="M1185">
        <f t="shared" si="74"/>
        <v>414.52963685692947</v>
      </c>
      <c r="N1185">
        <f t="shared" si="75"/>
        <v>506.55521623916781</v>
      </c>
    </row>
    <row r="1186" spans="1:14" x14ac:dyDescent="0.35">
      <c r="A1186" t="s">
        <v>51</v>
      </c>
      <c r="B1186">
        <v>4</v>
      </c>
      <c r="C1186" t="s">
        <v>50</v>
      </c>
      <c r="D1186">
        <v>73</v>
      </c>
      <c r="E1186">
        <v>92.622919003718394</v>
      </c>
      <c r="F1186">
        <v>9.4700239009852591</v>
      </c>
      <c r="G1186" t="s">
        <v>51</v>
      </c>
      <c r="H1186">
        <v>4</v>
      </c>
      <c r="I1186">
        <v>73</v>
      </c>
      <c r="J1186">
        <v>3.6906134673964299</v>
      </c>
      <c r="K1186" t="b">
        <f t="shared" si="72"/>
        <v>1</v>
      </c>
      <c r="L1186">
        <f t="shared" si="73"/>
        <v>105.78355637210008</v>
      </c>
      <c r="M1186">
        <f t="shared" si="74"/>
        <v>423.13422548840032</v>
      </c>
      <c r="N1186">
        <f t="shared" si="75"/>
        <v>517.07002354682515</v>
      </c>
    </row>
    <row r="1187" spans="1:14" x14ac:dyDescent="0.35">
      <c r="A1187" t="s">
        <v>51</v>
      </c>
      <c r="B1187">
        <v>4</v>
      </c>
      <c r="C1187" t="s">
        <v>50</v>
      </c>
      <c r="D1187">
        <v>74</v>
      </c>
      <c r="E1187">
        <v>94.358410746093497</v>
      </c>
      <c r="F1187">
        <v>9.8043079904095691</v>
      </c>
      <c r="G1187" t="s">
        <v>51</v>
      </c>
      <c r="H1187">
        <v>4</v>
      </c>
      <c r="I1187">
        <v>74</v>
      </c>
      <c r="J1187">
        <v>3.7655906382239102</v>
      </c>
      <c r="K1187" t="b">
        <f t="shared" si="72"/>
        <v>1</v>
      </c>
      <c r="L1187">
        <f t="shared" si="73"/>
        <v>107.92830937472698</v>
      </c>
      <c r="M1187">
        <f t="shared" si="74"/>
        <v>431.71323749890792</v>
      </c>
      <c r="N1187">
        <f t="shared" si="75"/>
        <v>527.55357622366546</v>
      </c>
    </row>
    <row r="1188" spans="1:14" x14ac:dyDescent="0.35">
      <c r="A1188" t="s">
        <v>51</v>
      </c>
      <c r="B1188">
        <v>4</v>
      </c>
      <c r="C1188" t="s">
        <v>50</v>
      </c>
      <c r="D1188">
        <v>75</v>
      </c>
      <c r="E1188">
        <v>96.084322887766405</v>
      </c>
      <c r="F1188">
        <v>10.1423563833659</v>
      </c>
      <c r="G1188" t="s">
        <v>51</v>
      </c>
      <c r="H1188">
        <v>4</v>
      </c>
      <c r="I1188">
        <v>75</v>
      </c>
      <c r="J1188">
        <v>3.8398389437231502</v>
      </c>
      <c r="K1188" t="b">
        <f t="shared" si="72"/>
        <v>1</v>
      </c>
      <c r="L1188">
        <f t="shared" si="73"/>
        <v>110.06651821485545</v>
      </c>
      <c r="M1188">
        <f t="shared" si="74"/>
        <v>440.2660728594218</v>
      </c>
      <c r="N1188">
        <f t="shared" si="75"/>
        <v>538.00514103421347</v>
      </c>
    </row>
    <row r="1189" spans="1:14" x14ac:dyDescent="0.35">
      <c r="A1189" t="s">
        <v>51</v>
      </c>
      <c r="B1189">
        <v>4</v>
      </c>
      <c r="C1189" t="s">
        <v>50</v>
      </c>
      <c r="D1189">
        <v>76</v>
      </c>
      <c r="E1189">
        <v>97.667429322140606</v>
      </c>
      <c r="F1189">
        <v>10.461148963805201</v>
      </c>
      <c r="G1189" t="s">
        <v>51</v>
      </c>
      <c r="H1189">
        <v>4</v>
      </c>
      <c r="I1189">
        <v>76</v>
      </c>
      <c r="J1189">
        <v>3.9116472478789399</v>
      </c>
      <c r="K1189" t="b">
        <f t="shared" si="72"/>
        <v>1</v>
      </c>
      <c r="L1189">
        <f t="shared" si="73"/>
        <v>112.04022553382475</v>
      </c>
      <c r="M1189">
        <f t="shared" si="74"/>
        <v>448.16090213529901</v>
      </c>
      <c r="N1189">
        <f t="shared" si="75"/>
        <v>547.65262240933544</v>
      </c>
    </row>
    <row r="1190" spans="1:14" x14ac:dyDescent="0.35">
      <c r="A1190" t="s">
        <v>51</v>
      </c>
      <c r="B1190">
        <v>4</v>
      </c>
      <c r="C1190" t="s">
        <v>50</v>
      </c>
      <c r="D1190">
        <v>77</v>
      </c>
      <c r="E1190">
        <v>99.251080452251401</v>
      </c>
      <c r="F1190">
        <v>10.774729434634001</v>
      </c>
      <c r="G1190" t="s">
        <v>51</v>
      </c>
      <c r="H1190">
        <v>4</v>
      </c>
      <c r="I1190">
        <v>77</v>
      </c>
      <c r="J1190">
        <v>3.9818584000719301</v>
      </c>
      <c r="K1190" t="b">
        <f t="shared" si="72"/>
        <v>1</v>
      </c>
      <c r="L1190">
        <f t="shared" si="73"/>
        <v>114.00766828695733</v>
      </c>
      <c r="M1190">
        <f t="shared" si="74"/>
        <v>456.0306731478293</v>
      </c>
      <c r="N1190">
        <f t="shared" si="75"/>
        <v>557.26948258664743</v>
      </c>
    </row>
    <row r="1191" spans="1:14" x14ac:dyDescent="0.35">
      <c r="A1191" t="s">
        <v>51</v>
      </c>
      <c r="B1191">
        <v>4</v>
      </c>
      <c r="C1191" t="s">
        <v>50</v>
      </c>
      <c r="D1191">
        <v>78</v>
      </c>
      <c r="E1191">
        <v>100.82946834233501</v>
      </c>
      <c r="F1191">
        <v>11.0885378833887</v>
      </c>
      <c r="G1191" t="s">
        <v>51</v>
      </c>
      <c r="H1191">
        <v>4</v>
      </c>
      <c r="I1191">
        <v>78</v>
      </c>
      <c r="J1191">
        <v>4.0509213435033598</v>
      </c>
      <c r="K1191" t="b">
        <f t="shared" si="72"/>
        <v>1</v>
      </c>
      <c r="L1191">
        <f t="shared" si="73"/>
        <v>115.96892756922706</v>
      </c>
      <c r="M1191">
        <f t="shared" si="74"/>
        <v>463.87571027690825</v>
      </c>
      <c r="N1191">
        <f t="shared" si="75"/>
        <v>566.8561179583819</v>
      </c>
    </row>
    <row r="1192" spans="1:14" x14ac:dyDescent="0.35">
      <c r="A1192" t="s">
        <v>51</v>
      </c>
      <c r="B1192">
        <v>4</v>
      </c>
      <c r="C1192" t="s">
        <v>50</v>
      </c>
      <c r="D1192">
        <v>79</v>
      </c>
      <c r="E1192">
        <v>102.40027986974999</v>
      </c>
      <c r="F1192">
        <v>11.4046196956259</v>
      </c>
      <c r="G1192" t="s">
        <v>51</v>
      </c>
      <c r="H1192">
        <v>4</v>
      </c>
      <c r="I1192">
        <v>79</v>
      </c>
      <c r="J1192">
        <v>4.1190919222271303</v>
      </c>
      <c r="K1192" t="b">
        <f t="shared" si="72"/>
        <v>1</v>
      </c>
      <c r="L1192">
        <f t="shared" si="73"/>
        <v>117.92399148760302</v>
      </c>
      <c r="M1192">
        <f t="shared" si="74"/>
        <v>471.69596595041207</v>
      </c>
      <c r="N1192">
        <f t="shared" si="75"/>
        <v>576.41247039140353</v>
      </c>
    </row>
    <row r="1193" spans="1:14" x14ac:dyDescent="0.35">
      <c r="A1193" t="s">
        <v>51</v>
      </c>
      <c r="B1193">
        <v>4</v>
      </c>
      <c r="C1193" t="s">
        <v>50</v>
      </c>
      <c r="D1193">
        <v>80</v>
      </c>
      <c r="E1193">
        <v>103.96257692408599</v>
      </c>
      <c r="F1193">
        <v>11.723688483630101</v>
      </c>
      <c r="G1193" t="s">
        <v>51</v>
      </c>
      <c r="H1193">
        <v>4</v>
      </c>
      <c r="I1193">
        <v>80</v>
      </c>
      <c r="J1193">
        <v>4.1865254758571302</v>
      </c>
      <c r="K1193" t="b">
        <f t="shared" si="72"/>
        <v>1</v>
      </c>
      <c r="L1193">
        <f t="shared" si="73"/>
        <v>119.87279088357322</v>
      </c>
      <c r="M1193">
        <f t="shared" si="74"/>
        <v>479.49116353429287</v>
      </c>
      <c r="N1193">
        <f t="shared" si="75"/>
        <v>585.93820183890591</v>
      </c>
    </row>
    <row r="1194" spans="1:14" x14ac:dyDescent="0.35">
      <c r="A1194" t="s">
        <v>51</v>
      </c>
      <c r="B1194">
        <v>4</v>
      </c>
      <c r="C1194" t="s">
        <v>50</v>
      </c>
      <c r="D1194">
        <v>81</v>
      </c>
      <c r="E1194">
        <v>105.41627357988</v>
      </c>
      <c r="F1194">
        <v>12.0189115164225</v>
      </c>
      <c r="G1194" t="s">
        <v>51</v>
      </c>
      <c r="H1194">
        <v>4</v>
      </c>
      <c r="I1194">
        <v>81</v>
      </c>
      <c r="J1194">
        <v>4.2519741781193998</v>
      </c>
      <c r="K1194" t="b">
        <f t="shared" si="72"/>
        <v>1</v>
      </c>
      <c r="L1194">
        <f t="shared" si="73"/>
        <v>121.6871592744219</v>
      </c>
      <c r="M1194">
        <f t="shared" si="74"/>
        <v>486.74863709768761</v>
      </c>
      <c r="N1194">
        <f t="shared" si="75"/>
        <v>594.80683453337429</v>
      </c>
    </row>
    <row r="1195" spans="1:14" x14ac:dyDescent="0.35">
      <c r="A1195" t="s">
        <v>51</v>
      </c>
      <c r="B1195">
        <v>4</v>
      </c>
      <c r="C1195" t="s">
        <v>50</v>
      </c>
      <c r="D1195">
        <v>82</v>
      </c>
      <c r="E1195">
        <v>106.873437415411</v>
      </c>
      <c r="F1195">
        <v>12.3068362503752</v>
      </c>
      <c r="G1195" t="s">
        <v>51</v>
      </c>
      <c r="H1195">
        <v>4</v>
      </c>
      <c r="I1195">
        <v>82</v>
      </c>
      <c r="J1195">
        <v>4.3161562336614798</v>
      </c>
      <c r="K1195" t="b">
        <f t="shared" si="72"/>
        <v>1</v>
      </c>
      <c r="L1195">
        <f t="shared" si="73"/>
        <v>123.49642989944768</v>
      </c>
      <c r="M1195">
        <f t="shared" si="74"/>
        <v>493.98571959779071</v>
      </c>
      <c r="N1195">
        <f t="shared" si="75"/>
        <v>603.65054934850025</v>
      </c>
    </row>
    <row r="1196" spans="1:14" x14ac:dyDescent="0.35">
      <c r="A1196" t="s">
        <v>51</v>
      </c>
      <c r="B1196">
        <v>4</v>
      </c>
      <c r="C1196" t="s">
        <v>50</v>
      </c>
      <c r="D1196">
        <v>83</v>
      </c>
      <c r="E1196">
        <v>108.327372332775</v>
      </c>
      <c r="F1196">
        <v>12.593792996247</v>
      </c>
      <c r="G1196" t="s">
        <v>51</v>
      </c>
      <c r="H1196">
        <v>4</v>
      </c>
      <c r="I1196">
        <v>83</v>
      </c>
      <c r="J1196">
        <v>4.3794335677630896</v>
      </c>
      <c r="K1196" t="b">
        <f t="shared" si="72"/>
        <v>1</v>
      </c>
      <c r="L1196">
        <f t="shared" si="73"/>
        <v>125.30059889678509</v>
      </c>
      <c r="M1196">
        <f t="shared" si="74"/>
        <v>501.20239558714036</v>
      </c>
      <c r="N1196">
        <f t="shared" si="75"/>
        <v>612.46932740748548</v>
      </c>
    </row>
    <row r="1197" spans="1:14" x14ac:dyDescent="0.35">
      <c r="A1197" t="s">
        <v>51</v>
      </c>
      <c r="B1197">
        <v>4</v>
      </c>
      <c r="C1197" t="s">
        <v>50</v>
      </c>
      <c r="D1197">
        <v>84</v>
      </c>
      <c r="E1197">
        <v>109.775470124832</v>
      </c>
      <c r="F1197">
        <v>12.882143533815601</v>
      </c>
      <c r="G1197" t="s">
        <v>51</v>
      </c>
      <c r="H1197">
        <v>4</v>
      </c>
      <c r="I1197">
        <v>84</v>
      </c>
      <c r="J1197">
        <v>4.4420044322707399</v>
      </c>
      <c r="K1197" t="b">
        <f t="shared" si="72"/>
        <v>1</v>
      </c>
      <c r="L1197">
        <f t="shared" si="73"/>
        <v>127.09961809091833</v>
      </c>
      <c r="M1197">
        <f t="shared" si="74"/>
        <v>508.39847236367331</v>
      </c>
      <c r="N1197">
        <f t="shared" si="75"/>
        <v>621.26293322840877</v>
      </c>
    </row>
    <row r="1198" spans="1:14" x14ac:dyDescent="0.35">
      <c r="A1198" t="s">
        <v>51</v>
      </c>
      <c r="B1198">
        <v>4</v>
      </c>
      <c r="C1198" t="s">
        <v>50</v>
      </c>
      <c r="D1198">
        <v>85</v>
      </c>
      <c r="E1198">
        <v>111.216705772955</v>
      </c>
      <c r="F1198">
        <v>13.172716564506599</v>
      </c>
      <c r="G1198" t="s">
        <v>51</v>
      </c>
      <c r="H1198">
        <v>4</v>
      </c>
      <c r="I1198">
        <v>85</v>
      </c>
      <c r="J1198">
        <v>4.5039867271729603</v>
      </c>
      <c r="K1198" t="b">
        <f t="shared" si="72"/>
        <v>1</v>
      </c>
      <c r="L1198">
        <f t="shared" si="73"/>
        <v>128.89340906463457</v>
      </c>
      <c r="M1198">
        <f t="shared" si="74"/>
        <v>515.57363625853827</v>
      </c>
      <c r="N1198">
        <f t="shared" si="75"/>
        <v>630.0309835079338</v>
      </c>
    </row>
    <row r="1199" spans="1:14" x14ac:dyDescent="0.35">
      <c r="A1199" t="s">
        <v>51</v>
      </c>
      <c r="B1199">
        <v>4</v>
      </c>
      <c r="C1199" t="s">
        <v>50</v>
      </c>
      <c r="D1199">
        <v>86</v>
      </c>
      <c r="E1199">
        <v>112.56211081795399</v>
      </c>
      <c r="F1199">
        <v>13.441677705973101</v>
      </c>
      <c r="G1199" t="s">
        <v>51</v>
      </c>
      <c r="H1199">
        <v>4</v>
      </c>
      <c r="I1199">
        <v>86</v>
      </c>
      <c r="J1199">
        <v>4.5642587732799296</v>
      </c>
      <c r="K1199" t="b">
        <f t="shared" si="72"/>
        <v>1</v>
      </c>
      <c r="L1199">
        <f t="shared" si="73"/>
        <v>130.56804729720702</v>
      </c>
      <c r="M1199">
        <f t="shared" si="74"/>
        <v>522.27218918882807</v>
      </c>
      <c r="N1199">
        <f t="shared" si="75"/>
        <v>638.21661518874794</v>
      </c>
    </row>
    <row r="1200" spans="1:14" x14ac:dyDescent="0.35">
      <c r="A1200" t="s">
        <v>51</v>
      </c>
      <c r="B1200">
        <v>4</v>
      </c>
      <c r="C1200" t="s">
        <v>50</v>
      </c>
      <c r="D1200">
        <v>87</v>
      </c>
      <c r="E1200">
        <v>113.910952003383</v>
      </c>
      <c r="F1200">
        <v>13.7040620365183</v>
      </c>
      <c r="G1200" t="s">
        <v>51</v>
      </c>
      <c r="H1200">
        <v>4</v>
      </c>
      <c r="I1200">
        <v>87</v>
      </c>
      <c r="J1200">
        <v>4.6234463802717203</v>
      </c>
      <c r="K1200" t="b">
        <f t="shared" si="72"/>
        <v>1</v>
      </c>
      <c r="L1200">
        <f t="shared" si="73"/>
        <v>132.23846042017303</v>
      </c>
      <c r="M1200">
        <f t="shared" si="74"/>
        <v>528.95384168069211</v>
      </c>
      <c r="N1200">
        <f t="shared" si="75"/>
        <v>646.3815945338057</v>
      </c>
    </row>
    <row r="1201" spans="1:14" x14ac:dyDescent="0.35">
      <c r="A1201" t="s">
        <v>51</v>
      </c>
      <c r="B1201">
        <v>4</v>
      </c>
      <c r="C1201" t="s">
        <v>50</v>
      </c>
      <c r="D1201">
        <v>88</v>
      </c>
      <c r="E1201">
        <v>115.257228732432</v>
      </c>
      <c r="F1201">
        <v>13.965538094288499</v>
      </c>
      <c r="G1201" t="s">
        <v>51</v>
      </c>
      <c r="H1201">
        <v>4</v>
      </c>
      <c r="I1201">
        <v>88</v>
      </c>
      <c r="J1201">
        <v>4.6818624917039697</v>
      </c>
      <c r="K1201" t="b">
        <f t="shared" si="72"/>
        <v>1</v>
      </c>
      <c r="L1201">
        <f t="shared" si="73"/>
        <v>133.90462931842447</v>
      </c>
      <c r="M1201">
        <f t="shared" si="74"/>
        <v>535.61851727369788</v>
      </c>
      <c r="N1201">
        <f t="shared" si="75"/>
        <v>654.52582810845877</v>
      </c>
    </row>
    <row r="1202" spans="1:14" x14ac:dyDescent="0.35">
      <c r="A1202" t="s">
        <v>51</v>
      </c>
      <c r="B1202">
        <v>4</v>
      </c>
      <c r="C1202" t="s">
        <v>50</v>
      </c>
      <c r="D1202">
        <v>89</v>
      </c>
      <c r="E1202">
        <v>116.59863835840299</v>
      </c>
      <c r="F1202">
        <v>14.228187487329601</v>
      </c>
      <c r="G1202" t="s">
        <v>51</v>
      </c>
      <c r="H1202">
        <v>4</v>
      </c>
      <c r="I1202">
        <v>89</v>
      </c>
      <c r="J1202">
        <v>4.73967776824224</v>
      </c>
      <c r="K1202" t="b">
        <f t="shared" si="72"/>
        <v>1</v>
      </c>
      <c r="L1202">
        <f t="shared" si="73"/>
        <v>135.56650361397485</v>
      </c>
      <c r="M1202">
        <f t="shared" si="74"/>
        <v>542.26601445589938</v>
      </c>
      <c r="N1202">
        <f t="shared" si="75"/>
        <v>662.64906966510898</v>
      </c>
    </row>
    <row r="1203" spans="1:14" x14ac:dyDescent="0.35">
      <c r="A1203" t="s">
        <v>51</v>
      </c>
      <c r="B1203">
        <v>4</v>
      </c>
      <c r="C1203" t="s">
        <v>50</v>
      </c>
      <c r="D1203">
        <v>90</v>
      </c>
      <c r="E1203">
        <v>117.934291389271</v>
      </c>
      <c r="F1203">
        <v>14.4927249247626</v>
      </c>
      <c r="G1203" t="s">
        <v>51</v>
      </c>
      <c r="H1203">
        <v>4</v>
      </c>
      <c r="I1203">
        <v>90</v>
      </c>
      <c r="J1203">
        <v>4.7969935375837904</v>
      </c>
      <c r="K1203" t="b">
        <f t="shared" si="72"/>
        <v>1</v>
      </c>
      <c r="L1203">
        <f t="shared" si="73"/>
        <v>137.22400985161741</v>
      </c>
      <c r="M1203">
        <f t="shared" si="74"/>
        <v>548.89603940646964</v>
      </c>
      <c r="N1203">
        <f t="shared" si="75"/>
        <v>670.75096015470592</v>
      </c>
    </row>
    <row r="1204" spans="1:14" x14ac:dyDescent="0.35">
      <c r="A1204" t="s">
        <v>51</v>
      </c>
      <c r="B1204">
        <v>4</v>
      </c>
      <c r="C1204" t="s">
        <v>50</v>
      </c>
      <c r="D1204">
        <v>91</v>
      </c>
      <c r="E1204">
        <v>119.094059777946</v>
      </c>
      <c r="F1204">
        <v>14.7240205367728</v>
      </c>
      <c r="G1204" t="s">
        <v>51</v>
      </c>
      <c r="H1204">
        <v>4</v>
      </c>
      <c r="I1204">
        <v>91</v>
      </c>
      <c r="J1204">
        <v>4.8515797188680603</v>
      </c>
      <c r="K1204" t="b">
        <f t="shared" si="72"/>
        <v>1</v>
      </c>
      <c r="L1204">
        <f t="shared" si="73"/>
        <v>138.66966003358687</v>
      </c>
      <c r="M1204">
        <f t="shared" si="74"/>
        <v>554.67864013434746</v>
      </c>
      <c r="N1204">
        <f t="shared" si="75"/>
        <v>677.81729824417255</v>
      </c>
    </row>
    <row r="1205" spans="1:14" x14ac:dyDescent="0.35">
      <c r="A1205" t="s">
        <v>51</v>
      </c>
      <c r="B1205">
        <v>4</v>
      </c>
      <c r="C1205" t="s">
        <v>50</v>
      </c>
      <c r="D1205">
        <v>92</v>
      </c>
      <c r="E1205">
        <v>120.26323922888101</v>
      </c>
      <c r="F1205">
        <v>14.944238130928801</v>
      </c>
      <c r="G1205" t="s">
        <v>51</v>
      </c>
      <c r="H1205">
        <v>4</v>
      </c>
      <c r="I1205">
        <v>92</v>
      </c>
      <c r="J1205">
        <v>4.9045120214071298</v>
      </c>
      <c r="K1205" t="b">
        <f t="shared" si="72"/>
        <v>1</v>
      </c>
      <c r="L1205">
        <f t="shared" si="73"/>
        <v>140.11198938121694</v>
      </c>
      <c r="M1205">
        <f t="shared" si="74"/>
        <v>560.44795752486777</v>
      </c>
      <c r="N1205">
        <f t="shared" si="75"/>
        <v>684.86740409538845</v>
      </c>
    </row>
    <row r="1206" spans="1:14" x14ac:dyDescent="0.35">
      <c r="A1206" t="s">
        <v>51</v>
      </c>
      <c r="B1206">
        <v>4</v>
      </c>
      <c r="C1206" t="s">
        <v>50</v>
      </c>
      <c r="D1206">
        <v>93</v>
      </c>
      <c r="E1206">
        <v>121.433134296989</v>
      </c>
      <c r="F1206">
        <v>15.1616724986654</v>
      </c>
      <c r="G1206" t="s">
        <v>51</v>
      </c>
      <c r="H1206">
        <v>4</v>
      </c>
      <c r="I1206">
        <v>93</v>
      </c>
      <c r="J1206">
        <v>4.9563442281971497</v>
      </c>
      <c r="K1206" t="b">
        <f t="shared" si="72"/>
        <v>1</v>
      </c>
      <c r="L1206">
        <f t="shared" si="73"/>
        <v>141.55115102385153</v>
      </c>
      <c r="M1206">
        <f t="shared" si="74"/>
        <v>566.20460409540613</v>
      </c>
      <c r="N1206">
        <f t="shared" si="75"/>
        <v>691.90202620458626</v>
      </c>
    </row>
    <row r="1207" spans="1:14" x14ac:dyDescent="0.35">
      <c r="A1207" t="s">
        <v>51</v>
      </c>
      <c r="B1207">
        <v>4</v>
      </c>
      <c r="C1207" t="s">
        <v>50</v>
      </c>
      <c r="D1207">
        <v>94</v>
      </c>
      <c r="E1207">
        <v>122.600460754652</v>
      </c>
      <c r="F1207">
        <v>15.3793703301336</v>
      </c>
      <c r="G1207" t="s">
        <v>51</v>
      </c>
      <c r="H1207">
        <v>4</v>
      </c>
      <c r="I1207">
        <v>94</v>
      </c>
      <c r="J1207">
        <v>5.0073847393905302</v>
      </c>
      <c r="K1207" t="b">
        <f t="shared" si="72"/>
        <v>1</v>
      </c>
      <c r="L1207">
        <f t="shared" si="73"/>
        <v>142.98721582417613</v>
      </c>
      <c r="M1207">
        <f t="shared" si="74"/>
        <v>571.94886329670453</v>
      </c>
      <c r="N1207">
        <f t="shared" si="75"/>
        <v>698.92151094857297</v>
      </c>
    </row>
    <row r="1208" spans="1:14" x14ac:dyDescent="0.35">
      <c r="A1208" t="s">
        <v>51</v>
      </c>
      <c r="B1208">
        <v>4</v>
      </c>
      <c r="C1208" t="s">
        <v>50</v>
      </c>
      <c r="D1208">
        <v>95</v>
      </c>
      <c r="E1208">
        <v>123.76397638470399</v>
      </c>
      <c r="F1208">
        <v>15.5984019287813</v>
      </c>
      <c r="G1208" t="s">
        <v>51</v>
      </c>
      <c r="H1208">
        <v>4</v>
      </c>
      <c r="I1208">
        <v>95</v>
      </c>
      <c r="J1208">
        <v>5.0578184375121698</v>
      </c>
      <c r="K1208" t="b">
        <f t="shared" si="72"/>
        <v>1</v>
      </c>
      <c r="L1208">
        <f t="shared" si="73"/>
        <v>144.42019675099746</v>
      </c>
      <c r="M1208">
        <f t="shared" si="74"/>
        <v>577.68078700398985</v>
      </c>
      <c r="N1208">
        <f t="shared" si="75"/>
        <v>705.92592171887554</v>
      </c>
    </row>
    <row r="1209" spans="1:14" x14ac:dyDescent="0.35">
      <c r="A1209" t="s">
        <v>51</v>
      </c>
      <c r="B1209">
        <v>4</v>
      </c>
      <c r="C1209" t="s">
        <v>50</v>
      </c>
      <c r="D1209">
        <v>96</v>
      </c>
      <c r="E1209">
        <v>124.729261138282</v>
      </c>
      <c r="F1209">
        <v>15.7860354011003</v>
      </c>
      <c r="G1209" t="s">
        <v>51</v>
      </c>
      <c r="H1209">
        <v>4</v>
      </c>
      <c r="I1209">
        <v>96</v>
      </c>
      <c r="J1209">
        <v>5.1051418652625697</v>
      </c>
      <c r="K1209" t="b">
        <f t="shared" si="72"/>
        <v>1</v>
      </c>
      <c r="L1209">
        <f t="shared" si="73"/>
        <v>145.62043840464486</v>
      </c>
      <c r="M1209">
        <f t="shared" si="74"/>
        <v>582.48175361857943</v>
      </c>
      <c r="N1209">
        <f t="shared" si="75"/>
        <v>711.79270292190404</v>
      </c>
    </row>
    <row r="1210" spans="1:14" x14ac:dyDescent="0.35">
      <c r="A1210" t="s">
        <v>51</v>
      </c>
      <c r="B1210">
        <v>4</v>
      </c>
      <c r="C1210" t="s">
        <v>50</v>
      </c>
      <c r="D1210">
        <v>97</v>
      </c>
      <c r="E1210">
        <v>125.70438736137901</v>
      </c>
      <c r="F1210">
        <v>15.9632373776295</v>
      </c>
      <c r="G1210" t="s">
        <v>51</v>
      </c>
      <c r="H1210">
        <v>4</v>
      </c>
      <c r="I1210">
        <v>97</v>
      </c>
      <c r="J1210">
        <v>5.1505646893392401</v>
      </c>
      <c r="K1210" t="b">
        <f t="shared" si="72"/>
        <v>1</v>
      </c>
      <c r="L1210">
        <f t="shared" si="73"/>
        <v>146.81818942834775</v>
      </c>
      <c r="M1210">
        <f t="shared" si="74"/>
        <v>587.272757713391</v>
      </c>
      <c r="N1210">
        <f t="shared" si="75"/>
        <v>717.64730992576381</v>
      </c>
    </row>
    <row r="1211" spans="1:14" x14ac:dyDescent="0.35">
      <c r="A1211" t="s">
        <v>51</v>
      </c>
      <c r="B1211">
        <v>4</v>
      </c>
      <c r="C1211" t="s">
        <v>50</v>
      </c>
      <c r="D1211">
        <v>98</v>
      </c>
      <c r="E1211">
        <v>126.681219637499</v>
      </c>
      <c r="F1211">
        <v>16.137764431024902</v>
      </c>
      <c r="G1211" t="s">
        <v>51</v>
      </c>
      <c r="H1211">
        <v>4</v>
      </c>
      <c r="I1211">
        <v>98</v>
      </c>
      <c r="J1211">
        <v>5.1947327833386003</v>
      </c>
      <c r="K1211" t="b">
        <f t="shared" si="72"/>
        <v>1</v>
      </c>
      <c r="L1211">
        <f t="shared" si="73"/>
        <v>148.01371685186248</v>
      </c>
      <c r="M1211">
        <f t="shared" si="74"/>
        <v>592.05486740744993</v>
      </c>
      <c r="N1211">
        <f t="shared" si="75"/>
        <v>723.49104797190375</v>
      </c>
    </row>
    <row r="1212" spans="1:14" x14ac:dyDescent="0.35">
      <c r="A1212" t="s">
        <v>51</v>
      </c>
      <c r="B1212">
        <v>4</v>
      </c>
      <c r="C1212" t="s">
        <v>50</v>
      </c>
      <c r="D1212">
        <v>99</v>
      </c>
      <c r="E1212">
        <v>127.656720717076</v>
      </c>
      <c r="F1212">
        <v>16.312431879982999</v>
      </c>
      <c r="G1212" t="s">
        <v>51</v>
      </c>
      <c r="H1212">
        <v>4</v>
      </c>
      <c r="I1212">
        <v>99</v>
      </c>
      <c r="J1212">
        <v>5.2380173308069198</v>
      </c>
      <c r="K1212" t="b">
        <f t="shared" si="72"/>
        <v>1</v>
      </c>
      <c r="L1212">
        <f t="shared" si="73"/>
        <v>149.20716992786592</v>
      </c>
      <c r="M1212">
        <f t="shared" si="74"/>
        <v>596.82867971146368</v>
      </c>
      <c r="N1212">
        <f t="shared" si="75"/>
        <v>729.32464660740857</v>
      </c>
    </row>
    <row r="1213" spans="1:14" x14ac:dyDescent="0.35">
      <c r="A1213" t="s">
        <v>51</v>
      </c>
      <c r="B1213">
        <v>4</v>
      </c>
      <c r="C1213" t="s">
        <v>50</v>
      </c>
      <c r="D1213">
        <v>100</v>
      </c>
      <c r="E1213">
        <v>128.62975640932001</v>
      </c>
      <c r="F1213">
        <v>16.4882147233224</v>
      </c>
      <c r="G1213" t="s">
        <v>51</v>
      </c>
      <c r="H1213">
        <v>4</v>
      </c>
      <c r="I1213">
        <v>100</v>
      </c>
      <c r="J1213">
        <v>5.2806461487924903</v>
      </c>
      <c r="K1213" t="b">
        <f t="shared" si="72"/>
        <v>1</v>
      </c>
      <c r="L1213">
        <f t="shared" si="73"/>
        <v>150.39861728143492</v>
      </c>
      <c r="M1213">
        <f t="shared" si="74"/>
        <v>601.59446912573969</v>
      </c>
      <c r="N1213">
        <f t="shared" si="75"/>
        <v>735.14844127165384</v>
      </c>
    </row>
    <row r="1214" spans="1:14" x14ac:dyDescent="0.35">
      <c r="A1214" t="s">
        <v>51</v>
      </c>
      <c r="B1214">
        <v>6</v>
      </c>
      <c r="C1214" t="s">
        <v>50</v>
      </c>
      <c r="D1214">
        <v>0</v>
      </c>
      <c r="E1214">
        <v>0</v>
      </c>
      <c r="F1214">
        <v>0</v>
      </c>
      <c r="G1214" t="s">
        <v>51</v>
      </c>
      <c r="H1214">
        <v>6</v>
      </c>
      <c r="I1214">
        <v>0</v>
      </c>
      <c r="J1214">
        <v>0</v>
      </c>
      <c r="K1214" t="b">
        <f t="shared" si="72"/>
        <v>1</v>
      </c>
      <c r="L1214">
        <f t="shared" si="73"/>
        <v>0</v>
      </c>
      <c r="M1214">
        <f t="shared" si="74"/>
        <v>0</v>
      </c>
      <c r="N1214">
        <f t="shared" si="75"/>
        <v>0</v>
      </c>
    </row>
    <row r="1215" spans="1:14" x14ac:dyDescent="0.35">
      <c r="A1215" t="s">
        <v>51</v>
      </c>
      <c r="B1215">
        <v>6</v>
      </c>
      <c r="C1215" t="s">
        <v>50</v>
      </c>
      <c r="D1215">
        <v>1</v>
      </c>
      <c r="E1215">
        <v>1.8303030609830101E-2</v>
      </c>
      <c r="F1215" s="19">
        <v>7.2676946105700206E-5</v>
      </c>
      <c r="G1215" t="s">
        <v>51</v>
      </c>
      <c r="H1215">
        <v>6</v>
      </c>
      <c r="I1215">
        <v>1</v>
      </c>
      <c r="J1215" s="19">
        <v>2.4739315951711999E-4</v>
      </c>
      <c r="K1215" t="b">
        <f t="shared" si="72"/>
        <v>1</v>
      </c>
      <c r="L1215">
        <f t="shared" si="73"/>
        <v>1.8623100715452923E-2</v>
      </c>
      <c r="M1215">
        <f t="shared" si="74"/>
        <v>7.4492402861811691E-2</v>
      </c>
      <c r="N1215">
        <f t="shared" si="75"/>
        <v>9.1029716297133884E-2</v>
      </c>
    </row>
    <row r="1216" spans="1:14" x14ac:dyDescent="0.35">
      <c r="A1216" t="s">
        <v>51</v>
      </c>
      <c r="B1216">
        <v>6</v>
      </c>
      <c r="C1216" t="s">
        <v>50</v>
      </c>
      <c r="D1216">
        <v>2</v>
      </c>
      <c r="E1216">
        <v>4.1181818872117998E-2</v>
      </c>
      <c r="F1216" s="19">
        <v>2.3401976646034999E-4</v>
      </c>
      <c r="G1216" t="s">
        <v>51</v>
      </c>
      <c r="H1216">
        <v>6</v>
      </c>
      <c r="I1216">
        <v>2</v>
      </c>
      <c r="J1216" s="19">
        <v>7.1559797277383002E-4</v>
      </c>
      <c r="K1216" t="b">
        <f t="shared" si="72"/>
        <v>1</v>
      </c>
      <c r="L1216">
        <f t="shared" si="73"/>
        <v>4.2131436611352178E-2</v>
      </c>
      <c r="M1216">
        <f t="shared" si="74"/>
        <v>0.16852574644540871</v>
      </c>
      <c r="N1216">
        <f t="shared" si="75"/>
        <v>0.20593846215628944</v>
      </c>
    </row>
    <row r="1217" spans="1:14" x14ac:dyDescent="0.35">
      <c r="A1217" t="s">
        <v>51</v>
      </c>
      <c r="B1217">
        <v>6</v>
      </c>
      <c r="C1217" t="s">
        <v>50</v>
      </c>
      <c r="D1217">
        <v>3</v>
      </c>
      <c r="E1217">
        <v>6.9780304199977702E-2</v>
      </c>
      <c r="F1217" s="19">
        <v>5.0408003049451995E-4</v>
      </c>
      <c r="G1217" t="s">
        <v>51</v>
      </c>
      <c r="H1217">
        <v>6</v>
      </c>
      <c r="I1217">
        <v>3</v>
      </c>
      <c r="J1217">
        <v>1.4055237614571099E-3</v>
      </c>
      <c r="K1217" t="b">
        <f t="shared" si="72"/>
        <v>1</v>
      </c>
      <c r="L1217">
        <f t="shared" si="73"/>
        <v>7.1689907991929328E-2</v>
      </c>
      <c r="M1217">
        <f t="shared" si="74"/>
        <v>0.28675963196771731</v>
      </c>
      <c r="N1217">
        <f t="shared" si="75"/>
        <v>0.35042027026455053</v>
      </c>
    </row>
    <row r="1218" spans="1:14" x14ac:dyDescent="0.35">
      <c r="A1218" t="s">
        <v>51</v>
      </c>
      <c r="B1218">
        <v>6</v>
      </c>
      <c r="C1218" t="s">
        <v>50</v>
      </c>
      <c r="D1218">
        <v>4</v>
      </c>
      <c r="E1218">
        <v>0.105528410859802</v>
      </c>
      <c r="F1218" s="19">
        <v>9.0798564697036003E-4</v>
      </c>
      <c r="G1218" t="s">
        <v>51</v>
      </c>
      <c r="H1218">
        <v>6</v>
      </c>
      <c r="I1218">
        <v>4</v>
      </c>
      <c r="J1218">
        <v>2.3385943022914001E-3</v>
      </c>
      <c r="K1218" t="b">
        <f t="shared" si="72"/>
        <v>1</v>
      </c>
      <c r="L1218">
        <f t="shared" si="73"/>
        <v>0.10877499080906376</v>
      </c>
      <c r="M1218">
        <f t="shared" si="74"/>
        <v>0.43509996323625505</v>
      </c>
      <c r="N1218">
        <f t="shared" si="75"/>
        <v>0.53169215507470369</v>
      </c>
    </row>
    <row r="1219" spans="1:14" x14ac:dyDescent="0.35">
      <c r="A1219" t="s">
        <v>51</v>
      </c>
      <c r="B1219">
        <v>6</v>
      </c>
      <c r="C1219" t="s">
        <v>50</v>
      </c>
      <c r="D1219">
        <v>5</v>
      </c>
      <c r="E1219">
        <v>0.15021354418458299</v>
      </c>
      <c r="F1219">
        <v>1.4772080454053E-3</v>
      </c>
      <c r="G1219" t="s">
        <v>51</v>
      </c>
      <c r="H1219">
        <v>6</v>
      </c>
      <c r="I1219">
        <v>5</v>
      </c>
      <c r="J1219">
        <v>3.5538112065498402E-3</v>
      </c>
      <c r="K1219" t="b">
        <f t="shared" ref="K1219:K1282" si="76">H1219=B1219</f>
        <v>1</v>
      </c>
      <c r="L1219">
        <f t="shared" ref="L1219:L1282" si="77">E1219+F1219+J1219</f>
        <v>0.15524456343653814</v>
      </c>
      <c r="M1219">
        <f t="shared" ref="M1219:M1282" si="78">(L1219*2)*(100/50)</f>
        <v>0.62097825374615256</v>
      </c>
      <c r="N1219">
        <f t="shared" ref="N1219:N1282" si="79">M1219*1.222</f>
        <v>0.75883542607779841</v>
      </c>
    </row>
    <row r="1220" spans="1:14" x14ac:dyDescent="0.35">
      <c r="A1220" t="s">
        <v>51</v>
      </c>
      <c r="B1220">
        <v>6</v>
      </c>
      <c r="C1220" t="s">
        <v>50</v>
      </c>
      <c r="D1220">
        <v>6</v>
      </c>
      <c r="E1220">
        <v>0.20606996084055901</v>
      </c>
      <c r="F1220">
        <v>2.2511462099539001E-3</v>
      </c>
      <c r="G1220" t="s">
        <v>51</v>
      </c>
      <c r="H1220">
        <v>6</v>
      </c>
      <c r="I1220">
        <v>6</v>
      </c>
      <c r="J1220">
        <v>5.10741276501212E-3</v>
      </c>
      <c r="K1220" t="b">
        <f t="shared" si="76"/>
        <v>1</v>
      </c>
      <c r="L1220">
        <f t="shared" si="77"/>
        <v>0.21342851981552502</v>
      </c>
      <c r="M1220">
        <f t="shared" si="78"/>
        <v>0.85371407926210008</v>
      </c>
      <c r="N1220">
        <f t="shared" si="79"/>
        <v>1.0432386048582862</v>
      </c>
    </row>
    <row r="1221" spans="1:14" x14ac:dyDescent="0.35">
      <c r="A1221" t="s">
        <v>51</v>
      </c>
      <c r="B1221">
        <v>6</v>
      </c>
      <c r="C1221" t="s">
        <v>50</v>
      </c>
      <c r="D1221">
        <v>7</v>
      </c>
      <c r="E1221">
        <v>0.27589048166052899</v>
      </c>
      <c r="F1221">
        <v>3.2791067771494398E-3</v>
      </c>
      <c r="G1221" t="s">
        <v>51</v>
      </c>
      <c r="H1221">
        <v>6</v>
      </c>
      <c r="I1221">
        <v>7</v>
      </c>
      <c r="J1221">
        <v>7.0743730876919198E-3</v>
      </c>
      <c r="K1221" t="b">
        <f t="shared" si="76"/>
        <v>1</v>
      </c>
      <c r="L1221">
        <f t="shared" si="77"/>
        <v>0.28624396152537035</v>
      </c>
      <c r="M1221">
        <f t="shared" si="78"/>
        <v>1.1449758461014814</v>
      </c>
      <c r="N1221">
        <f t="shared" si="79"/>
        <v>1.3991604839360103</v>
      </c>
    </row>
    <row r="1222" spans="1:14" x14ac:dyDescent="0.35">
      <c r="A1222" t="s">
        <v>51</v>
      </c>
      <c r="B1222">
        <v>6</v>
      </c>
      <c r="C1222" t="s">
        <v>50</v>
      </c>
      <c r="D1222">
        <v>8</v>
      </c>
      <c r="E1222">
        <v>0.36316613268549203</v>
      </c>
      <c r="F1222">
        <v>4.6227792118083396E-3</v>
      </c>
      <c r="G1222" t="s">
        <v>51</v>
      </c>
      <c r="H1222">
        <v>6</v>
      </c>
      <c r="I1222">
        <v>8</v>
      </c>
      <c r="J1222">
        <v>9.5513964064132002E-3</v>
      </c>
      <c r="K1222" t="b">
        <f t="shared" si="76"/>
        <v>1</v>
      </c>
      <c r="L1222">
        <f t="shared" si="77"/>
        <v>0.37734030830371357</v>
      </c>
      <c r="M1222">
        <f t="shared" si="78"/>
        <v>1.5093612332148543</v>
      </c>
      <c r="N1222">
        <f t="shared" si="79"/>
        <v>1.8444394269885518</v>
      </c>
    </row>
    <row r="1223" spans="1:14" x14ac:dyDescent="0.35">
      <c r="A1223" t="s">
        <v>51</v>
      </c>
      <c r="B1223">
        <v>6</v>
      </c>
      <c r="C1223" t="s">
        <v>50</v>
      </c>
      <c r="D1223">
        <v>9</v>
      </c>
      <c r="E1223">
        <v>0.472260696466694</v>
      </c>
      <c r="F1223">
        <v>6.3593298290265197E-3</v>
      </c>
      <c r="G1223" t="s">
        <v>51</v>
      </c>
      <c r="H1223">
        <v>6</v>
      </c>
      <c r="I1223">
        <v>9</v>
      </c>
      <c r="J1223">
        <v>1.2661317024663801E-2</v>
      </c>
      <c r="K1223" t="b">
        <f t="shared" si="76"/>
        <v>1</v>
      </c>
      <c r="L1223">
        <f t="shared" si="77"/>
        <v>0.49128134332038431</v>
      </c>
      <c r="M1223">
        <f t="shared" si="78"/>
        <v>1.9651253732815372</v>
      </c>
      <c r="N1223">
        <f t="shared" si="79"/>
        <v>2.4013832061500384</v>
      </c>
    </row>
    <row r="1224" spans="1:14" x14ac:dyDescent="0.35">
      <c r="A1224" t="s">
        <v>51</v>
      </c>
      <c r="B1224">
        <v>6</v>
      </c>
      <c r="C1224" t="s">
        <v>50</v>
      </c>
      <c r="D1224">
        <v>10</v>
      </c>
      <c r="E1224">
        <v>0.60862890119319901</v>
      </c>
      <c r="F1224">
        <v>8.5852693722269693E-3</v>
      </c>
      <c r="G1224" t="s">
        <v>51</v>
      </c>
      <c r="H1224">
        <v>6</v>
      </c>
      <c r="I1224">
        <v>10</v>
      </c>
      <c r="J1224">
        <v>1.65589885656518E-2</v>
      </c>
      <c r="K1224" t="b">
        <f t="shared" si="76"/>
        <v>1</v>
      </c>
      <c r="L1224">
        <f t="shared" si="77"/>
        <v>0.63377315913107779</v>
      </c>
      <c r="M1224">
        <f t="shared" si="78"/>
        <v>2.5350926365243112</v>
      </c>
      <c r="N1224">
        <f t="shared" si="79"/>
        <v>3.0978832018327083</v>
      </c>
    </row>
    <row r="1225" spans="1:14" x14ac:dyDescent="0.35">
      <c r="A1225" t="s">
        <v>51</v>
      </c>
      <c r="B1225">
        <v>6</v>
      </c>
      <c r="C1225" t="s">
        <v>50</v>
      </c>
      <c r="D1225">
        <v>11</v>
      </c>
      <c r="E1225">
        <v>0.77908915710132898</v>
      </c>
      <c r="F1225">
        <v>1.1421287534754901E-2</v>
      </c>
      <c r="G1225" t="s">
        <v>51</v>
      </c>
      <c r="H1225">
        <v>6</v>
      </c>
      <c r="I1225">
        <v>11</v>
      </c>
      <c r="J1225">
        <v>2.14388791860574E-2</v>
      </c>
      <c r="K1225" t="b">
        <f t="shared" si="76"/>
        <v>1</v>
      </c>
      <c r="L1225">
        <f t="shared" si="77"/>
        <v>0.81194932382214124</v>
      </c>
      <c r="M1225">
        <f t="shared" si="78"/>
        <v>3.247797295288565</v>
      </c>
      <c r="N1225">
        <f t="shared" si="79"/>
        <v>3.9688082948426264</v>
      </c>
    </row>
    <row r="1226" spans="1:14" x14ac:dyDescent="0.35">
      <c r="A1226" t="s">
        <v>51</v>
      </c>
      <c r="B1226">
        <v>6</v>
      </c>
      <c r="C1226" t="s">
        <v>50</v>
      </c>
      <c r="D1226">
        <v>12</v>
      </c>
      <c r="E1226">
        <v>0.99216447698649202</v>
      </c>
      <c r="F1226">
        <v>1.50182961594364E-2</v>
      </c>
      <c r="G1226" t="s">
        <v>51</v>
      </c>
      <c r="H1226">
        <v>6</v>
      </c>
      <c r="I1226">
        <v>12</v>
      </c>
      <c r="J1226">
        <v>2.7544708062143101E-2</v>
      </c>
      <c r="K1226" t="b">
        <f t="shared" si="76"/>
        <v>1</v>
      </c>
      <c r="L1226">
        <f t="shared" si="77"/>
        <v>1.0347274812080716</v>
      </c>
      <c r="M1226">
        <f t="shared" si="78"/>
        <v>4.1389099248322863</v>
      </c>
      <c r="N1226">
        <f t="shared" si="79"/>
        <v>5.0577479281450541</v>
      </c>
    </row>
    <row r="1227" spans="1:14" x14ac:dyDescent="0.35">
      <c r="A1227" t="s">
        <v>51</v>
      </c>
      <c r="B1227">
        <v>6</v>
      </c>
      <c r="C1227" t="s">
        <v>50</v>
      </c>
      <c r="D1227">
        <v>13</v>
      </c>
      <c r="E1227">
        <v>1.25850862684294</v>
      </c>
      <c r="F1227">
        <v>1.95649832841642E-2</v>
      </c>
      <c r="G1227" t="s">
        <v>51</v>
      </c>
      <c r="H1227">
        <v>6</v>
      </c>
      <c r="I1227">
        <v>13</v>
      </c>
      <c r="J1227">
        <v>3.5181579518472998E-2</v>
      </c>
      <c r="K1227" t="b">
        <f t="shared" si="76"/>
        <v>1</v>
      </c>
      <c r="L1227">
        <f t="shared" si="77"/>
        <v>1.3132551896455771</v>
      </c>
      <c r="M1227">
        <f t="shared" si="78"/>
        <v>5.2530207585823083</v>
      </c>
      <c r="N1227">
        <f t="shared" si="79"/>
        <v>6.4191913669875804</v>
      </c>
    </row>
    <row r="1228" spans="1:14" x14ac:dyDescent="0.35">
      <c r="A1228" t="s">
        <v>51</v>
      </c>
      <c r="B1228">
        <v>6</v>
      </c>
      <c r="C1228" t="s">
        <v>50</v>
      </c>
      <c r="D1228">
        <v>14</v>
      </c>
      <c r="E1228">
        <v>1.5914388141635101</v>
      </c>
      <c r="F1228">
        <v>2.52972557436336E-2</v>
      </c>
      <c r="G1228" t="s">
        <v>51</v>
      </c>
      <c r="H1228">
        <v>6</v>
      </c>
      <c r="I1228">
        <v>14</v>
      </c>
      <c r="J1228">
        <v>4.4731206890624597E-2</v>
      </c>
      <c r="K1228" t="b">
        <f t="shared" si="76"/>
        <v>1</v>
      </c>
      <c r="L1228">
        <f t="shared" si="77"/>
        <v>1.6614672767977683</v>
      </c>
      <c r="M1228">
        <f t="shared" si="78"/>
        <v>6.6458691071910732</v>
      </c>
      <c r="N1228">
        <f t="shared" si="79"/>
        <v>8.1212520489874915</v>
      </c>
    </row>
    <row r="1229" spans="1:14" x14ac:dyDescent="0.35">
      <c r="A1229" t="s">
        <v>51</v>
      </c>
      <c r="B1229">
        <v>6</v>
      </c>
      <c r="C1229" t="s">
        <v>50</v>
      </c>
      <c r="D1229">
        <v>15</v>
      </c>
      <c r="E1229">
        <v>2.00760154831422</v>
      </c>
      <c r="F1229">
        <v>3.2510042464923103E-2</v>
      </c>
      <c r="G1229" t="s">
        <v>51</v>
      </c>
      <c r="H1229">
        <v>6</v>
      </c>
      <c r="I1229">
        <v>15</v>
      </c>
      <c r="J1229">
        <v>5.6670978892310202E-2</v>
      </c>
      <c r="K1229" t="b">
        <f t="shared" si="76"/>
        <v>1</v>
      </c>
      <c r="L1229">
        <f t="shared" si="77"/>
        <v>2.0967825696714533</v>
      </c>
      <c r="M1229">
        <f t="shared" si="78"/>
        <v>8.3871302786858131</v>
      </c>
      <c r="N1229">
        <f t="shared" si="79"/>
        <v>10.249073200554063</v>
      </c>
    </row>
    <row r="1230" spans="1:14" x14ac:dyDescent="0.35">
      <c r="A1230" t="s">
        <v>51</v>
      </c>
      <c r="B1230">
        <v>6</v>
      </c>
      <c r="C1230" t="s">
        <v>50</v>
      </c>
      <c r="D1230">
        <v>16</v>
      </c>
      <c r="E1230">
        <v>2.5278049660025999</v>
      </c>
      <c r="F1230">
        <v>4.1572048629079303E-2</v>
      </c>
      <c r="G1230" t="s">
        <v>51</v>
      </c>
      <c r="H1230">
        <v>6</v>
      </c>
      <c r="I1230">
        <v>16</v>
      </c>
      <c r="J1230">
        <v>7.1597816927164104E-2</v>
      </c>
      <c r="K1230" t="b">
        <f t="shared" si="76"/>
        <v>1</v>
      </c>
      <c r="L1230">
        <f t="shared" si="77"/>
        <v>2.6409748315588435</v>
      </c>
      <c r="M1230">
        <f t="shared" si="78"/>
        <v>10.563899326235374</v>
      </c>
      <c r="N1230">
        <f t="shared" si="79"/>
        <v>12.909084976659626</v>
      </c>
    </row>
    <row r="1231" spans="1:14" x14ac:dyDescent="0.35">
      <c r="A1231" t="s">
        <v>51</v>
      </c>
      <c r="B1231">
        <v>6</v>
      </c>
      <c r="C1231" t="s">
        <v>50</v>
      </c>
      <c r="D1231">
        <v>17</v>
      </c>
      <c r="E1231">
        <v>3.1780592381130801</v>
      </c>
      <c r="F1231">
        <v>5.2944198413942503E-2</v>
      </c>
      <c r="G1231" t="s">
        <v>51</v>
      </c>
      <c r="H1231">
        <v>6</v>
      </c>
      <c r="I1231">
        <v>17</v>
      </c>
      <c r="J1231">
        <v>9.0258013367099696E-2</v>
      </c>
      <c r="K1231" t="b">
        <f t="shared" si="76"/>
        <v>1</v>
      </c>
      <c r="L1231">
        <f t="shared" si="77"/>
        <v>3.3212614498941226</v>
      </c>
      <c r="M1231">
        <f t="shared" si="78"/>
        <v>13.285045799576491</v>
      </c>
      <c r="N1231">
        <f t="shared" si="79"/>
        <v>16.234325967082473</v>
      </c>
    </row>
    <row r="1232" spans="1:14" x14ac:dyDescent="0.35">
      <c r="A1232" t="s">
        <v>51</v>
      </c>
      <c r="B1232">
        <v>6</v>
      </c>
      <c r="C1232" t="s">
        <v>50</v>
      </c>
      <c r="D1232">
        <v>18</v>
      </c>
      <c r="E1232">
        <v>3.99087707825118</v>
      </c>
      <c r="F1232">
        <v>6.7202688462299404E-2</v>
      </c>
      <c r="G1232" t="s">
        <v>51</v>
      </c>
      <c r="H1232">
        <v>6</v>
      </c>
      <c r="I1232">
        <v>18</v>
      </c>
      <c r="J1232">
        <v>0.11358454103927799</v>
      </c>
      <c r="K1232" t="b">
        <f t="shared" si="76"/>
        <v>1</v>
      </c>
      <c r="L1232">
        <f t="shared" si="77"/>
        <v>4.1716643077527573</v>
      </c>
      <c r="M1232">
        <f t="shared" si="78"/>
        <v>16.686657231011029</v>
      </c>
      <c r="N1232">
        <f t="shared" si="79"/>
        <v>20.391095136295476</v>
      </c>
    </row>
    <row r="1233" spans="1:14" x14ac:dyDescent="0.35">
      <c r="A1233" t="s">
        <v>51</v>
      </c>
      <c r="B1233">
        <v>6</v>
      </c>
      <c r="C1233" t="s">
        <v>50</v>
      </c>
      <c r="D1233">
        <v>19</v>
      </c>
      <c r="E1233">
        <v>5.00689937842382</v>
      </c>
      <c r="F1233">
        <v>8.5067804755505197E-2</v>
      </c>
      <c r="G1233" t="s">
        <v>51</v>
      </c>
      <c r="H1233">
        <v>6</v>
      </c>
      <c r="I1233">
        <v>19</v>
      </c>
      <c r="J1233">
        <v>0.142743698402342</v>
      </c>
      <c r="K1233" t="b">
        <f t="shared" si="76"/>
        <v>1</v>
      </c>
      <c r="L1233">
        <f t="shared" si="77"/>
        <v>5.234710881581667</v>
      </c>
      <c r="M1233">
        <f t="shared" si="78"/>
        <v>20.938843526326668</v>
      </c>
      <c r="N1233">
        <f t="shared" si="79"/>
        <v>25.587266789171188</v>
      </c>
    </row>
    <row r="1234" spans="1:14" x14ac:dyDescent="0.35">
      <c r="A1234" t="s">
        <v>51</v>
      </c>
      <c r="B1234">
        <v>6</v>
      </c>
      <c r="C1234" t="s">
        <v>50</v>
      </c>
      <c r="D1234">
        <v>20</v>
      </c>
      <c r="E1234">
        <v>6.2769272536395899</v>
      </c>
      <c r="F1234">
        <v>0.10743994374278799</v>
      </c>
      <c r="G1234" t="s">
        <v>51</v>
      </c>
      <c r="H1234">
        <v>6</v>
      </c>
      <c r="I1234">
        <v>20</v>
      </c>
      <c r="J1234">
        <v>0.17919342207199099</v>
      </c>
      <c r="K1234" t="b">
        <f t="shared" si="76"/>
        <v>1</v>
      </c>
      <c r="L1234">
        <f t="shared" si="77"/>
        <v>6.5635606194543694</v>
      </c>
      <c r="M1234">
        <f t="shared" si="78"/>
        <v>26.254242477817478</v>
      </c>
      <c r="N1234">
        <f t="shared" si="79"/>
        <v>32.082684307892954</v>
      </c>
    </row>
    <row r="1235" spans="1:14" x14ac:dyDescent="0.35">
      <c r="A1235" t="s">
        <v>51</v>
      </c>
      <c r="B1235">
        <v>6</v>
      </c>
      <c r="C1235" t="s">
        <v>50</v>
      </c>
      <c r="D1235">
        <v>21</v>
      </c>
      <c r="E1235">
        <v>7.8642899999999898</v>
      </c>
      <c r="F1235">
        <v>0.135443955430505</v>
      </c>
      <c r="G1235" t="s">
        <v>51</v>
      </c>
      <c r="H1235">
        <v>6</v>
      </c>
      <c r="I1235">
        <v>21</v>
      </c>
      <c r="J1235">
        <v>0.22475385579507501</v>
      </c>
      <c r="K1235" t="b">
        <f t="shared" si="76"/>
        <v>1</v>
      </c>
      <c r="L1235">
        <f t="shared" si="77"/>
        <v>8.2244878112255702</v>
      </c>
      <c r="M1235">
        <f t="shared" si="78"/>
        <v>32.897951244902281</v>
      </c>
      <c r="N1235">
        <f t="shared" si="79"/>
        <v>40.201296421270584</v>
      </c>
    </row>
    <row r="1236" spans="1:14" x14ac:dyDescent="0.35">
      <c r="A1236" t="s">
        <v>51</v>
      </c>
      <c r="B1236">
        <v>6</v>
      </c>
      <c r="C1236" t="s">
        <v>50</v>
      </c>
      <c r="D1236">
        <v>22</v>
      </c>
      <c r="E1236">
        <v>9.6238799999999998</v>
      </c>
      <c r="F1236">
        <v>0.16959475676759</v>
      </c>
      <c r="G1236" t="s">
        <v>51</v>
      </c>
      <c r="H1236">
        <v>6</v>
      </c>
      <c r="I1236">
        <v>22</v>
      </c>
      <c r="J1236">
        <v>0.27866738448982697</v>
      </c>
      <c r="K1236" t="b">
        <f t="shared" si="76"/>
        <v>1</v>
      </c>
      <c r="L1236">
        <f t="shared" si="77"/>
        <v>10.072142141257418</v>
      </c>
      <c r="M1236">
        <f t="shared" si="78"/>
        <v>40.288568565029671</v>
      </c>
      <c r="N1236">
        <f t="shared" si="79"/>
        <v>49.23263078646626</v>
      </c>
    </row>
    <row r="1237" spans="1:14" x14ac:dyDescent="0.35">
      <c r="A1237" t="s">
        <v>51</v>
      </c>
      <c r="B1237">
        <v>6</v>
      </c>
      <c r="C1237" t="s">
        <v>50</v>
      </c>
      <c r="D1237">
        <v>23</v>
      </c>
      <c r="E1237">
        <v>11.383470000000001</v>
      </c>
      <c r="F1237">
        <v>0.209707944064562</v>
      </c>
      <c r="G1237" t="s">
        <v>51</v>
      </c>
      <c r="H1237">
        <v>6</v>
      </c>
      <c r="I1237">
        <v>23</v>
      </c>
      <c r="J1237">
        <v>0.33816201180011302</v>
      </c>
      <c r="K1237" t="b">
        <f t="shared" si="76"/>
        <v>1</v>
      </c>
      <c r="L1237">
        <f t="shared" si="77"/>
        <v>11.931339955864676</v>
      </c>
      <c r="M1237">
        <f t="shared" si="78"/>
        <v>47.725359823458703</v>
      </c>
      <c r="N1237">
        <f t="shared" si="79"/>
        <v>58.320389704266532</v>
      </c>
    </row>
    <row r="1238" spans="1:14" x14ac:dyDescent="0.35">
      <c r="A1238" t="s">
        <v>51</v>
      </c>
      <c r="B1238">
        <v>6</v>
      </c>
      <c r="C1238" t="s">
        <v>50</v>
      </c>
      <c r="D1238">
        <v>24</v>
      </c>
      <c r="E1238">
        <v>13.14306</v>
      </c>
      <c r="F1238">
        <v>0.25560464574262498</v>
      </c>
      <c r="G1238" t="s">
        <v>51</v>
      </c>
      <c r="H1238">
        <v>6</v>
      </c>
      <c r="I1238">
        <v>24</v>
      </c>
      <c r="J1238">
        <v>0.401478991158293</v>
      </c>
      <c r="K1238" t="b">
        <f t="shared" si="76"/>
        <v>1</v>
      </c>
      <c r="L1238">
        <f t="shared" si="77"/>
        <v>13.800143636900918</v>
      </c>
      <c r="M1238">
        <f t="shared" si="78"/>
        <v>55.200574547603672</v>
      </c>
      <c r="N1238">
        <f t="shared" si="79"/>
        <v>67.455102097171689</v>
      </c>
    </row>
    <row r="1239" spans="1:14" x14ac:dyDescent="0.35">
      <c r="A1239" t="s">
        <v>51</v>
      </c>
      <c r="B1239">
        <v>6</v>
      </c>
      <c r="C1239" t="s">
        <v>50</v>
      </c>
      <c r="D1239">
        <v>25</v>
      </c>
      <c r="E1239">
        <v>14.90265</v>
      </c>
      <c r="F1239">
        <v>0.30711135637034698</v>
      </c>
      <c r="G1239" t="s">
        <v>51</v>
      </c>
      <c r="H1239">
        <v>6</v>
      </c>
      <c r="I1239">
        <v>25</v>
      </c>
      <c r="J1239">
        <v>0.46747572972184598</v>
      </c>
      <c r="K1239" t="b">
        <f t="shared" si="76"/>
        <v>1</v>
      </c>
      <c r="L1239">
        <f t="shared" si="77"/>
        <v>15.677237086092193</v>
      </c>
      <c r="M1239">
        <f t="shared" si="78"/>
        <v>62.708948344368771</v>
      </c>
      <c r="N1239">
        <f t="shared" si="79"/>
        <v>76.630334876818637</v>
      </c>
    </row>
    <row r="1240" spans="1:14" x14ac:dyDescent="0.35">
      <c r="A1240" t="s">
        <v>51</v>
      </c>
      <c r="B1240">
        <v>6</v>
      </c>
      <c r="C1240" t="s">
        <v>50</v>
      </c>
      <c r="D1240">
        <v>26</v>
      </c>
      <c r="E1240">
        <v>16.662240000000001</v>
      </c>
      <c r="F1240">
        <v>0.36405977567923598</v>
      </c>
      <c r="G1240" t="s">
        <v>51</v>
      </c>
      <c r="H1240">
        <v>6</v>
      </c>
      <c r="I1240">
        <v>26</v>
      </c>
      <c r="J1240">
        <v>0.53539125984601899</v>
      </c>
      <c r="K1240" t="b">
        <f t="shared" si="76"/>
        <v>1</v>
      </c>
      <c r="L1240">
        <f t="shared" si="77"/>
        <v>17.561691035525257</v>
      </c>
      <c r="M1240">
        <f t="shared" si="78"/>
        <v>70.246764142101028</v>
      </c>
      <c r="N1240">
        <f t="shared" si="79"/>
        <v>85.841545781647454</v>
      </c>
    </row>
    <row r="1241" spans="1:14" x14ac:dyDescent="0.35">
      <c r="A1241" t="s">
        <v>51</v>
      </c>
      <c r="B1241">
        <v>6</v>
      </c>
      <c r="C1241" t="s">
        <v>50</v>
      </c>
      <c r="D1241">
        <v>27</v>
      </c>
      <c r="E1241">
        <v>18.42183</v>
      </c>
      <c r="F1241">
        <v>0.42628665240885899</v>
      </c>
      <c r="G1241" t="s">
        <v>51</v>
      </c>
      <c r="H1241">
        <v>6</v>
      </c>
      <c r="I1241">
        <v>27</v>
      </c>
      <c r="J1241">
        <v>0.60470604126952399</v>
      </c>
      <c r="K1241" t="b">
        <f t="shared" si="76"/>
        <v>1</v>
      </c>
      <c r="L1241">
        <f t="shared" si="77"/>
        <v>19.452822693678382</v>
      </c>
      <c r="M1241">
        <f t="shared" si="78"/>
        <v>77.811290774713527</v>
      </c>
      <c r="N1241">
        <f t="shared" si="79"/>
        <v>95.085397326699933</v>
      </c>
    </row>
    <row r="1242" spans="1:14" x14ac:dyDescent="0.35">
      <c r="A1242" t="s">
        <v>51</v>
      </c>
      <c r="B1242">
        <v>6</v>
      </c>
      <c r="C1242" t="s">
        <v>50</v>
      </c>
      <c r="D1242">
        <v>28</v>
      </c>
      <c r="E1242">
        <v>20.181419999999999</v>
      </c>
      <c r="F1242">
        <v>0.49363363283659401</v>
      </c>
      <c r="G1242" t="s">
        <v>51</v>
      </c>
      <c r="H1242">
        <v>6</v>
      </c>
      <c r="I1242">
        <v>28</v>
      </c>
      <c r="J1242">
        <v>0.67505688975351896</v>
      </c>
      <c r="K1242" t="b">
        <f t="shared" si="76"/>
        <v>1</v>
      </c>
      <c r="L1242">
        <f t="shared" si="77"/>
        <v>21.350110522590114</v>
      </c>
      <c r="M1242">
        <f t="shared" si="78"/>
        <v>85.400442090360457</v>
      </c>
      <c r="N1242">
        <f t="shared" si="79"/>
        <v>104.35934023442047</v>
      </c>
    </row>
    <row r="1243" spans="1:14" x14ac:dyDescent="0.35">
      <c r="A1243" t="s">
        <v>51</v>
      </c>
      <c r="B1243">
        <v>6</v>
      </c>
      <c r="C1243" t="s">
        <v>50</v>
      </c>
      <c r="D1243">
        <v>29</v>
      </c>
      <c r="E1243">
        <v>22.465295999999999</v>
      </c>
      <c r="F1243">
        <v>0.56802892785149595</v>
      </c>
      <c r="G1243" t="s">
        <v>51</v>
      </c>
      <c r="H1243">
        <v>6</v>
      </c>
      <c r="I1243">
        <v>29</v>
      </c>
      <c r="J1243">
        <v>0.75327093845401805</v>
      </c>
      <c r="K1243" t="b">
        <f t="shared" si="76"/>
        <v>1</v>
      </c>
      <c r="L1243">
        <f t="shared" si="77"/>
        <v>23.786595866305515</v>
      </c>
      <c r="M1243">
        <f t="shared" si="78"/>
        <v>95.146383465222058</v>
      </c>
      <c r="N1243">
        <f t="shared" si="79"/>
        <v>116.26888059450135</v>
      </c>
    </row>
    <row r="1244" spans="1:14" x14ac:dyDescent="0.35">
      <c r="A1244" t="s">
        <v>51</v>
      </c>
      <c r="B1244">
        <v>6</v>
      </c>
      <c r="C1244" t="s">
        <v>50</v>
      </c>
      <c r="D1244">
        <v>30</v>
      </c>
      <c r="E1244">
        <v>24.749172000000002</v>
      </c>
      <c r="F1244">
        <v>0.64926108801595095</v>
      </c>
      <c r="G1244" t="s">
        <v>51</v>
      </c>
      <c r="H1244">
        <v>6</v>
      </c>
      <c r="I1244">
        <v>30</v>
      </c>
      <c r="J1244">
        <v>0.83662639550511797</v>
      </c>
      <c r="K1244" t="b">
        <f t="shared" si="76"/>
        <v>1</v>
      </c>
      <c r="L1244">
        <f t="shared" si="77"/>
        <v>26.23505948352107</v>
      </c>
      <c r="M1244">
        <f t="shared" si="78"/>
        <v>104.94023793408428</v>
      </c>
      <c r="N1244">
        <f t="shared" si="79"/>
        <v>128.23697075545098</v>
      </c>
    </row>
    <row r="1245" spans="1:14" x14ac:dyDescent="0.35">
      <c r="A1245" t="s">
        <v>51</v>
      </c>
      <c r="B1245">
        <v>6</v>
      </c>
      <c r="C1245" t="s">
        <v>50</v>
      </c>
      <c r="D1245">
        <v>31</v>
      </c>
      <c r="E1245">
        <v>27.033048000000001</v>
      </c>
      <c r="F1245">
        <v>0.73712500737547204</v>
      </c>
      <c r="G1245" t="s">
        <v>51</v>
      </c>
      <c r="H1245">
        <v>6</v>
      </c>
      <c r="I1245">
        <v>31</v>
      </c>
      <c r="J1245">
        <v>0.92342853193179497</v>
      </c>
      <c r="K1245" t="b">
        <f t="shared" si="76"/>
        <v>1</v>
      </c>
      <c r="L1245">
        <f t="shared" si="77"/>
        <v>28.693601539307267</v>
      </c>
      <c r="M1245">
        <f t="shared" si="78"/>
        <v>114.77440615722907</v>
      </c>
      <c r="N1245">
        <f t="shared" si="79"/>
        <v>140.2543243241339</v>
      </c>
    </row>
    <row r="1246" spans="1:14" x14ac:dyDescent="0.35">
      <c r="A1246" t="s">
        <v>51</v>
      </c>
      <c r="B1246">
        <v>6</v>
      </c>
      <c r="C1246" t="s">
        <v>50</v>
      </c>
      <c r="D1246">
        <v>32</v>
      </c>
      <c r="E1246">
        <v>29.316924</v>
      </c>
      <c r="F1246">
        <v>0.83142173315420798</v>
      </c>
      <c r="G1246" t="s">
        <v>51</v>
      </c>
      <c r="H1246">
        <v>6</v>
      </c>
      <c r="I1246">
        <v>32</v>
      </c>
      <c r="J1246">
        <v>1.01259881369438</v>
      </c>
      <c r="K1246" t="b">
        <f t="shared" si="76"/>
        <v>1</v>
      </c>
      <c r="L1246">
        <f t="shared" si="77"/>
        <v>31.16094454684859</v>
      </c>
      <c r="M1246">
        <f t="shared" si="78"/>
        <v>124.64377818739436</v>
      </c>
      <c r="N1246">
        <f t="shared" si="79"/>
        <v>152.31469694499592</v>
      </c>
    </row>
    <row r="1247" spans="1:14" x14ac:dyDescent="0.35">
      <c r="A1247" t="s">
        <v>51</v>
      </c>
      <c r="B1247">
        <v>6</v>
      </c>
      <c r="C1247" t="s">
        <v>50</v>
      </c>
      <c r="D1247">
        <v>33</v>
      </c>
      <c r="E1247">
        <v>31.6008</v>
      </c>
      <c r="F1247">
        <v>0.93195828115958201</v>
      </c>
      <c r="G1247" t="s">
        <v>51</v>
      </c>
      <c r="H1247">
        <v>6</v>
      </c>
      <c r="I1247">
        <v>33</v>
      </c>
      <c r="J1247">
        <v>1.1034342652907001</v>
      </c>
      <c r="K1247" t="b">
        <f t="shared" si="76"/>
        <v>1</v>
      </c>
      <c r="L1247">
        <f t="shared" si="77"/>
        <v>33.636192546450282</v>
      </c>
      <c r="M1247">
        <f t="shared" si="78"/>
        <v>134.54477018580113</v>
      </c>
      <c r="N1247">
        <f t="shared" si="79"/>
        <v>164.41370916704898</v>
      </c>
    </row>
    <row r="1248" spans="1:14" x14ac:dyDescent="0.35">
      <c r="A1248" t="s">
        <v>51</v>
      </c>
      <c r="B1248">
        <v>6</v>
      </c>
      <c r="C1248" t="s">
        <v>50</v>
      </c>
      <c r="D1248">
        <v>34</v>
      </c>
      <c r="E1248">
        <v>34.344324</v>
      </c>
      <c r="F1248">
        <v>1.04037260872479</v>
      </c>
      <c r="G1248" t="s">
        <v>51</v>
      </c>
      <c r="H1248">
        <v>6</v>
      </c>
      <c r="I1248">
        <v>34</v>
      </c>
      <c r="J1248">
        <v>1.2016779794682499</v>
      </c>
      <c r="K1248" t="b">
        <f t="shared" si="76"/>
        <v>1</v>
      </c>
      <c r="L1248">
        <f t="shared" si="77"/>
        <v>36.586374588193038</v>
      </c>
      <c r="M1248">
        <f t="shared" si="78"/>
        <v>146.34549835277215</v>
      </c>
      <c r="N1248">
        <f t="shared" si="79"/>
        <v>178.83419898708758</v>
      </c>
    </row>
    <row r="1249" spans="1:14" x14ac:dyDescent="0.35">
      <c r="A1249" t="s">
        <v>51</v>
      </c>
      <c r="B1249">
        <v>6</v>
      </c>
      <c r="C1249" t="s">
        <v>50</v>
      </c>
      <c r="D1249">
        <v>35</v>
      </c>
      <c r="E1249">
        <v>37.087848000000001</v>
      </c>
      <c r="F1249">
        <v>1.1564283824630499</v>
      </c>
      <c r="G1249" t="s">
        <v>51</v>
      </c>
      <c r="H1249">
        <v>6</v>
      </c>
      <c r="I1249">
        <v>35</v>
      </c>
      <c r="J1249">
        <v>1.30478744660943</v>
      </c>
      <c r="K1249" t="b">
        <f t="shared" si="76"/>
        <v>1</v>
      </c>
      <c r="L1249">
        <f t="shared" si="77"/>
        <v>39.54906382907248</v>
      </c>
      <c r="M1249">
        <f t="shared" si="78"/>
        <v>158.19625531628992</v>
      </c>
      <c r="N1249">
        <f t="shared" si="79"/>
        <v>193.31582399650628</v>
      </c>
    </row>
    <row r="1250" spans="1:14" x14ac:dyDescent="0.35">
      <c r="A1250" t="s">
        <v>51</v>
      </c>
      <c r="B1250">
        <v>6</v>
      </c>
      <c r="C1250" t="s">
        <v>50</v>
      </c>
      <c r="D1250">
        <v>36</v>
      </c>
      <c r="E1250">
        <v>39.831372000000002</v>
      </c>
      <c r="F1250">
        <v>1.2798963589891601</v>
      </c>
      <c r="G1250" t="s">
        <v>51</v>
      </c>
      <c r="H1250">
        <v>6</v>
      </c>
      <c r="I1250">
        <v>36</v>
      </c>
      <c r="J1250">
        <v>1.41117358334758</v>
      </c>
      <c r="K1250" t="b">
        <f t="shared" si="76"/>
        <v>1</v>
      </c>
      <c r="L1250">
        <f t="shared" si="77"/>
        <v>42.522441942336748</v>
      </c>
      <c r="M1250">
        <f t="shared" si="78"/>
        <v>170.08976776934699</v>
      </c>
      <c r="N1250">
        <f t="shared" si="79"/>
        <v>207.84969621414203</v>
      </c>
    </row>
    <row r="1251" spans="1:14" x14ac:dyDescent="0.35">
      <c r="A1251" t="s">
        <v>51</v>
      </c>
      <c r="B1251">
        <v>6</v>
      </c>
      <c r="C1251" t="s">
        <v>50</v>
      </c>
      <c r="D1251">
        <v>37</v>
      </c>
      <c r="E1251">
        <v>42.574896000000003</v>
      </c>
      <c r="F1251">
        <v>1.4105541722194801</v>
      </c>
      <c r="G1251" t="s">
        <v>51</v>
      </c>
      <c r="H1251">
        <v>6</v>
      </c>
      <c r="I1251">
        <v>37</v>
      </c>
      <c r="J1251">
        <v>1.5198208288951001</v>
      </c>
      <c r="K1251" t="b">
        <f t="shared" si="76"/>
        <v>1</v>
      </c>
      <c r="L1251">
        <f t="shared" si="77"/>
        <v>45.505271001114579</v>
      </c>
      <c r="M1251">
        <f t="shared" si="78"/>
        <v>182.02108400445832</v>
      </c>
      <c r="N1251">
        <f t="shared" si="79"/>
        <v>222.42976465344805</v>
      </c>
    </row>
    <row r="1252" spans="1:14" x14ac:dyDescent="0.35">
      <c r="A1252" t="s">
        <v>51</v>
      </c>
      <c r="B1252">
        <v>6</v>
      </c>
      <c r="C1252" t="s">
        <v>50</v>
      </c>
      <c r="D1252">
        <v>38</v>
      </c>
      <c r="E1252">
        <v>45.279929467906001</v>
      </c>
      <c r="F1252">
        <v>1.5826770201715401</v>
      </c>
      <c r="G1252" t="s">
        <v>51</v>
      </c>
      <c r="H1252">
        <v>6</v>
      </c>
      <c r="I1252">
        <v>38</v>
      </c>
      <c r="J1252">
        <v>1.62954402822439</v>
      </c>
      <c r="K1252" t="b">
        <f t="shared" si="76"/>
        <v>1</v>
      </c>
      <c r="L1252">
        <f t="shared" si="77"/>
        <v>48.492150516301926</v>
      </c>
      <c r="M1252">
        <f t="shared" si="78"/>
        <v>193.9686020652077</v>
      </c>
      <c r="N1252">
        <f t="shared" si="79"/>
        <v>237.02963172368382</v>
      </c>
    </row>
    <row r="1253" spans="1:14" x14ac:dyDescent="0.35">
      <c r="A1253" t="s">
        <v>51</v>
      </c>
      <c r="B1253">
        <v>6</v>
      </c>
      <c r="C1253" t="s">
        <v>50</v>
      </c>
      <c r="D1253">
        <v>39</v>
      </c>
      <c r="E1253">
        <v>48.151793415782301</v>
      </c>
      <c r="F1253">
        <v>1.9012885224545799</v>
      </c>
      <c r="G1253" t="s">
        <v>51</v>
      </c>
      <c r="H1253">
        <v>6</v>
      </c>
      <c r="I1253">
        <v>39</v>
      </c>
      <c r="J1253">
        <v>1.74233779372473</v>
      </c>
      <c r="K1253" t="b">
        <f t="shared" si="76"/>
        <v>1</v>
      </c>
      <c r="L1253">
        <f t="shared" si="77"/>
        <v>51.795419731961609</v>
      </c>
      <c r="M1253">
        <f t="shared" si="78"/>
        <v>207.18167892784643</v>
      </c>
      <c r="N1253">
        <f t="shared" si="79"/>
        <v>253.17601164982833</v>
      </c>
    </row>
    <row r="1254" spans="1:14" x14ac:dyDescent="0.35">
      <c r="A1254" t="s">
        <v>51</v>
      </c>
      <c r="B1254">
        <v>6</v>
      </c>
      <c r="C1254" t="s">
        <v>50</v>
      </c>
      <c r="D1254">
        <v>40</v>
      </c>
      <c r="E1254">
        <v>50.967231887365102</v>
      </c>
      <c r="F1254">
        <v>2.2698815568417499</v>
      </c>
      <c r="G1254" t="s">
        <v>51</v>
      </c>
      <c r="H1254">
        <v>6</v>
      </c>
      <c r="I1254">
        <v>40</v>
      </c>
      <c r="J1254">
        <v>1.8564405527818499</v>
      </c>
      <c r="K1254" t="b">
        <f t="shared" si="76"/>
        <v>1</v>
      </c>
      <c r="L1254">
        <f t="shared" si="77"/>
        <v>55.093553996988703</v>
      </c>
      <c r="M1254">
        <f t="shared" si="78"/>
        <v>220.37421598795481</v>
      </c>
      <c r="N1254">
        <f t="shared" si="79"/>
        <v>269.29729193728076</v>
      </c>
    </row>
    <row r="1255" spans="1:14" x14ac:dyDescent="0.35">
      <c r="A1255" t="s">
        <v>51</v>
      </c>
      <c r="B1255">
        <v>6</v>
      </c>
      <c r="C1255" t="s">
        <v>50</v>
      </c>
      <c r="D1255">
        <v>41</v>
      </c>
      <c r="E1255">
        <v>53.747832479539497</v>
      </c>
      <c r="F1255">
        <v>2.6667974012045899</v>
      </c>
      <c r="G1255" t="s">
        <v>51</v>
      </c>
      <c r="H1255">
        <v>6</v>
      </c>
      <c r="I1255">
        <v>41</v>
      </c>
      <c r="J1255">
        <v>1.9710145177299701</v>
      </c>
      <c r="K1255" t="b">
        <f t="shared" si="76"/>
        <v>1</v>
      </c>
      <c r="L1255">
        <f t="shared" si="77"/>
        <v>58.385644398474057</v>
      </c>
      <c r="M1255">
        <f t="shared" si="78"/>
        <v>233.54257759389623</v>
      </c>
      <c r="N1255">
        <f t="shared" si="79"/>
        <v>285.38902981974121</v>
      </c>
    </row>
    <row r="1256" spans="1:14" x14ac:dyDescent="0.35">
      <c r="A1256" t="s">
        <v>51</v>
      </c>
      <c r="B1256">
        <v>6</v>
      </c>
      <c r="C1256" t="s">
        <v>50</v>
      </c>
      <c r="D1256">
        <v>42</v>
      </c>
      <c r="E1256">
        <v>56.502691112269297</v>
      </c>
      <c r="F1256">
        <v>3.0826066564724299</v>
      </c>
      <c r="G1256" t="s">
        <v>51</v>
      </c>
      <c r="H1256">
        <v>6</v>
      </c>
      <c r="I1256">
        <v>42</v>
      </c>
      <c r="J1256">
        <v>2.08562795742791</v>
      </c>
      <c r="K1256" t="b">
        <f t="shared" si="76"/>
        <v>1</v>
      </c>
      <c r="L1256">
        <f t="shared" si="77"/>
        <v>61.670925726169635</v>
      </c>
      <c r="M1256">
        <f t="shared" si="78"/>
        <v>246.68370290467854</v>
      </c>
      <c r="N1256">
        <f t="shared" si="79"/>
        <v>301.44748494951716</v>
      </c>
    </row>
    <row r="1257" spans="1:14" x14ac:dyDescent="0.35">
      <c r="A1257" t="s">
        <v>51</v>
      </c>
      <c r="B1257">
        <v>6</v>
      </c>
      <c r="C1257" t="s">
        <v>50</v>
      </c>
      <c r="D1257">
        <v>43</v>
      </c>
      <c r="E1257">
        <v>59.235440669108002</v>
      </c>
      <c r="F1257">
        <v>3.5132227905019802</v>
      </c>
      <c r="G1257" t="s">
        <v>51</v>
      </c>
      <c r="H1257">
        <v>6</v>
      </c>
      <c r="I1257">
        <v>43</v>
      </c>
      <c r="J1257">
        <v>2.2000324670643101</v>
      </c>
      <c r="K1257" t="b">
        <f t="shared" si="76"/>
        <v>1</v>
      </c>
      <c r="L1257">
        <f t="shared" si="77"/>
        <v>64.94869592667429</v>
      </c>
      <c r="M1257">
        <f t="shared" si="78"/>
        <v>259.79478370669716</v>
      </c>
      <c r="N1257">
        <f t="shared" si="79"/>
        <v>317.46922568958394</v>
      </c>
    </row>
    <row r="1258" spans="1:14" x14ac:dyDescent="0.35">
      <c r="A1258" t="s">
        <v>51</v>
      </c>
      <c r="B1258">
        <v>6</v>
      </c>
      <c r="C1258" t="s">
        <v>50</v>
      </c>
      <c r="D1258">
        <v>44</v>
      </c>
      <c r="E1258">
        <v>62.160182237166097</v>
      </c>
      <c r="F1258">
        <v>3.9342215948810302</v>
      </c>
      <c r="G1258" t="s">
        <v>51</v>
      </c>
      <c r="H1258">
        <v>6</v>
      </c>
      <c r="I1258">
        <v>44</v>
      </c>
      <c r="J1258">
        <v>2.31694374013464</v>
      </c>
      <c r="K1258" t="b">
        <f t="shared" si="76"/>
        <v>1</v>
      </c>
      <c r="L1258">
        <f t="shared" si="77"/>
        <v>68.411347572181768</v>
      </c>
      <c r="M1258">
        <f t="shared" si="78"/>
        <v>273.64539028872707</v>
      </c>
      <c r="N1258">
        <f t="shared" si="79"/>
        <v>334.39466693282446</v>
      </c>
    </row>
    <row r="1259" spans="1:14" x14ac:dyDescent="0.35">
      <c r="A1259" t="s">
        <v>51</v>
      </c>
      <c r="B1259">
        <v>6</v>
      </c>
      <c r="C1259" t="s">
        <v>50</v>
      </c>
      <c r="D1259">
        <v>45</v>
      </c>
      <c r="E1259">
        <v>65.060045540489497</v>
      </c>
      <c r="F1259">
        <v>4.3731597585035598</v>
      </c>
      <c r="G1259" t="s">
        <v>51</v>
      </c>
      <c r="H1259">
        <v>6</v>
      </c>
      <c r="I1259">
        <v>45</v>
      </c>
      <c r="J1259">
        <v>2.4351597667796501</v>
      </c>
      <c r="K1259" t="b">
        <f t="shared" si="76"/>
        <v>1</v>
      </c>
      <c r="L1259">
        <f t="shared" si="77"/>
        <v>71.868365065772707</v>
      </c>
      <c r="M1259">
        <f t="shared" si="78"/>
        <v>287.47346026309083</v>
      </c>
      <c r="N1259">
        <f t="shared" si="79"/>
        <v>351.292568441497</v>
      </c>
    </row>
    <row r="1260" spans="1:14" x14ac:dyDescent="0.35">
      <c r="A1260" t="s">
        <v>51</v>
      </c>
      <c r="B1260">
        <v>6</v>
      </c>
      <c r="C1260" t="s">
        <v>50</v>
      </c>
      <c r="D1260">
        <v>46</v>
      </c>
      <c r="E1260">
        <v>67.931146276295095</v>
      </c>
      <c r="F1260">
        <v>4.8327310844270697</v>
      </c>
      <c r="G1260" t="s">
        <v>51</v>
      </c>
      <c r="H1260">
        <v>6</v>
      </c>
      <c r="I1260">
        <v>46</v>
      </c>
      <c r="J1260">
        <v>2.5538723818954598</v>
      </c>
      <c r="K1260" t="b">
        <f t="shared" si="76"/>
        <v>1</v>
      </c>
      <c r="L1260">
        <f t="shared" si="77"/>
        <v>75.317749742617622</v>
      </c>
      <c r="M1260">
        <f t="shared" si="78"/>
        <v>301.27099897047049</v>
      </c>
      <c r="N1260">
        <f t="shared" si="79"/>
        <v>368.15316074191492</v>
      </c>
    </row>
    <row r="1261" spans="1:14" x14ac:dyDescent="0.35">
      <c r="A1261" t="s">
        <v>51</v>
      </c>
      <c r="B1261">
        <v>6</v>
      </c>
      <c r="C1261" t="s">
        <v>50</v>
      </c>
      <c r="D1261">
        <v>47</v>
      </c>
      <c r="E1261">
        <v>70.771300728284999</v>
      </c>
      <c r="F1261">
        <v>5.3139677280492199</v>
      </c>
      <c r="G1261" t="s">
        <v>51</v>
      </c>
      <c r="H1261">
        <v>6</v>
      </c>
      <c r="I1261">
        <v>47</v>
      </c>
      <c r="J1261">
        <v>2.6725322802533</v>
      </c>
      <c r="K1261" t="b">
        <f t="shared" si="76"/>
        <v>1</v>
      </c>
      <c r="L1261">
        <f t="shared" si="77"/>
        <v>78.757800736587512</v>
      </c>
      <c r="M1261">
        <f t="shared" si="78"/>
        <v>315.03120294635005</v>
      </c>
      <c r="N1261">
        <f t="shared" si="79"/>
        <v>384.96813000043977</v>
      </c>
    </row>
    <row r="1262" spans="1:14" x14ac:dyDescent="0.35">
      <c r="A1262" t="s">
        <v>51</v>
      </c>
      <c r="B1262">
        <v>6</v>
      </c>
      <c r="C1262" t="s">
        <v>50</v>
      </c>
      <c r="D1262">
        <v>48</v>
      </c>
      <c r="E1262">
        <v>73.579123975548598</v>
      </c>
      <c r="F1262">
        <v>5.8171282888960203</v>
      </c>
      <c r="G1262" t="s">
        <v>51</v>
      </c>
      <c r="H1262">
        <v>6</v>
      </c>
      <c r="I1262">
        <v>48</v>
      </c>
      <c r="J1262">
        <v>2.79075917598013</v>
      </c>
      <c r="K1262" t="b">
        <f t="shared" si="76"/>
        <v>1</v>
      </c>
      <c r="L1262">
        <f t="shared" si="77"/>
        <v>82.18701144042474</v>
      </c>
      <c r="M1262">
        <f t="shared" si="78"/>
        <v>328.74804576169896</v>
      </c>
      <c r="N1262">
        <f t="shared" si="79"/>
        <v>401.73011192079611</v>
      </c>
    </row>
    <row r="1263" spans="1:14" x14ac:dyDescent="0.35">
      <c r="A1263" t="s">
        <v>51</v>
      </c>
      <c r="B1263">
        <v>6</v>
      </c>
      <c r="C1263" t="s">
        <v>50</v>
      </c>
      <c r="D1263">
        <v>49</v>
      </c>
      <c r="E1263">
        <v>76.459560790502096</v>
      </c>
      <c r="F1263">
        <v>6.2988839335595301</v>
      </c>
      <c r="G1263" t="s">
        <v>51</v>
      </c>
      <c r="H1263">
        <v>6</v>
      </c>
      <c r="I1263">
        <v>49</v>
      </c>
      <c r="J1263">
        <v>2.9097155160994301</v>
      </c>
      <c r="K1263" t="b">
        <f t="shared" si="76"/>
        <v>1</v>
      </c>
      <c r="L1263">
        <f t="shared" si="77"/>
        <v>85.668160240161058</v>
      </c>
      <c r="M1263">
        <f t="shared" si="78"/>
        <v>342.67264096064423</v>
      </c>
      <c r="N1263">
        <f t="shared" si="79"/>
        <v>418.74596725390722</v>
      </c>
    </row>
    <row r="1264" spans="1:14" x14ac:dyDescent="0.35">
      <c r="A1264" t="s">
        <v>51</v>
      </c>
      <c r="B1264">
        <v>6</v>
      </c>
      <c r="C1264" t="s">
        <v>50</v>
      </c>
      <c r="D1264">
        <v>50</v>
      </c>
      <c r="E1264">
        <v>79.329964385351403</v>
      </c>
      <c r="F1264">
        <v>6.7829009044710196</v>
      </c>
      <c r="G1264" t="s">
        <v>51</v>
      </c>
      <c r="H1264">
        <v>6</v>
      </c>
      <c r="I1264">
        <v>50</v>
      </c>
      <c r="J1264">
        <v>3.0290190070566001</v>
      </c>
      <c r="K1264" t="b">
        <f t="shared" si="76"/>
        <v>1</v>
      </c>
      <c r="L1264">
        <f t="shared" si="77"/>
        <v>89.141884296879027</v>
      </c>
      <c r="M1264">
        <f t="shared" si="78"/>
        <v>356.56753718751611</v>
      </c>
      <c r="N1264">
        <f t="shared" si="79"/>
        <v>435.72553044314469</v>
      </c>
    </row>
    <row r="1265" spans="1:14" x14ac:dyDescent="0.35">
      <c r="A1265" t="s">
        <v>51</v>
      </c>
      <c r="B1265">
        <v>6</v>
      </c>
      <c r="C1265" t="s">
        <v>50</v>
      </c>
      <c r="D1265">
        <v>51</v>
      </c>
      <c r="E1265">
        <v>82.179241464680999</v>
      </c>
      <c r="F1265">
        <v>7.2790670581416999</v>
      </c>
      <c r="G1265" t="s">
        <v>51</v>
      </c>
      <c r="H1265">
        <v>6</v>
      </c>
      <c r="I1265">
        <v>51</v>
      </c>
      <c r="J1265">
        <v>3.1482773762707899</v>
      </c>
      <c r="K1265" t="b">
        <f t="shared" si="76"/>
        <v>1</v>
      </c>
      <c r="L1265">
        <f t="shared" si="77"/>
        <v>92.606585899093488</v>
      </c>
      <c r="M1265">
        <f t="shared" si="78"/>
        <v>370.42634359637395</v>
      </c>
      <c r="N1265">
        <f t="shared" si="79"/>
        <v>452.66099187476897</v>
      </c>
    </row>
    <row r="1266" spans="1:14" x14ac:dyDescent="0.35">
      <c r="A1266" t="s">
        <v>51</v>
      </c>
      <c r="B1266">
        <v>6</v>
      </c>
      <c r="C1266" t="s">
        <v>50</v>
      </c>
      <c r="D1266">
        <v>52</v>
      </c>
      <c r="E1266">
        <v>85.0024177628746</v>
      </c>
      <c r="F1266">
        <v>7.7913042175449103</v>
      </c>
      <c r="G1266" t="s">
        <v>51</v>
      </c>
      <c r="H1266">
        <v>6</v>
      </c>
      <c r="I1266">
        <v>52</v>
      </c>
      <c r="J1266">
        <v>3.2671697662093102</v>
      </c>
      <c r="K1266" t="b">
        <f t="shared" si="76"/>
        <v>1</v>
      </c>
      <c r="L1266">
        <f t="shared" si="77"/>
        <v>96.060891746628812</v>
      </c>
      <c r="M1266">
        <f t="shared" si="78"/>
        <v>384.24356698651525</v>
      </c>
      <c r="N1266">
        <f t="shared" si="79"/>
        <v>469.54563885752162</v>
      </c>
    </row>
    <row r="1267" spans="1:14" x14ac:dyDescent="0.35">
      <c r="A1267" t="s">
        <v>51</v>
      </c>
      <c r="B1267">
        <v>6</v>
      </c>
      <c r="C1267" t="s">
        <v>50</v>
      </c>
      <c r="D1267">
        <v>53</v>
      </c>
      <c r="E1267">
        <v>87.797142598432004</v>
      </c>
      <c r="F1267">
        <v>8.3209875417601697</v>
      </c>
      <c r="G1267" t="s">
        <v>51</v>
      </c>
      <c r="H1267">
        <v>6</v>
      </c>
      <c r="I1267">
        <v>53</v>
      </c>
      <c r="J1267">
        <v>3.3854531228145901</v>
      </c>
      <c r="K1267" t="b">
        <f t="shared" si="76"/>
        <v>1</v>
      </c>
      <c r="L1267">
        <f t="shared" si="77"/>
        <v>99.503583263006774</v>
      </c>
      <c r="M1267">
        <f t="shared" si="78"/>
        <v>398.0143330520271</v>
      </c>
      <c r="N1267">
        <f t="shared" si="79"/>
        <v>486.37351498957713</v>
      </c>
    </row>
    <row r="1268" spans="1:14" x14ac:dyDescent="0.35">
      <c r="A1268" t="s">
        <v>51</v>
      </c>
      <c r="B1268">
        <v>6</v>
      </c>
      <c r="C1268" t="s">
        <v>50</v>
      </c>
      <c r="D1268">
        <v>54</v>
      </c>
      <c r="E1268">
        <v>90.589872670152104</v>
      </c>
      <c r="F1268">
        <v>8.8177483129682699</v>
      </c>
      <c r="G1268" t="s">
        <v>51</v>
      </c>
      <c r="H1268">
        <v>6</v>
      </c>
      <c r="I1268">
        <v>54</v>
      </c>
      <c r="J1268">
        <v>3.5033219873419998</v>
      </c>
      <c r="K1268" t="b">
        <f t="shared" si="76"/>
        <v>1</v>
      </c>
      <c r="L1268">
        <f t="shared" si="77"/>
        <v>102.91094297046239</v>
      </c>
      <c r="M1268">
        <f t="shared" si="78"/>
        <v>411.64377188184955</v>
      </c>
      <c r="N1268">
        <f t="shared" si="79"/>
        <v>503.02868923962012</v>
      </c>
    </row>
    <row r="1269" spans="1:14" x14ac:dyDescent="0.35">
      <c r="A1269" t="s">
        <v>51</v>
      </c>
      <c r="B1269">
        <v>6</v>
      </c>
      <c r="C1269" t="s">
        <v>50</v>
      </c>
      <c r="D1269">
        <v>55</v>
      </c>
      <c r="E1269">
        <v>93.378632895771702</v>
      </c>
      <c r="F1269">
        <v>9.3107269498151908</v>
      </c>
      <c r="G1269" t="s">
        <v>51</v>
      </c>
      <c r="H1269">
        <v>6</v>
      </c>
      <c r="I1269">
        <v>55</v>
      </c>
      <c r="J1269">
        <v>3.6208673246381502</v>
      </c>
      <c r="K1269" t="b">
        <f t="shared" si="76"/>
        <v>1</v>
      </c>
      <c r="L1269">
        <f t="shared" si="77"/>
        <v>106.31022717022505</v>
      </c>
      <c r="M1269">
        <f t="shared" si="78"/>
        <v>425.24090868090019</v>
      </c>
      <c r="N1269">
        <f t="shared" si="79"/>
        <v>519.64439040806008</v>
      </c>
    </row>
    <row r="1270" spans="1:14" x14ac:dyDescent="0.35">
      <c r="A1270" t="s">
        <v>51</v>
      </c>
      <c r="B1270">
        <v>6</v>
      </c>
      <c r="C1270" t="s">
        <v>50</v>
      </c>
      <c r="D1270">
        <v>56</v>
      </c>
      <c r="E1270">
        <v>96.150611447183095</v>
      </c>
      <c r="F1270">
        <v>9.8116235475407994</v>
      </c>
      <c r="G1270" t="s">
        <v>51</v>
      </c>
      <c r="H1270">
        <v>6</v>
      </c>
      <c r="I1270">
        <v>56</v>
      </c>
      <c r="J1270">
        <v>3.7379712194733901</v>
      </c>
      <c r="K1270" t="b">
        <f t="shared" si="76"/>
        <v>1</v>
      </c>
      <c r="L1270">
        <f t="shared" si="77"/>
        <v>109.70020621419729</v>
      </c>
      <c r="M1270">
        <f t="shared" si="78"/>
        <v>438.80082485678918</v>
      </c>
      <c r="N1270">
        <f t="shared" si="79"/>
        <v>536.2146079749964</v>
      </c>
    </row>
    <row r="1271" spans="1:14" x14ac:dyDescent="0.35">
      <c r="A1271" t="s">
        <v>51</v>
      </c>
      <c r="B1271">
        <v>6</v>
      </c>
      <c r="C1271" t="s">
        <v>50</v>
      </c>
      <c r="D1271">
        <v>57</v>
      </c>
      <c r="E1271">
        <v>98.900414773747599</v>
      </c>
      <c r="F1271">
        <v>10.3249218732324</v>
      </c>
      <c r="G1271" t="s">
        <v>51</v>
      </c>
      <c r="H1271">
        <v>6</v>
      </c>
      <c r="I1271">
        <v>57</v>
      </c>
      <c r="J1271">
        <v>3.85448367849644</v>
      </c>
      <c r="K1271" t="b">
        <f t="shared" si="76"/>
        <v>1</v>
      </c>
      <c r="L1271">
        <f t="shared" si="77"/>
        <v>113.07982032547643</v>
      </c>
      <c r="M1271">
        <f t="shared" si="78"/>
        <v>452.31928130190573</v>
      </c>
      <c r="N1271">
        <f t="shared" si="79"/>
        <v>552.73416175092882</v>
      </c>
    </row>
    <row r="1272" spans="1:14" x14ac:dyDescent="0.35">
      <c r="A1272" t="s">
        <v>51</v>
      </c>
      <c r="B1272">
        <v>6</v>
      </c>
      <c r="C1272" t="s">
        <v>50</v>
      </c>
      <c r="D1272">
        <v>58</v>
      </c>
      <c r="E1272">
        <v>101.62569571085299</v>
      </c>
      <c r="F1272">
        <v>10.8521543228317</v>
      </c>
      <c r="G1272" t="s">
        <v>51</v>
      </c>
      <c r="H1272">
        <v>6</v>
      </c>
      <c r="I1272">
        <v>58</v>
      </c>
      <c r="J1272">
        <v>3.9702744582086602</v>
      </c>
      <c r="K1272" t="b">
        <f t="shared" si="76"/>
        <v>1</v>
      </c>
      <c r="L1272">
        <f t="shared" si="77"/>
        <v>116.44812449189335</v>
      </c>
      <c r="M1272">
        <f t="shared" si="78"/>
        <v>465.79249796757341</v>
      </c>
      <c r="N1272">
        <f t="shared" si="79"/>
        <v>569.19843251637474</v>
      </c>
    </row>
    <row r="1273" spans="1:14" x14ac:dyDescent="0.35">
      <c r="A1273" t="s">
        <v>51</v>
      </c>
      <c r="B1273">
        <v>6</v>
      </c>
      <c r="C1273" t="s">
        <v>50</v>
      </c>
      <c r="D1273">
        <v>59</v>
      </c>
      <c r="E1273">
        <v>104.276518025336</v>
      </c>
      <c r="F1273">
        <v>11.340454567800901</v>
      </c>
      <c r="G1273" t="s">
        <v>51</v>
      </c>
      <c r="H1273">
        <v>6</v>
      </c>
      <c r="I1273">
        <v>59</v>
      </c>
      <c r="J1273">
        <v>4.0845818645138401</v>
      </c>
      <c r="K1273" t="b">
        <f t="shared" si="76"/>
        <v>1</v>
      </c>
      <c r="L1273">
        <f t="shared" si="77"/>
        <v>119.70155445765074</v>
      </c>
      <c r="M1273">
        <f t="shared" si="78"/>
        <v>478.80621783060298</v>
      </c>
      <c r="N1273">
        <f t="shared" si="79"/>
        <v>585.10119818899682</v>
      </c>
    </row>
    <row r="1274" spans="1:14" x14ac:dyDescent="0.35">
      <c r="A1274" t="s">
        <v>51</v>
      </c>
      <c r="B1274">
        <v>6</v>
      </c>
      <c r="C1274" t="s">
        <v>50</v>
      </c>
      <c r="D1274">
        <v>60</v>
      </c>
      <c r="E1274">
        <v>106.927529952199</v>
      </c>
      <c r="F1274">
        <v>11.821365054629201</v>
      </c>
      <c r="G1274" t="s">
        <v>51</v>
      </c>
      <c r="H1274">
        <v>6</v>
      </c>
      <c r="I1274">
        <v>60</v>
      </c>
      <c r="J1274">
        <v>4.1979219748851504</v>
      </c>
      <c r="K1274" t="b">
        <f t="shared" si="76"/>
        <v>1</v>
      </c>
      <c r="L1274">
        <f t="shared" si="77"/>
        <v>122.94681698171334</v>
      </c>
      <c r="M1274">
        <f t="shared" si="78"/>
        <v>491.78726792685336</v>
      </c>
      <c r="N1274">
        <f t="shared" si="79"/>
        <v>600.9640414066148</v>
      </c>
    </row>
    <row r="1275" spans="1:14" x14ac:dyDescent="0.35">
      <c r="A1275" t="s">
        <v>51</v>
      </c>
      <c r="B1275">
        <v>6</v>
      </c>
      <c r="C1275" t="s">
        <v>50</v>
      </c>
      <c r="D1275">
        <v>61</v>
      </c>
      <c r="E1275">
        <v>109.565443047909</v>
      </c>
      <c r="F1275">
        <v>12.3071689481971</v>
      </c>
      <c r="G1275" t="s">
        <v>51</v>
      </c>
      <c r="H1275">
        <v>6</v>
      </c>
      <c r="I1275">
        <v>61</v>
      </c>
      <c r="J1275">
        <v>4.3104365483856002</v>
      </c>
      <c r="K1275" t="b">
        <f t="shared" si="76"/>
        <v>1</v>
      </c>
      <c r="L1275">
        <f t="shared" si="77"/>
        <v>126.1830485444917</v>
      </c>
      <c r="M1275">
        <f t="shared" si="78"/>
        <v>504.73219417796679</v>
      </c>
      <c r="N1275">
        <f t="shared" si="79"/>
        <v>616.78274128547537</v>
      </c>
    </row>
    <row r="1276" spans="1:14" x14ac:dyDescent="0.35">
      <c r="A1276" t="s">
        <v>51</v>
      </c>
      <c r="B1276">
        <v>6</v>
      </c>
      <c r="C1276" t="s">
        <v>50</v>
      </c>
      <c r="D1276">
        <v>62</v>
      </c>
      <c r="E1276">
        <v>112.18489644057701</v>
      </c>
      <c r="F1276">
        <v>12.802449819400801</v>
      </c>
      <c r="G1276" t="s">
        <v>51</v>
      </c>
      <c r="H1276">
        <v>6</v>
      </c>
      <c r="I1276">
        <v>62</v>
      </c>
      <c r="J1276">
        <v>4.4221422620529296</v>
      </c>
      <c r="K1276" t="b">
        <f t="shared" si="76"/>
        <v>1</v>
      </c>
      <c r="L1276">
        <f t="shared" si="77"/>
        <v>129.40948852203076</v>
      </c>
      <c r="M1276">
        <f t="shared" si="78"/>
        <v>517.63795408812302</v>
      </c>
      <c r="N1276">
        <f t="shared" si="79"/>
        <v>632.55357989568631</v>
      </c>
    </row>
    <row r="1277" spans="1:14" x14ac:dyDescent="0.35">
      <c r="A1277" t="s">
        <v>51</v>
      </c>
      <c r="B1277">
        <v>6</v>
      </c>
      <c r="C1277" t="s">
        <v>50</v>
      </c>
      <c r="D1277">
        <v>63</v>
      </c>
      <c r="E1277">
        <v>114.78368067632999</v>
      </c>
      <c r="F1277">
        <v>13.308742145738901</v>
      </c>
      <c r="G1277" t="s">
        <v>51</v>
      </c>
      <c r="H1277">
        <v>6</v>
      </c>
      <c r="I1277">
        <v>63</v>
      </c>
      <c r="J1277">
        <v>4.5330200394394504</v>
      </c>
      <c r="K1277" t="b">
        <f t="shared" si="76"/>
        <v>1</v>
      </c>
      <c r="L1277">
        <f t="shared" si="77"/>
        <v>132.62544286150836</v>
      </c>
      <c r="M1277">
        <f t="shared" si="78"/>
        <v>530.50177144603344</v>
      </c>
      <c r="N1277">
        <f t="shared" si="79"/>
        <v>648.27316470705284</v>
      </c>
    </row>
    <row r="1278" spans="1:14" x14ac:dyDescent="0.35">
      <c r="A1278" t="s">
        <v>51</v>
      </c>
      <c r="B1278">
        <v>6</v>
      </c>
      <c r="C1278" t="s">
        <v>50</v>
      </c>
      <c r="D1278">
        <v>64</v>
      </c>
      <c r="E1278">
        <v>117.269741304874</v>
      </c>
      <c r="F1278">
        <v>13.772262478996399</v>
      </c>
      <c r="G1278" t="s">
        <v>51</v>
      </c>
      <c r="H1278">
        <v>6</v>
      </c>
      <c r="I1278">
        <v>64</v>
      </c>
      <c r="J1278">
        <v>4.64181358870613</v>
      </c>
      <c r="K1278" t="b">
        <f t="shared" si="76"/>
        <v>1</v>
      </c>
      <c r="L1278">
        <f t="shared" si="77"/>
        <v>135.68381737257653</v>
      </c>
      <c r="M1278">
        <f t="shared" si="78"/>
        <v>542.73526949030611</v>
      </c>
      <c r="N1278">
        <f t="shared" si="79"/>
        <v>663.22249931715407</v>
      </c>
    </row>
    <row r="1279" spans="1:14" x14ac:dyDescent="0.35">
      <c r="A1279" t="s">
        <v>51</v>
      </c>
      <c r="B1279">
        <v>6</v>
      </c>
      <c r="C1279" t="s">
        <v>50</v>
      </c>
      <c r="D1279">
        <v>65</v>
      </c>
      <c r="E1279">
        <v>119.759468936397</v>
      </c>
      <c r="F1279">
        <v>14.225931707567099</v>
      </c>
      <c r="G1279" t="s">
        <v>51</v>
      </c>
      <c r="H1279">
        <v>6</v>
      </c>
      <c r="I1279">
        <v>65</v>
      </c>
      <c r="J1279">
        <v>4.7492888313522101</v>
      </c>
      <c r="K1279" t="b">
        <f t="shared" si="76"/>
        <v>1</v>
      </c>
      <c r="L1279">
        <f t="shared" si="77"/>
        <v>138.73468947531632</v>
      </c>
      <c r="M1279">
        <f t="shared" si="78"/>
        <v>554.93875790126526</v>
      </c>
      <c r="N1279">
        <f t="shared" si="79"/>
        <v>678.13516215534617</v>
      </c>
    </row>
    <row r="1280" spans="1:14" x14ac:dyDescent="0.35">
      <c r="A1280" t="s">
        <v>51</v>
      </c>
      <c r="B1280">
        <v>6</v>
      </c>
      <c r="C1280" t="s">
        <v>50</v>
      </c>
      <c r="D1280">
        <v>66</v>
      </c>
      <c r="E1280">
        <v>122.239430755098</v>
      </c>
      <c r="F1280">
        <v>14.682266061166199</v>
      </c>
      <c r="G1280" t="s">
        <v>51</v>
      </c>
      <c r="H1280">
        <v>6</v>
      </c>
      <c r="I1280">
        <v>66</v>
      </c>
      <c r="J1280">
        <v>4.8557434868094296</v>
      </c>
      <c r="K1280" t="b">
        <f t="shared" si="76"/>
        <v>1</v>
      </c>
      <c r="L1280">
        <f t="shared" si="77"/>
        <v>141.7774403030736</v>
      </c>
      <c r="M1280">
        <f t="shared" si="78"/>
        <v>567.10976121229442</v>
      </c>
      <c r="N1280">
        <f t="shared" si="79"/>
        <v>693.0081282014238</v>
      </c>
    </row>
    <row r="1281" spans="1:14" x14ac:dyDescent="0.35">
      <c r="A1281" t="s">
        <v>51</v>
      </c>
      <c r="B1281">
        <v>6</v>
      </c>
      <c r="C1281" t="s">
        <v>50</v>
      </c>
      <c r="D1281">
        <v>67</v>
      </c>
      <c r="E1281">
        <v>124.70437782137</v>
      </c>
      <c r="F1281">
        <v>15.1458423481462</v>
      </c>
      <c r="G1281" t="s">
        <v>51</v>
      </c>
      <c r="H1281">
        <v>6</v>
      </c>
      <c r="I1281">
        <v>67</v>
      </c>
      <c r="J1281">
        <v>4.9612966568896297</v>
      </c>
      <c r="K1281" t="b">
        <f t="shared" si="76"/>
        <v>1</v>
      </c>
      <c r="L1281">
        <f t="shared" si="77"/>
        <v>144.81151682640584</v>
      </c>
      <c r="M1281">
        <f t="shared" si="78"/>
        <v>579.24606730562334</v>
      </c>
      <c r="N1281">
        <f t="shared" si="79"/>
        <v>707.83869424747172</v>
      </c>
    </row>
    <row r="1282" spans="1:14" x14ac:dyDescent="0.35">
      <c r="A1282" t="s">
        <v>51</v>
      </c>
      <c r="B1282">
        <v>6</v>
      </c>
      <c r="C1282" t="s">
        <v>50</v>
      </c>
      <c r="D1282">
        <v>68</v>
      </c>
      <c r="E1282">
        <v>127.152231244136</v>
      </c>
      <c r="F1282">
        <v>15.6181729937301</v>
      </c>
      <c r="G1282" t="s">
        <v>51</v>
      </c>
      <c r="H1282">
        <v>6</v>
      </c>
      <c r="I1282">
        <v>68</v>
      </c>
      <c r="J1282">
        <v>5.0659989297758496</v>
      </c>
      <c r="K1282" t="b">
        <f t="shared" si="76"/>
        <v>1</v>
      </c>
      <c r="L1282">
        <f t="shared" si="77"/>
        <v>147.83640316764195</v>
      </c>
      <c r="M1282">
        <f t="shared" si="78"/>
        <v>591.34561267056779</v>
      </c>
      <c r="N1282">
        <f t="shared" si="79"/>
        <v>722.62433868343385</v>
      </c>
    </row>
    <row r="1283" spans="1:14" x14ac:dyDescent="0.35">
      <c r="A1283" t="s">
        <v>51</v>
      </c>
      <c r="B1283">
        <v>6</v>
      </c>
      <c r="C1283" t="s">
        <v>50</v>
      </c>
      <c r="D1283">
        <v>69</v>
      </c>
      <c r="E1283">
        <v>129.42575563421599</v>
      </c>
      <c r="F1283">
        <v>16.045801486557099</v>
      </c>
      <c r="G1283" t="s">
        <v>51</v>
      </c>
      <c r="H1283">
        <v>6</v>
      </c>
      <c r="I1283">
        <v>69</v>
      </c>
      <c r="J1283">
        <v>5.1677602765600001</v>
      </c>
      <c r="K1283" t="b">
        <f t="shared" ref="K1283:K1346" si="80">H1283=B1283</f>
        <v>1</v>
      </c>
      <c r="L1283">
        <f t="shared" ref="L1283:L1346" si="81">E1283+F1283+J1283</f>
        <v>150.63931739733309</v>
      </c>
      <c r="M1283">
        <f t="shared" ref="M1283:M1346" si="82">(L1283*2)*(100/50)</f>
        <v>602.55726958933235</v>
      </c>
      <c r="N1283">
        <f t="shared" ref="N1283:N1346" si="83">M1283*1.222</f>
        <v>736.32498343816417</v>
      </c>
    </row>
    <row r="1284" spans="1:14" x14ac:dyDescent="0.35">
      <c r="A1284" t="s">
        <v>51</v>
      </c>
      <c r="B1284">
        <v>6</v>
      </c>
      <c r="C1284" t="s">
        <v>50</v>
      </c>
      <c r="D1284">
        <v>70</v>
      </c>
      <c r="E1284">
        <v>131.70570009342501</v>
      </c>
      <c r="F1284">
        <v>16.461976734378599</v>
      </c>
      <c r="G1284" t="s">
        <v>51</v>
      </c>
      <c r="H1284">
        <v>6</v>
      </c>
      <c r="I1284">
        <v>70</v>
      </c>
      <c r="J1284">
        <v>5.26768328947177</v>
      </c>
      <c r="K1284" t="b">
        <f t="shared" si="80"/>
        <v>1</v>
      </c>
      <c r="L1284">
        <f t="shared" si="81"/>
        <v>153.43536011727537</v>
      </c>
      <c r="M1284">
        <f t="shared" si="82"/>
        <v>613.74144046910146</v>
      </c>
      <c r="N1284">
        <f t="shared" si="83"/>
        <v>749.99204025324195</v>
      </c>
    </row>
    <row r="1285" spans="1:14" x14ac:dyDescent="0.35">
      <c r="A1285" t="s">
        <v>51</v>
      </c>
      <c r="B1285">
        <v>6</v>
      </c>
      <c r="C1285" t="s">
        <v>50</v>
      </c>
      <c r="D1285">
        <v>71</v>
      </c>
      <c r="E1285">
        <v>133.978839987502</v>
      </c>
      <c r="F1285">
        <v>16.879091144752699</v>
      </c>
      <c r="G1285" t="s">
        <v>51</v>
      </c>
      <c r="H1285">
        <v>6</v>
      </c>
      <c r="I1285">
        <v>71</v>
      </c>
      <c r="J1285">
        <v>5.3662780700914503</v>
      </c>
      <c r="K1285" t="b">
        <f t="shared" si="80"/>
        <v>1</v>
      </c>
      <c r="L1285">
        <f t="shared" si="81"/>
        <v>156.22420920234615</v>
      </c>
      <c r="M1285">
        <f t="shared" si="82"/>
        <v>624.89683680938458</v>
      </c>
      <c r="N1285">
        <f t="shared" si="83"/>
        <v>763.62393458106794</v>
      </c>
    </row>
    <row r="1286" spans="1:14" x14ac:dyDescent="0.35">
      <c r="A1286" t="s">
        <v>51</v>
      </c>
      <c r="B1286">
        <v>6</v>
      </c>
      <c r="C1286" t="s">
        <v>50</v>
      </c>
      <c r="D1286">
        <v>72</v>
      </c>
      <c r="E1286">
        <v>136.24013716125199</v>
      </c>
      <c r="F1286">
        <v>17.301602354470699</v>
      </c>
      <c r="G1286" t="s">
        <v>51</v>
      </c>
      <c r="H1286">
        <v>6</v>
      </c>
      <c r="I1286">
        <v>72</v>
      </c>
      <c r="J1286">
        <v>5.4638017046597804</v>
      </c>
      <c r="K1286" t="b">
        <f t="shared" si="80"/>
        <v>1</v>
      </c>
      <c r="L1286">
        <f t="shared" si="81"/>
        <v>159.00554122038247</v>
      </c>
      <c r="M1286">
        <f t="shared" si="82"/>
        <v>636.02216488152987</v>
      </c>
      <c r="N1286">
        <f t="shared" si="83"/>
        <v>777.21908548522947</v>
      </c>
    </row>
    <row r="1287" spans="1:14" x14ac:dyDescent="0.35">
      <c r="A1287" t="s">
        <v>51</v>
      </c>
      <c r="B1287">
        <v>6</v>
      </c>
      <c r="C1287" t="s">
        <v>50</v>
      </c>
      <c r="D1287">
        <v>73</v>
      </c>
      <c r="E1287">
        <v>138.487656719048</v>
      </c>
      <c r="F1287">
        <v>17.730970232999098</v>
      </c>
      <c r="G1287" t="s">
        <v>51</v>
      </c>
      <c r="H1287">
        <v>6</v>
      </c>
      <c r="I1287">
        <v>73</v>
      </c>
      <c r="J1287">
        <v>5.5603966200518604</v>
      </c>
      <c r="K1287" t="b">
        <f t="shared" si="80"/>
        <v>1</v>
      </c>
      <c r="L1287">
        <f t="shared" si="81"/>
        <v>161.77902357209894</v>
      </c>
      <c r="M1287">
        <f t="shared" si="82"/>
        <v>647.11609428839574</v>
      </c>
      <c r="N1287">
        <f t="shared" si="83"/>
        <v>790.77586722041963</v>
      </c>
    </row>
    <row r="1288" spans="1:14" x14ac:dyDescent="0.35">
      <c r="A1288" t="s">
        <v>51</v>
      </c>
      <c r="B1288">
        <v>6</v>
      </c>
      <c r="C1288" t="s">
        <v>50</v>
      </c>
      <c r="D1288">
        <v>74</v>
      </c>
      <c r="E1288">
        <v>140.505996597131</v>
      </c>
      <c r="F1288">
        <v>18.1142269770931</v>
      </c>
      <c r="G1288" t="s">
        <v>51</v>
      </c>
      <c r="H1288">
        <v>6</v>
      </c>
      <c r="I1288">
        <v>74</v>
      </c>
      <c r="J1288">
        <v>5.6532478655773302</v>
      </c>
      <c r="K1288" t="b">
        <f t="shared" si="80"/>
        <v>1</v>
      </c>
      <c r="L1288">
        <f t="shared" si="81"/>
        <v>164.27347143980143</v>
      </c>
      <c r="M1288">
        <f t="shared" si="82"/>
        <v>657.0938857592057</v>
      </c>
      <c r="N1288">
        <f t="shared" si="83"/>
        <v>802.96872839774937</v>
      </c>
    </row>
    <row r="1289" spans="1:14" x14ac:dyDescent="0.35">
      <c r="A1289" t="s">
        <v>51</v>
      </c>
      <c r="B1289">
        <v>6</v>
      </c>
      <c r="C1289" t="s">
        <v>50</v>
      </c>
      <c r="D1289">
        <v>75</v>
      </c>
      <c r="E1289">
        <v>142.53328294296799</v>
      </c>
      <c r="F1289">
        <v>18.484745374410799</v>
      </c>
      <c r="G1289" t="s">
        <v>51</v>
      </c>
      <c r="H1289">
        <v>6</v>
      </c>
      <c r="I1289">
        <v>75</v>
      </c>
      <c r="J1289">
        <v>5.74377031540247</v>
      </c>
      <c r="K1289" t="b">
        <f t="shared" si="80"/>
        <v>1</v>
      </c>
      <c r="L1289">
        <f t="shared" si="81"/>
        <v>166.76179863278125</v>
      </c>
      <c r="M1289">
        <f t="shared" si="82"/>
        <v>667.047194531125</v>
      </c>
      <c r="N1289">
        <f t="shared" si="83"/>
        <v>815.13167171703469</v>
      </c>
    </row>
    <row r="1290" spans="1:14" x14ac:dyDescent="0.35">
      <c r="A1290" t="s">
        <v>51</v>
      </c>
      <c r="B1290">
        <v>6</v>
      </c>
      <c r="C1290" t="s">
        <v>50</v>
      </c>
      <c r="D1290">
        <v>76</v>
      </c>
      <c r="E1290">
        <v>144.556520521854</v>
      </c>
      <c r="F1290">
        <v>18.854760358798401</v>
      </c>
      <c r="G1290" t="s">
        <v>51</v>
      </c>
      <c r="H1290">
        <v>6</v>
      </c>
      <c r="I1290">
        <v>76</v>
      </c>
      <c r="J1290">
        <v>5.8326722203382202</v>
      </c>
      <c r="K1290" t="b">
        <f t="shared" si="80"/>
        <v>1</v>
      </c>
      <c r="L1290">
        <f t="shared" si="81"/>
        <v>169.24395310099061</v>
      </c>
      <c r="M1290">
        <f t="shared" si="82"/>
        <v>676.97581240396244</v>
      </c>
      <c r="N1290">
        <f t="shared" si="83"/>
        <v>827.26444275764209</v>
      </c>
    </row>
    <row r="1291" spans="1:14" x14ac:dyDescent="0.35">
      <c r="A1291" t="s">
        <v>51</v>
      </c>
      <c r="B1291">
        <v>6</v>
      </c>
      <c r="C1291" t="s">
        <v>50</v>
      </c>
      <c r="D1291">
        <v>77</v>
      </c>
      <c r="E1291">
        <v>146.57086078852399</v>
      </c>
      <c r="F1291">
        <v>19.228616297262999</v>
      </c>
      <c r="G1291" t="s">
        <v>51</v>
      </c>
      <c r="H1291">
        <v>6</v>
      </c>
      <c r="I1291">
        <v>77</v>
      </c>
      <c r="J1291">
        <v>5.9203397827993296</v>
      </c>
      <c r="K1291" t="b">
        <f t="shared" si="80"/>
        <v>1</v>
      </c>
      <c r="L1291">
        <f t="shared" si="81"/>
        <v>171.71981686858629</v>
      </c>
      <c r="M1291">
        <f t="shared" si="82"/>
        <v>686.87926747434517</v>
      </c>
      <c r="N1291">
        <f t="shared" si="83"/>
        <v>839.36646485364975</v>
      </c>
    </row>
    <row r="1292" spans="1:14" x14ac:dyDescent="0.35">
      <c r="A1292" t="s">
        <v>51</v>
      </c>
      <c r="B1292">
        <v>6</v>
      </c>
      <c r="C1292" t="s">
        <v>50</v>
      </c>
      <c r="D1292">
        <v>78</v>
      </c>
      <c r="E1292">
        <v>148.57448720499201</v>
      </c>
      <c r="F1292">
        <v>19.607730059871201</v>
      </c>
      <c r="G1292" t="s">
        <v>51</v>
      </c>
      <c r="H1292">
        <v>6</v>
      </c>
      <c r="I1292">
        <v>78</v>
      </c>
      <c r="J1292">
        <v>6.0070014756423404</v>
      </c>
      <c r="K1292" t="b">
        <f t="shared" si="80"/>
        <v>1</v>
      </c>
      <c r="L1292">
        <f t="shared" si="81"/>
        <v>174.18921874050554</v>
      </c>
      <c r="M1292">
        <f t="shared" si="82"/>
        <v>696.75687496202215</v>
      </c>
      <c r="N1292">
        <f t="shared" si="83"/>
        <v>851.43690120359111</v>
      </c>
    </row>
    <row r="1293" spans="1:14" x14ac:dyDescent="0.35">
      <c r="A1293" t="s">
        <v>51</v>
      </c>
      <c r="B1293">
        <v>6</v>
      </c>
      <c r="C1293" t="s">
        <v>50</v>
      </c>
      <c r="D1293">
        <v>79</v>
      </c>
      <c r="E1293">
        <v>150.335594125932</v>
      </c>
      <c r="F1293">
        <v>19.934506315021199</v>
      </c>
      <c r="G1293" t="s">
        <v>51</v>
      </c>
      <c r="H1293">
        <v>6</v>
      </c>
      <c r="I1293">
        <v>79</v>
      </c>
      <c r="J1293">
        <v>6.08967828301832</v>
      </c>
      <c r="K1293" t="b">
        <f t="shared" si="80"/>
        <v>1</v>
      </c>
      <c r="L1293">
        <f t="shared" si="81"/>
        <v>176.35977872397152</v>
      </c>
      <c r="M1293">
        <f t="shared" si="82"/>
        <v>705.43911489588606</v>
      </c>
      <c r="N1293">
        <f t="shared" si="83"/>
        <v>862.0465984027727</v>
      </c>
    </row>
    <row r="1294" spans="1:14" x14ac:dyDescent="0.35">
      <c r="A1294" t="s">
        <v>51</v>
      </c>
      <c r="B1294">
        <v>6</v>
      </c>
      <c r="C1294" t="s">
        <v>50</v>
      </c>
      <c r="D1294">
        <v>80</v>
      </c>
      <c r="E1294">
        <v>152.11021264074699</v>
      </c>
      <c r="F1294">
        <v>20.2458702452168</v>
      </c>
      <c r="G1294" t="s">
        <v>51</v>
      </c>
      <c r="H1294">
        <v>6</v>
      </c>
      <c r="I1294">
        <v>80</v>
      </c>
      <c r="J1294">
        <v>6.1699242187073597</v>
      </c>
      <c r="K1294" t="b">
        <f t="shared" si="80"/>
        <v>1</v>
      </c>
      <c r="L1294">
        <f t="shared" si="81"/>
        <v>178.52600710467115</v>
      </c>
      <c r="M1294">
        <f t="shared" si="82"/>
        <v>714.10402841868461</v>
      </c>
      <c r="N1294">
        <f t="shared" si="83"/>
        <v>872.63512272763262</v>
      </c>
    </row>
    <row r="1295" spans="1:14" x14ac:dyDescent="0.35">
      <c r="A1295" t="s">
        <v>51</v>
      </c>
      <c r="B1295">
        <v>6</v>
      </c>
      <c r="C1295" t="s">
        <v>50</v>
      </c>
      <c r="D1295">
        <v>81</v>
      </c>
      <c r="E1295">
        <v>153.88422125540001</v>
      </c>
      <c r="F1295">
        <v>20.555185469557799</v>
      </c>
      <c r="G1295" t="s">
        <v>51</v>
      </c>
      <c r="H1295">
        <v>6</v>
      </c>
      <c r="I1295">
        <v>81</v>
      </c>
      <c r="J1295">
        <v>6.2485218370187798</v>
      </c>
      <c r="K1295" t="b">
        <f t="shared" si="80"/>
        <v>1</v>
      </c>
      <c r="L1295">
        <f t="shared" si="81"/>
        <v>180.68792856197658</v>
      </c>
      <c r="M1295">
        <f t="shared" si="82"/>
        <v>722.75171424790631</v>
      </c>
      <c r="N1295">
        <f t="shared" si="83"/>
        <v>883.20259481094149</v>
      </c>
    </row>
    <row r="1296" spans="1:14" x14ac:dyDescent="0.35">
      <c r="A1296" t="s">
        <v>51</v>
      </c>
      <c r="B1296">
        <v>6</v>
      </c>
      <c r="C1296" t="s">
        <v>50</v>
      </c>
      <c r="D1296">
        <v>82</v>
      </c>
      <c r="E1296">
        <v>155.65244126911099</v>
      </c>
      <c r="F1296">
        <v>20.867158145371999</v>
      </c>
      <c r="G1296" t="s">
        <v>51</v>
      </c>
      <c r="H1296">
        <v>6</v>
      </c>
      <c r="I1296">
        <v>82</v>
      </c>
      <c r="J1296">
        <v>6.3259021292519204</v>
      </c>
      <c r="K1296" t="b">
        <f t="shared" si="80"/>
        <v>1</v>
      </c>
      <c r="L1296">
        <f t="shared" si="81"/>
        <v>182.84550154373491</v>
      </c>
      <c r="M1296">
        <f t="shared" si="82"/>
        <v>731.38200617493965</v>
      </c>
      <c r="N1296">
        <f t="shared" si="83"/>
        <v>893.74881154577622</v>
      </c>
    </row>
    <row r="1297" spans="1:14" x14ac:dyDescent="0.35">
      <c r="A1297" t="s">
        <v>51</v>
      </c>
      <c r="B1297">
        <v>6</v>
      </c>
      <c r="C1297" t="s">
        <v>50</v>
      </c>
      <c r="D1297">
        <v>83</v>
      </c>
      <c r="E1297">
        <v>157.412970874873</v>
      </c>
      <c r="F1297">
        <v>21.1833308943331</v>
      </c>
      <c r="G1297" t="s">
        <v>51</v>
      </c>
      <c r="H1297">
        <v>6</v>
      </c>
      <c r="I1297">
        <v>83</v>
      </c>
      <c r="J1297">
        <v>6.4023230178177899</v>
      </c>
      <c r="K1297" t="b">
        <f t="shared" si="80"/>
        <v>1</v>
      </c>
      <c r="L1297">
        <f t="shared" si="81"/>
        <v>184.99862478702389</v>
      </c>
      <c r="M1297">
        <f t="shared" si="82"/>
        <v>739.99449914809554</v>
      </c>
      <c r="N1297">
        <f t="shared" si="83"/>
        <v>904.2732779589727</v>
      </c>
    </row>
    <row r="1298" spans="1:14" x14ac:dyDescent="0.35">
      <c r="A1298" t="s">
        <v>51</v>
      </c>
      <c r="B1298">
        <v>6</v>
      </c>
      <c r="C1298" t="s">
        <v>50</v>
      </c>
      <c r="D1298">
        <v>84</v>
      </c>
      <c r="E1298">
        <v>158.91653698372801</v>
      </c>
      <c r="F1298">
        <v>21.448876399065199</v>
      </c>
      <c r="G1298" t="s">
        <v>51</v>
      </c>
      <c r="H1298">
        <v>6</v>
      </c>
      <c r="I1298">
        <v>84</v>
      </c>
      <c r="J1298">
        <v>6.4745900547266597</v>
      </c>
      <c r="K1298" t="b">
        <f t="shared" si="80"/>
        <v>1</v>
      </c>
      <c r="L1298">
        <f t="shared" si="81"/>
        <v>186.84000343751987</v>
      </c>
      <c r="M1298">
        <f t="shared" si="82"/>
        <v>747.36001375007947</v>
      </c>
      <c r="N1298">
        <f t="shared" si="83"/>
        <v>913.27393680259706</v>
      </c>
    </row>
    <row r="1299" spans="1:14" x14ac:dyDescent="0.35">
      <c r="A1299" t="s">
        <v>51</v>
      </c>
      <c r="B1299">
        <v>6</v>
      </c>
      <c r="C1299" t="s">
        <v>50</v>
      </c>
      <c r="D1299">
        <v>85</v>
      </c>
      <c r="E1299">
        <v>160.43479262361001</v>
      </c>
      <c r="F1299">
        <v>21.699502323083198</v>
      </c>
      <c r="G1299" t="s">
        <v>51</v>
      </c>
      <c r="H1299">
        <v>6</v>
      </c>
      <c r="I1299">
        <v>85</v>
      </c>
      <c r="J1299">
        <v>6.54433151266403</v>
      </c>
      <c r="K1299" t="b">
        <f t="shared" si="80"/>
        <v>1</v>
      </c>
      <c r="L1299">
        <f t="shared" si="81"/>
        <v>188.67862645935725</v>
      </c>
      <c r="M1299">
        <f t="shared" si="82"/>
        <v>754.71450583742899</v>
      </c>
      <c r="N1299">
        <f t="shared" si="83"/>
        <v>922.26112613333817</v>
      </c>
    </row>
    <row r="1300" spans="1:14" x14ac:dyDescent="0.35">
      <c r="A1300" t="s">
        <v>51</v>
      </c>
      <c r="B1300">
        <v>6</v>
      </c>
      <c r="C1300" t="s">
        <v>50</v>
      </c>
      <c r="D1300">
        <v>86</v>
      </c>
      <c r="E1300">
        <v>161.954261061484</v>
      </c>
      <c r="F1300">
        <v>21.947963454739799</v>
      </c>
      <c r="G1300" t="s">
        <v>51</v>
      </c>
      <c r="H1300">
        <v>6</v>
      </c>
      <c r="I1300">
        <v>86</v>
      </c>
      <c r="J1300">
        <v>6.6123852561119003</v>
      </c>
      <c r="K1300" t="b">
        <f t="shared" si="80"/>
        <v>1</v>
      </c>
      <c r="L1300">
        <f t="shared" si="81"/>
        <v>190.51460977233572</v>
      </c>
      <c r="M1300">
        <f t="shared" si="82"/>
        <v>762.05843908934287</v>
      </c>
      <c r="N1300">
        <f t="shared" si="83"/>
        <v>931.23541256717692</v>
      </c>
    </row>
    <row r="1301" spans="1:14" x14ac:dyDescent="0.35">
      <c r="A1301" t="s">
        <v>51</v>
      </c>
      <c r="B1301">
        <v>6</v>
      </c>
      <c r="C1301" t="s">
        <v>50</v>
      </c>
      <c r="D1301">
        <v>87</v>
      </c>
      <c r="E1301">
        <v>163.470064288884</v>
      </c>
      <c r="F1301">
        <v>22.198695394806101</v>
      </c>
      <c r="G1301" t="s">
        <v>51</v>
      </c>
      <c r="H1301">
        <v>6</v>
      </c>
      <c r="I1301">
        <v>87</v>
      </c>
      <c r="J1301">
        <v>6.6792218486285302</v>
      </c>
      <c r="K1301" t="b">
        <f t="shared" si="80"/>
        <v>1</v>
      </c>
      <c r="L1301">
        <f t="shared" si="81"/>
        <v>192.34798153231864</v>
      </c>
      <c r="M1301">
        <f t="shared" si="82"/>
        <v>769.39192612927457</v>
      </c>
      <c r="N1301">
        <f t="shared" si="83"/>
        <v>940.19693372997347</v>
      </c>
    </row>
    <row r="1302" spans="1:14" x14ac:dyDescent="0.35">
      <c r="A1302" t="s">
        <v>51</v>
      </c>
      <c r="B1302">
        <v>6</v>
      </c>
      <c r="C1302" t="s">
        <v>50</v>
      </c>
      <c r="D1302">
        <v>88</v>
      </c>
      <c r="E1302">
        <v>164.980434286632</v>
      </c>
      <c r="F1302">
        <v>22.453133441816</v>
      </c>
      <c r="G1302" t="s">
        <v>51</v>
      </c>
      <c r="H1302">
        <v>6</v>
      </c>
      <c r="I1302">
        <v>88</v>
      </c>
      <c r="J1302">
        <v>6.7451269908560398</v>
      </c>
      <c r="K1302" t="b">
        <f t="shared" si="80"/>
        <v>1</v>
      </c>
      <c r="L1302">
        <f t="shared" si="81"/>
        <v>194.17869471930405</v>
      </c>
      <c r="M1302">
        <f t="shared" si="82"/>
        <v>776.71477887721619</v>
      </c>
      <c r="N1302">
        <f t="shared" si="83"/>
        <v>949.1454597879582</v>
      </c>
    </row>
    <row r="1303" spans="1:14" x14ac:dyDescent="0.35">
      <c r="A1303" t="s">
        <v>51</v>
      </c>
      <c r="B1303">
        <v>6</v>
      </c>
      <c r="C1303" t="s">
        <v>50</v>
      </c>
      <c r="D1303">
        <v>89</v>
      </c>
      <c r="E1303">
        <v>166.28049289351401</v>
      </c>
      <c r="F1303">
        <v>22.655472212539699</v>
      </c>
      <c r="G1303" t="s">
        <v>51</v>
      </c>
      <c r="H1303">
        <v>6</v>
      </c>
      <c r="I1303">
        <v>89</v>
      </c>
      <c r="J1303">
        <v>6.8075249355944099</v>
      </c>
      <c r="K1303" t="b">
        <f t="shared" si="80"/>
        <v>1</v>
      </c>
      <c r="L1303">
        <f t="shared" si="81"/>
        <v>195.74349004164813</v>
      </c>
      <c r="M1303">
        <f t="shared" si="82"/>
        <v>782.97396016659252</v>
      </c>
      <c r="N1303">
        <f t="shared" si="83"/>
        <v>956.79417932357603</v>
      </c>
    </row>
    <row r="1304" spans="1:14" x14ac:dyDescent="0.35">
      <c r="A1304" t="s">
        <v>51</v>
      </c>
      <c r="B1304">
        <v>6</v>
      </c>
      <c r="C1304" t="s">
        <v>50</v>
      </c>
      <c r="D1304">
        <v>90</v>
      </c>
      <c r="E1304">
        <v>167.59767484977201</v>
      </c>
      <c r="F1304">
        <v>22.842498149225701</v>
      </c>
      <c r="G1304" t="s">
        <v>51</v>
      </c>
      <c r="H1304">
        <v>6</v>
      </c>
      <c r="I1304">
        <v>90</v>
      </c>
      <c r="J1304">
        <v>6.8678446661102202</v>
      </c>
      <c r="K1304" t="b">
        <f t="shared" si="80"/>
        <v>1</v>
      </c>
      <c r="L1304">
        <f t="shared" si="81"/>
        <v>197.30801766510791</v>
      </c>
      <c r="M1304">
        <f t="shared" si="82"/>
        <v>789.23207066043165</v>
      </c>
      <c r="N1304">
        <f t="shared" si="83"/>
        <v>964.44159034704739</v>
      </c>
    </row>
    <row r="1305" spans="1:14" x14ac:dyDescent="0.35">
      <c r="A1305" t="s">
        <v>51</v>
      </c>
      <c r="B1305">
        <v>6</v>
      </c>
      <c r="C1305" t="s">
        <v>50</v>
      </c>
      <c r="D1305">
        <v>91</v>
      </c>
      <c r="E1305">
        <v>168.918248606753</v>
      </c>
      <c r="F1305">
        <v>23.027212364539199</v>
      </c>
      <c r="G1305" t="s">
        <v>51</v>
      </c>
      <c r="H1305">
        <v>6</v>
      </c>
      <c r="I1305">
        <v>91</v>
      </c>
      <c r="J1305">
        <v>6.9267994612230703</v>
      </c>
      <c r="K1305" t="b">
        <f t="shared" si="80"/>
        <v>1</v>
      </c>
      <c r="L1305">
        <f t="shared" si="81"/>
        <v>198.87226043251528</v>
      </c>
      <c r="M1305">
        <f t="shared" si="82"/>
        <v>795.4890417300611</v>
      </c>
      <c r="N1305">
        <f t="shared" si="83"/>
        <v>972.0876089941346</v>
      </c>
    </row>
    <row r="1306" spans="1:14" x14ac:dyDescent="0.35">
      <c r="A1306" t="s">
        <v>51</v>
      </c>
      <c r="B1306">
        <v>6</v>
      </c>
      <c r="C1306" t="s">
        <v>50</v>
      </c>
      <c r="D1306">
        <v>92</v>
      </c>
      <c r="E1306">
        <v>170.23730049557901</v>
      </c>
      <c r="F1306">
        <v>23.2140889694621</v>
      </c>
      <c r="G1306" t="s">
        <v>51</v>
      </c>
      <c r="H1306">
        <v>6</v>
      </c>
      <c r="I1306">
        <v>92</v>
      </c>
      <c r="J1306">
        <v>6.9847821917555803</v>
      </c>
      <c r="K1306" t="b">
        <f t="shared" si="80"/>
        <v>1</v>
      </c>
      <c r="L1306">
        <f t="shared" si="81"/>
        <v>200.43617165679669</v>
      </c>
      <c r="M1306">
        <f t="shared" si="82"/>
        <v>801.74468662718675</v>
      </c>
      <c r="N1306">
        <f t="shared" si="83"/>
        <v>979.73200705842214</v>
      </c>
    </row>
    <row r="1307" spans="1:14" x14ac:dyDescent="0.35">
      <c r="A1307" t="s">
        <v>51</v>
      </c>
      <c r="B1307">
        <v>6</v>
      </c>
      <c r="C1307" t="s">
        <v>50</v>
      </c>
      <c r="D1307">
        <v>93</v>
      </c>
      <c r="E1307">
        <v>171.54660407971599</v>
      </c>
      <c r="F1307">
        <v>23.4045591906801</v>
      </c>
      <c r="G1307" t="s">
        <v>51</v>
      </c>
      <c r="H1307">
        <v>6</v>
      </c>
      <c r="I1307">
        <v>93</v>
      </c>
      <c r="J1307">
        <v>7.0420295083831199</v>
      </c>
      <c r="K1307" t="b">
        <f t="shared" si="80"/>
        <v>1</v>
      </c>
      <c r="L1307">
        <f t="shared" si="81"/>
        <v>201.99319277877919</v>
      </c>
      <c r="M1307">
        <f t="shared" si="82"/>
        <v>807.97277111511676</v>
      </c>
      <c r="N1307">
        <f t="shared" si="83"/>
        <v>987.34272630267265</v>
      </c>
    </row>
    <row r="1308" spans="1:14" x14ac:dyDescent="0.35">
      <c r="A1308" t="s">
        <v>51</v>
      </c>
      <c r="B1308">
        <v>6</v>
      </c>
      <c r="C1308" t="s">
        <v>50</v>
      </c>
      <c r="D1308">
        <v>94</v>
      </c>
      <c r="E1308">
        <v>172.64237852547899</v>
      </c>
      <c r="F1308">
        <v>23.5547413186253</v>
      </c>
      <c r="G1308" t="s">
        <v>51</v>
      </c>
      <c r="H1308">
        <v>6</v>
      </c>
      <c r="I1308">
        <v>94</v>
      </c>
      <c r="J1308">
        <v>7.0959491127663199</v>
      </c>
      <c r="K1308" t="b">
        <f t="shared" si="80"/>
        <v>1</v>
      </c>
      <c r="L1308">
        <f t="shared" si="81"/>
        <v>203.29306895687063</v>
      </c>
      <c r="M1308">
        <f t="shared" si="82"/>
        <v>813.17227582748251</v>
      </c>
      <c r="N1308">
        <f t="shared" si="83"/>
        <v>993.6965210611836</v>
      </c>
    </row>
    <row r="1309" spans="1:14" x14ac:dyDescent="0.35">
      <c r="A1309" t="s">
        <v>51</v>
      </c>
      <c r="B1309">
        <v>6</v>
      </c>
      <c r="C1309" t="s">
        <v>50</v>
      </c>
      <c r="D1309">
        <v>95</v>
      </c>
      <c r="E1309">
        <v>173.75195607937701</v>
      </c>
      <c r="F1309">
        <v>23.693748979714499</v>
      </c>
      <c r="G1309" t="s">
        <v>51</v>
      </c>
      <c r="H1309">
        <v>6</v>
      </c>
      <c r="I1309">
        <v>95</v>
      </c>
      <c r="J1309">
        <v>7.1478716349857798</v>
      </c>
      <c r="K1309" t="b">
        <f t="shared" si="80"/>
        <v>1</v>
      </c>
      <c r="L1309">
        <f t="shared" si="81"/>
        <v>204.59357669407729</v>
      </c>
      <c r="M1309">
        <f t="shared" si="82"/>
        <v>818.37430677630914</v>
      </c>
      <c r="N1309">
        <f t="shared" si="83"/>
        <v>1000.0534028806497</v>
      </c>
    </row>
    <row r="1310" spans="1:14" x14ac:dyDescent="0.35">
      <c r="A1310" t="s">
        <v>51</v>
      </c>
      <c r="B1310">
        <v>6</v>
      </c>
      <c r="C1310" t="s">
        <v>50</v>
      </c>
      <c r="D1310">
        <v>96</v>
      </c>
      <c r="E1310">
        <v>174.86467183218801</v>
      </c>
      <c r="F1310">
        <v>23.8317475059137</v>
      </c>
      <c r="G1310" t="s">
        <v>51</v>
      </c>
      <c r="H1310">
        <v>6</v>
      </c>
      <c r="I1310">
        <v>96</v>
      </c>
      <c r="J1310">
        <v>7.1984862406497498</v>
      </c>
      <c r="K1310" t="b">
        <f t="shared" si="80"/>
        <v>1</v>
      </c>
      <c r="L1310">
        <f t="shared" si="81"/>
        <v>205.89490557875146</v>
      </c>
      <c r="M1310">
        <f t="shared" si="82"/>
        <v>823.57962231500585</v>
      </c>
      <c r="N1310">
        <f t="shared" si="83"/>
        <v>1006.4142984689371</v>
      </c>
    </row>
    <row r="1311" spans="1:14" x14ac:dyDescent="0.35">
      <c r="A1311" t="s">
        <v>51</v>
      </c>
      <c r="B1311">
        <v>6</v>
      </c>
      <c r="C1311" t="s">
        <v>50</v>
      </c>
      <c r="D1311">
        <v>97</v>
      </c>
      <c r="E1311">
        <v>175.976743549172</v>
      </c>
      <c r="F1311">
        <v>23.9721732026069</v>
      </c>
      <c r="G1311" t="s">
        <v>51</v>
      </c>
      <c r="H1311">
        <v>6</v>
      </c>
      <c r="I1311">
        <v>97</v>
      </c>
      <c r="J1311">
        <v>7.2481835238584997</v>
      </c>
      <c r="K1311" t="b">
        <f t="shared" si="80"/>
        <v>1</v>
      </c>
      <c r="L1311">
        <f t="shared" si="81"/>
        <v>207.19710027563741</v>
      </c>
      <c r="M1311">
        <f t="shared" si="82"/>
        <v>828.78840110254964</v>
      </c>
      <c r="N1311">
        <f t="shared" si="83"/>
        <v>1012.7794261473157</v>
      </c>
    </row>
    <row r="1312" spans="1:14" x14ac:dyDescent="0.35">
      <c r="A1312" t="s">
        <v>51</v>
      </c>
      <c r="B1312">
        <v>6</v>
      </c>
      <c r="C1312" t="s">
        <v>50</v>
      </c>
      <c r="D1312">
        <v>98</v>
      </c>
      <c r="E1312">
        <v>177.086831455995</v>
      </c>
      <c r="F1312">
        <v>24.116083198736899</v>
      </c>
      <c r="G1312" t="s">
        <v>51</v>
      </c>
      <c r="H1312">
        <v>6</v>
      </c>
      <c r="I1312">
        <v>98</v>
      </c>
      <c r="J1312">
        <v>7.2972028234313502</v>
      </c>
      <c r="K1312" t="b">
        <f t="shared" si="80"/>
        <v>1</v>
      </c>
      <c r="L1312">
        <f t="shared" si="81"/>
        <v>208.50011747816325</v>
      </c>
      <c r="M1312">
        <f t="shared" si="82"/>
        <v>834.00046991265299</v>
      </c>
      <c r="N1312">
        <f t="shared" si="83"/>
        <v>1019.1485742332619</v>
      </c>
    </row>
    <row r="1313" spans="1:14" x14ac:dyDescent="0.35">
      <c r="A1313" t="s">
        <v>51</v>
      </c>
      <c r="B1313">
        <v>6</v>
      </c>
      <c r="C1313" t="s">
        <v>50</v>
      </c>
      <c r="D1313">
        <v>99</v>
      </c>
      <c r="E1313">
        <v>178.041411647323</v>
      </c>
      <c r="F1313">
        <v>24.292771139135599</v>
      </c>
      <c r="G1313" t="s">
        <v>51</v>
      </c>
      <c r="H1313">
        <v>6</v>
      </c>
      <c r="I1313">
        <v>99</v>
      </c>
      <c r="J1313">
        <v>7.3436069692813799</v>
      </c>
      <c r="K1313" t="b">
        <f t="shared" si="80"/>
        <v>1</v>
      </c>
      <c r="L1313">
        <f t="shared" si="81"/>
        <v>209.67778975573998</v>
      </c>
      <c r="M1313">
        <f t="shared" si="82"/>
        <v>838.71115902295992</v>
      </c>
      <c r="N1313">
        <f t="shared" si="83"/>
        <v>1024.9050363260569</v>
      </c>
    </row>
    <row r="1314" spans="1:14" x14ac:dyDescent="0.35">
      <c r="A1314" t="s">
        <v>51</v>
      </c>
      <c r="B1314">
        <v>6</v>
      </c>
      <c r="C1314" t="s">
        <v>50</v>
      </c>
      <c r="D1314">
        <v>100</v>
      </c>
      <c r="E1314">
        <v>178.98716481324999</v>
      </c>
      <c r="F1314">
        <v>24.441908381580902</v>
      </c>
      <c r="G1314" t="s">
        <v>51</v>
      </c>
      <c r="H1314">
        <v>6</v>
      </c>
      <c r="I1314">
        <v>100</v>
      </c>
      <c r="J1314">
        <v>7.3881658897336404</v>
      </c>
      <c r="K1314" t="b">
        <f t="shared" si="80"/>
        <v>1</v>
      </c>
      <c r="L1314">
        <f t="shared" si="81"/>
        <v>210.81723908456453</v>
      </c>
      <c r="M1314">
        <f t="shared" si="82"/>
        <v>843.26895633825814</v>
      </c>
      <c r="N1314">
        <f t="shared" si="83"/>
        <v>1030.4746646453514</v>
      </c>
    </row>
    <row r="1315" spans="1:14" x14ac:dyDescent="0.35">
      <c r="A1315" t="s">
        <v>51</v>
      </c>
      <c r="B1315">
        <v>8</v>
      </c>
      <c r="C1315" t="s">
        <v>50</v>
      </c>
      <c r="D1315">
        <v>0</v>
      </c>
      <c r="E1315">
        <v>0</v>
      </c>
      <c r="F1315">
        <v>0</v>
      </c>
      <c r="G1315" t="s">
        <v>51</v>
      </c>
      <c r="H1315">
        <v>8</v>
      </c>
      <c r="I1315">
        <v>0</v>
      </c>
      <c r="J1315">
        <v>0</v>
      </c>
      <c r="K1315" t="b">
        <f t="shared" si="80"/>
        <v>1</v>
      </c>
      <c r="L1315">
        <f t="shared" si="81"/>
        <v>0</v>
      </c>
      <c r="M1315">
        <f t="shared" si="82"/>
        <v>0</v>
      </c>
      <c r="N1315">
        <f t="shared" si="83"/>
        <v>0</v>
      </c>
    </row>
    <row r="1316" spans="1:14" x14ac:dyDescent="0.35">
      <c r="A1316" t="s">
        <v>51</v>
      </c>
      <c r="B1316">
        <v>8</v>
      </c>
      <c r="C1316" t="s">
        <v>50</v>
      </c>
      <c r="D1316">
        <v>1</v>
      </c>
      <c r="E1316">
        <v>4.5341452568729401E-2</v>
      </c>
      <c r="F1316" s="19">
        <v>1.8004003680799E-4</v>
      </c>
      <c r="G1316" t="s">
        <v>51</v>
      </c>
      <c r="H1316">
        <v>8</v>
      </c>
      <c r="I1316">
        <v>1</v>
      </c>
      <c r="J1316" s="19">
        <v>6.1285835374438999E-4</v>
      </c>
      <c r="K1316" t="b">
        <f t="shared" si="80"/>
        <v>1</v>
      </c>
      <c r="L1316">
        <f t="shared" si="81"/>
        <v>4.6134350959281777E-2</v>
      </c>
      <c r="M1316">
        <f t="shared" si="82"/>
        <v>0.18453740383712711</v>
      </c>
      <c r="N1316">
        <f t="shared" si="83"/>
        <v>0.22550470748896931</v>
      </c>
    </row>
    <row r="1317" spans="1:14" x14ac:dyDescent="0.35">
      <c r="A1317" t="s">
        <v>51</v>
      </c>
      <c r="B1317">
        <v>8</v>
      </c>
      <c r="C1317" t="s">
        <v>50</v>
      </c>
      <c r="D1317">
        <v>2</v>
      </c>
      <c r="E1317">
        <v>0.102018268279641</v>
      </c>
      <c r="F1317" s="19">
        <v>5.7972891852173995E-4</v>
      </c>
      <c r="G1317" t="s">
        <v>51</v>
      </c>
      <c r="H1317">
        <v>8</v>
      </c>
      <c r="I1317">
        <v>2</v>
      </c>
      <c r="J1317">
        <v>1.77272563393831E-3</v>
      </c>
      <c r="K1317" t="b">
        <f t="shared" si="80"/>
        <v>1</v>
      </c>
      <c r="L1317">
        <f t="shared" si="81"/>
        <v>0.10437072283210105</v>
      </c>
      <c r="M1317">
        <f t="shared" si="82"/>
        <v>0.41748289132840422</v>
      </c>
      <c r="N1317">
        <f t="shared" si="83"/>
        <v>0.51016409320330991</v>
      </c>
    </row>
    <row r="1318" spans="1:14" x14ac:dyDescent="0.35">
      <c r="A1318" t="s">
        <v>51</v>
      </c>
      <c r="B1318">
        <v>8</v>
      </c>
      <c r="C1318" t="s">
        <v>50</v>
      </c>
      <c r="D1318">
        <v>3</v>
      </c>
      <c r="E1318">
        <v>0.17286428791828101</v>
      </c>
      <c r="F1318">
        <v>1.2487396912965801E-3</v>
      </c>
      <c r="G1318" t="s">
        <v>51</v>
      </c>
      <c r="H1318">
        <v>8</v>
      </c>
      <c r="I1318">
        <v>3</v>
      </c>
      <c r="J1318">
        <v>3.48185447114438E-3</v>
      </c>
      <c r="K1318" t="b">
        <f t="shared" si="80"/>
        <v>1</v>
      </c>
      <c r="L1318">
        <f t="shared" si="81"/>
        <v>0.17759488208072197</v>
      </c>
      <c r="M1318">
        <f t="shared" si="82"/>
        <v>0.71037952832288787</v>
      </c>
      <c r="N1318">
        <f t="shared" si="83"/>
        <v>0.86808378361056893</v>
      </c>
    </row>
    <row r="1319" spans="1:14" x14ac:dyDescent="0.35">
      <c r="A1319" t="s">
        <v>51</v>
      </c>
      <c r="B1319">
        <v>8</v>
      </c>
      <c r="C1319" t="s">
        <v>50</v>
      </c>
      <c r="D1319">
        <v>4</v>
      </c>
      <c r="E1319">
        <v>0.26142181246657997</v>
      </c>
      <c r="F1319">
        <v>2.2493208377787799E-3</v>
      </c>
      <c r="G1319" t="s">
        <v>51</v>
      </c>
      <c r="H1319">
        <v>8</v>
      </c>
      <c r="I1319">
        <v>4</v>
      </c>
      <c r="J1319">
        <v>5.79331723227828E-3</v>
      </c>
      <c r="K1319" t="b">
        <f t="shared" si="80"/>
        <v>1</v>
      </c>
      <c r="L1319">
        <f t="shared" si="81"/>
        <v>0.26946445053663703</v>
      </c>
      <c r="M1319">
        <f t="shared" si="82"/>
        <v>1.0778578021465481</v>
      </c>
      <c r="N1319">
        <f t="shared" si="83"/>
        <v>1.3171422342230819</v>
      </c>
    </row>
    <row r="1320" spans="1:14" x14ac:dyDescent="0.35">
      <c r="A1320" t="s">
        <v>51</v>
      </c>
      <c r="B1320">
        <v>8</v>
      </c>
      <c r="C1320" t="s">
        <v>50</v>
      </c>
      <c r="D1320">
        <v>5</v>
      </c>
      <c r="E1320">
        <v>0.37211871815195502</v>
      </c>
      <c r="F1320">
        <v>3.65943542097979E-3</v>
      </c>
      <c r="G1320" t="s">
        <v>51</v>
      </c>
      <c r="H1320">
        <v>8</v>
      </c>
      <c r="I1320">
        <v>5</v>
      </c>
      <c r="J1320">
        <v>8.8037312341845697E-3</v>
      </c>
      <c r="K1320" t="b">
        <f t="shared" si="80"/>
        <v>1</v>
      </c>
      <c r="L1320">
        <f t="shared" si="81"/>
        <v>0.38458188480711941</v>
      </c>
      <c r="M1320">
        <f t="shared" si="82"/>
        <v>1.5383275392284776</v>
      </c>
      <c r="N1320">
        <f t="shared" si="83"/>
        <v>1.8798362529371997</v>
      </c>
    </row>
    <row r="1321" spans="1:14" x14ac:dyDescent="0.35">
      <c r="A1321" t="s">
        <v>51</v>
      </c>
      <c r="B1321">
        <v>8</v>
      </c>
      <c r="C1321" t="s">
        <v>50</v>
      </c>
      <c r="D1321">
        <v>6</v>
      </c>
      <c r="E1321">
        <v>0.51048985025867299</v>
      </c>
      <c r="F1321">
        <v>5.5766851555763596E-3</v>
      </c>
      <c r="G1321" t="s">
        <v>51</v>
      </c>
      <c r="H1321">
        <v>8</v>
      </c>
      <c r="I1321">
        <v>6</v>
      </c>
      <c r="J1321">
        <v>1.2652413612276E-2</v>
      </c>
      <c r="K1321" t="b">
        <f t="shared" si="80"/>
        <v>1</v>
      </c>
      <c r="L1321">
        <f t="shared" si="81"/>
        <v>0.52871894902652539</v>
      </c>
      <c r="M1321">
        <f t="shared" si="82"/>
        <v>2.1148757961061015</v>
      </c>
      <c r="N1321">
        <f t="shared" si="83"/>
        <v>2.5843782228416559</v>
      </c>
    </row>
    <row r="1322" spans="1:14" x14ac:dyDescent="0.35">
      <c r="A1322" t="s">
        <v>51</v>
      </c>
      <c r="B1322">
        <v>8</v>
      </c>
      <c r="C1322" t="s">
        <v>50</v>
      </c>
      <c r="D1322">
        <v>7</v>
      </c>
      <c r="E1322">
        <v>0.68345376539207003</v>
      </c>
      <c r="F1322">
        <v>8.1232156342495206E-3</v>
      </c>
      <c r="G1322" t="s">
        <v>51</v>
      </c>
      <c r="H1322">
        <v>8</v>
      </c>
      <c r="I1322">
        <v>7</v>
      </c>
      <c r="J1322">
        <v>1.75250950865374E-2</v>
      </c>
      <c r="K1322" t="b">
        <f t="shared" si="80"/>
        <v>1</v>
      </c>
      <c r="L1322">
        <f t="shared" si="81"/>
        <v>0.70910207611285703</v>
      </c>
      <c r="M1322">
        <f t="shared" si="82"/>
        <v>2.8364083044514281</v>
      </c>
      <c r="N1322">
        <f t="shared" si="83"/>
        <v>3.4660909480396449</v>
      </c>
    </row>
    <row r="1323" spans="1:14" x14ac:dyDescent="0.35">
      <c r="A1323" t="s">
        <v>51</v>
      </c>
      <c r="B1323">
        <v>8</v>
      </c>
      <c r="C1323" t="s">
        <v>50</v>
      </c>
      <c r="D1323">
        <v>8</v>
      </c>
      <c r="E1323">
        <v>0.89965865930881805</v>
      </c>
      <c r="F1323">
        <v>1.14518479937056E-2</v>
      </c>
      <c r="G1323" t="s">
        <v>51</v>
      </c>
      <c r="H1323">
        <v>8</v>
      </c>
      <c r="I1323">
        <v>8</v>
      </c>
      <c r="J1323">
        <v>2.36613376417521E-2</v>
      </c>
      <c r="K1323" t="b">
        <f t="shared" si="80"/>
        <v>1</v>
      </c>
      <c r="L1323">
        <f t="shared" si="81"/>
        <v>0.93477184494427568</v>
      </c>
      <c r="M1323">
        <f t="shared" si="82"/>
        <v>3.7390873797771027</v>
      </c>
      <c r="N1323">
        <f t="shared" si="83"/>
        <v>4.569164778087619</v>
      </c>
    </row>
    <row r="1324" spans="1:14" x14ac:dyDescent="0.35">
      <c r="A1324" t="s">
        <v>51</v>
      </c>
      <c r="B1324">
        <v>8</v>
      </c>
      <c r="C1324" t="s">
        <v>50</v>
      </c>
      <c r="D1324">
        <v>9</v>
      </c>
      <c r="E1324">
        <v>1.16991477670475</v>
      </c>
      <c r="F1324">
        <v>1.5753743626306899E-2</v>
      </c>
      <c r="G1324" t="s">
        <v>51</v>
      </c>
      <c r="H1324">
        <v>8</v>
      </c>
      <c r="I1324">
        <v>9</v>
      </c>
      <c r="J1324">
        <v>3.1365434368181198E-2</v>
      </c>
      <c r="K1324" t="b">
        <f t="shared" si="80"/>
        <v>1</v>
      </c>
      <c r="L1324">
        <f t="shared" si="81"/>
        <v>1.2170339546992381</v>
      </c>
      <c r="M1324">
        <f t="shared" si="82"/>
        <v>4.8681358187969526</v>
      </c>
      <c r="N1324">
        <f t="shared" si="83"/>
        <v>5.948861970569876</v>
      </c>
    </row>
    <row r="1325" spans="1:14" x14ac:dyDescent="0.35">
      <c r="A1325" t="s">
        <v>51</v>
      </c>
      <c r="B1325">
        <v>8</v>
      </c>
      <c r="C1325" t="s">
        <v>50</v>
      </c>
      <c r="D1325">
        <v>10</v>
      </c>
      <c r="E1325">
        <v>1.50773492344967</v>
      </c>
      <c r="F1325">
        <v>2.1267985194841198E-2</v>
      </c>
      <c r="G1325" t="s">
        <v>51</v>
      </c>
      <c r="H1325">
        <v>8</v>
      </c>
      <c r="I1325">
        <v>10</v>
      </c>
      <c r="J1325">
        <v>4.1020998688183902E-2</v>
      </c>
      <c r="K1325" t="b">
        <f t="shared" si="80"/>
        <v>1</v>
      </c>
      <c r="L1325">
        <f t="shared" si="81"/>
        <v>1.5700239073326951</v>
      </c>
      <c r="M1325">
        <f t="shared" si="82"/>
        <v>6.2800956293307806</v>
      </c>
      <c r="N1325">
        <f t="shared" si="83"/>
        <v>7.6742768590422141</v>
      </c>
    </row>
    <row r="1326" spans="1:14" x14ac:dyDescent="0.35">
      <c r="A1326" t="s">
        <v>51</v>
      </c>
      <c r="B1326">
        <v>8</v>
      </c>
      <c r="C1326" t="s">
        <v>50</v>
      </c>
      <c r="D1326">
        <v>11</v>
      </c>
      <c r="E1326">
        <v>1.93001010688081</v>
      </c>
      <c r="F1326">
        <v>2.8293553022458399E-2</v>
      </c>
      <c r="G1326" t="s">
        <v>51</v>
      </c>
      <c r="H1326">
        <v>8</v>
      </c>
      <c r="I1326">
        <v>11</v>
      </c>
      <c r="J1326">
        <v>5.3109779711522698E-2</v>
      </c>
      <c r="K1326" t="b">
        <f t="shared" si="80"/>
        <v>1</v>
      </c>
      <c r="L1326">
        <f t="shared" si="81"/>
        <v>2.0114134396147909</v>
      </c>
      <c r="M1326">
        <f t="shared" si="82"/>
        <v>8.0456537584591636</v>
      </c>
      <c r="N1326">
        <f t="shared" si="83"/>
        <v>9.831788892837098</v>
      </c>
    </row>
    <row r="1327" spans="1:14" x14ac:dyDescent="0.35">
      <c r="A1327" t="s">
        <v>51</v>
      </c>
      <c r="B1327">
        <v>8</v>
      </c>
      <c r="C1327" t="s">
        <v>50</v>
      </c>
      <c r="D1327">
        <v>12</v>
      </c>
      <c r="E1327">
        <v>2.45785408616974</v>
      </c>
      <c r="F1327">
        <v>3.7204295697920699E-2</v>
      </c>
      <c r="G1327" t="s">
        <v>51</v>
      </c>
      <c r="H1327">
        <v>8</v>
      </c>
      <c r="I1327">
        <v>12</v>
      </c>
      <c r="J1327">
        <v>6.8235534362729597E-2</v>
      </c>
      <c r="K1327" t="b">
        <f t="shared" si="80"/>
        <v>1</v>
      </c>
      <c r="L1327">
        <f t="shared" si="81"/>
        <v>2.5632939162303905</v>
      </c>
      <c r="M1327">
        <f t="shared" si="82"/>
        <v>10.253175664921562</v>
      </c>
      <c r="N1327">
        <f t="shared" si="83"/>
        <v>12.529380662534148</v>
      </c>
    </row>
    <row r="1328" spans="1:14" x14ac:dyDescent="0.35">
      <c r="A1328" t="s">
        <v>51</v>
      </c>
      <c r="B1328">
        <v>8</v>
      </c>
      <c r="C1328" t="s">
        <v>50</v>
      </c>
      <c r="D1328">
        <v>13</v>
      </c>
      <c r="E1328">
        <v>3.11765906028092</v>
      </c>
      <c r="F1328">
        <v>4.8467643446461102E-2</v>
      </c>
      <c r="G1328" t="s">
        <v>51</v>
      </c>
      <c r="H1328">
        <v>8</v>
      </c>
      <c r="I1328">
        <v>13</v>
      </c>
      <c r="J1328">
        <v>8.7154086830466396E-2</v>
      </c>
      <c r="K1328" t="b">
        <f t="shared" si="80"/>
        <v>1</v>
      </c>
      <c r="L1328">
        <f t="shared" si="81"/>
        <v>3.2532807905578474</v>
      </c>
      <c r="M1328">
        <f t="shared" si="82"/>
        <v>13.013123162231389</v>
      </c>
      <c r="N1328">
        <f t="shared" si="83"/>
        <v>15.902036504246757</v>
      </c>
    </row>
    <row r="1329" spans="1:14" x14ac:dyDescent="0.35">
      <c r="A1329" t="s">
        <v>51</v>
      </c>
      <c r="B1329">
        <v>8</v>
      </c>
      <c r="C1329" t="s">
        <v>50</v>
      </c>
      <c r="D1329">
        <v>14</v>
      </c>
      <c r="E1329">
        <v>3.9424152779198698</v>
      </c>
      <c r="F1329">
        <v>6.26679999542228E-2</v>
      </c>
      <c r="G1329" t="s">
        <v>51</v>
      </c>
      <c r="H1329">
        <v>8</v>
      </c>
      <c r="I1329">
        <v>14</v>
      </c>
      <c r="J1329">
        <v>0.110811042105999</v>
      </c>
      <c r="K1329" t="b">
        <f t="shared" si="80"/>
        <v>1</v>
      </c>
      <c r="L1329">
        <f t="shared" si="81"/>
        <v>4.1158943199800913</v>
      </c>
      <c r="M1329">
        <f t="shared" si="82"/>
        <v>16.463577279920365</v>
      </c>
      <c r="N1329">
        <f t="shared" si="83"/>
        <v>20.118491436062687</v>
      </c>
    </row>
    <row r="1330" spans="1:14" x14ac:dyDescent="0.35">
      <c r="A1330" t="s">
        <v>51</v>
      </c>
      <c r="B1330">
        <v>8</v>
      </c>
      <c r="C1330" t="s">
        <v>50</v>
      </c>
      <c r="D1330">
        <v>15</v>
      </c>
      <c r="E1330">
        <v>4.9733605499685698</v>
      </c>
      <c r="F1330">
        <v>8.0535982256348504E-2</v>
      </c>
      <c r="G1330" t="s">
        <v>51</v>
      </c>
      <c r="H1330">
        <v>8</v>
      </c>
      <c r="I1330">
        <v>15</v>
      </c>
      <c r="J1330">
        <v>0.14038901842239701</v>
      </c>
      <c r="K1330" t="b">
        <f t="shared" si="80"/>
        <v>1</v>
      </c>
      <c r="L1330">
        <f t="shared" si="81"/>
        <v>5.1942855506473151</v>
      </c>
      <c r="M1330">
        <f t="shared" si="82"/>
        <v>20.77714220258926</v>
      </c>
      <c r="N1330">
        <f t="shared" si="83"/>
        <v>25.389667771564074</v>
      </c>
    </row>
    <row r="1331" spans="1:14" x14ac:dyDescent="0.35">
      <c r="A1331" t="s">
        <v>51</v>
      </c>
      <c r="B1331">
        <v>8</v>
      </c>
      <c r="C1331" t="s">
        <v>50</v>
      </c>
      <c r="D1331">
        <v>16</v>
      </c>
      <c r="E1331">
        <v>6.2620421400294504</v>
      </c>
      <c r="F1331">
        <v>0.102984970701407</v>
      </c>
      <c r="G1331" t="s">
        <v>51</v>
      </c>
      <c r="H1331">
        <v>8</v>
      </c>
      <c r="I1331">
        <v>16</v>
      </c>
      <c r="J1331">
        <v>0.177366748132084</v>
      </c>
      <c r="K1331" t="b">
        <f t="shared" si="80"/>
        <v>1</v>
      </c>
      <c r="L1331">
        <f t="shared" si="81"/>
        <v>6.5423938588629413</v>
      </c>
      <c r="M1331">
        <f t="shared" si="82"/>
        <v>26.169575435451765</v>
      </c>
      <c r="N1331">
        <f t="shared" si="83"/>
        <v>31.979221182122057</v>
      </c>
    </row>
    <row r="1332" spans="1:14" x14ac:dyDescent="0.35">
      <c r="A1332" t="s">
        <v>51</v>
      </c>
      <c r="B1332">
        <v>8</v>
      </c>
      <c r="C1332" t="s">
        <v>50</v>
      </c>
      <c r="D1332">
        <v>17</v>
      </c>
      <c r="E1332">
        <v>7.8728941276055302</v>
      </c>
      <c r="F1332">
        <v>0.13115679650810799</v>
      </c>
      <c r="G1332" t="s">
        <v>51</v>
      </c>
      <c r="H1332">
        <v>8</v>
      </c>
      <c r="I1332">
        <v>17</v>
      </c>
      <c r="J1332">
        <v>0.22359299502204399</v>
      </c>
      <c r="K1332" t="b">
        <f t="shared" si="80"/>
        <v>1</v>
      </c>
      <c r="L1332">
        <f t="shared" si="81"/>
        <v>8.2276439191356818</v>
      </c>
      <c r="M1332">
        <f t="shared" si="82"/>
        <v>32.910575676542727</v>
      </c>
      <c r="N1332">
        <f t="shared" si="83"/>
        <v>40.216723476735211</v>
      </c>
    </row>
    <row r="1333" spans="1:14" x14ac:dyDescent="0.35">
      <c r="A1333" t="s">
        <v>51</v>
      </c>
      <c r="B1333">
        <v>8</v>
      </c>
      <c r="C1333" t="s">
        <v>50</v>
      </c>
      <c r="D1333">
        <v>18</v>
      </c>
      <c r="E1333">
        <v>9.8824319999999997</v>
      </c>
      <c r="F1333">
        <v>0.166462860612865</v>
      </c>
      <c r="G1333" t="s">
        <v>51</v>
      </c>
      <c r="H1333">
        <v>8</v>
      </c>
      <c r="I1333">
        <v>18</v>
      </c>
      <c r="J1333">
        <v>0.28132454727621597</v>
      </c>
      <c r="K1333" t="b">
        <f t="shared" si="80"/>
        <v>1</v>
      </c>
      <c r="L1333">
        <f t="shared" si="81"/>
        <v>10.33021940788908</v>
      </c>
      <c r="M1333">
        <f t="shared" si="82"/>
        <v>41.320877631556321</v>
      </c>
      <c r="N1333">
        <f t="shared" si="83"/>
        <v>50.494112465761823</v>
      </c>
    </row>
    <row r="1334" spans="1:14" x14ac:dyDescent="0.35">
      <c r="A1334" t="s">
        <v>51</v>
      </c>
      <c r="B1334">
        <v>8</v>
      </c>
      <c r="C1334" t="s">
        <v>50</v>
      </c>
      <c r="D1334">
        <v>19</v>
      </c>
      <c r="E1334">
        <v>12.065759999999999</v>
      </c>
      <c r="F1334">
        <v>0.20937921479447899</v>
      </c>
      <c r="G1334" t="s">
        <v>51</v>
      </c>
      <c r="H1334">
        <v>8</v>
      </c>
      <c r="I1334">
        <v>19</v>
      </c>
      <c r="J1334">
        <v>0.34901503370881098</v>
      </c>
      <c r="K1334" t="b">
        <f t="shared" si="80"/>
        <v>1</v>
      </c>
      <c r="L1334">
        <f t="shared" si="81"/>
        <v>12.62415424850329</v>
      </c>
      <c r="M1334">
        <f t="shared" si="82"/>
        <v>50.496616994013159</v>
      </c>
      <c r="N1334">
        <f t="shared" si="83"/>
        <v>61.706865966684077</v>
      </c>
    </row>
    <row r="1335" spans="1:14" x14ac:dyDescent="0.35">
      <c r="A1335" t="s">
        <v>51</v>
      </c>
      <c r="B1335">
        <v>8</v>
      </c>
      <c r="C1335" t="s">
        <v>50</v>
      </c>
      <c r="D1335">
        <v>20</v>
      </c>
      <c r="E1335">
        <v>14.249088</v>
      </c>
      <c r="F1335">
        <v>0.25967755035064399</v>
      </c>
      <c r="G1335" t="s">
        <v>51</v>
      </c>
      <c r="H1335">
        <v>8</v>
      </c>
      <c r="I1335">
        <v>20</v>
      </c>
      <c r="J1335">
        <v>0.42337542148150498</v>
      </c>
      <c r="K1335" t="b">
        <f t="shared" si="80"/>
        <v>1</v>
      </c>
      <c r="L1335">
        <f t="shared" si="81"/>
        <v>14.932140971832149</v>
      </c>
      <c r="M1335">
        <f t="shared" si="82"/>
        <v>59.728563887328598</v>
      </c>
      <c r="N1335">
        <f t="shared" si="83"/>
        <v>72.988305070315548</v>
      </c>
    </row>
    <row r="1336" spans="1:14" x14ac:dyDescent="0.35">
      <c r="A1336" t="s">
        <v>51</v>
      </c>
      <c r="B1336">
        <v>8</v>
      </c>
      <c r="C1336" t="s">
        <v>50</v>
      </c>
      <c r="D1336">
        <v>21</v>
      </c>
      <c r="E1336">
        <v>16.432416</v>
      </c>
      <c r="F1336">
        <v>0.31713640784012498</v>
      </c>
      <c r="G1336" t="s">
        <v>51</v>
      </c>
      <c r="H1336">
        <v>8</v>
      </c>
      <c r="I1336">
        <v>21</v>
      </c>
      <c r="J1336">
        <v>0.50231437892055797</v>
      </c>
      <c r="K1336" t="b">
        <f t="shared" si="80"/>
        <v>1</v>
      </c>
      <c r="L1336">
        <f t="shared" si="81"/>
        <v>17.251866786760683</v>
      </c>
      <c r="M1336">
        <f t="shared" si="82"/>
        <v>69.007467147042732</v>
      </c>
      <c r="N1336">
        <f t="shared" si="83"/>
        <v>84.327124853686215</v>
      </c>
    </row>
    <row r="1337" spans="1:14" x14ac:dyDescent="0.35">
      <c r="A1337" t="s">
        <v>51</v>
      </c>
      <c r="B1337">
        <v>8</v>
      </c>
      <c r="C1337" t="s">
        <v>50</v>
      </c>
      <c r="D1337">
        <v>22</v>
      </c>
      <c r="E1337">
        <v>18.615743999999999</v>
      </c>
      <c r="F1337">
        <v>0.38154097160492201</v>
      </c>
      <c r="G1337" t="s">
        <v>51</v>
      </c>
      <c r="H1337">
        <v>8</v>
      </c>
      <c r="I1337">
        <v>22</v>
      </c>
      <c r="J1337">
        <v>0.584470072474226</v>
      </c>
      <c r="K1337" t="b">
        <f t="shared" si="80"/>
        <v>1</v>
      </c>
      <c r="L1337">
        <f t="shared" si="81"/>
        <v>19.581755044079145</v>
      </c>
      <c r="M1337">
        <f t="shared" si="82"/>
        <v>78.32702017631658</v>
      </c>
      <c r="N1337">
        <f t="shared" si="83"/>
        <v>95.715618655458854</v>
      </c>
    </row>
    <row r="1338" spans="1:14" x14ac:dyDescent="0.35">
      <c r="A1338" t="s">
        <v>51</v>
      </c>
      <c r="B1338">
        <v>8</v>
      </c>
      <c r="C1338" t="s">
        <v>50</v>
      </c>
      <c r="D1338">
        <v>23</v>
      </c>
      <c r="E1338">
        <v>20.799071999999999</v>
      </c>
      <c r="F1338">
        <v>0.45268287045677402</v>
      </c>
      <c r="G1338" t="s">
        <v>51</v>
      </c>
      <c r="H1338">
        <v>8</v>
      </c>
      <c r="I1338">
        <v>23</v>
      </c>
      <c r="J1338">
        <v>0.66893335571581203</v>
      </c>
      <c r="K1338" t="b">
        <f t="shared" si="80"/>
        <v>1</v>
      </c>
      <c r="L1338">
        <f t="shared" si="81"/>
        <v>21.920688226172583</v>
      </c>
      <c r="M1338">
        <f t="shared" si="82"/>
        <v>87.682752904690332</v>
      </c>
      <c r="N1338">
        <f t="shared" si="83"/>
        <v>107.14832404953158</v>
      </c>
    </row>
    <row r="1339" spans="1:14" x14ac:dyDescent="0.35">
      <c r="A1339" t="s">
        <v>51</v>
      </c>
      <c r="B1339">
        <v>8</v>
      </c>
      <c r="C1339" t="s">
        <v>50</v>
      </c>
      <c r="D1339">
        <v>24</v>
      </c>
      <c r="E1339">
        <v>22.982399999999998</v>
      </c>
      <c r="F1339">
        <v>0.53035998434307097</v>
      </c>
      <c r="G1339" t="s">
        <v>51</v>
      </c>
      <c r="H1339">
        <v>8</v>
      </c>
      <c r="I1339">
        <v>24</v>
      </c>
      <c r="J1339">
        <v>0.75508208101105501</v>
      </c>
      <c r="K1339" t="b">
        <f t="shared" si="80"/>
        <v>1</v>
      </c>
      <c r="L1339">
        <f t="shared" si="81"/>
        <v>24.267842065354124</v>
      </c>
      <c r="M1339">
        <f t="shared" si="82"/>
        <v>97.071368261416495</v>
      </c>
      <c r="N1339">
        <f t="shared" si="83"/>
        <v>118.62121201545095</v>
      </c>
    </row>
    <row r="1340" spans="1:14" x14ac:dyDescent="0.35">
      <c r="A1340" t="s">
        <v>51</v>
      </c>
      <c r="B1340">
        <v>8</v>
      </c>
      <c r="C1340" t="s">
        <v>50</v>
      </c>
      <c r="D1340">
        <v>25</v>
      </c>
      <c r="E1340">
        <v>25.948566</v>
      </c>
      <c r="F1340">
        <v>0.617484718812778</v>
      </c>
      <c r="G1340" t="s">
        <v>51</v>
      </c>
      <c r="H1340">
        <v>8</v>
      </c>
      <c r="I1340">
        <v>25</v>
      </c>
      <c r="J1340">
        <v>0.85306164183736799</v>
      </c>
      <c r="K1340" t="b">
        <f t="shared" si="80"/>
        <v>1</v>
      </c>
      <c r="L1340">
        <f t="shared" si="81"/>
        <v>27.419112360650146</v>
      </c>
      <c r="M1340">
        <f t="shared" si="82"/>
        <v>109.67644944260059</v>
      </c>
      <c r="N1340">
        <f t="shared" si="83"/>
        <v>134.0246212188579</v>
      </c>
    </row>
    <row r="1341" spans="1:14" x14ac:dyDescent="0.35">
      <c r="A1341" t="s">
        <v>51</v>
      </c>
      <c r="B1341">
        <v>8</v>
      </c>
      <c r="C1341" t="s">
        <v>50</v>
      </c>
      <c r="D1341">
        <v>26</v>
      </c>
      <c r="E1341">
        <v>28.914731999999901</v>
      </c>
      <c r="F1341">
        <v>0.71377364524839504</v>
      </c>
      <c r="G1341" t="s">
        <v>51</v>
      </c>
      <c r="H1341">
        <v>8</v>
      </c>
      <c r="I1341">
        <v>26</v>
      </c>
      <c r="J1341">
        <v>0.95877793785453103</v>
      </c>
      <c r="K1341" t="b">
        <f t="shared" si="80"/>
        <v>1</v>
      </c>
      <c r="L1341">
        <f t="shared" si="81"/>
        <v>30.587283583102828</v>
      </c>
      <c r="M1341">
        <f t="shared" si="82"/>
        <v>122.34913433241131</v>
      </c>
      <c r="N1341">
        <f t="shared" si="83"/>
        <v>149.51064215420661</v>
      </c>
    </row>
    <row r="1342" spans="1:14" x14ac:dyDescent="0.35">
      <c r="A1342" t="s">
        <v>51</v>
      </c>
      <c r="B1342">
        <v>8</v>
      </c>
      <c r="C1342" t="s">
        <v>50</v>
      </c>
      <c r="D1342">
        <v>27</v>
      </c>
      <c r="E1342">
        <v>31.880897999999998</v>
      </c>
      <c r="F1342">
        <v>0.81895183789094295</v>
      </c>
      <c r="G1342" t="s">
        <v>51</v>
      </c>
      <c r="H1342">
        <v>8</v>
      </c>
      <c r="I1342">
        <v>27</v>
      </c>
      <c r="J1342">
        <v>1.0696814784525901</v>
      </c>
      <c r="K1342" t="b">
        <f t="shared" si="80"/>
        <v>1</v>
      </c>
      <c r="L1342">
        <f t="shared" si="81"/>
        <v>33.769531316343532</v>
      </c>
      <c r="M1342">
        <f t="shared" si="82"/>
        <v>135.07812526537413</v>
      </c>
      <c r="N1342">
        <f t="shared" si="83"/>
        <v>165.06546907428717</v>
      </c>
    </row>
    <row r="1343" spans="1:14" x14ac:dyDescent="0.35">
      <c r="A1343" t="s">
        <v>51</v>
      </c>
      <c r="B1343">
        <v>8</v>
      </c>
      <c r="C1343" t="s">
        <v>50</v>
      </c>
      <c r="D1343">
        <v>28</v>
      </c>
      <c r="E1343">
        <v>34.847063999999897</v>
      </c>
      <c r="F1343">
        <v>0.932752618754215</v>
      </c>
      <c r="G1343" t="s">
        <v>51</v>
      </c>
      <c r="H1343">
        <v>8</v>
      </c>
      <c r="I1343">
        <v>28</v>
      </c>
      <c r="J1343">
        <v>1.18414954777377</v>
      </c>
      <c r="K1343" t="b">
        <f t="shared" si="80"/>
        <v>1</v>
      </c>
      <c r="L1343">
        <f t="shared" si="81"/>
        <v>36.963966166527882</v>
      </c>
      <c r="M1343">
        <f t="shared" si="82"/>
        <v>147.85586466611153</v>
      </c>
      <c r="N1343">
        <f t="shared" si="83"/>
        <v>180.67986662198828</v>
      </c>
    </row>
    <row r="1344" spans="1:14" x14ac:dyDescent="0.35">
      <c r="A1344" t="s">
        <v>51</v>
      </c>
      <c r="B1344">
        <v>8</v>
      </c>
      <c r="C1344" t="s">
        <v>50</v>
      </c>
      <c r="D1344">
        <v>29</v>
      </c>
      <c r="E1344">
        <v>37.813229999999997</v>
      </c>
      <c r="F1344">
        <v>1.0549173101915901</v>
      </c>
      <c r="G1344" t="s">
        <v>51</v>
      </c>
      <c r="H1344">
        <v>8</v>
      </c>
      <c r="I1344">
        <v>29</v>
      </c>
      <c r="J1344">
        <v>1.3011243348444901</v>
      </c>
      <c r="K1344" t="b">
        <f t="shared" si="80"/>
        <v>1</v>
      </c>
      <c r="L1344">
        <f t="shared" si="81"/>
        <v>40.169271645036076</v>
      </c>
      <c r="M1344">
        <f t="shared" si="82"/>
        <v>160.67708658014431</v>
      </c>
      <c r="N1344">
        <f t="shared" si="83"/>
        <v>196.34739980093633</v>
      </c>
    </row>
    <row r="1345" spans="1:14" x14ac:dyDescent="0.35">
      <c r="A1345" t="s">
        <v>51</v>
      </c>
      <c r="B1345">
        <v>8</v>
      </c>
      <c r="C1345" t="s">
        <v>50</v>
      </c>
      <c r="D1345">
        <v>30</v>
      </c>
      <c r="E1345">
        <v>41.397047999999998</v>
      </c>
      <c r="F1345">
        <v>1.18764754288584</v>
      </c>
      <c r="G1345" t="s">
        <v>51</v>
      </c>
      <c r="H1345">
        <v>8</v>
      </c>
      <c r="I1345">
        <v>30</v>
      </c>
      <c r="J1345">
        <v>1.42824738762595</v>
      </c>
      <c r="K1345" t="b">
        <f t="shared" si="80"/>
        <v>1</v>
      </c>
      <c r="L1345">
        <f t="shared" si="81"/>
        <v>44.012942930511791</v>
      </c>
      <c r="M1345">
        <f t="shared" si="82"/>
        <v>176.05177172204716</v>
      </c>
      <c r="N1345">
        <f t="shared" si="83"/>
        <v>215.13526504434162</v>
      </c>
    </row>
    <row r="1346" spans="1:14" x14ac:dyDescent="0.35">
      <c r="A1346" t="s">
        <v>51</v>
      </c>
      <c r="B1346">
        <v>8</v>
      </c>
      <c r="C1346" t="s">
        <v>50</v>
      </c>
      <c r="D1346">
        <v>31</v>
      </c>
      <c r="E1346">
        <v>44.925104117204597</v>
      </c>
      <c r="F1346">
        <v>1.3805938889771301</v>
      </c>
      <c r="G1346" t="s">
        <v>51</v>
      </c>
      <c r="H1346">
        <v>8</v>
      </c>
      <c r="I1346">
        <v>31</v>
      </c>
      <c r="J1346">
        <v>1.5612965641308401</v>
      </c>
      <c r="K1346" t="b">
        <f t="shared" si="80"/>
        <v>1</v>
      </c>
      <c r="L1346">
        <f t="shared" si="81"/>
        <v>47.866994570312571</v>
      </c>
      <c r="M1346">
        <f t="shared" si="82"/>
        <v>191.46797828125028</v>
      </c>
      <c r="N1346">
        <f t="shared" si="83"/>
        <v>233.97386945968785</v>
      </c>
    </row>
    <row r="1347" spans="1:14" x14ac:dyDescent="0.35">
      <c r="A1347" t="s">
        <v>51</v>
      </c>
      <c r="B1347">
        <v>8</v>
      </c>
      <c r="C1347" t="s">
        <v>50</v>
      </c>
      <c r="D1347">
        <v>32</v>
      </c>
      <c r="E1347">
        <v>48.300244446312703</v>
      </c>
      <c r="F1347">
        <v>1.71808590016021</v>
      </c>
      <c r="G1347" t="s">
        <v>51</v>
      </c>
      <c r="H1347">
        <v>8</v>
      </c>
      <c r="I1347">
        <v>32</v>
      </c>
      <c r="J1347">
        <v>1.69630259617754</v>
      </c>
      <c r="K1347" t="b">
        <f t="shared" ref="K1347:K1410" si="84">H1347=B1347</f>
        <v>1</v>
      </c>
      <c r="L1347">
        <f t="shared" ref="L1347:L1410" si="85">E1347+F1347+J1347</f>
        <v>51.714632942650454</v>
      </c>
      <c r="M1347">
        <f t="shared" ref="M1347:M1410" si="86">(L1347*2)*(100/50)</f>
        <v>206.85853177060181</v>
      </c>
      <c r="N1347">
        <f t="shared" ref="N1347:N1410" si="87">M1347*1.222</f>
        <v>252.78112582367541</v>
      </c>
    </row>
    <row r="1348" spans="1:14" x14ac:dyDescent="0.35">
      <c r="A1348" t="s">
        <v>51</v>
      </c>
      <c r="B1348">
        <v>8</v>
      </c>
      <c r="C1348" t="s">
        <v>50</v>
      </c>
      <c r="D1348">
        <v>33</v>
      </c>
      <c r="E1348">
        <v>51.613899837707102</v>
      </c>
      <c r="F1348">
        <v>2.11136191918578</v>
      </c>
      <c r="G1348" t="s">
        <v>51</v>
      </c>
      <c r="H1348">
        <v>8</v>
      </c>
      <c r="I1348">
        <v>33</v>
      </c>
      <c r="J1348">
        <v>1.8319478396648501</v>
      </c>
      <c r="K1348" t="b">
        <f t="shared" si="84"/>
        <v>1</v>
      </c>
      <c r="L1348">
        <f t="shared" si="85"/>
        <v>55.557209596557733</v>
      </c>
      <c r="M1348">
        <f t="shared" si="86"/>
        <v>222.22883838623093</v>
      </c>
      <c r="N1348">
        <f t="shared" si="87"/>
        <v>271.56364050797418</v>
      </c>
    </row>
    <row r="1349" spans="1:14" x14ac:dyDescent="0.35">
      <c r="A1349" t="s">
        <v>51</v>
      </c>
      <c r="B1349">
        <v>8</v>
      </c>
      <c r="C1349" t="s">
        <v>50</v>
      </c>
      <c r="D1349">
        <v>34</v>
      </c>
      <c r="E1349">
        <v>54.889572788584402</v>
      </c>
      <c r="F1349">
        <v>2.5367975090689998</v>
      </c>
      <c r="G1349" t="s">
        <v>51</v>
      </c>
      <c r="H1349">
        <v>8</v>
      </c>
      <c r="I1349">
        <v>34</v>
      </c>
      <c r="J1349">
        <v>1.9676606415940201</v>
      </c>
      <c r="K1349" t="b">
        <f t="shared" si="84"/>
        <v>1</v>
      </c>
      <c r="L1349">
        <f t="shared" si="85"/>
        <v>59.394030939247422</v>
      </c>
      <c r="M1349">
        <f t="shared" si="86"/>
        <v>237.57612375698969</v>
      </c>
      <c r="N1349">
        <f t="shared" si="87"/>
        <v>290.31802323104137</v>
      </c>
    </row>
    <row r="1350" spans="1:14" x14ac:dyDescent="0.35">
      <c r="A1350" t="s">
        <v>51</v>
      </c>
      <c r="B1350">
        <v>8</v>
      </c>
      <c r="C1350" t="s">
        <v>50</v>
      </c>
      <c r="D1350">
        <v>35</v>
      </c>
      <c r="E1350">
        <v>58.523426021676798</v>
      </c>
      <c r="F1350">
        <v>2.9934931282562598</v>
      </c>
      <c r="G1350" t="s">
        <v>51</v>
      </c>
      <c r="H1350">
        <v>8</v>
      </c>
      <c r="I1350">
        <v>35</v>
      </c>
      <c r="J1350">
        <v>2.1083848527568398</v>
      </c>
      <c r="K1350" t="b">
        <f t="shared" si="84"/>
        <v>1</v>
      </c>
      <c r="L1350">
        <f t="shared" si="85"/>
        <v>63.625304002689901</v>
      </c>
      <c r="M1350">
        <f t="shared" si="86"/>
        <v>254.50121601075961</v>
      </c>
      <c r="N1350">
        <f t="shared" si="87"/>
        <v>311.00048596514824</v>
      </c>
    </row>
    <row r="1351" spans="1:14" x14ac:dyDescent="0.35">
      <c r="A1351" t="s">
        <v>51</v>
      </c>
      <c r="B1351">
        <v>8</v>
      </c>
      <c r="C1351" t="s">
        <v>50</v>
      </c>
      <c r="D1351">
        <v>36</v>
      </c>
      <c r="E1351">
        <v>62.1261608837357</v>
      </c>
      <c r="F1351">
        <v>3.4749574436587598</v>
      </c>
      <c r="G1351" t="s">
        <v>51</v>
      </c>
      <c r="H1351">
        <v>8</v>
      </c>
      <c r="I1351">
        <v>36</v>
      </c>
      <c r="J1351">
        <v>2.2519986154652001</v>
      </c>
      <c r="K1351" t="b">
        <f t="shared" si="84"/>
        <v>1</v>
      </c>
      <c r="L1351">
        <f t="shared" si="85"/>
        <v>67.853116942859657</v>
      </c>
      <c r="M1351">
        <f t="shared" si="86"/>
        <v>271.41246777143863</v>
      </c>
      <c r="N1351">
        <f t="shared" si="87"/>
        <v>331.66603561669803</v>
      </c>
    </row>
    <row r="1352" spans="1:14" x14ac:dyDescent="0.35">
      <c r="A1352" t="s">
        <v>51</v>
      </c>
      <c r="B1352">
        <v>8</v>
      </c>
      <c r="C1352" t="s">
        <v>50</v>
      </c>
      <c r="D1352">
        <v>37</v>
      </c>
      <c r="E1352">
        <v>65.672718978028399</v>
      </c>
      <c r="F1352">
        <v>4.0025748270691599</v>
      </c>
      <c r="G1352" t="s">
        <v>51</v>
      </c>
      <c r="H1352">
        <v>8</v>
      </c>
      <c r="I1352">
        <v>37</v>
      </c>
      <c r="J1352">
        <v>2.3968245070738399</v>
      </c>
      <c r="K1352" t="b">
        <f t="shared" si="84"/>
        <v>1</v>
      </c>
      <c r="L1352">
        <f t="shared" si="85"/>
        <v>72.072118312171398</v>
      </c>
      <c r="M1352">
        <f t="shared" si="86"/>
        <v>288.28847324868559</v>
      </c>
      <c r="N1352">
        <f t="shared" si="87"/>
        <v>352.2885143098938</v>
      </c>
    </row>
    <row r="1353" spans="1:14" x14ac:dyDescent="0.35">
      <c r="A1353" t="s">
        <v>51</v>
      </c>
      <c r="B1353">
        <v>8</v>
      </c>
      <c r="C1353" t="s">
        <v>50</v>
      </c>
      <c r="D1353">
        <v>38</v>
      </c>
      <c r="E1353">
        <v>69.166926762166796</v>
      </c>
      <c r="F1353">
        <v>4.5708001564581497</v>
      </c>
      <c r="G1353" t="s">
        <v>51</v>
      </c>
      <c r="H1353">
        <v>8</v>
      </c>
      <c r="I1353">
        <v>38</v>
      </c>
      <c r="J1353">
        <v>2.5418321586201098</v>
      </c>
      <c r="K1353" t="b">
        <f t="shared" si="84"/>
        <v>1</v>
      </c>
      <c r="L1353">
        <f t="shared" si="85"/>
        <v>76.279559077245054</v>
      </c>
      <c r="M1353">
        <f t="shared" si="86"/>
        <v>305.11823630898022</v>
      </c>
      <c r="N1353">
        <f t="shared" si="87"/>
        <v>372.85448476957379</v>
      </c>
    </row>
    <row r="1354" spans="1:14" x14ac:dyDescent="0.35">
      <c r="A1354" t="s">
        <v>51</v>
      </c>
      <c r="B1354">
        <v>8</v>
      </c>
      <c r="C1354" t="s">
        <v>50</v>
      </c>
      <c r="D1354">
        <v>39</v>
      </c>
      <c r="E1354">
        <v>72.609707054896205</v>
      </c>
      <c r="F1354">
        <v>5.1769446786095203</v>
      </c>
      <c r="G1354" t="s">
        <v>51</v>
      </c>
      <c r="H1354">
        <v>8</v>
      </c>
      <c r="I1354">
        <v>39</v>
      </c>
      <c r="J1354">
        <v>2.6863518371746502</v>
      </c>
      <c r="K1354" t="b">
        <f t="shared" si="84"/>
        <v>1</v>
      </c>
      <c r="L1354">
        <f t="shared" si="85"/>
        <v>80.473003570680376</v>
      </c>
      <c r="M1354">
        <f t="shared" si="86"/>
        <v>321.8920142827215</v>
      </c>
      <c r="N1354">
        <f t="shared" si="87"/>
        <v>393.3520414534857</v>
      </c>
    </row>
    <row r="1355" spans="1:14" x14ac:dyDescent="0.35">
      <c r="A1355" t="s">
        <v>51</v>
      </c>
      <c r="B1355">
        <v>8</v>
      </c>
      <c r="C1355" t="s">
        <v>50</v>
      </c>
      <c r="D1355">
        <v>40</v>
      </c>
      <c r="E1355">
        <v>76.252037823136703</v>
      </c>
      <c r="F1355">
        <v>5.7624351805109404</v>
      </c>
      <c r="G1355" t="s">
        <v>51</v>
      </c>
      <c r="H1355">
        <v>8</v>
      </c>
      <c r="I1355">
        <v>40</v>
      </c>
      <c r="J1355">
        <v>2.83332081302621</v>
      </c>
      <c r="K1355" t="b">
        <f t="shared" si="84"/>
        <v>1</v>
      </c>
      <c r="L1355">
        <f t="shared" si="85"/>
        <v>84.847793816673843</v>
      </c>
      <c r="M1355">
        <f t="shared" si="86"/>
        <v>339.39117526669537</v>
      </c>
      <c r="N1355">
        <f t="shared" si="87"/>
        <v>414.73601617590174</v>
      </c>
    </row>
    <row r="1356" spans="1:14" x14ac:dyDescent="0.35">
      <c r="A1356" t="s">
        <v>51</v>
      </c>
      <c r="B1356">
        <v>8</v>
      </c>
      <c r="C1356" t="s">
        <v>50</v>
      </c>
      <c r="D1356">
        <v>41</v>
      </c>
      <c r="E1356">
        <v>79.874968076257005</v>
      </c>
      <c r="F1356">
        <v>6.3572376007898601</v>
      </c>
      <c r="G1356" t="s">
        <v>51</v>
      </c>
      <c r="H1356">
        <v>8</v>
      </c>
      <c r="I1356">
        <v>41</v>
      </c>
      <c r="J1356">
        <v>2.9816426873406501</v>
      </c>
      <c r="K1356" t="b">
        <f t="shared" si="84"/>
        <v>1</v>
      </c>
      <c r="L1356">
        <f t="shared" si="85"/>
        <v>89.213848364387516</v>
      </c>
      <c r="M1356">
        <f t="shared" si="86"/>
        <v>356.85539345755006</v>
      </c>
      <c r="N1356">
        <f t="shared" si="87"/>
        <v>436.07729080512615</v>
      </c>
    </row>
    <row r="1357" spans="1:14" x14ac:dyDescent="0.35">
      <c r="A1357" t="s">
        <v>51</v>
      </c>
      <c r="B1357">
        <v>8</v>
      </c>
      <c r="C1357" t="s">
        <v>50</v>
      </c>
      <c r="D1357">
        <v>42</v>
      </c>
      <c r="E1357">
        <v>83.463685740754897</v>
      </c>
      <c r="F1357">
        <v>6.9742670530961197</v>
      </c>
      <c r="G1357" t="s">
        <v>51</v>
      </c>
      <c r="H1357">
        <v>8</v>
      </c>
      <c r="I1357">
        <v>42</v>
      </c>
      <c r="J1357">
        <v>3.1304256169722802</v>
      </c>
      <c r="K1357" t="b">
        <f t="shared" si="84"/>
        <v>1</v>
      </c>
      <c r="L1357">
        <f t="shared" si="85"/>
        <v>93.568378410823286</v>
      </c>
      <c r="M1357">
        <f t="shared" si="86"/>
        <v>374.27351364329314</v>
      </c>
      <c r="N1357">
        <f t="shared" si="87"/>
        <v>457.3622336721042</v>
      </c>
    </row>
    <row r="1358" spans="1:14" x14ac:dyDescent="0.35">
      <c r="A1358" t="s">
        <v>51</v>
      </c>
      <c r="B1358">
        <v>8</v>
      </c>
      <c r="C1358" t="s">
        <v>50</v>
      </c>
      <c r="D1358">
        <v>43</v>
      </c>
      <c r="E1358">
        <v>87.011235843346697</v>
      </c>
      <c r="F1358">
        <v>7.6187655625983401</v>
      </c>
      <c r="G1358" t="s">
        <v>51</v>
      </c>
      <c r="H1358">
        <v>8</v>
      </c>
      <c r="I1358">
        <v>43</v>
      </c>
      <c r="J1358">
        <v>3.2790004120427501</v>
      </c>
      <c r="K1358" t="b">
        <f t="shared" si="84"/>
        <v>1</v>
      </c>
      <c r="L1358">
        <f t="shared" si="85"/>
        <v>97.909001817987786</v>
      </c>
      <c r="M1358">
        <f t="shared" si="86"/>
        <v>391.63600727195114</v>
      </c>
      <c r="N1358">
        <f t="shared" si="87"/>
        <v>478.57920088632432</v>
      </c>
    </row>
    <row r="1359" spans="1:14" x14ac:dyDescent="0.35">
      <c r="A1359" t="s">
        <v>51</v>
      </c>
      <c r="B1359">
        <v>8</v>
      </c>
      <c r="C1359" t="s">
        <v>50</v>
      </c>
      <c r="D1359">
        <v>44</v>
      </c>
      <c r="E1359">
        <v>90.514150719097898</v>
      </c>
      <c r="F1359">
        <v>8.2925870377079391</v>
      </c>
      <c r="G1359" t="s">
        <v>51</v>
      </c>
      <c r="H1359">
        <v>8</v>
      </c>
      <c r="I1359">
        <v>44</v>
      </c>
      <c r="J1359">
        <v>3.42687960048627</v>
      </c>
      <c r="K1359" t="b">
        <f t="shared" si="84"/>
        <v>1</v>
      </c>
      <c r="L1359">
        <f t="shared" si="85"/>
        <v>102.2336173572921</v>
      </c>
      <c r="M1359">
        <f t="shared" si="86"/>
        <v>408.93446942916842</v>
      </c>
      <c r="N1359">
        <f t="shared" si="87"/>
        <v>499.7179216424438</v>
      </c>
    </row>
    <row r="1360" spans="1:14" x14ac:dyDescent="0.35">
      <c r="A1360" t="s">
        <v>51</v>
      </c>
      <c r="B1360">
        <v>8</v>
      </c>
      <c r="C1360" t="s">
        <v>50</v>
      </c>
      <c r="D1360">
        <v>45</v>
      </c>
      <c r="E1360">
        <v>94.088856787523099</v>
      </c>
      <c r="F1360">
        <v>8.9288350604033297</v>
      </c>
      <c r="G1360" t="s">
        <v>51</v>
      </c>
      <c r="H1360">
        <v>8</v>
      </c>
      <c r="I1360">
        <v>45</v>
      </c>
      <c r="J1360">
        <v>3.57530931051225</v>
      </c>
      <c r="K1360" t="b">
        <f t="shared" si="84"/>
        <v>1</v>
      </c>
      <c r="L1360">
        <f t="shared" si="85"/>
        <v>106.59300115843868</v>
      </c>
      <c r="M1360">
        <f t="shared" si="86"/>
        <v>426.37200463375473</v>
      </c>
      <c r="N1360">
        <f t="shared" si="87"/>
        <v>521.02658966244826</v>
      </c>
    </row>
    <row r="1361" spans="1:14" x14ac:dyDescent="0.35">
      <c r="A1361" t="s">
        <v>51</v>
      </c>
      <c r="B1361">
        <v>8</v>
      </c>
      <c r="C1361" t="s">
        <v>50</v>
      </c>
      <c r="D1361">
        <v>46</v>
      </c>
      <c r="E1361">
        <v>97.651653452650393</v>
      </c>
      <c r="F1361">
        <v>9.5657794402410001</v>
      </c>
      <c r="G1361" t="s">
        <v>51</v>
      </c>
      <c r="H1361">
        <v>8</v>
      </c>
      <c r="I1361">
        <v>46</v>
      </c>
      <c r="J1361">
        <v>3.7239438180054201</v>
      </c>
      <c r="K1361" t="b">
        <f t="shared" si="84"/>
        <v>1</v>
      </c>
      <c r="L1361">
        <f t="shared" si="85"/>
        <v>110.94137671089682</v>
      </c>
      <c r="M1361">
        <f t="shared" si="86"/>
        <v>443.76550684358727</v>
      </c>
      <c r="N1361">
        <f t="shared" si="87"/>
        <v>542.28144936286367</v>
      </c>
    </row>
    <row r="1362" spans="1:14" x14ac:dyDescent="0.35">
      <c r="A1362" t="s">
        <v>51</v>
      </c>
      <c r="B1362">
        <v>8</v>
      </c>
      <c r="C1362" t="s">
        <v>50</v>
      </c>
      <c r="D1362">
        <v>47</v>
      </c>
      <c r="E1362">
        <v>101.185231627435</v>
      </c>
      <c r="F1362">
        <v>10.2189604742222</v>
      </c>
      <c r="G1362" t="s">
        <v>51</v>
      </c>
      <c r="H1362">
        <v>8</v>
      </c>
      <c r="I1362">
        <v>47</v>
      </c>
      <c r="J1362">
        <v>3.8723291009848402</v>
      </c>
      <c r="K1362" t="b">
        <f t="shared" si="84"/>
        <v>1</v>
      </c>
      <c r="L1362">
        <f t="shared" si="85"/>
        <v>115.27652120264204</v>
      </c>
      <c r="M1362">
        <f t="shared" si="86"/>
        <v>461.10608481056818</v>
      </c>
      <c r="N1362">
        <f t="shared" si="87"/>
        <v>563.47163563851427</v>
      </c>
    </row>
    <row r="1363" spans="1:14" x14ac:dyDescent="0.35">
      <c r="A1363" t="s">
        <v>51</v>
      </c>
      <c r="B1363">
        <v>8</v>
      </c>
      <c r="C1363" t="s">
        <v>50</v>
      </c>
      <c r="D1363">
        <v>48</v>
      </c>
      <c r="E1363">
        <v>104.682121936</v>
      </c>
      <c r="F1363">
        <v>10.894343868474101</v>
      </c>
      <c r="G1363" t="s">
        <v>51</v>
      </c>
      <c r="H1363">
        <v>8</v>
      </c>
      <c r="I1363">
        <v>48</v>
      </c>
      <c r="J1363">
        <v>4.0200704040456197</v>
      </c>
      <c r="K1363" t="b">
        <f t="shared" si="84"/>
        <v>1</v>
      </c>
      <c r="L1363">
        <f t="shared" si="85"/>
        <v>119.59653620851972</v>
      </c>
      <c r="M1363">
        <f t="shared" si="86"/>
        <v>478.38614483407889</v>
      </c>
      <c r="N1363">
        <f t="shared" si="87"/>
        <v>584.58786898724441</v>
      </c>
    </row>
    <row r="1364" spans="1:14" x14ac:dyDescent="0.35">
      <c r="A1364" t="s">
        <v>51</v>
      </c>
      <c r="B1364">
        <v>8</v>
      </c>
      <c r="C1364" t="s">
        <v>50</v>
      </c>
      <c r="D1364">
        <v>49</v>
      </c>
      <c r="E1364">
        <v>108.138963819279</v>
      </c>
      <c r="F1364">
        <v>11.5939169882546</v>
      </c>
      <c r="G1364" t="s">
        <v>51</v>
      </c>
      <c r="H1364">
        <v>8</v>
      </c>
      <c r="I1364">
        <v>49</v>
      </c>
      <c r="J1364">
        <v>4.1668625593718502</v>
      </c>
      <c r="K1364" t="b">
        <f t="shared" si="84"/>
        <v>1</v>
      </c>
      <c r="L1364">
        <f t="shared" si="85"/>
        <v>123.89974336690545</v>
      </c>
      <c r="M1364">
        <f t="shared" si="86"/>
        <v>495.59897346762182</v>
      </c>
      <c r="N1364">
        <f t="shared" si="87"/>
        <v>605.62194557743385</v>
      </c>
    </row>
    <row r="1365" spans="1:14" x14ac:dyDescent="0.35">
      <c r="A1365" t="s">
        <v>51</v>
      </c>
      <c r="B1365">
        <v>8</v>
      </c>
      <c r="C1365" t="s">
        <v>50</v>
      </c>
      <c r="D1365">
        <v>50</v>
      </c>
      <c r="E1365">
        <v>111.58382791438</v>
      </c>
      <c r="F1365">
        <v>12.2396834561024</v>
      </c>
      <c r="G1365" t="s">
        <v>51</v>
      </c>
      <c r="H1365">
        <v>8</v>
      </c>
      <c r="I1365">
        <v>50</v>
      </c>
      <c r="J1365">
        <v>4.3128805648638098</v>
      </c>
      <c r="K1365" t="b">
        <f t="shared" si="84"/>
        <v>1</v>
      </c>
      <c r="L1365">
        <f t="shared" si="85"/>
        <v>128.13639193534621</v>
      </c>
      <c r="M1365">
        <f t="shared" si="86"/>
        <v>512.54556774138484</v>
      </c>
      <c r="N1365">
        <f t="shared" si="87"/>
        <v>626.33068377997222</v>
      </c>
    </row>
    <row r="1366" spans="1:14" x14ac:dyDescent="0.35">
      <c r="A1366" t="s">
        <v>51</v>
      </c>
      <c r="B1366">
        <v>8</v>
      </c>
      <c r="C1366" t="s">
        <v>50</v>
      </c>
      <c r="D1366">
        <v>51</v>
      </c>
      <c r="E1366">
        <v>115.02563676425299</v>
      </c>
      <c r="F1366">
        <v>12.8777711678466</v>
      </c>
      <c r="G1366" t="s">
        <v>51</v>
      </c>
      <c r="H1366">
        <v>8</v>
      </c>
      <c r="I1366">
        <v>51</v>
      </c>
      <c r="J1366">
        <v>4.4583484701389002</v>
      </c>
      <c r="K1366" t="b">
        <f t="shared" si="84"/>
        <v>1</v>
      </c>
      <c r="L1366">
        <f t="shared" si="85"/>
        <v>132.36175640223848</v>
      </c>
      <c r="M1366">
        <f t="shared" si="86"/>
        <v>529.44702560895394</v>
      </c>
      <c r="N1366">
        <f t="shared" si="87"/>
        <v>646.98426529414166</v>
      </c>
    </row>
    <row r="1367" spans="1:14" x14ac:dyDescent="0.35">
      <c r="A1367" t="s">
        <v>51</v>
      </c>
      <c r="B1367">
        <v>8</v>
      </c>
      <c r="C1367" t="s">
        <v>50</v>
      </c>
      <c r="D1367">
        <v>52</v>
      </c>
      <c r="E1367">
        <v>118.444755816696</v>
      </c>
      <c r="F1367">
        <v>13.526184214405299</v>
      </c>
      <c r="G1367" t="s">
        <v>51</v>
      </c>
      <c r="H1367">
        <v>8</v>
      </c>
      <c r="I1367">
        <v>52</v>
      </c>
      <c r="J1367">
        <v>4.6031402867476396</v>
      </c>
      <c r="K1367" t="b">
        <f t="shared" si="84"/>
        <v>1</v>
      </c>
      <c r="L1367">
        <f t="shared" si="85"/>
        <v>136.57408031784894</v>
      </c>
      <c r="M1367">
        <f t="shared" si="86"/>
        <v>546.29632127139575</v>
      </c>
      <c r="N1367">
        <f t="shared" si="87"/>
        <v>667.57410459364564</v>
      </c>
    </row>
    <row r="1368" spans="1:14" x14ac:dyDescent="0.35">
      <c r="A1368" t="s">
        <v>51</v>
      </c>
      <c r="B1368">
        <v>8</v>
      </c>
      <c r="C1368" t="s">
        <v>50</v>
      </c>
      <c r="D1368">
        <v>53</v>
      </c>
      <c r="E1368">
        <v>121.83320839457799</v>
      </c>
      <c r="F1368">
        <v>14.1916059214998</v>
      </c>
      <c r="G1368" t="s">
        <v>51</v>
      </c>
      <c r="H1368">
        <v>8</v>
      </c>
      <c r="I1368">
        <v>53</v>
      </c>
      <c r="J1368">
        <v>4.7470663132750701</v>
      </c>
      <c r="K1368" t="b">
        <f t="shared" si="84"/>
        <v>1</v>
      </c>
      <c r="L1368">
        <f t="shared" si="85"/>
        <v>140.77188062935286</v>
      </c>
      <c r="M1368">
        <f t="shared" si="86"/>
        <v>563.08752251741146</v>
      </c>
      <c r="N1368">
        <f t="shared" si="87"/>
        <v>688.0929525162768</v>
      </c>
    </row>
    <row r="1369" spans="1:14" x14ac:dyDescent="0.35">
      <c r="A1369" t="s">
        <v>51</v>
      </c>
      <c r="B1369">
        <v>8</v>
      </c>
      <c r="C1369" t="s">
        <v>50</v>
      </c>
      <c r="D1369">
        <v>54</v>
      </c>
      <c r="E1369">
        <v>125.187677385067</v>
      </c>
      <c r="F1369">
        <v>14.876214927298101</v>
      </c>
      <c r="G1369" t="s">
        <v>51</v>
      </c>
      <c r="H1369">
        <v>8</v>
      </c>
      <c r="I1369">
        <v>54</v>
      </c>
      <c r="J1369">
        <v>4.8899578771030701</v>
      </c>
      <c r="K1369" t="b">
        <f t="shared" si="84"/>
        <v>1</v>
      </c>
      <c r="L1369">
        <f t="shared" si="85"/>
        <v>144.95385018946817</v>
      </c>
      <c r="M1369">
        <f t="shared" si="86"/>
        <v>579.81540075787268</v>
      </c>
      <c r="N1369">
        <f t="shared" si="87"/>
        <v>708.5344197261204</v>
      </c>
    </row>
    <row r="1370" spans="1:14" x14ac:dyDescent="0.35">
      <c r="A1370" t="s">
        <v>51</v>
      </c>
      <c r="B1370">
        <v>8</v>
      </c>
      <c r="C1370" t="s">
        <v>50</v>
      </c>
      <c r="D1370">
        <v>55</v>
      </c>
      <c r="E1370">
        <v>128.47714716347801</v>
      </c>
      <c r="F1370">
        <v>15.5034702981092</v>
      </c>
      <c r="G1370" t="s">
        <v>51</v>
      </c>
      <c r="H1370">
        <v>8</v>
      </c>
      <c r="I1370">
        <v>55</v>
      </c>
      <c r="J1370">
        <v>5.0312840645219001</v>
      </c>
      <c r="K1370" t="b">
        <f t="shared" si="84"/>
        <v>1</v>
      </c>
      <c r="L1370">
        <f t="shared" si="85"/>
        <v>149.01190152610911</v>
      </c>
      <c r="M1370">
        <f t="shared" si="86"/>
        <v>596.04760610443645</v>
      </c>
      <c r="N1370">
        <f t="shared" si="87"/>
        <v>728.37017465962128</v>
      </c>
    </row>
    <row r="1371" spans="1:14" x14ac:dyDescent="0.35">
      <c r="A1371" t="s">
        <v>51</v>
      </c>
      <c r="B1371">
        <v>8</v>
      </c>
      <c r="C1371" t="s">
        <v>50</v>
      </c>
      <c r="D1371">
        <v>56</v>
      </c>
      <c r="E1371">
        <v>131.767437748676</v>
      </c>
      <c r="F1371">
        <v>16.1201501546795</v>
      </c>
      <c r="G1371" t="s">
        <v>51</v>
      </c>
      <c r="H1371">
        <v>8</v>
      </c>
      <c r="I1371">
        <v>56</v>
      </c>
      <c r="J1371">
        <v>5.1715893337186403</v>
      </c>
      <c r="K1371" t="b">
        <f t="shared" si="84"/>
        <v>1</v>
      </c>
      <c r="L1371">
        <f t="shared" si="85"/>
        <v>153.05917723707412</v>
      </c>
      <c r="M1371">
        <f t="shared" si="86"/>
        <v>612.2367089482965</v>
      </c>
      <c r="N1371">
        <f t="shared" si="87"/>
        <v>748.15325833481825</v>
      </c>
    </row>
    <row r="1372" spans="1:14" x14ac:dyDescent="0.35">
      <c r="A1372" t="s">
        <v>51</v>
      </c>
      <c r="B1372">
        <v>8</v>
      </c>
      <c r="C1372" t="s">
        <v>50</v>
      </c>
      <c r="D1372">
        <v>57</v>
      </c>
      <c r="E1372">
        <v>135.039423888307</v>
      </c>
      <c r="F1372">
        <v>16.743921958087999</v>
      </c>
      <c r="G1372" t="s">
        <v>51</v>
      </c>
      <c r="H1372">
        <v>8</v>
      </c>
      <c r="I1372">
        <v>57</v>
      </c>
      <c r="J1372">
        <v>5.3109567339167798</v>
      </c>
      <c r="K1372" t="b">
        <f t="shared" si="84"/>
        <v>1</v>
      </c>
      <c r="L1372">
        <f t="shared" si="85"/>
        <v>157.09430258031179</v>
      </c>
      <c r="M1372">
        <f t="shared" si="86"/>
        <v>628.37721032124716</v>
      </c>
      <c r="N1372">
        <f t="shared" si="87"/>
        <v>767.87695101256406</v>
      </c>
    </row>
    <row r="1373" spans="1:14" x14ac:dyDescent="0.35">
      <c r="A1373" t="s">
        <v>51</v>
      </c>
      <c r="B1373">
        <v>8</v>
      </c>
      <c r="C1373" t="s">
        <v>50</v>
      </c>
      <c r="D1373">
        <v>58</v>
      </c>
      <c r="E1373">
        <v>138.285649248618</v>
      </c>
      <c r="F1373">
        <v>17.3811401900067</v>
      </c>
      <c r="G1373" t="s">
        <v>51</v>
      </c>
      <c r="H1373">
        <v>8</v>
      </c>
      <c r="I1373">
        <v>58</v>
      </c>
      <c r="J1373">
        <v>5.4493385587120402</v>
      </c>
      <c r="K1373" t="b">
        <f t="shared" si="84"/>
        <v>1</v>
      </c>
      <c r="L1373">
        <f t="shared" si="85"/>
        <v>161.11612799733675</v>
      </c>
      <c r="M1373">
        <f t="shared" si="86"/>
        <v>644.46451198934699</v>
      </c>
      <c r="N1373">
        <f t="shared" si="87"/>
        <v>787.53563365098205</v>
      </c>
    </row>
    <row r="1374" spans="1:14" x14ac:dyDescent="0.35">
      <c r="A1374" t="s">
        <v>51</v>
      </c>
      <c r="B1374">
        <v>8</v>
      </c>
      <c r="C1374" t="s">
        <v>50</v>
      </c>
      <c r="D1374">
        <v>59</v>
      </c>
      <c r="E1374">
        <v>141.50316963971801</v>
      </c>
      <c r="F1374">
        <v>18.033804105230701</v>
      </c>
      <c r="G1374" t="s">
        <v>51</v>
      </c>
      <c r="H1374">
        <v>8</v>
      </c>
      <c r="I1374">
        <v>59</v>
      </c>
      <c r="J1374">
        <v>5.5866650053384097</v>
      </c>
      <c r="K1374" t="b">
        <f t="shared" si="84"/>
        <v>1</v>
      </c>
      <c r="L1374">
        <f t="shared" si="85"/>
        <v>165.12363875028711</v>
      </c>
      <c r="M1374">
        <f t="shared" si="86"/>
        <v>660.49455500114846</v>
      </c>
      <c r="N1374">
        <f t="shared" si="87"/>
        <v>807.12434621140335</v>
      </c>
    </row>
    <row r="1375" spans="1:14" x14ac:dyDescent="0.35">
      <c r="A1375" t="s">
        <v>51</v>
      </c>
      <c r="B1375">
        <v>8</v>
      </c>
      <c r="C1375" t="s">
        <v>50</v>
      </c>
      <c r="D1375">
        <v>60</v>
      </c>
      <c r="E1375">
        <v>144.59484395477699</v>
      </c>
      <c r="F1375">
        <v>18.633078202234302</v>
      </c>
      <c r="G1375" t="s">
        <v>51</v>
      </c>
      <c r="H1375">
        <v>8</v>
      </c>
      <c r="I1375">
        <v>60</v>
      </c>
      <c r="J1375">
        <v>5.7215781814508802</v>
      </c>
      <c r="K1375" t="b">
        <f t="shared" si="84"/>
        <v>1</v>
      </c>
      <c r="L1375">
        <f t="shared" si="85"/>
        <v>168.94950033846214</v>
      </c>
      <c r="M1375">
        <f t="shared" si="86"/>
        <v>675.79800135384858</v>
      </c>
      <c r="N1375">
        <f t="shared" si="87"/>
        <v>825.82515765440291</v>
      </c>
    </row>
    <row r="1376" spans="1:14" x14ac:dyDescent="0.35">
      <c r="A1376" t="s">
        <v>51</v>
      </c>
      <c r="B1376">
        <v>8</v>
      </c>
      <c r="C1376" t="s">
        <v>50</v>
      </c>
      <c r="D1376">
        <v>61</v>
      </c>
      <c r="E1376">
        <v>147.687714007382</v>
      </c>
      <c r="F1376">
        <v>19.222154969089399</v>
      </c>
      <c r="G1376" t="s">
        <v>51</v>
      </c>
      <c r="H1376">
        <v>8</v>
      </c>
      <c r="I1376">
        <v>61</v>
      </c>
      <c r="J1376">
        <v>5.8549219956901997</v>
      </c>
      <c r="K1376" t="b">
        <f t="shared" si="84"/>
        <v>1</v>
      </c>
      <c r="L1376">
        <f t="shared" si="85"/>
        <v>172.76479097216159</v>
      </c>
      <c r="M1376">
        <f t="shared" si="86"/>
        <v>691.05916388864637</v>
      </c>
      <c r="N1376">
        <f t="shared" si="87"/>
        <v>844.47429827192582</v>
      </c>
    </row>
    <row r="1377" spans="1:14" x14ac:dyDescent="0.35">
      <c r="A1377" t="s">
        <v>51</v>
      </c>
      <c r="B1377">
        <v>8</v>
      </c>
      <c r="C1377" t="s">
        <v>50</v>
      </c>
      <c r="D1377">
        <v>62</v>
      </c>
      <c r="E1377">
        <v>150.76461865276599</v>
      </c>
      <c r="F1377">
        <v>19.816904422001599</v>
      </c>
      <c r="G1377" t="s">
        <v>51</v>
      </c>
      <c r="H1377">
        <v>8</v>
      </c>
      <c r="I1377">
        <v>62</v>
      </c>
      <c r="J1377">
        <v>5.9869923551716999</v>
      </c>
      <c r="K1377" t="b">
        <f t="shared" si="84"/>
        <v>1</v>
      </c>
      <c r="L1377">
        <f t="shared" si="85"/>
        <v>176.56851542993928</v>
      </c>
      <c r="M1377">
        <f t="shared" si="86"/>
        <v>706.27406171975713</v>
      </c>
      <c r="N1377">
        <f t="shared" si="87"/>
        <v>863.0669034215432</v>
      </c>
    </row>
    <row r="1378" spans="1:14" x14ac:dyDescent="0.35">
      <c r="A1378" t="s">
        <v>51</v>
      </c>
      <c r="B1378">
        <v>8</v>
      </c>
      <c r="C1378" t="s">
        <v>50</v>
      </c>
      <c r="D1378">
        <v>63</v>
      </c>
      <c r="E1378">
        <v>153.819057186566</v>
      </c>
      <c r="F1378">
        <v>20.422875050926699</v>
      </c>
      <c r="G1378" t="s">
        <v>51</v>
      </c>
      <c r="H1378">
        <v>8</v>
      </c>
      <c r="I1378">
        <v>63</v>
      </c>
      <c r="J1378">
        <v>6.1178899952574</v>
      </c>
      <c r="K1378" t="b">
        <f t="shared" si="84"/>
        <v>1</v>
      </c>
      <c r="L1378">
        <f t="shared" si="85"/>
        <v>180.3598222327501</v>
      </c>
      <c r="M1378">
        <f t="shared" si="86"/>
        <v>721.43928893100042</v>
      </c>
      <c r="N1378">
        <f t="shared" si="87"/>
        <v>881.59881107368244</v>
      </c>
    </row>
    <row r="1379" spans="1:14" x14ac:dyDescent="0.35">
      <c r="A1379" t="s">
        <v>51</v>
      </c>
      <c r="B1379">
        <v>8</v>
      </c>
      <c r="C1379" t="s">
        <v>50</v>
      </c>
      <c r="D1379">
        <v>64</v>
      </c>
      <c r="E1379">
        <v>156.84854270759101</v>
      </c>
      <c r="F1379">
        <v>21.0417467460898</v>
      </c>
      <c r="G1379" t="s">
        <v>51</v>
      </c>
      <c r="H1379">
        <v>8</v>
      </c>
      <c r="I1379">
        <v>64</v>
      </c>
      <c r="J1379">
        <v>6.2476479699998002</v>
      </c>
      <c r="K1379" t="b">
        <f t="shared" si="84"/>
        <v>1</v>
      </c>
      <c r="L1379">
        <f t="shared" si="85"/>
        <v>184.1379374236806</v>
      </c>
      <c r="M1379">
        <f t="shared" si="86"/>
        <v>736.55174969472239</v>
      </c>
      <c r="N1379">
        <f t="shared" si="87"/>
        <v>900.06623812695079</v>
      </c>
    </row>
    <row r="1380" spans="1:14" x14ac:dyDescent="0.35">
      <c r="A1380" t="s">
        <v>51</v>
      </c>
      <c r="B1380">
        <v>8</v>
      </c>
      <c r="C1380" t="s">
        <v>50</v>
      </c>
      <c r="D1380">
        <v>65</v>
      </c>
      <c r="E1380">
        <v>159.686164326512</v>
      </c>
      <c r="F1380">
        <v>21.596204474408299</v>
      </c>
      <c r="G1380" t="s">
        <v>51</v>
      </c>
      <c r="H1380">
        <v>8</v>
      </c>
      <c r="I1380">
        <v>65</v>
      </c>
      <c r="J1380">
        <v>6.3740338635025404</v>
      </c>
      <c r="K1380" t="b">
        <f t="shared" si="84"/>
        <v>1</v>
      </c>
      <c r="L1380">
        <f t="shared" si="85"/>
        <v>187.65640266442284</v>
      </c>
      <c r="M1380">
        <f t="shared" si="86"/>
        <v>750.62561065769137</v>
      </c>
      <c r="N1380">
        <f t="shared" si="87"/>
        <v>917.26449622369887</v>
      </c>
    </row>
    <row r="1381" spans="1:14" x14ac:dyDescent="0.35">
      <c r="A1381" t="s">
        <v>51</v>
      </c>
      <c r="B1381">
        <v>8</v>
      </c>
      <c r="C1381" t="s">
        <v>50</v>
      </c>
      <c r="D1381">
        <v>66</v>
      </c>
      <c r="E1381">
        <v>162.532033580437</v>
      </c>
      <c r="F1381">
        <v>22.1352699437073</v>
      </c>
      <c r="G1381" t="s">
        <v>51</v>
      </c>
      <c r="H1381">
        <v>8</v>
      </c>
      <c r="I1381">
        <v>66</v>
      </c>
      <c r="J1381">
        <v>6.4983200693418501</v>
      </c>
      <c r="K1381" t="b">
        <f t="shared" si="84"/>
        <v>1</v>
      </c>
      <c r="L1381">
        <f t="shared" si="85"/>
        <v>191.16562359348615</v>
      </c>
      <c r="M1381">
        <f t="shared" si="86"/>
        <v>764.66249437394458</v>
      </c>
      <c r="N1381">
        <f t="shared" si="87"/>
        <v>934.41756812496021</v>
      </c>
    </row>
    <row r="1382" spans="1:14" x14ac:dyDescent="0.35">
      <c r="A1382" t="s">
        <v>51</v>
      </c>
      <c r="B1382">
        <v>8</v>
      </c>
      <c r="C1382" t="s">
        <v>50</v>
      </c>
      <c r="D1382">
        <v>67</v>
      </c>
      <c r="E1382">
        <v>165.36721847151199</v>
      </c>
      <c r="F1382">
        <v>22.6766339888425</v>
      </c>
      <c r="G1382" t="s">
        <v>51</v>
      </c>
      <c r="H1382">
        <v>8</v>
      </c>
      <c r="I1382">
        <v>67</v>
      </c>
      <c r="J1382">
        <v>6.6210469009424902</v>
      </c>
      <c r="K1382" t="b">
        <f t="shared" si="84"/>
        <v>1</v>
      </c>
      <c r="L1382">
        <f t="shared" si="85"/>
        <v>194.66489936129699</v>
      </c>
      <c r="M1382">
        <f t="shared" si="86"/>
        <v>778.65959744518796</v>
      </c>
      <c r="N1382">
        <f t="shared" si="87"/>
        <v>951.52202807801962</v>
      </c>
    </row>
    <row r="1383" spans="1:14" x14ac:dyDescent="0.35">
      <c r="A1383" t="s">
        <v>51</v>
      </c>
      <c r="B1383">
        <v>8</v>
      </c>
      <c r="C1383" t="s">
        <v>50</v>
      </c>
      <c r="D1383">
        <v>68</v>
      </c>
      <c r="E1383">
        <v>168.18473859891</v>
      </c>
      <c r="F1383">
        <v>23.226422571874501</v>
      </c>
      <c r="G1383" t="s">
        <v>51</v>
      </c>
      <c r="H1383">
        <v>8</v>
      </c>
      <c r="I1383">
        <v>68</v>
      </c>
      <c r="J1383">
        <v>6.7424651039108801</v>
      </c>
      <c r="K1383" t="b">
        <f t="shared" si="84"/>
        <v>1</v>
      </c>
      <c r="L1383">
        <f t="shared" si="85"/>
        <v>198.1536262746954</v>
      </c>
      <c r="M1383">
        <f t="shared" si="86"/>
        <v>792.61450509878159</v>
      </c>
      <c r="N1383">
        <f t="shared" si="87"/>
        <v>968.57492523071107</v>
      </c>
    </row>
    <row r="1384" spans="1:14" x14ac:dyDescent="0.35">
      <c r="A1384" t="s">
        <v>51</v>
      </c>
      <c r="B1384">
        <v>8</v>
      </c>
      <c r="C1384" t="s">
        <v>50</v>
      </c>
      <c r="D1384">
        <v>69</v>
      </c>
      <c r="E1384">
        <v>170.98201038561501</v>
      </c>
      <c r="F1384">
        <v>23.786523342697802</v>
      </c>
      <c r="G1384" t="s">
        <v>51</v>
      </c>
      <c r="H1384">
        <v>8</v>
      </c>
      <c r="I1384">
        <v>69</v>
      </c>
      <c r="J1384">
        <v>6.8627049237987903</v>
      </c>
      <c r="K1384" t="b">
        <f t="shared" si="84"/>
        <v>1</v>
      </c>
      <c r="L1384">
        <f t="shared" si="85"/>
        <v>201.63123865211159</v>
      </c>
      <c r="M1384">
        <f t="shared" si="86"/>
        <v>806.52495460844636</v>
      </c>
      <c r="N1384">
        <f t="shared" si="87"/>
        <v>985.57349453152142</v>
      </c>
    </row>
    <row r="1385" spans="1:14" x14ac:dyDescent="0.35">
      <c r="A1385" t="s">
        <v>51</v>
      </c>
      <c r="B1385">
        <v>8</v>
      </c>
      <c r="C1385" t="s">
        <v>50</v>
      </c>
      <c r="D1385">
        <v>70</v>
      </c>
      <c r="E1385">
        <v>173.499454655785</v>
      </c>
      <c r="F1385">
        <v>24.2716247129744</v>
      </c>
      <c r="G1385" t="s">
        <v>51</v>
      </c>
      <c r="H1385">
        <v>8</v>
      </c>
      <c r="I1385">
        <v>70</v>
      </c>
      <c r="J1385">
        <v>6.97874667337351</v>
      </c>
      <c r="K1385" t="b">
        <f t="shared" si="84"/>
        <v>1</v>
      </c>
      <c r="L1385">
        <f t="shared" si="85"/>
        <v>204.7498260421329</v>
      </c>
      <c r="M1385">
        <f t="shared" si="86"/>
        <v>818.99930416853158</v>
      </c>
      <c r="N1385">
        <f t="shared" si="87"/>
        <v>1000.8171496939456</v>
      </c>
    </row>
    <row r="1386" spans="1:14" x14ac:dyDescent="0.35">
      <c r="A1386" t="s">
        <v>51</v>
      </c>
      <c r="B1386">
        <v>8</v>
      </c>
      <c r="C1386" t="s">
        <v>50</v>
      </c>
      <c r="D1386">
        <v>71</v>
      </c>
      <c r="E1386">
        <v>176.03205350841699</v>
      </c>
      <c r="F1386">
        <v>24.7367432365448</v>
      </c>
      <c r="G1386" t="s">
        <v>51</v>
      </c>
      <c r="H1386">
        <v>8</v>
      </c>
      <c r="I1386">
        <v>71</v>
      </c>
      <c r="J1386">
        <v>7.0922478178286603</v>
      </c>
      <c r="K1386" t="b">
        <f t="shared" si="84"/>
        <v>1</v>
      </c>
      <c r="L1386">
        <f t="shared" si="85"/>
        <v>207.86104456279045</v>
      </c>
      <c r="M1386">
        <f t="shared" si="86"/>
        <v>831.44417825116182</v>
      </c>
      <c r="N1386">
        <f t="shared" si="87"/>
        <v>1016.0247858229197</v>
      </c>
    </row>
    <row r="1387" spans="1:14" x14ac:dyDescent="0.35">
      <c r="A1387" t="s">
        <v>51</v>
      </c>
      <c r="B1387">
        <v>8</v>
      </c>
      <c r="C1387" t="s">
        <v>50</v>
      </c>
      <c r="D1387">
        <v>72</v>
      </c>
      <c r="E1387">
        <v>178.55949683064</v>
      </c>
      <c r="F1387">
        <v>25.201419324935799</v>
      </c>
      <c r="G1387" t="s">
        <v>51</v>
      </c>
      <c r="H1387">
        <v>8</v>
      </c>
      <c r="I1387">
        <v>72</v>
      </c>
      <c r="J1387">
        <v>7.2039655082977596</v>
      </c>
      <c r="K1387" t="b">
        <f t="shared" si="84"/>
        <v>1</v>
      </c>
      <c r="L1387">
        <f t="shared" si="85"/>
        <v>210.96488166387354</v>
      </c>
      <c r="M1387">
        <f t="shared" si="86"/>
        <v>843.85952665549416</v>
      </c>
      <c r="N1387">
        <f t="shared" si="87"/>
        <v>1031.1963415730138</v>
      </c>
    </row>
    <row r="1388" spans="1:14" x14ac:dyDescent="0.35">
      <c r="A1388" t="s">
        <v>51</v>
      </c>
      <c r="B1388">
        <v>8</v>
      </c>
      <c r="C1388" t="s">
        <v>50</v>
      </c>
      <c r="D1388">
        <v>73</v>
      </c>
      <c r="E1388">
        <v>181.074380674992</v>
      </c>
      <c r="F1388">
        <v>25.672357689113301</v>
      </c>
      <c r="G1388" t="s">
        <v>51</v>
      </c>
      <c r="H1388">
        <v>8</v>
      </c>
      <c r="I1388">
        <v>73</v>
      </c>
      <c r="J1388">
        <v>7.3142827252483196</v>
      </c>
      <c r="K1388" t="b">
        <f t="shared" si="84"/>
        <v>1</v>
      </c>
      <c r="L1388">
        <f t="shared" si="85"/>
        <v>214.06102108935363</v>
      </c>
      <c r="M1388">
        <f t="shared" si="86"/>
        <v>856.24408435741452</v>
      </c>
      <c r="N1388">
        <f t="shared" si="87"/>
        <v>1046.3302710847606</v>
      </c>
    </row>
    <row r="1389" spans="1:14" x14ac:dyDescent="0.35">
      <c r="A1389" t="s">
        <v>51</v>
      </c>
      <c r="B1389">
        <v>8</v>
      </c>
      <c r="C1389" t="s">
        <v>50</v>
      </c>
      <c r="D1389">
        <v>74</v>
      </c>
      <c r="E1389">
        <v>183.57403159209599</v>
      </c>
      <c r="F1389">
        <v>26.151648934371099</v>
      </c>
      <c r="G1389" t="s">
        <v>51</v>
      </c>
      <c r="H1389">
        <v>8</v>
      </c>
      <c r="I1389">
        <v>74</v>
      </c>
      <c r="J1389">
        <v>7.4234151238549604</v>
      </c>
      <c r="K1389" t="b">
        <f t="shared" si="84"/>
        <v>1</v>
      </c>
      <c r="L1389">
        <f t="shared" si="85"/>
        <v>217.14909565032207</v>
      </c>
      <c r="M1389">
        <f t="shared" si="86"/>
        <v>868.59638260128827</v>
      </c>
      <c r="N1389">
        <f t="shared" si="87"/>
        <v>1061.4247795387741</v>
      </c>
    </row>
    <row r="1390" spans="1:14" x14ac:dyDescent="0.35">
      <c r="A1390" t="s">
        <v>51</v>
      </c>
      <c r="B1390">
        <v>8</v>
      </c>
      <c r="C1390" t="s">
        <v>50</v>
      </c>
      <c r="D1390">
        <v>75</v>
      </c>
      <c r="E1390">
        <v>185.763444612867</v>
      </c>
      <c r="F1390">
        <v>26.550803501137299</v>
      </c>
      <c r="G1390" t="s">
        <v>51</v>
      </c>
      <c r="H1390">
        <v>8</v>
      </c>
      <c r="I1390">
        <v>75</v>
      </c>
      <c r="J1390">
        <v>7.5274748872213202</v>
      </c>
      <c r="K1390" t="b">
        <f t="shared" si="84"/>
        <v>1</v>
      </c>
      <c r="L1390">
        <f t="shared" si="85"/>
        <v>219.84172300122563</v>
      </c>
      <c r="M1390">
        <f t="shared" si="86"/>
        <v>879.36689200490252</v>
      </c>
      <c r="N1390">
        <f t="shared" si="87"/>
        <v>1074.5863420299909</v>
      </c>
    </row>
    <row r="1391" spans="1:14" x14ac:dyDescent="0.35">
      <c r="A1391" t="s">
        <v>51</v>
      </c>
      <c r="B1391">
        <v>8</v>
      </c>
      <c r="C1391" t="s">
        <v>50</v>
      </c>
      <c r="D1391">
        <v>76</v>
      </c>
      <c r="E1391">
        <v>187.973428222716</v>
      </c>
      <c r="F1391">
        <v>26.927664558072198</v>
      </c>
      <c r="G1391" t="s">
        <v>51</v>
      </c>
      <c r="H1391">
        <v>8</v>
      </c>
      <c r="I1391">
        <v>76</v>
      </c>
      <c r="J1391">
        <v>7.62849619575716</v>
      </c>
      <c r="K1391" t="b">
        <f t="shared" si="84"/>
        <v>1</v>
      </c>
      <c r="L1391">
        <f t="shared" si="85"/>
        <v>222.52958897654534</v>
      </c>
      <c r="M1391">
        <f t="shared" si="86"/>
        <v>890.11835590618136</v>
      </c>
      <c r="N1391">
        <f t="shared" si="87"/>
        <v>1087.7246309173536</v>
      </c>
    </row>
    <row r="1392" spans="1:14" x14ac:dyDescent="0.35">
      <c r="A1392" t="s">
        <v>51</v>
      </c>
      <c r="B1392">
        <v>8</v>
      </c>
      <c r="C1392" t="s">
        <v>50</v>
      </c>
      <c r="D1392">
        <v>77</v>
      </c>
      <c r="E1392">
        <v>190.18280132746699</v>
      </c>
      <c r="F1392">
        <v>27.302471918261698</v>
      </c>
      <c r="G1392" t="s">
        <v>51</v>
      </c>
      <c r="H1392">
        <v>8</v>
      </c>
      <c r="I1392">
        <v>77</v>
      </c>
      <c r="J1392">
        <v>7.7274623781850797</v>
      </c>
      <c r="K1392" t="b">
        <f t="shared" si="84"/>
        <v>1</v>
      </c>
      <c r="L1392">
        <f t="shared" si="85"/>
        <v>225.21273562391374</v>
      </c>
      <c r="M1392">
        <f t="shared" si="86"/>
        <v>900.85094249565498</v>
      </c>
      <c r="N1392">
        <f t="shared" si="87"/>
        <v>1100.8398517296903</v>
      </c>
    </row>
    <row r="1393" spans="1:14" x14ac:dyDescent="0.35">
      <c r="A1393" t="s">
        <v>51</v>
      </c>
      <c r="B1393">
        <v>8</v>
      </c>
      <c r="C1393" t="s">
        <v>50</v>
      </c>
      <c r="D1393">
        <v>78</v>
      </c>
      <c r="E1393">
        <v>192.38405501846401</v>
      </c>
      <c r="F1393">
        <v>27.682093392970302</v>
      </c>
      <c r="G1393" t="s">
        <v>51</v>
      </c>
      <c r="H1393">
        <v>8</v>
      </c>
      <c r="I1393">
        <v>78</v>
      </c>
      <c r="J1393">
        <v>7.8248993267994402</v>
      </c>
      <c r="K1393" t="b">
        <f t="shared" si="84"/>
        <v>1</v>
      </c>
      <c r="L1393">
        <f t="shared" si="85"/>
        <v>227.89104773823377</v>
      </c>
      <c r="M1393">
        <f t="shared" si="86"/>
        <v>911.56419095293506</v>
      </c>
      <c r="N1393">
        <f t="shared" si="87"/>
        <v>1113.9314413444865</v>
      </c>
    </row>
    <row r="1394" spans="1:14" x14ac:dyDescent="0.35">
      <c r="A1394" t="s">
        <v>51</v>
      </c>
      <c r="B1394">
        <v>8</v>
      </c>
      <c r="C1394" t="s">
        <v>50</v>
      </c>
      <c r="D1394">
        <v>79</v>
      </c>
      <c r="E1394">
        <v>194.574528837103</v>
      </c>
      <c r="F1394">
        <v>28.068669035053599</v>
      </c>
      <c r="G1394" t="s">
        <v>51</v>
      </c>
      <c r="H1394">
        <v>8</v>
      </c>
      <c r="I1394">
        <v>79</v>
      </c>
      <c r="J1394">
        <v>7.92111631919897</v>
      </c>
      <c r="K1394" t="b">
        <f t="shared" si="84"/>
        <v>1</v>
      </c>
      <c r="L1394">
        <f t="shared" si="85"/>
        <v>230.56431419135558</v>
      </c>
      <c r="M1394">
        <f t="shared" si="86"/>
        <v>922.25725676542231</v>
      </c>
      <c r="N1394">
        <f t="shared" si="87"/>
        <v>1126.9983677673461</v>
      </c>
    </row>
    <row r="1395" spans="1:14" x14ac:dyDescent="0.35">
      <c r="A1395" t="s">
        <v>51</v>
      </c>
      <c r="B1395">
        <v>8</v>
      </c>
      <c r="C1395" t="s">
        <v>50</v>
      </c>
      <c r="D1395">
        <v>80</v>
      </c>
      <c r="E1395">
        <v>196.43712985597</v>
      </c>
      <c r="F1395">
        <v>28.374403577896199</v>
      </c>
      <c r="G1395" t="s">
        <v>51</v>
      </c>
      <c r="H1395">
        <v>8</v>
      </c>
      <c r="I1395">
        <v>80</v>
      </c>
      <c r="J1395">
        <v>8.0119862110531308</v>
      </c>
      <c r="K1395" t="b">
        <f t="shared" si="84"/>
        <v>1</v>
      </c>
      <c r="L1395">
        <f t="shared" si="85"/>
        <v>232.82351964491934</v>
      </c>
      <c r="M1395">
        <f t="shared" si="86"/>
        <v>931.29407857967738</v>
      </c>
      <c r="N1395">
        <f t="shared" si="87"/>
        <v>1138.0413640243657</v>
      </c>
    </row>
    <row r="1396" spans="1:14" x14ac:dyDescent="0.35">
      <c r="A1396" t="s">
        <v>51</v>
      </c>
      <c r="B1396">
        <v>8</v>
      </c>
      <c r="C1396" t="s">
        <v>50</v>
      </c>
      <c r="D1396">
        <v>81</v>
      </c>
      <c r="E1396">
        <v>198.323595245577</v>
      </c>
      <c r="F1396">
        <v>28.657497273828501</v>
      </c>
      <c r="G1396" t="s">
        <v>51</v>
      </c>
      <c r="H1396">
        <v>8</v>
      </c>
      <c r="I1396">
        <v>81</v>
      </c>
      <c r="J1396">
        <v>8.0996784241660702</v>
      </c>
      <c r="K1396" t="b">
        <f t="shared" si="84"/>
        <v>1</v>
      </c>
      <c r="L1396">
        <f t="shared" si="85"/>
        <v>235.08077094357157</v>
      </c>
      <c r="M1396">
        <f t="shared" si="86"/>
        <v>940.32308377428626</v>
      </c>
      <c r="N1396">
        <f t="shared" si="87"/>
        <v>1149.0748083721778</v>
      </c>
    </row>
    <row r="1397" spans="1:14" x14ac:dyDescent="0.35">
      <c r="A1397" t="s">
        <v>51</v>
      </c>
      <c r="B1397">
        <v>8</v>
      </c>
      <c r="C1397" t="s">
        <v>50</v>
      </c>
      <c r="D1397">
        <v>82</v>
      </c>
      <c r="E1397">
        <v>200.212918243948</v>
      </c>
      <c r="F1397">
        <v>28.938041393563999</v>
      </c>
      <c r="G1397" t="s">
        <v>51</v>
      </c>
      <c r="H1397">
        <v>8</v>
      </c>
      <c r="I1397">
        <v>82</v>
      </c>
      <c r="J1397">
        <v>8.1852650963640308</v>
      </c>
      <c r="K1397" t="b">
        <f t="shared" si="84"/>
        <v>1</v>
      </c>
      <c r="L1397">
        <f t="shared" si="85"/>
        <v>237.33622473387601</v>
      </c>
      <c r="M1397">
        <f t="shared" si="86"/>
        <v>949.34489893550403</v>
      </c>
      <c r="N1397">
        <f t="shared" si="87"/>
        <v>1160.0994664991858</v>
      </c>
    </row>
    <row r="1398" spans="1:14" x14ac:dyDescent="0.35">
      <c r="A1398" t="s">
        <v>51</v>
      </c>
      <c r="B1398">
        <v>8</v>
      </c>
      <c r="C1398" t="s">
        <v>50</v>
      </c>
      <c r="D1398">
        <v>83</v>
      </c>
      <c r="E1398">
        <v>202.097756226993</v>
      </c>
      <c r="F1398">
        <v>29.2227705739135</v>
      </c>
      <c r="G1398" t="s">
        <v>51</v>
      </c>
      <c r="H1398">
        <v>8</v>
      </c>
      <c r="I1398">
        <v>83</v>
      </c>
      <c r="J1398">
        <v>8.2693325051317998</v>
      </c>
      <c r="K1398" t="b">
        <f t="shared" si="84"/>
        <v>1</v>
      </c>
      <c r="L1398">
        <f t="shared" si="85"/>
        <v>239.58985930603831</v>
      </c>
      <c r="M1398">
        <f t="shared" si="86"/>
        <v>958.35943722415323</v>
      </c>
      <c r="N1398">
        <f t="shared" si="87"/>
        <v>1171.1152322879152</v>
      </c>
    </row>
    <row r="1399" spans="1:14" x14ac:dyDescent="0.35">
      <c r="A1399" t="s">
        <v>51</v>
      </c>
      <c r="B1399">
        <v>8</v>
      </c>
      <c r="C1399" t="s">
        <v>50</v>
      </c>
      <c r="D1399">
        <v>84</v>
      </c>
      <c r="E1399">
        <v>203.97554514885499</v>
      </c>
      <c r="F1399">
        <v>29.5137623782223</v>
      </c>
      <c r="G1399" t="s">
        <v>51</v>
      </c>
      <c r="H1399">
        <v>8</v>
      </c>
      <c r="I1399">
        <v>84</v>
      </c>
      <c r="J1399">
        <v>8.3522316930367193</v>
      </c>
      <c r="K1399" t="b">
        <f t="shared" si="84"/>
        <v>1</v>
      </c>
      <c r="L1399">
        <f t="shared" si="85"/>
        <v>241.84153922011402</v>
      </c>
      <c r="M1399">
        <f t="shared" si="86"/>
        <v>967.36615688045606</v>
      </c>
      <c r="N1399">
        <f t="shared" si="87"/>
        <v>1182.1214437079173</v>
      </c>
    </row>
    <row r="1400" spans="1:14" x14ac:dyDescent="0.35">
      <c r="A1400" t="s">
        <v>51</v>
      </c>
      <c r="B1400">
        <v>8</v>
      </c>
      <c r="C1400" t="s">
        <v>50</v>
      </c>
      <c r="D1400">
        <v>85</v>
      </c>
      <c r="E1400">
        <v>205.595690906698</v>
      </c>
      <c r="F1400">
        <v>29.7340628262689</v>
      </c>
      <c r="G1400" t="s">
        <v>51</v>
      </c>
      <c r="H1400">
        <v>8</v>
      </c>
      <c r="I1400">
        <v>85</v>
      </c>
      <c r="J1400">
        <v>8.4307735994827002</v>
      </c>
      <c r="K1400" t="b">
        <f t="shared" si="84"/>
        <v>1</v>
      </c>
      <c r="L1400">
        <f t="shared" si="85"/>
        <v>243.76052733244961</v>
      </c>
      <c r="M1400">
        <f t="shared" si="86"/>
        <v>975.04210932979845</v>
      </c>
      <c r="N1400">
        <f t="shared" si="87"/>
        <v>1191.5014576010137</v>
      </c>
    </row>
    <row r="1401" spans="1:14" x14ac:dyDescent="0.35">
      <c r="A1401" t="s">
        <v>51</v>
      </c>
      <c r="B1401">
        <v>8</v>
      </c>
      <c r="C1401" t="s">
        <v>50</v>
      </c>
      <c r="D1401">
        <v>86</v>
      </c>
      <c r="E1401">
        <v>207.23853151570199</v>
      </c>
      <c r="F1401">
        <v>29.935326652574201</v>
      </c>
      <c r="G1401" t="s">
        <v>51</v>
      </c>
      <c r="H1401">
        <v>8</v>
      </c>
      <c r="I1401">
        <v>86</v>
      </c>
      <c r="J1401">
        <v>8.5067556082608107</v>
      </c>
      <c r="K1401" t="b">
        <f t="shared" si="84"/>
        <v>1</v>
      </c>
      <c r="L1401">
        <f t="shared" si="85"/>
        <v>245.680613776537</v>
      </c>
      <c r="M1401">
        <f t="shared" si="86"/>
        <v>982.722455106148</v>
      </c>
      <c r="N1401">
        <f t="shared" si="87"/>
        <v>1200.8868401397128</v>
      </c>
    </row>
    <row r="1402" spans="1:14" x14ac:dyDescent="0.35">
      <c r="A1402" t="s">
        <v>51</v>
      </c>
      <c r="B1402">
        <v>8</v>
      </c>
      <c r="C1402" t="s">
        <v>50</v>
      </c>
      <c r="D1402">
        <v>87</v>
      </c>
      <c r="E1402">
        <v>208.88561477665399</v>
      </c>
      <c r="F1402">
        <v>30.135154734592899</v>
      </c>
      <c r="G1402" t="s">
        <v>51</v>
      </c>
      <c r="H1402">
        <v>8</v>
      </c>
      <c r="I1402">
        <v>87</v>
      </c>
      <c r="J1402">
        <v>8.58105650998648</v>
      </c>
      <c r="K1402" t="b">
        <f t="shared" si="84"/>
        <v>1</v>
      </c>
      <c r="L1402">
        <f t="shared" si="85"/>
        <v>247.60182602123336</v>
      </c>
      <c r="M1402">
        <f t="shared" si="86"/>
        <v>990.40730408493346</v>
      </c>
      <c r="N1402">
        <f t="shared" si="87"/>
        <v>1210.2777255917886</v>
      </c>
    </row>
    <row r="1403" spans="1:14" x14ac:dyDescent="0.35">
      <c r="A1403" t="s">
        <v>51</v>
      </c>
      <c r="B1403">
        <v>8</v>
      </c>
      <c r="C1403" t="s">
        <v>50</v>
      </c>
      <c r="D1403">
        <v>88</v>
      </c>
      <c r="E1403">
        <v>210.53056460618001</v>
      </c>
      <c r="F1403">
        <v>30.339351632185799</v>
      </c>
      <c r="G1403" t="s">
        <v>51</v>
      </c>
      <c r="H1403">
        <v>8</v>
      </c>
      <c r="I1403">
        <v>88</v>
      </c>
      <c r="J1403">
        <v>8.6541553643833602</v>
      </c>
      <c r="K1403" t="b">
        <f t="shared" si="84"/>
        <v>1</v>
      </c>
      <c r="L1403">
        <f t="shared" si="85"/>
        <v>249.52407160274919</v>
      </c>
      <c r="M1403">
        <f t="shared" si="86"/>
        <v>998.09628641099675</v>
      </c>
      <c r="N1403">
        <f t="shared" si="87"/>
        <v>1219.673661994238</v>
      </c>
    </row>
    <row r="1404" spans="1:14" x14ac:dyDescent="0.35">
      <c r="A1404" t="s">
        <v>51</v>
      </c>
      <c r="B1404">
        <v>8</v>
      </c>
      <c r="C1404" t="s">
        <v>50</v>
      </c>
      <c r="D1404">
        <v>89</v>
      </c>
      <c r="E1404">
        <v>212.17118238512799</v>
      </c>
      <c r="F1404">
        <v>30.5496552032224</v>
      </c>
      <c r="G1404" t="s">
        <v>51</v>
      </c>
      <c r="H1404">
        <v>8</v>
      </c>
      <c r="I1404">
        <v>89</v>
      </c>
      <c r="J1404">
        <v>8.7263400245178406</v>
      </c>
      <c r="K1404" t="b">
        <f t="shared" si="84"/>
        <v>1</v>
      </c>
      <c r="L1404">
        <f t="shared" si="85"/>
        <v>251.44717761286822</v>
      </c>
      <c r="M1404">
        <f t="shared" si="86"/>
        <v>1005.7887104514729</v>
      </c>
      <c r="N1404">
        <f t="shared" si="87"/>
        <v>1229.0738041716997</v>
      </c>
    </row>
    <row r="1405" spans="1:14" x14ac:dyDescent="0.35">
      <c r="A1405" t="s">
        <v>51</v>
      </c>
      <c r="B1405">
        <v>8</v>
      </c>
      <c r="C1405" t="s">
        <v>50</v>
      </c>
      <c r="D1405">
        <v>90</v>
      </c>
      <c r="E1405">
        <v>213.580018872739</v>
      </c>
      <c r="F1405">
        <v>30.7521695943929</v>
      </c>
      <c r="G1405" t="s">
        <v>51</v>
      </c>
      <c r="H1405">
        <v>8</v>
      </c>
      <c r="I1405">
        <v>90</v>
      </c>
      <c r="J1405">
        <v>8.7946967700545606</v>
      </c>
      <c r="K1405" t="b">
        <f t="shared" si="84"/>
        <v>1</v>
      </c>
      <c r="L1405">
        <f t="shared" si="85"/>
        <v>253.12688523718649</v>
      </c>
      <c r="M1405">
        <f t="shared" si="86"/>
        <v>1012.5075409487459</v>
      </c>
      <c r="N1405">
        <f t="shared" si="87"/>
        <v>1237.2842150393676</v>
      </c>
    </row>
    <row r="1406" spans="1:14" x14ac:dyDescent="0.35">
      <c r="A1406" t="s">
        <v>51</v>
      </c>
      <c r="B1406">
        <v>8</v>
      </c>
      <c r="C1406" t="s">
        <v>50</v>
      </c>
      <c r="D1406">
        <v>91</v>
      </c>
      <c r="E1406">
        <v>214.98866786428201</v>
      </c>
      <c r="F1406">
        <v>30.9560415284386</v>
      </c>
      <c r="G1406" t="s">
        <v>51</v>
      </c>
      <c r="H1406">
        <v>8</v>
      </c>
      <c r="I1406">
        <v>91</v>
      </c>
      <c r="J1406">
        <v>8.8605321897645997</v>
      </c>
      <c r="K1406" t="b">
        <f t="shared" si="84"/>
        <v>1</v>
      </c>
      <c r="L1406">
        <f t="shared" si="85"/>
        <v>254.80524158248519</v>
      </c>
      <c r="M1406">
        <f t="shared" si="86"/>
        <v>1019.2209663299408</v>
      </c>
      <c r="N1406">
        <f t="shared" si="87"/>
        <v>1245.4880208551876</v>
      </c>
    </row>
    <row r="1407" spans="1:14" x14ac:dyDescent="0.35">
      <c r="A1407" t="s">
        <v>51</v>
      </c>
      <c r="B1407">
        <v>8</v>
      </c>
      <c r="C1407" t="s">
        <v>50</v>
      </c>
      <c r="D1407">
        <v>92</v>
      </c>
      <c r="E1407">
        <v>216.39378203535099</v>
      </c>
      <c r="F1407">
        <v>31.164183597855398</v>
      </c>
      <c r="G1407" t="s">
        <v>51</v>
      </c>
      <c r="H1407">
        <v>8</v>
      </c>
      <c r="I1407">
        <v>92</v>
      </c>
      <c r="J1407">
        <v>8.9246183534466699</v>
      </c>
      <c r="K1407" t="b">
        <f t="shared" si="84"/>
        <v>1</v>
      </c>
      <c r="L1407">
        <f t="shared" si="85"/>
        <v>256.48258398665303</v>
      </c>
      <c r="M1407">
        <f t="shared" si="86"/>
        <v>1025.9303359466121</v>
      </c>
      <c r="N1407">
        <f t="shared" si="87"/>
        <v>1253.68687052676</v>
      </c>
    </row>
    <row r="1408" spans="1:14" x14ac:dyDescent="0.35">
      <c r="A1408" t="s">
        <v>51</v>
      </c>
      <c r="B1408">
        <v>8</v>
      </c>
      <c r="C1408" t="s">
        <v>50</v>
      </c>
      <c r="D1408">
        <v>93</v>
      </c>
      <c r="E1408">
        <v>217.79420951882</v>
      </c>
      <c r="F1408">
        <v>31.3773783675482</v>
      </c>
      <c r="G1408" t="s">
        <v>51</v>
      </c>
      <c r="H1408">
        <v>8</v>
      </c>
      <c r="I1408">
        <v>93</v>
      </c>
      <c r="J1408">
        <v>8.9874336356306195</v>
      </c>
      <c r="K1408" t="b">
        <f t="shared" si="84"/>
        <v>1</v>
      </c>
      <c r="L1408">
        <f t="shared" si="85"/>
        <v>258.1590215219988</v>
      </c>
      <c r="M1408">
        <f t="shared" si="86"/>
        <v>1032.6360860879952</v>
      </c>
      <c r="N1408">
        <f t="shared" si="87"/>
        <v>1261.8812971995301</v>
      </c>
    </row>
    <row r="1409" spans="1:14" x14ac:dyDescent="0.35">
      <c r="A1409" t="s">
        <v>51</v>
      </c>
      <c r="B1409">
        <v>8</v>
      </c>
      <c r="C1409" t="s">
        <v>50</v>
      </c>
      <c r="D1409">
        <v>94</v>
      </c>
      <c r="E1409">
        <v>219.18955172360899</v>
      </c>
      <c r="F1409">
        <v>31.595688519327702</v>
      </c>
      <c r="G1409" t="s">
        <v>51</v>
      </c>
      <c r="H1409">
        <v>8</v>
      </c>
      <c r="I1409">
        <v>94</v>
      </c>
      <c r="J1409">
        <v>9.04928646457358</v>
      </c>
      <c r="K1409" t="b">
        <f t="shared" si="84"/>
        <v>1</v>
      </c>
      <c r="L1409">
        <f t="shared" si="85"/>
        <v>259.83452670751024</v>
      </c>
      <c r="M1409">
        <f t="shared" si="86"/>
        <v>1039.3381068300409</v>
      </c>
      <c r="N1409">
        <f t="shared" si="87"/>
        <v>1270.07116654631</v>
      </c>
    </row>
    <row r="1410" spans="1:14" x14ac:dyDescent="0.35">
      <c r="A1410" t="s">
        <v>51</v>
      </c>
      <c r="B1410">
        <v>8</v>
      </c>
      <c r="C1410" t="s">
        <v>50</v>
      </c>
      <c r="D1410">
        <v>95</v>
      </c>
      <c r="E1410">
        <v>220.36901361629299</v>
      </c>
      <c r="F1410">
        <v>31.764298948592899</v>
      </c>
      <c r="G1410" t="s">
        <v>51</v>
      </c>
      <c r="H1410">
        <v>8</v>
      </c>
      <c r="I1410">
        <v>95</v>
      </c>
      <c r="J1410">
        <v>9.1075015621631099</v>
      </c>
      <c r="K1410" t="b">
        <f t="shared" si="84"/>
        <v>1</v>
      </c>
      <c r="L1410">
        <f t="shared" si="85"/>
        <v>261.24081412704902</v>
      </c>
      <c r="M1410">
        <f t="shared" si="86"/>
        <v>1044.9632565081961</v>
      </c>
      <c r="N1410">
        <f t="shared" si="87"/>
        <v>1276.9450994530155</v>
      </c>
    </row>
    <row r="1411" spans="1:14" x14ac:dyDescent="0.35">
      <c r="A1411" t="s">
        <v>51</v>
      </c>
      <c r="B1411">
        <v>8</v>
      </c>
      <c r="C1411" t="s">
        <v>50</v>
      </c>
      <c r="D1411">
        <v>96</v>
      </c>
      <c r="E1411">
        <v>221.56445180648001</v>
      </c>
      <c r="F1411">
        <v>31.9198797383469</v>
      </c>
      <c r="G1411" t="s">
        <v>51</v>
      </c>
      <c r="H1411">
        <v>8</v>
      </c>
      <c r="I1411">
        <v>96</v>
      </c>
      <c r="J1411">
        <v>9.1635407347028099</v>
      </c>
      <c r="K1411" t="b">
        <f t="shared" ref="K1411:K1474" si="88">H1411=B1411</f>
        <v>1</v>
      </c>
      <c r="L1411">
        <f t="shared" ref="L1411:L1474" si="89">E1411+F1411+J1411</f>
        <v>262.64787227952974</v>
      </c>
      <c r="M1411">
        <f t="shared" ref="M1411:M1474" si="90">(L1411*2)*(100/50)</f>
        <v>1050.5914891181189</v>
      </c>
      <c r="N1411">
        <f t="shared" ref="N1411:N1474" si="91">M1411*1.222</f>
        <v>1283.8227997023414</v>
      </c>
    </row>
    <row r="1412" spans="1:14" x14ac:dyDescent="0.35">
      <c r="A1412" t="s">
        <v>51</v>
      </c>
      <c r="B1412">
        <v>8</v>
      </c>
      <c r="C1412" t="s">
        <v>50</v>
      </c>
      <c r="D1412">
        <v>97</v>
      </c>
      <c r="E1412">
        <v>222.76296201420101</v>
      </c>
      <c r="F1412">
        <v>32.0747025261429</v>
      </c>
      <c r="G1412" t="s">
        <v>51</v>
      </c>
      <c r="H1412">
        <v>8</v>
      </c>
      <c r="I1412">
        <v>97</v>
      </c>
      <c r="J1412">
        <v>9.2181463968492192</v>
      </c>
      <c r="K1412" t="b">
        <f t="shared" si="88"/>
        <v>1</v>
      </c>
      <c r="L1412">
        <f t="shared" si="89"/>
        <v>264.05581093719309</v>
      </c>
      <c r="M1412">
        <f t="shared" si="90"/>
        <v>1056.2232437487723</v>
      </c>
      <c r="N1412">
        <f t="shared" si="91"/>
        <v>1290.7048038609998</v>
      </c>
    </row>
    <row r="1413" spans="1:14" x14ac:dyDescent="0.35">
      <c r="A1413" t="s">
        <v>51</v>
      </c>
      <c r="B1413">
        <v>8</v>
      </c>
      <c r="C1413" t="s">
        <v>50</v>
      </c>
      <c r="D1413">
        <v>98</v>
      </c>
      <c r="E1413">
        <v>223.960153758155</v>
      </c>
      <c r="F1413">
        <v>32.232729764232303</v>
      </c>
      <c r="G1413" t="s">
        <v>51</v>
      </c>
      <c r="H1413">
        <v>8</v>
      </c>
      <c r="I1413">
        <v>98</v>
      </c>
      <c r="J1413">
        <v>9.2717360887104192</v>
      </c>
      <c r="K1413" t="b">
        <f t="shared" si="88"/>
        <v>1</v>
      </c>
      <c r="L1413">
        <f t="shared" si="89"/>
        <v>265.46461961109776</v>
      </c>
      <c r="M1413">
        <f t="shared" si="90"/>
        <v>1061.858478444391</v>
      </c>
      <c r="N1413">
        <f t="shared" si="91"/>
        <v>1297.5910606590458</v>
      </c>
    </row>
    <row r="1414" spans="1:14" x14ac:dyDescent="0.35">
      <c r="A1414" t="s">
        <v>51</v>
      </c>
      <c r="B1414">
        <v>8</v>
      </c>
      <c r="C1414" t="s">
        <v>50</v>
      </c>
      <c r="D1414">
        <v>99</v>
      </c>
      <c r="E1414">
        <v>225.15453491260101</v>
      </c>
      <c r="F1414">
        <v>32.395106264752997</v>
      </c>
      <c r="G1414" t="s">
        <v>51</v>
      </c>
      <c r="H1414">
        <v>8</v>
      </c>
      <c r="I1414">
        <v>99</v>
      </c>
      <c r="J1414">
        <v>9.3245656641760597</v>
      </c>
      <c r="K1414" t="b">
        <f t="shared" si="88"/>
        <v>1</v>
      </c>
      <c r="L1414">
        <f t="shared" si="89"/>
        <v>266.87420684153011</v>
      </c>
      <c r="M1414">
        <f t="shared" si="90"/>
        <v>1067.4968273661204</v>
      </c>
      <c r="N1414">
        <f t="shared" si="91"/>
        <v>1304.4811230413991</v>
      </c>
    </row>
    <row r="1415" spans="1:14" x14ac:dyDescent="0.35">
      <c r="A1415" t="s">
        <v>51</v>
      </c>
      <c r="B1415">
        <v>8</v>
      </c>
      <c r="C1415" t="s">
        <v>50</v>
      </c>
      <c r="D1415">
        <v>100</v>
      </c>
      <c r="E1415">
        <v>226.27508864137101</v>
      </c>
      <c r="F1415">
        <v>32.4704220637284</v>
      </c>
      <c r="G1415" t="s">
        <v>51</v>
      </c>
      <c r="H1415">
        <v>8</v>
      </c>
      <c r="I1415">
        <v>100</v>
      </c>
      <c r="J1415">
        <v>9.3758381522879102</v>
      </c>
      <c r="K1415" t="b">
        <f t="shared" si="88"/>
        <v>1</v>
      </c>
      <c r="L1415">
        <f t="shared" si="89"/>
        <v>268.12134885738732</v>
      </c>
      <c r="M1415">
        <f t="shared" si="90"/>
        <v>1072.4853954295493</v>
      </c>
      <c r="N1415">
        <f t="shared" si="91"/>
        <v>1310.5771532149092</v>
      </c>
    </row>
    <row r="1416" spans="1:14" x14ac:dyDescent="0.35">
      <c r="A1416" t="s">
        <v>51</v>
      </c>
      <c r="B1416">
        <v>10</v>
      </c>
      <c r="C1416" t="s">
        <v>50</v>
      </c>
      <c r="D1416">
        <v>0</v>
      </c>
      <c r="E1416">
        <v>0</v>
      </c>
      <c r="F1416">
        <v>0</v>
      </c>
      <c r="G1416" t="s">
        <v>51</v>
      </c>
      <c r="H1416">
        <v>10</v>
      </c>
      <c r="I1416">
        <v>0</v>
      </c>
      <c r="J1416">
        <v>0</v>
      </c>
      <c r="K1416" t="b">
        <f t="shared" si="88"/>
        <v>1</v>
      </c>
      <c r="L1416">
        <f t="shared" si="89"/>
        <v>0</v>
      </c>
      <c r="M1416">
        <f t="shared" si="90"/>
        <v>0</v>
      </c>
      <c r="N1416">
        <f t="shared" si="91"/>
        <v>0</v>
      </c>
    </row>
    <row r="1417" spans="1:14" x14ac:dyDescent="0.35">
      <c r="A1417" t="s">
        <v>51</v>
      </c>
      <c r="B1417">
        <v>10</v>
      </c>
      <c r="C1417" t="s">
        <v>50</v>
      </c>
      <c r="D1417">
        <v>1</v>
      </c>
      <c r="E1417">
        <v>0.101231781634869</v>
      </c>
      <c r="F1417" s="19">
        <v>4.0196713292441999E-4</v>
      </c>
      <c r="G1417" t="s">
        <v>51</v>
      </c>
      <c r="H1417">
        <v>10</v>
      </c>
      <c r="I1417">
        <v>1</v>
      </c>
      <c r="J1417">
        <v>1.36830073860814E-3</v>
      </c>
      <c r="K1417" t="b">
        <f t="shared" si="88"/>
        <v>1</v>
      </c>
      <c r="L1417">
        <f t="shared" si="89"/>
        <v>0.10300204950640156</v>
      </c>
      <c r="M1417">
        <f t="shared" si="90"/>
        <v>0.41200819802560623</v>
      </c>
      <c r="N1417">
        <f t="shared" si="91"/>
        <v>0.50347401798729086</v>
      </c>
    </row>
    <row r="1418" spans="1:14" x14ac:dyDescent="0.35">
      <c r="A1418" t="s">
        <v>51</v>
      </c>
      <c r="B1418">
        <v>10</v>
      </c>
      <c r="C1418" t="s">
        <v>50</v>
      </c>
      <c r="D1418">
        <v>2</v>
      </c>
      <c r="E1418">
        <v>0.227771508678458</v>
      </c>
      <c r="F1418">
        <v>1.2943341680166499E-3</v>
      </c>
      <c r="G1418" t="s">
        <v>51</v>
      </c>
      <c r="H1418">
        <v>10</v>
      </c>
      <c r="I1418">
        <v>2</v>
      </c>
      <c r="J1418">
        <v>3.9578832195849203E-3</v>
      </c>
      <c r="K1418" t="b">
        <f t="shared" si="88"/>
        <v>1</v>
      </c>
      <c r="L1418">
        <f t="shared" si="89"/>
        <v>0.23302372606605956</v>
      </c>
      <c r="M1418">
        <f t="shared" si="90"/>
        <v>0.93209490426423824</v>
      </c>
      <c r="N1418">
        <f t="shared" si="91"/>
        <v>1.1390199730108992</v>
      </c>
    </row>
    <row r="1419" spans="1:14" x14ac:dyDescent="0.35">
      <c r="A1419" t="s">
        <v>51</v>
      </c>
      <c r="B1419">
        <v>10</v>
      </c>
      <c r="C1419" t="s">
        <v>50</v>
      </c>
      <c r="D1419">
        <v>3</v>
      </c>
      <c r="E1419">
        <v>0.38594616748294103</v>
      </c>
      <c r="F1419">
        <v>2.7880038372505201E-3</v>
      </c>
      <c r="G1419" t="s">
        <v>51</v>
      </c>
      <c r="H1419">
        <v>10</v>
      </c>
      <c r="I1419">
        <v>3</v>
      </c>
      <c r="J1419">
        <v>7.7737767878741102E-3</v>
      </c>
      <c r="K1419" t="b">
        <f t="shared" si="88"/>
        <v>1</v>
      </c>
      <c r="L1419">
        <f t="shared" si="89"/>
        <v>0.39650794810806567</v>
      </c>
      <c r="M1419">
        <f t="shared" si="90"/>
        <v>1.5860317924322627</v>
      </c>
      <c r="N1419">
        <f t="shared" si="91"/>
        <v>1.938130850352225</v>
      </c>
    </row>
    <row r="1420" spans="1:14" x14ac:dyDescent="0.35">
      <c r="A1420" t="s">
        <v>51</v>
      </c>
      <c r="B1420">
        <v>10</v>
      </c>
      <c r="C1420" t="s">
        <v>50</v>
      </c>
      <c r="D1420">
        <v>4</v>
      </c>
      <c r="E1420">
        <v>0.583664490988547</v>
      </c>
      <c r="F1420">
        <v>5.0219554729004001E-3</v>
      </c>
      <c r="G1420" t="s">
        <v>51</v>
      </c>
      <c r="H1420">
        <v>10</v>
      </c>
      <c r="I1420">
        <v>4</v>
      </c>
      <c r="J1420">
        <v>1.2934473683006599E-2</v>
      </c>
      <c r="K1420" t="b">
        <f t="shared" si="88"/>
        <v>1</v>
      </c>
      <c r="L1420">
        <f t="shared" si="89"/>
        <v>0.60162092014445401</v>
      </c>
      <c r="M1420">
        <f t="shared" si="90"/>
        <v>2.406483680577816</v>
      </c>
      <c r="N1420">
        <f t="shared" si="91"/>
        <v>2.9407230576660912</v>
      </c>
    </row>
    <row r="1421" spans="1:14" x14ac:dyDescent="0.35">
      <c r="A1421" t="s">
        <v>51</v>
      </c>
      <c r="B1421">
        <v>10</v>
      </c>
      <c r="C1421" t="s">
        <v>50</v>
      </c>
      <c r="D1421">
        <v>5</v>
      </c>
      <c r="E1421">
        <v>0.83081239537055296</v>
      </c>
      <c r="F1421">
        <v>8.1702536300970498E-3</v>
      </c>
      <c r="G1421" t="s">
        <v>51</v>
      </c>
      <c r="H1421">
        <v>10</v>
      </c>
      <c r="I1421">
        <v>5</v>
      </c>
      <c r="J1421">
        <v>1.9655686957098101E-2</v>
      </c>
      <c r="K1421" t="b">
        <f t="shared" si="88"/>
        <v>1</v>
      </c>
      <c r="L1421">
        <f t="shared" si="89"/>
        <v>0.85863833595774808</v>
      </c>
      <c r="M1421">
        <f t="shared" si="90"/>
        <v>3.4345533438309923</v>
      </c>
      <c r="N1421">
        <f t="shared" si="91"/>
        <v>4.1970241861614728</v>
      </c>
    </row>
    <row r="1422" spans="1:14" x14ac:dyDescent="0.35">
      <c r="A1422" t="s">
        <v>51</v>
      </c>
      <c r="B1422">
        <v>10</v>
      </c>
      <c r="C1422" t="s">
        <v>50</v>
      </c>
      <c r="D1422">
        <v>6</v>
      </c>
      <c r="E1422">
        <v>1.13974727584806</v>
      </c>
      <c r="F1422">
        <v>1.2450809180848101E-2</v>
      </c>
      <c r="G1422" t="s">
        <v>51</v>
      </c>
      <c r="H1422">
        <v>10</v>
      </c>
      <c r="I1422">
        <v>6</v>
      </c>
      <c r="J1422">
        <v>2.82484635888204E-2</v>
      </c>
      <c r="K1422" t="b">
        <f t="shared" si="88"/>
        <v>1</v>
      </c>
      <c r="L1422">
        <f t="shared" si="89"/>
        <v>1.1804465486177287</v>
      </c>
      <c r="M1422">
        <f t="shared" si="90"/>
        <v>4.7217861944709147</v>
      </c>
      <c r="N1422">
        <f t="shared" si="91"/>
        <v>5.7700227296434576</v>
      </c>
    </row>
    <row r="1423" spans="1:14" x14ac:dyDescent="0.35">
      <c r="A1423" t="s">
        <v>51</v>
      </c>
      <c r="B1423">
        <v>10</v>
      </c>
      <c r="C1423" t="s">
        <v>50</v>
      </c>
      <c r="D1423">
        <v>7</v>
      </c>
      <c r="E1423">
        <v>1.5259158764449401</v>
      </c>
      <c r="F1423">
        <v>1.81363309879146E-2</v>
      </c>
      <c r="G1423" t="s">
        <v>51</v>
      </c>
      <c r="H1423">
        <v>10</v>
      </c>
      <c r="I1423">
        <v>7</v>
      </c>
      <c r="J1423">
        <v>3.9127476038432599E-2</v>
      </c>
      <c r="K1423" t="b">
        <f t="shared" si="88"/>
        <v>1</v>
      </c>
      <c r="L1423">
        <f t="shared" si="89"/>
        <v>1.5831796834712872</v>
      </c>
      <c r="M1423">
        <f t="shared" si="90"/>
        <v>6.3327187338851489</v>
      </c>
      <c r="N1423">
        <f t="shared" si="91"/>
        <v>7.738582292807652</v>
      </c>
    </row>
    <row r="1424" spans="1:14" x14ac:dyDescent="0.35">
      <c r="A1424" t="s">
        <v>51</v>
      </c>
      <c r="B1424">
        <v>10</v>
      </c>
      <c r="C1424" t="s">
        <v>50</v>
      </c>
      <c r="D1424">
        <v>8</v>
      </c>
      <c r="E1424">
        <v>2.0086266271910498</v>
      </c>
      <c r="F1424">
        <v>2.5568015794316501E-2</v>
      </c>
      <c r="G1424" t="s">
        <v>51</v>
      </c>
      <c r="H1424">
        <v>10</v>
      </c>
      <c r="I1424">
        <v>8</v>
      </c>
      <c r="J1424">
        <v>5.2827583362221701E-2</v>
      </c>
      <c r="K1424" t="b">
        <f t="shared" si="88"/>
        <v>1</v>
      </c>
      <c r="L1424">
        <f t="shared" si="89"/>
        <v>2.0870222263475879</v>
      </c>
      <c r="M1424">
        <f t="shared" si="90"/>
        <v>8.3480889053903518</v>
      </c>
      <c r="N1424">
        <f t="shared" si="91"/>
        <v>10.201364642387009</v>
      </c>
    </row>
    <row r="1425" spans="1:14" x14ac:dyDescent="0.35">
      <c r="A1425" t="s">
        <v>51</v>
      </c>
      <c r="B1425">
        <v>10</v>
      </c>
      <c r="C1425" t="s">
        <v>50</v>
      </c>
      <c r="D1425">
        <v>9</v>
      </c>
      <c r="E1425">
        <v>2.61201506562369</v>
      </c>
      <c r="F1425">
        <v>3.5172660873460597E-2</v>
      </c>
      <c r="G1425" t="s">
        <v>51</v>
      </c>
      <c r="H1425">
        <v>10</v>
      </c>
      <c r="I1425">
        <v>9</v>
      </c>
      <c r="J1425">
        <v>7.00281667868837E-2</v>
      </c>
      <c r="K1425" t="b">
        <f t="shared" si="88"/>
        <v>1</v>
      </c>
      <c r="L1425">
        <f t="shared" si="89"/>
        <v>2.7172158932840342</v>
      </c>
      <c r="M1425">
        <f t="shared" si="90"/>
        <v>10.868863573136137</v>
      </c>
      <c r="N1425">
        <f t="shared" si="91"/>
        <v>13.281751286372359</v>
      </c>
    </row>
    <row r="1426" spans="1:14" x14ac:dyDescent="0.35">
      <c r="A1426" t="s">
        <v>51</v>
      </c>
      <c r="B1426">
        <v>10</v>
      </c>
      <c r="C1426" t="s">
        <v>50</v>
      </c>
      <c r="D1426">
        <v>10</v>
      </c>
      <c r="E1426">
        <v>3.3662506136644801</v>
      </c>
      <c r="F1426">
        <v>4.7484055121398201E-2</v>
      </c>
      <c r="G1426" t="s">
        <v>51</v>
      </c>
      <c r="H1426">
        <v>10</v>
      </c>
      <c r="I1426">
        <v>10</v>
      </c>
      <c r="J1426">
        <v>9.1585702406685995E-2</v>
      </c>
      <c r="K1426" t="b">
        <f t="shared" si="88"/>
        <v>1</v>
      </c>
      <c r="L1426">
        <f t="shared" si="89"/>
        <v>3.5053203711925645</v>
      </c>
      <c r="M1426">
        <f t="shared" si="90"/>
        <v>14.021281484770258</v>
      </c>
      <c r="N1426">
        <f t="shared" si="91"/>
        <v>17.134005974389254</v>
      </c>
    </row>
    <row r="1427" spans="1:14" x14ac:dyDescent="0.35">
      <c r="A1427" t="s">
        <v>51</v>
      </c>
      <c r="B1427">
        <v>10</v>
      </c>
      <c r="C1427" t="s">
        <v>50</v>
      </c>
      <c r="D1427">
        <v>11</v>
      </c>
      <c r="E1427">
        <v>4.3090450487154701</v>
      </c>
      <c r="F1427">
        <v>6.3169718193357496E-2</v>
      </c>
      <c r="G1427" t="s">
        <v>51</v>
      </c>
      <c r="H1427">
        <v>10</v>
      </c>
      <c r="I1427">
        <v>11</v>
      </c>
      <c r="J1427">
        <v>0.11857576936432</v>
      </c>
      <c r="K1427" t="b">
        <f t="shared" si="88"/>
        <v>1</v>
      </c>
      <c r="L1427">
        <f t="shared" si="89"/>
        <v>4.4907905362731473</v>
      </c>
      <c r="M1427">
        <f t="shared" si="90"/>
        <v>17.963162145092589</v>
      </c>
      <c r="N1427">
        <f t="shared" si="91"/>
        <v>21.950984141303145</v>
      </c>
    </row>
    <row r="1428" spans="1:14" x14ac:dyDescent="0.35">
      <c r="A1428" t="s">
        <v>51</v>
      </c>
      <c r="B1428">
        <v>10</v>
      </c>
      <c r="C1428" t="s">
        <v>50</v>
      </c>
      <c r="D1428">
        <v>12</v>
      </c>
      <c r="E1428">
        <v>5.4875380925292099</v>
      </c>
      <c r="F1428">
        <v>8.3064324687482705E-2</v>
      </c>
      <c r="G1428" t="s">
        <v>51</v>
      </c>
      <c r="H1428">
        <v>10</v>
      </c>
      <c r="I1428">
        <v>12</v>
      </c>
      <c r="J1428">
        <v>0.15234634805481501</v>
      </c>
      <c r="K1428" t="b">
        <f t="shared" si="88"/>
        <v>1</v>
      </c>
      <c r="L1428">
        <f t="shared" si="89"/>
        <v>5.7229487652715072</v>
      </c>
      <c r="M1428">
        <f t="shared" si="90"/>
        <v>22.891795061086029</v>
      </c>
      <c r="N1428">
        <f t="shared" si="91"/>
        <v>27.973773564647125</v>
      </c>
    </row>
    <row r="1429" spans="1:14" x14ac:dyDescent="0.35">
      <c r="A1429" t="s">
        <v>51</v>
      </c>
      <c r="B1429">
        <v>10</v>
      </c>
      <c r="C1429" t="s">
        <v>50</v>
      </c>
      <c r="D1429">
        <v>13</v>
      </c>
      <c r="E1429">
        <v>6.9606543972963903</v>
      </c>
      <c r="F1429">
        <v>0.10821148462969001</v>
      </c>
      <c r="G1429" t="s">
        <v>51</v>
      </c>
      <c r="H1429">
        <v>10</v>
      </c>
      <c r="I1429">
        <v>13</v>
      </c>
      <c r="J1429">
        <v>0.19458493247949099</v>
      </c>
      <c r="K1429" t="b">
        <f t="shared" si="88"/>
        <v>1</v>
      </c>
      <c r="L1429">
        <f t="shared" si="89"/>
        <v>7.2634508144055712</v>
      </c>
      <c r="M1429">
        <f t="shared" si="90"/>
        <v>29.053803257622285</v>
      </c>
      <c r="N1429">
        <f t="shared" si="91"/>
        <v>35.503747580814434</v>
      </c>
    </row>
    <row r="1430" spans="1:14" x14ac:dyDescent="0.35">
      <c r="A1430" t="s">
        <v>51</v>
      </c>
      <c r="B1430">
        <v>10</v>
      </c>
      <c r="C1430" t="s">
        <v>50</v>
      </c>
      <c r="D1430">
        <v>14</v>
      </c>
      <c r="E1430">
        <v>8.8020497782553502</v>
      </c>
      <c r="F1430">
        <v>0.13991596932726399</v>
      </c>
      <c r="G1430" t="s">
        <v>51</v>
      </c>
      <c r="H1430">
        <v>10</v>
      </c>
      <c r="I1430">
        <v>14</v>
      </c>
      <c r="J1430">
        <v>0.247402731533644</v>
      </c>
      <c r="K1430" t="b">
        <f t="shared" si="88"/>
        <v>1</v>
      </c>
      <c r="L1430">
        <f t="shared" si="89"/>
        <v>9.1893684791162578</v>
      </c>
      <c r="M1430">
        <f t="shared" si="90"/>
        <v>36.757473916465031</v>
      </c>
      <c r="N1430">
        <f t="shared" si="91"/>
        <v>44.917633125920268</v>
      </c>
    </row>
    <row r="1431" spans="1:14" x14ac:dyDescent="0.35">
      <c r="A1431" t="s">
        <v>51</v>
      </c>
      <c r="B1431">
        <v>10</v>
      </c>
      <c r="C1431" t="s">
        <v>50</v>
      </c>
      <c r="D1431">
        <v>15</v>
      </c>
      <c r="E1431">
        <v>11.081227500000001</v>
      </c>
      <c r="F1431">
        <v>0.179719387747446</v>
      </c>
      <c r="G1431" t="s">
        <v>51</v>
      </c>
      <c r="H1431">
        <v>10</v>
      </c>
      <c r="I1431">
        <v>15</v>
      </c>
      <c r="J1431">
        <v>0.313135102246201</v>
      </c>
      <c r="K1431" t="b">
        <f t="shared" si="88"/>
        <v>1</v>
      </c>
      <c r="L1431">
        <f t="shared" si="89"/>
        <v>11.574081989993648</v>
      </c>
      <c r="M1431">
        <f t="shared" si="90"/>
        <v>46.29632795997459</v>
      </c>
      <c r="N1431">
        <f t="shared" si="91"/>
        <v>56.574112767088948</v>
      </c>
    </row>
    <row r="1432" spans="1:14" x14ac:dyDescent="0.35">
      <c r="A1432" t="s">
        <v>51</v>
      </c>
      <c r="B1432">
        <v>10</v>
      </c>
      <c r="C1432" t="s">
        <v>50</v>
      </c>
      <c r="D1432">
        <v>16</v>
      </c>
      <c r="E1432">
        <v>13.49019</v>
      </c>
      <c r="F1432">
        <v>0.227894116115022</v>
      </c>
      <c r="G1432" t="s">
        <v>51</v>
      </c>
      <c r="H1432">
        <v>10</v>
      </c>
      <c r="I1432">
        <v>16</v>
      </c>
      <c r="J1432">
        <v>0.38916891948853</v>
      </c>
      <c r="K1432" t="b">
        <f t="shared" si="88"/>
        <v>1</v>
      </c>
      <c r="L1432">
        <f t="shared" si="89"/>
        <v>14.107253035603552</v>
      </c>
      <c r="M1432">
        <f t="shared" si="90"/>
        <v>56.429012142414209</v>
      </c>
      <c r="N1432">
        <f t="shared" si="91"/>
        <v>68.956252838030167</v>
      </c>
    </row>
    <row r="1433" spans="1:14" x14ac:dyDescent="0.35">
      <c r="A1433" t="s">
        <v>51</v>
      </c>
      <c r="B1433">
        <v>10</v>
      </c>
      <c r="C1433" t="s">
        <v>50</v>
      </c>
      <c r="D1433">
        <v>17</v>
      </c>
      <c r="E1433">
        <v>15.8991525</v>
      </c>
      <c r="F1433">
        <v>0.28418901513157202</v>
      </c>
      <c r="G1433" t="s">
        <v>51</v>
      </c>
      <c r="H1433">
        <v>10</v>
      </c>
      <c r="I1433">
        <v>17</v>
      </c>
      <c r="J1433">
        <v>0.47212954509299898</v>
      </c>
      <c r="K1433" t="b">
        <f t="shared" si="88"/>
        <v>1</v>
      </c>
      <c r="L1433">
        <f t="shared" si="89"/>
        <v>16.655471060224571</v>
      </c>
      <c r="M1433">
        <f t="shared" si="90"/>
        <v>66.621884240898282</v>
      </c>
      <c r="N1433">
        <f t="shared" si="91"/>
        <v>81.411942542377702</v>
      </c>
    </row>
    <row r="1434" spans="1:14" x14ac:dyDescent="0.35">
      <c r="A1434" t="s">
        <v>51</v>
      </c>
      <c r="B1434">
        <v>10</v>
      </c>
      <c r="C1434" t="s">
        <v>50</v>
      </c>
      <c r="D1434">
        <v>18</v>
      </c>
      <c r="E1434">
        <v>18.308115000000001</v>
      </c>
      <c r="F1434">
        <v>0.34836047967762401</v>
      </c>
      <c r="G1434" t="s">
        <v>51</v>
      </c>
      <c r="H1434">
        <v>10</v>
      </c>
      <c r="I1434">
        <v>18</v>
      </c>
      <c r="J1434">
        <v>0.55986330201249301</v>
      </c>
      <c r="K1434" t="b">
        <f t="shared" si="88"/>
        <v>1</v>
      </c>
      <c r="L1434">
        <f t="shared" si="89"/>
        <v>19.216338781690116</v>
      </c>
      <c r="M1434">
        <f t="shared" si="90"/>
        <v>76.865355126760463</v>
      </c>
      <c r="N1434">
        <f t="shared" si="91"/>
        <v>93.929463964901288</v>
      </c>
    </row>
    <row r="1435" spans="1:14" x14ac:dyDescent="0.35">
      <c r="A1435" t="s">
        <v>51</v>
      </c>
      <c r="B1435">
        <v>10</v>
      </c>
      <c r="C1435" t="s">
        <v>50</v>
      </c>
      <c r="D1435">
        <v>19</v>
      </c>
      <c r="E1435">
        <v>20.717077499999998</v>
      </c>
      <c r="F1435">
        <v>0.420172212787296</v>
      </c>
      <c r="G1435" t="s">
        <v>51</v>
      </c>
      <c r="H1435">
        <v>10</v>
      </c>
      <c r="I1435">
        <v>19</v>
      </c>
      <c r="J1435">
        <v>0.65096224272952197</v>
      </c>
      <c r="K1435" t="b">
        <f t="shared" si="88"/>
        <v>1</v>
      </c>
      <c r="L1435">
        <f t="shared" si="89"/>
        <v>21.788211955516818</v>
      </c>
      <c r="M1435">
        <f t="shared" si="90"/>
        <v>87.152847822067272</v>
      </c>
      <c r="N1435">
        <f t="shared" si="91"/>
        <v>106.50078003856621</v>
      </c>
    </row>
    <row r="1436" spans="1:14" x14ac:dyDescent="0.35">
      <c r="A1436" t="s">
        <v>51</v>
      </c>
      <c r="B1436">
        <v>10</v>
      </c>
      <c r="C1436" t="s">
        <v>50</v>
      </c>
      <c r="D1436">
        <v>20</v>
      </c>
      <c r="E1436">
        <v>23.12604</v>
      </c>
      <c r="F1436">
        <v>0.49939500640367701</v>
      </c>
      <c r="G1436" t="s">
        <v>51</v>
      </c>
      <c r="H1436">
        <v>10</v>
      </c>
      <c r="I1436">
        <v>20</v>
      </c>
      <c r="J1436">
        <v>0.74448268126108996</v>
      </c>
      <c r="K1436" t="b">
        <f t="shared" si="88"/>
        <v>1</v>
      </c>
      <c r="L1436">
        <f t="shared" si="89"/>
        <v>24.369917687664767</v>
      </c>
      <c r="M1436">
        <f t="shared" si="90"/>
        <v>97.479670750659068</v>
      </c>
      <c r="N1436">
        <f t="shared" si="91"/>
        <v>119.12015765730538</v>
      </c>
    </row>
    <row r="1437" spans="1:14" x14ac:dyDescent="0.35">
      <c r="A1437" t="s">
        <v>51</v>
      </c>
      <c r="B1437">
        <v>10</v>
      </c>
      <c r="C1437" t="s">
        <v>50</v>
      </c>
      <c r="D1437">
        <v>21</v>
      </c>
      <c r="E1437">
        <v>26.551853999999999</v>
      </c>
      <c r="F1437">
        <v>0.58984420221156697</v>
      </c>
      <c r="G1437" t="s">
        <v>51</v>
      </c>
      <c r="H1437">
        <v>10</v>
      </c>
      <c r="I1437">
        <v>21</v>
      </c>
      <c r="J1437">
        <v>0.853520628291489</v>
      </c>
      <c r="K1437" t="b">
        <f t="shared" si="88"/>
        <v>1</v>
      </c>
      <c r="L1437">
        <f t="shared" si="89"/>
        <v>27.995218830503052</v>
      </c>
      <c r="M1437">
        <f t="shared" si="90"/>
        <v>111.98087532201221</v>
      </c>
      <c r="N1437">
        <f t="shared" si="91"/>
        <v>136.84062964349891</v>
      </c>
    </row>
    <row r="1438" spans="1:14" x14ac:dyDescent="0.35">
      <c r="A1438" t="s">
        <v>51</v>
      </c>
      <c r="B1438">
        <v>10</v>
      </c>
      <c r="C1438" t="s">
        <v>50</v>
      </c>
      <c r="D1438">
        <v>22</v>
      </c>
      <c r="E1438">
        <v>29.977667999999898</v>
      </c>
      <c r="F1438">
        <v>0.69118300814522005</v>
      </c>
      <c r="G1438" t="s">
        <v>51</v>
      </c>
      <c r="H1438">
        <v>10</v>
      </c>
      <c r="I1438">
        <v>22</v>
      </c>
      <c r="J1438">
        <v>0.97270747210950903</v>
      </c>
      <c r="K1438" t="b">
        <f t="shared" si="88"/>
        <v>1</v>
      </c>
      <c r="L1438">
        <f t="shared" si="89"/>
        <v>31.641558480254627</v>
      </c>
      <c r="M1438">
        <f t="shared" si="90"/>
        <v>126.56623392101851</v>
      </c>
      <c r="N1438">
        <f t="shared" si="91"/>
        <v>154.6639378514846</v>
      </c>
    </row>
    <row r="1439" spans="1:14" x14ac:dyDescent="0.35">
      <c r="A1439" t="s">
        <v>51</v>
      </c>
      <c r="B1439">
        <v>10</v>
      </c>
      <c r="C1439" t="s">
        <v>50</v>
      </c>
      <c r="D1439">
        <v>23</v>
      </c>
      <c r="E1439">
        <v>33.403481999999997</v>
      </c>
      <c r="F1439">
        <v>0.80308473590086304</v>
      </c>
      <c r="G1439" t="s">
        <v>51</v>
      </c>
      <c r="H1439">
        <v>10</v>
      </c>
      <c r="I1439">
        <v>23</v>
      </c>
      <c r="J1439">
        <v>1.0986997047539699</v>
      </c>
      <c r="K1439" t="b">
        <f t="shared" si="88"/>
        <v>1</v>
      </c>
      <c r="L1439">
        <f t="shared" si="89"/>
        <v>35.305266440654826</v>
      </c>
      <c r="M1439">
        <f t="shared" si="90"/>
        <v>141.2210657626193</v>
      </c>
      <c r="N1439">
        <f t="shared" si="91"/>
        <v>172.57214236192078</v>
      </c>
    </row>
    <row r="1440" spans="1:14" x14ac:dyDescent="0.35">
      <c r="A1440" t="s">
        <v>51</v>
      </c>
      <c r="B1440">
        <v>10</v>
      </c>
      <c r="C1440" t="s">
        <v>50</v>
      </c>
      <c r="D1440">
        <v>24</v>
      </c>
      <c r="E1440">
        <v>36.829295999999999</v>
      </c>
      <c r="F1440">
        <v>0.92523249782383699</v>
      </c>
      <c r="G1440" t="s">
        <v>51</v>
      </c>
      <c r="H1440">
        <v>10</v>
      </c>
      <c r="I1440">
        <v>24</v>
      </c>
      <c r="J1440">
        <v>1.22936898026115</v>
      </c>
      <c r="K1440" t="b">
        <f t="shared" si="88"/>
        <v>1</v>
      </c>
      <c r="L1440">
        <f t="shared" si="89"/>
        <v>38.983897478084984</v>
      </c>
      <c r="M1440">
        <f t="shared" si="90"/>
        <v>155.93558991233994</v>
      </c>
      <c r="N1440">
        <f t="shared" si="91"/>
        <v>190.55329087287939</v>
      </c>
    </row>
    <row r="1441" spans="1:14" x14ac:dyDescent="0.35">
      <c r="A1441" t="s">
        <v>51</v>
      </c>
      <c r="B1441">
        <v>10</v>
      </c>
      <c r="C1441" t="s">
        <v>50</v>
      </c>
      <c r="D1441">
        <v>25</v>
      </c>
      <c r="E1441">
        <v>40.255110000000002</v>
      </c>
      <c r="F1441">
        <v>1.0573189128891201</v>
      </c>
      <c r="G1441" t="s">
        <v>51</v>
      </c>
      <c r="H1441">
        <v>10</v>
      </c>
      <c r="I1441">
        <v>25</v>
      </c>
      <c r="J1441">
        <v>1.3633277057273701</v>
      </c>
      <c r="K1441" t="b">
        <f t="shared" si="88"/>
        <v>1</v>
      </c>
      <c r="L1441">
        <f t="shared" si="89"/>
        <v>42.675756618616496</v>
      </c>
      <c r="M1441">
        <f t="shared" si="90"/>
        <v>170.70302647446599</v>
      </c>
      <c r="N1441">
        <f t="shared" si="91"/>
        <v>208.59909835179744</v>
      </c>
    </row>
    <row r="1442" spans="1:14" x14ac:dyDescent="0.35">
      <c r="A1442" t="s">
        <v>51</v>
      </c>
      <c r="B1442">
        <v>10</v>
      </c>
      <c r="C1442" t="s">
        <v>50</v>
      </c>
      <c r="D1442">
        <v>26</v>
      </c>
      <c r="E1442">
        <v>44.499671999999997</v>
      </c>
      <c r="F1442">
        <v>1.20229687350245</v>
      </c>
      <c r="G1442" t="s">
        <v>51</v>
      </c>
      <c r="H1442">
        <v>10</v>
      </c>
      <c r="I1442">
        <v>26</v>
      </c>
      <c r="J1442">
        <v>1.5107150290010101</v>
      </c>
      <c r="K1442" t="b">
        <f t="shared" si="88"/>
        <v>1</v>
      </c>
      <c r="L1442">
        <f t="shared" si="89"/>
        <v>47.212683902503457</v>
      </c>
      <c r="M1442">
        <f t="shared" si="90"/>
        <v>188.85073561001383</v>
      </c>
      <c r="N1442">
        <f t="shared" si="91"/>
        <v>230.77559891543689</v>
      </c>
    </row>
    <row r="1443" spans="1:14" x14ac:dyDescent="0.35">
      <c r="A1443" t="s">
        <v>51</v>
      </c>
      <c r="B1443">
        <v>10</v>
      </c>
      <c r="C1443" t="s">
        <v>50</v>
      </c>
      <c r="D1443">
        <v>27</v>
      </c>
      <c r="E1443">
        <v>48.744233999999999</v>
      </c>
      <c r="F1443">
        <v>1.3597796332973799</v>
      </c>
      <c r="G1443" t="s">
        <v>51</v>
      </c>
      <c r="H1443">
        <v>10</v>
      </c>
      <c r="I1443">
        <v>27</v>
      </c>
      <c r="J1443">
        <v>1.66693979145543</v>
      </c>
      <c r="K1443" t="b">
        <f t="shared" si="88"/>
        <v>1</v>
      </c>
      <c r="L1443">
        <f t="shared" si="89"/>
        <v>51.770953424752804</v>
      </c>
      <c r="M1443">
        <f t="shared" si="90"/>
        <v>207.08381369901122</v>
      </c>
      <c r="N1443">
        <f t="shared" si="91"/>
        <v>253.05642034019169</v>
      </c>
    </row>
    <row r="1444" spans="1:14" x14ac:dyDescent="0.35">
      <c r="A1444" t="s">
        <v>51</v>
      </c>
      <c r="B1444">
        <v>10</v>
      </c>
      <c r="C1444" t="s">
        <v>50</v>
      </c>
      <c r="D1444">
        <v>28</v>
      </c>
      <c r="E1444">
        <v>52.768406006478997</v>
      </c>
      <c r="F1444">
        <v>1.72688081494879</v>
      </c>
      <c r="G1444" t="s">
        <v>51</v>
      </c>
      <c r="H1444">
        <v>10</v>
      </c>
      <c r="I1444">
        <v>28</v>
      </c>
      <c r="J1444">
        <v>1.82614873726808</v>
      </c>
      <c r="K1444" t="b">
        <f t="shared" si="88"/>
        <v>1</v>
      </c>
      <c r="L1444">
        <f t="shared" si="89"/>
        <v>56.321435558695867</v>
      </c>
      <c r="M1444">
        <f t="shared" si="90"/>
        <v>225.28574223478347</v>
      </c>
      <c r="N1444">
        <f t="shared" si="91"/>
        <v>275.2991770109054</v>
      </c>
    </row>
    <row r="1445" spans="1:14" x14ac:dyDescent="0.35">
      <c r="A1445" t="s">
        <v>51</v>
      </c>
      <c r="B1445">
        <v>10</v>
      </c>
      <c r="C1445" t="s">
        <v>50</v>
      </c>
      <c r="D1445">
        <v>29</v>
      </c>
      <c r="E1445">
        <v>56.691227495081598</v>
      </c>
      <c r="F1445">
        <v>2.1869964679754901</v>
      </c>
      <c r="G1445" t="s">
        <v>51</v>
      </c>
      <c r="H1445">
        <v>10</v>
      </c>
      <c r="I1445">
        <v>29</v>
      </c>
      <c r="J1445">
        <v>1.98619636216588</v>
      </c>
      <c r="K1445" t="b">
        <f t="shared" si="88"/>
        <v>1</v>
      </c>
      <c r="L1445">
        <f t="shared" si="89"/>
        <v>60.864420325222966</v>
      </c>
      <c r="M1445">
        <f t="shared" si="90"/>
        <v>243.45768130089186</v>
      </c>
      <c r="N1445">
        <f t="shared" si="91"/>
        <v>297.50528654968986</v>
      </c>
    </row>
    <row r="1446" spans="1:14" x14ac:dyDescent="0.35">
      <c r="A1446" t="s">
        <v>51</v>
      </c>
      <c r="B1446">
        <v>10</v>
      </c>
      <c r="C1446" t="s">
        <v>50</v>
      </c>
      <c r="D1446">
        <v>30</v>
      </c>
      <c r="E1446">
        <v>60.536409665175199</v>
      </c>
      <c r="F1446">
        <v>2.7145476585752499</v>
      </c>
      <c r="G1446" t="s">
        <v>51</v>
      </c>
      <c r="H1446">
        <v>10</v>
      </c>
      <c r="I1446">
        <v>30</v>
      </c>
      <c r="J1446">
        <v>2.1459693687563002</v>
      </c>
      <c r="K1446" t="b">
        <f t="shared" si="88"/>
        <v>1</v>
      </c>
      <c r="L1446">
        <f t="shared" si="89"/>
        <v>65.396926692506753</v>
      </c>
      <c r="M1446">
        <f t="shared" si="90"/>
        <v>261.58770677002701</v>
      </c>
      <c r="N1446">
        <f t="shared" si="91"/>
        <v>319.66017767297302</v>
      </c>
    </row>
    <row r="1447" spans="1:14" x14ac:dyDescent="0.35">
      <c r="A1447" t="s">
        <v>51</v>
      </c>
      <c r="B1447">
        <v>10</v>
      </c>
      <c r="C1447" t="s">
        <v>50</v>
      </c>
      <c r="D1447">
        <v>31</v>
      </c>
      <c r="E1447">
        <v>64.8342660175677</v>
      </c>
      <c r="F1447">
        <v>3.2901701459996602</v>
      </c>
      <c r="G1447" t="s">
        <v>51</v>
      </c>
      <c r="H1447">
        <v>10</v>
      </c>
      <c r="I1447">
        <v>31</v>
      </c>
      <c r="J1447">
        <v>2.3118595303046101</v>
      </c>
      <c r="K1447" t="b">
        <f t="shared" si="88"/>
        <v>1</v>
      </c>
      <c r="L1447">
        <f t="shared" si="89"/>
        <v>70.436295693871983</v>
      </c>
      <c r="M1447">
        <f t="shared" si="90"/>
        <v>281.74518277548793</v>
      </c>
      <c r="N1447">
        <f t="shared" si="91"/>
        <v>344.29261335164625</v>
      </c>
    </row>
    <row r="1448" spans="1:14" x14ac:dyDescent="0.35">
      <c r="A1448" t="s">
        <v>51</v>
      </c>
      <c r="B1448">
        <v>10</v>
      </c>
      <c r="C1448" t="s">
        <v>50</v>
      </c>
      <c r="D1448">
        <v>32</v>
      </c>
      <c r="E1448">
        <v>69.073323430870104</v>
      </c>
      <c r="F1448">
        <v>3.9130939634756601</v>
      </c>
      <c r="G1448" t="s">
        <v>51</v>
      </c>
      <c r="H1448">
        <v>10</v>
      </c>
      <c r="I1448">
        <v>32</v>
      </c>
      <c r="J1448">
        <v>2.48100624772131</v>
      </c>
      <c r="K1448" t="b">
        <f t="shared" si="88"/>
        <v>1</v>
      </c>
      <c r="L1448">
        <f t="shared" si="89"/>
        <v>75.467423642067075</v>
      </c>
      <c r="M1448">
        <f t="shared" si="90"/>
        <v>301.8696945682683</v>
      </c>
      <c r="N1448">
        <f t="shared" si="91"/>
        <v>368.88476676242385</v>
      </c>
    </row>
    <row r="1449" spans="1:14" x14ac:dyDescent="0.35">
      <c r="A1449" t="s">
        <v>51</v>
      </c>
      <c r="B1449">
        <v>10</v>
      </c>
      <c r="C1449" t="s">
        <v>50</v>
      </c>
      <c r="D1449">
        <v>33</v>
      </c>
      <c r="E1449">
        <v>73.251603118211705</v>
      </c>
      <c r="F1449">
        <v>4.5829537187900797</v>
      </c>
      <c r="G1449" t="s">
        <v>51</v>
      </c>
      <c r="H1449">
        <v>10</v>
      </c>
      <c r="I1449">
        <v>33</v>
      </c>
      <c r="J1449">
        <v>2.6515716486997798</v>
      </c>
      <c r="K1449" t="b">
        <f t="shared" si="88"/>
        <v>1</v>
      </c>
      <c r="L1449">
        <f t="shared" si="89"/>
        <v>80.48612848570157</v>
      </c>
      <c r="M1449">
        <f t="shared" si="90"/>
        <v>321.94451394280628</v>
      </c>
      <c r="N1449">
        <f t="shared" si="91"/>
        <v>393.41619603810926</v>
      </c>
    </row>
    <row r="1450" spans="1:14" x14ac:dyDescent="0.35">
      <c r="A1450" t="s">
        <v>51</v>
      </c>
      <c r="B1450">
        <v>10</v>
      </c>
      <c r="C1450" t="s">
        <v>50</v>
      </c>
      <c r="D1450">
        <v>34</v>
      </c>
      <c r="E1450">
        <v>77.367073875042905</v>
      </c>
      <c r="F1450">
        <v>5.2994329093763204</v>
      </c>
      <c r="G1450" t="s">
        <v>51</v>
      </c>
      <c r="H1450">
        <v>10</v>
      </c>
      <c r="I1450">
        <v>34</v>
      </c>
      <c r="J1450">
        <v>2.8223371505600099</v>
      </c>
      <c r="K1450" t="b">
        <f t="shared" si="88"/>
        <v>1</v>
      </c>
      <c r="L1450">
        <f t="shared" si="89"/>
        <v>85.488843934979229</v>
      </c>
      <c r="M1450">
        <f t="shared" si="90"/>
        <v>341.95537573991692</v>
      </c>
      <c r="N1450">
        <f t="shared" si="91"/>
        <v>417.86946915417849</v>
      </c>
    </row>
    <row r="1451" spans="1:14" x14ac:dyDescent="0.35">
      <c r="A1451" t="s">
        <v>51</v>
      </c>
      <c r="B1451">
        <v>10</v>
      </c>
      <c r="C1451" t="s">
        <v>50</v>
      </c>
      <c r="D1451">
        <v>35</v>
      </c>
      <c r="E1451">
        <v>81.417828361262707</v>
      </c>
      <c r="F1451">
        <v>6.0621036792248901</v>
      </c>
      <c r="G1451" t="s">
        <v>51</v>
      </c>
      <c r="H1451">
        <v>10</v>
      </c>
      <c r="I1451">
        <v>35</v>
      </c>
      <c r="J1451">
        <v>2.99246799754322</v>
      </c>
      <c r="K1451" t="b">
        <f t="shared" si="88"/>
        <v>1</v>
      </c>
      <c r="L1451">
        <f t="shared" si="89"/>
        <v>90.472400038030813</v>
      </c>
      <c r="M1451">
        <f t="shared" si="90"/>
        <v>361.88960015212325</v>
      </c>
      <c r="N1451">
        <f t="shared" si="91"/>
        <v>442.22909138589461</v>
      </c>
    </row>
    <row r="1452" spans="1:14" x14ac:dyDescent="0.35">
      <c r="A1452" t="s">
        <v>51</v>
      </c>
      <c r="B1452">
        <v>10</v>
      </c>
      <c r="C1452" t="s">
        <v>50</v>
      </c>
      <c r="D1452">
        <v>36</v>
      </c>
      <c r="E1452">
        <v>85.754182927711099</v>
      </c>
      <c r="F1452">
        <v>6.8005603224351896</v>
      </c>
      <c r="G1452" t="s">
        <v>51</v>
      </c>
      <c r="H1452">
        <v>10</v>
      </c>
      <c r="I1452">
        <v>36</v>
      </c>
      <c r="J1452">
        <v>3.16613209461747</v>
      </c>
      <c r="K1452" t="b">
        <f t="shared" si="88"/>
        <v>1</v>
      </c>
      <c r="L1452">
        <f t="shared" si="89"/>
        <v>95.720875344763755</v>
      </c>
      <c r="M1452">
        <f t="shared" si="90"/>
        <v>382.88350137905502</v>
      </c>
      <c r="N1452">
        <f t="shared" si="91"/>
        <v>467.8836386852052</v>
      </c>
    </row>
    <row r="1453" spans="1:14" x14ac:dyDescent="0.35">
      <c r="A1453" t="s">
        <v>51</v>
      </c>
      <c r="B1453">
        <v>10</v>
      </c>
      <c r="C1453" t="s">
        <v>50</v>
      </c>
      <c r="D1453">
        <v>37</v>
      </c>
      <c r="E1453">
        <v>90.061311667538902</v>
      </c>
      <c r="F1453">
        <v>7.55364222955708</v>
      </c>
      <c r="G1453" t="s">
        <v>51</v>
      </c>
      <c r="H1453">
        <v>10</v>
      </c>
      <c r="I1453">
        <v>37</v>
      </c>
      <c r="J1453">
        <v>3.34172195046443</v>
      </c>
      <c r="K1453" t="b">
        <f t="shared" si="88"/>
        <v>1</v>
      </c>
      <c r="L1453">
        <f t="shared" si="89"/>
        <v>100.95667584756042</v>
      </c>
      <c r="M1453">
        <f t="shared" si="90"/>
        <v>403.82670339024168</v>
      </c>
      <c r="N1453">
        <f t="shared" si="91"/>
        <v>493.47623154287533</v>
      </c>
    </row>
    <row r="1454" spans="1:14" x14ac:dyDescent="0.35">
      <c r="A1454" t="s">
        <v>51</v>
      </c>
      <c r="B1454">
        <v>10</v>
      </c>
      <c r="C1454" t="s">
        <v>50</v>
      </c>
      <c r="D1454">
        <v>38</v>
      </c>
      <c r="E1454">
        <v>94.320275576031307</v>
      </c>
      <c r="F1454">
        <v>8.3377215596887808</v>
      </c>
      <c r="G1454" t="s">
        <v>51</v>
      </c>
      <c r="H1454">
        <v>10</v>
      </c>
      <c r="I1454">
        <v>38</v>
      </c>
      <c r="J1454">
        <v>3.5179699112984899</v>
      </c>
      <c r="K1454" t="b">
        <f t="shared" si="88"/>
        <v>1</v>
      </c>
      <c r="L1454">
        <f t="shared" si="89"/>
        <v>106.17596704701857</v>
      </c>
      <c r="M1454">
        <f t="shared" si="90"/>
        <v>424.7038681880743</v>
      </c>
      <c r="N1454">
        <f t="shared" si="91"/>
        <v>518.9881269258268</v>
      </c>
    </row>
    <row r="1455" spans="1:14" x14ac:dyDescent="0.35">
      <c r="A1455" t="s">
        <v>51</v>
      </c>
      <c r="B1455">
        <v>10</v>
      </c>
      <c r="C1455" t="s">
        <v>50</v>
      </c>
      <c r="D1455">
        <v>39</v>
      </c>
      <c r="E1455">
        <v>98.522308423376103</v>
      </c>
      <c r="F1455">
        <v>9.1592524274016096</v>
      </c>
      <c r="G1455" t="s">
        <v>51</v>
      </c>
      <c r="H1455">
        <v>10</v>
      </c>
      <c r="I1455">
        <v>39</v>
      </c>
      <c r="J1455">
        <v>3.6939415160364599</v>
      </c>
      <c r="K1455" t="b">
        <f t="shared" si="88"/>
        <v>1</v>
      </c>
      <c r="L1455">
        <f t="shared" si="89"/>
        <v>111.37550236681417</v>
      </c>
      <c r="M1455">
        <f t="shared" si="90"/>
        <v>445.5020094672567</v>
      </c>
      <c r="N1455">
        <f t="shared" si="91"/>
        <v>544.40345556898762</v>
      </c>
    </row>
    <row r="1456" spans="1:14" x14ac:dyDescent="0.35">
      <c r="A1456" t="s">
        <v>51</v>
      </c>
      <c r="B1456">
        <v>10</v>
      </c>
      <c r="C1456" t="s">
        <v>50</v>
      </c>
      <c r="D1456">
        <v>40</v>
      </c>
      <c r="E1456">
        <v>102.663097046286</v>
      </c>
      <c r="F1456">
        <v>10.0203736043083</v>
      </c>
      <c r="G1456" t="s">
        <v>51</v>
      </c>
      <c r="H1456">
        <v>10</v>
      </c>
      <c r="I1456">
        <v>40</v>
      </c>
      <c r="J1456">
        <v>3.86896406060547</v>
      </c>
      <c r="K1456" t="b">
        <f t="shared" si="88"/>
        <v>1</v>
      </c>
      <c r="L1456">
        <f t="shared" si="89"/>
        <v>116.55243471119977</v>
      </c>
      <c r="M1456">
        <f t="shared" si="90"/>
        <v>466.20973884479906</v>
      </c>
      <c r="N1456">
        <f t="shared" si="91"/>
        <v>569.70830086834439</v>
      </c>
    </row>
    <row r="1457" spans="1:14" x14ac:dyDescent="0.35">
      <c r="A1457" t="s">
        <v>51</v>
      </c>
      <c r="B1457">
        <v>10</v>
      </c>
      <c r="C1457" t="s">
        <v>50</v>
      </c>
      <c r="D1457">
        <v>41</v>
      </c>
      <c r="E1457">
        <v>106.94391866823899</v>
      </c>
      <c r="F1457">
        <v>10.8229145329882</v>
      </c>
      <c r="G1457" t="s">
        <v>51</v>
      </c>
      <c r="H1457">
        <v>10</v>
      </c>
      <c r="I1457">
        <v>41</v>
      </c>
      <c r="J1457">
        <v>4.0453064628051196</v>
      </c>
      <c r="K1457" t="b">
        <f t="shared" si="88"/>
        <v>1</v>
      </c>
      <c r="L1457">
        <f t="shared" si="89"/>
        <v>121.81213966403232</v>
      </c>
      <c r="M1457">
        <f t="shared" si="90"/>
        <v>487.24855865612926</v>
      </c>
      <c r="N1457">
        <f t="shared" si="91"/>
        <v>595.41773867779</v>
      </c>
    </row>
    <row r="1458" spans="1:14" x14ac:dyDescent="0.35">
      <c r="A1458" t="s">
        <v>51</v>
      </c>
      <c r="B1458">
        <v>10</v>
      </c>
      <c r="C1458" t="s">
        <v>50</v>
      </c>
      <c r="D1458">
        <v>42</v>
      </c>
      <c r="E1458">
        <v>111.211065792733</v>
      </c>
      <c r="F1458">
        <v>11.623853342262301</v>
      </c>
      <c r="G1458" t="s">
        <v>51</v>
      </c>
      <c r="H1458">
        <v>10</v>
      </c>
      <c r="I1458">
        <v>42</v>
      </c>
      <c r="J1458">
        <v>4.22232847218954</v>
      </c>
      <c r="K1458" t="b">
        <f t="shared" si="88"/>
        <v>1</v>
      </c>
      <c r="L1458">
        <f t="shared" si="89"/>
        <v>127.05724760718483</v>
      </c>
      <c r="M1458">
        <f t="shared" si="90"/>
        <v>508.22899042873934</v>
      </c>
      <c r="N1458">
        <f t="shared" si="91"/>
        <v>621.0558263039195</v>
      </c>
    </row>
    <row r="1459" spans="1:14" x14ac:dyDescent="0.35">
      <c r="A1459" t="s">
        <v>51</v>
      </c>
      <c r="B1459">
        <v>10</v>
      </c>
      <c r="C1459" t="s">
        <v>50</v>
      </c>
      <c r="D1459">
        <v>43</v>
      </c>
      <c r="E1459">
        <v>115.439384768777</v>
      </c>
      <c r="F1459">
        <v>12.445882137964899</v>
      </c>
      <c r="G1459" t="s">
        <v>51</v>
      </c>
      <c r="H1459">
        <v>10</v>
      </c>
      <c r="I1459">
        <v>43</v>
      </c>
      <c r="J1459">
        <v>4.3992873721320596</v>
      </c>
      <c r="K1459" t="b">
        <f t="shared" si="88"/>
        <v>1</v>
      </c>
      <c r="L1459">
        <f t="shared" si="89"/>
        <v>132.28455427887397</v>
      </c>
      <c r="M1459">
        <f t="shared" si="90"/>
        <v>529.13821711549588</v>
      </c>
      <c r="N1459">
        <f t="shared" si="91"/>
        <v>646.60690131513593</v>
      </c>
    </row>
    <row r="1460" spans="1:14" x14ac:dyDescent="0.35">
      <c r="A1460" t="s">
        <v>51</v>
      </c>
      <c r="B1460">
        <v>10</v>
      </c>
      <c r="C1460" t="s">
        <v>50</v>
      </c>
      <c r="D1460">
        <v>44</v>
      </c>
      <c r="E1460">
        <v>119.61830859516699</v>
      </c>
      <c r="F1460">
        <v>13.2975174833055</v>
      </c>
      <c r="G1460" t="s">
        <v>51</v>
      </c>
      <c r="H1460">
        <v>10</v>
      </c>
      <c r="I1460">
        <v>44</v>
      </c>
      <c r="J1460">
        <v>4.57556267475782</v>
      </c>
      <c r="K1460" t="b">
        <f t="shared" si="88"/>
        <v>1</v>
      </c>
      <c r="L1460">
        <f t="shared" si="89"/>
        <v>137.49138875323032</v>
      </c>
      <c r="M1460">
        <f t="shared" si="90"/>
        <v>549.9655550129213</v>
      </c>
      <c r="N1460">
        <f t="shared" si="91"/>
        <v>672.05790822578979</v>
      </c>
    </row>
    <row r="1461" spans="1:14" x14ac:dyDescent="0.35">
      <c r="A1461" t="s">
        <v>51</v>
      </c>
      <c r="B1461">
        <v>10</v>
      </c>
      <c r="C1461" t="s">
        <v>50</v>
      </c>
      <c r="D1461">
        <v>45</v>
      </c>
      <c r="E1461">
        <v>123.743248527384</v>
      </c>
      <c r="F1461">
        <v>14.181496652186301</v>
      </c>
      <c r="G1461" t="s">
        <v>51</v>
      </c>
      <c r="H1461">
        <v>10</v>
      </c>
      <c r="I1461">
        <v>45</v>
      </c>
      <c r="J1461">
        <v>4.7506857732242302</v>
      </c>
      <c r="K1461" t="b">
        <f t="shared" si="88"/>
        <v>1</v>
      </c>
      <c r="L1461">
        <f t="shared" si="89"/>
        <v>142.67543095279453</v>
      </c>
      <c r="M1461">
        <f t="shared" si="90"/>
        <v>570.70172381117811</v>
      </c>
      <c r="N1461">
        <f t="shared" si="91"/>
        <v>697.39750649725966</v>
      </c>
    </row>
    <row r="1462" spans="1:14" x14ac:dyDescent="0.35">
      <c r="A1462" t="s">
        <v>51</v>
      </c>
      <c r="B1462">
        <v>10</v>
      </c>
      <c r="C1462" t="s">
        <v>50</v>
      </c>
      <c r="D1462">
        <v>46</v>
      </c>
      <c r="E1462">
        <v>127.89586216823599</v>
      </c>
      <c r="F1462">
        <v>14.9908076416413</v>
      </c>
      <c r="G1462" t="s">
        <v>51</v>
      </c>
      <c r="H1462">
        <v>10</v>
      </c>
      <c r="I1462">
        <v>46</v>
      </c>
      <c r="J1462">
        <v>4.92544738473027</v>
      </c>
      <c r="K1462" t="b">
        <f t="shared" si="88"/>
        <v>1</v>
      </c>
      <c r="L1462">
        <f t="shared" si="89"/>
        <v>147.81211719460757</v>
      </c>
      <c r="M1462">
        <f t="shared" si="90"/>
        <v>591.24846877843027</v>
      </c>
      <c r="N1462">
        <f t="shared" si="91"/>
        <v>722.50562884724172</v>
      </c>
    </row>
    <row r="1463" spans="1:14" x14ac:dyDescent="0.35">
      <c r="A1463" t="s">
        <v>51</v>
      </c>
      <c r="B1463">
        <v>10</v>
      </c>
      <c r="C1463" t="s">
        <v>50</v>
      </c>
      <c r="D1463">
        <v>47</v>
      </c>
      <c r="E1463">
        <v>132.04400002768801</v>
      </c>
      <c r="F1463">
        <v>15.7900905681452</v>
      </c>
      <c r="G1463" t="s">
        <v>51</v>
      </c>
      <c r="H1463">
        <v>10</v>
      </c>
      <c r="I1463">
        <v>47</v>
      </c>
      <c r="J1463">
        <v>5.0999078510285303</v>
      </c>
      <c r="K1463" t="b">
        <f t="shared" si="88"/>
        <v>1</v>
      </c>
      <c r="L1463">
        <f t="shared" si="89"/>
        <v>152.93399844686172</v>
      </c>
      <c r="M1463">
        <f t="shared" si="90"/>
        <v>611.73599378744689</v>
      </c>
      <c r="N1463">
        <f t="shared" si="91"/>
        <v>747.54138440826011</v>
      </c>
    </row>
    <row r="1464" spans="1:14" x14ac:dyDescent="0.35">
      <c r="A1464" t="s">
        <v>51</v>
      </c>
      <c r="B1464">
        <v>10</v>
      </c>
      <c r="C1464" t="s">
        <v>50</v>
      </c>
      <c r="D1464">
        <v>48</v>
      </c>
      <c r="E1464">
        <v>136.16075062878099</v>
      </c>
      <c r="F1464">
        <v>16.6039915965255</v>
      </c>
      <c r="G1464" t="s">
        <v>51</v>
      </c>
      <c r="H1464">
        <v>10</v>
      </c>
      <c r="I1464">
        <v>48</v>
      </c>
      <c r="J1464">
        <v>5.2737409672807596</v>
      </c>
      <c r="K1464" t="b">
        <f t="shared" si="88"/>
        <v>1</v>
      </c>
      <c r="L1464">
        <f t="shared" si="89"/>
        <v>158.03848319258725</v>
      </c>
      <c r="M1464">
        <f t="shared" si="90"/>
        <v>632.153932770349</v>
      </c>
      <c r="N1464">
        <f t="shared" si="91"/>
        <v>772.4921058453665</v>
      </c>
    </row>
    <row r="1465" spans="1:14" x14ac:dyDescent="0.35">
      <c r="A1465" t="s">
        <v>51</v>
      </c>
      <c r="B1465">
        <v>10</v>
      </c>
      <c r="C1465" t="s">
        <v>50</v>
      </c>
      <c r="D1465">
        <v>49</v>
      </c>
      <c r="E1465">
        <v>140.23544890355501</v>
      </c>
      <c r="F1465">
        <v>17.441401998751299</v>
      </c>
      <c r="G1465" t="s">
        <v>51</v>
      </c>
      <c r="H1465">
        <v>10</v>
      </c>
      <c r="I1465">
        <v>49</v>
      </c>
      <c r="J1465">
        <v>5.4465927245073802</v>
      </c>
      <c r="K1465" t="b">
        <f t="shared" si="88"/>
        <v>1</v>
      </c>
      <c r="L1465">
        <f t="shared" si="89"/>
        <v>163.1234436268137</v>
      </c>
      <c r="M1465">
        <f t="shared" si="90"/>
        <v>652.49377450725478</v>
      </c>
      <c r="N1465">
        <f t="shared" si="91"/>
        <v>797.34739244786533</v>
      </c>
    </row>
    <row r="1466" spans="1:14" x14ac:dyDescent="0.35">
      <c r="A1466" t="s">
        <v>51</v>
      </c>
      <c r="B1466">
        <v>10</v>
      </c>
      <c r="C1466" t="s">
        <v>50</v>
      </c>
      <c r="D1466">
        <v>50</v>
      </c>
      <c r="E1466">
        <v>144.26378766170001</v>
      </c>
      <c r="F1466">
        <v>18.305077651427901</v>
      </c>
      <c r="G1466" t="s">
        <v>51</v>
      </c>
      <c r="H1466">
        <v>10</v>
      </c>
      <c r="I1466">
        <v>50</v>
      </c>
      <c r="J1466">
        <v>5.61817392569509</v>
      </c>
      <c r="K1466" t="b">
        <f t="shared" si="88"/>
        <v>1</v>
      </c>
      <c r="L1466">
        <f t="shared" si="89"/>
        <v>168.18703923882299</v>
      </c>
      <c r="M1466">
        <f t="shared" si="90"/>
        <v>672.74815695529196</v>
      </c>
      <c r="N1466">
        <f t="shared" si="91"/>
        <v>822.09824779936673</v>
      </c>
    </row>
    <row r="1467" spans="1:14" x14ac:dyDescent="0.35">
      <c r="A1467" t="s">
        <v>51</v>
      </c>
      <c r="B1467">
        <v>10</v>
      </c>
      <c r="C1467" t="s">
        <v>50</v>
      </c>
      <c r="D1467">
        <v>51</v>
      </c>
      <c r="E1467">
        <v>148.205342098514</v>
      </c>
      <c r="F1467">
        <v>19.094247718134501</v>
      </c>
      <c r="G1467" t="s">
        <v>51</v>
      </c>
      <c r="H1467">
        <v>10</v>
      </c>
      <c r="I1467">
        <v>51</v>
      </c>
      <c r="J1467">
        <v>5.7877462511345703</v>
      </c>
      <c r="K1467" t="b">
        <f t="shared" si="88"/>
        <v>1</v>
      </c>
      <c r="L1467">
        <f t="shared" si="89"/>
        <v>173.08733606778307</v>
      </c>
      <c r="M1467">
        <f t="shared" si="90"/>
        <v>692.34934427113228</v>
      </c>
      <c r="N1467">
        <f t="shared" si="91"/>
        <v>846.05089869932362</v>
      </c>
    </row>
    <row r="1468" spans="1:14" x14ac:dyDescent="0.35">
      <c r="A1468" t="s">
        <v>51</v>
      </c>
      <c r="B1468">
        <v>10</v>
      </c>
      <c r="C1468" t="s">
        <v>50</v>
      </c>
      <c r="D1468">
        <v>52</v>
      </c>
      <c r="E1468">
        <v>152.14488463936601</v>
      </c>
      <c r="F1468">
        <v>19.871714658821901</v>
      </c>
      <c r="G1468" t="s">
        <v>51</v>
      </c>
      <c r="H1468">
        <v>10</v>
      </c>
      <c r="I1468">
        <v>52</v>
      </c>
      <c r="J1468">
        <v>5.9559738646491001</v>
      </c>
      <c r="K1468" t="b">
        <f t="shared" si="88"/>
        <v>1</v>
      </c>
      <c r="L1468">
        <f t="shared" si="89"/>
        <v>177.97257316283702</v>
      </c>
      <c r="M1468">
        <f t="shared" si="90"/>
        <v>711.89029265134809</v>
      </c>
      <c r="N1468">
        <f t="shared" si="91"/>
        <v>869.9299376199474</v>
      </c>
    </row>
    <row r="1469" spans="1:14" x14ac:dyDescent="0.35">
      <c r="A1469" t="s">
        <v>51</v>
      </c>
      <c r="B1469">
        <v>10</v>
      </c>
      <c r="C1469" t="s">
        <v>50</v>
      </c>
      <c r="D1469">
        <v>53</v>
      </c>
      <c r="E1469">
        <v>156.057286354583</v>
      </c>
      <c r="F1469">
        <v>20.660580751787101</v>
      </c>
      <c r="G1469" t="s">
        <v>51</v>
      </c>
      <c r="H1469">
        <v>10</v>
      </c>
      <c r="I1469">
        <v>53</v>
      </c>
      <c r="J1469">
        <v>6.12293121028919</v>
      </c>
      <c r="K1469" t="b">
        <f t="shared" si="88"/>
        <v>1</v>
      </c>
      <c r="L1469">
        <f t="shared" si="89"/>
        <v>182.84079831665929</v>
      </c>
      <c r="M1469">
        <f t="shared" si="90"/>
        <v>731.36319326663715</v>
      </c>
      <c r="N1469">
        <f t="shared" si="91"/>
        <v>893.7258221718306</v>
      </c>
    </row>
    <row r="1470" spans="1:14" x14ac:dyDescent="0.35">
      <c r="A1470" t="s">
        <v>51</v>
      </c>
      <c r="B1470">
        <v>10</v>
      </c>
      <c r="C1470" t="s">
        <v>50</v>
      </c>
      <c r="D1470">
        <v>54</v>
      </c>
      <c r="E1470">
        <v>159.93297441175901</v>
      </c>
      <c r="F1470">
        <v>21.4688881008768</v>
      </c>
      <c r="G1470" t="s">
        <v>51</v>
      </c>
      <c r="H1470">
        <v>10</v>
      </c>
      <c r="I1470">
        <v>54</v>
      </c>
      <c r="J1470">
        <v>6.2885345811653401</v>
      </c>
      <c r="K1470" t="b">
        <f t="shared" si="88"/>
        <v>1</v>
      </c>
      <c r="L1470">
        <f t="shared" si="89"/>
        <v>187.69039709380115</v>
      </c>
      <c r="M1470">
        <f t="shared" si="90"/>
        <v>750.76158837520461</v>
      </c>
      <c r="N1470">
        <f t="shared" si="91"/>
        <v>917.43066099450004</v>
      </c>
    </row>
    <row r="1471" spans="1:14" x14ac:dyDescent="0.35">
      <c r="A1471" t="s">
        <v>51</v>
      </c>
      <c r="B1471">
        <v>10</v>
      </c>
      <c r="C1471" t="s">
        <v>50</v>
      </c>
      <c r="D1471">
        <v>55</v>
      </c>
      <c r="E1471">
        <v>163.76825144447599</v>
      </c>
      <c r="F1471">
        <v>22.2990184645173</v>
      </c>
      <c r="G1471" t="s">
        <v>51</v>
      </c>
      <c r="H1471">
        <v>10</v>
      </c>
      <c r="I1471">
        <v>55</v>
      </c>
      <c r="J1471">
        <v>6.4526794590037504</v>
      </c>
      <c r="K1471" t="b">
        <f t="shared" si="88"/>
        <v>1</v>
      </c>
      <c r="L1471">
        <f t="shared" si="89"/>
        <v>192.51994936799704</v>
      </c>
      <c r="M1471">
        <f t="shared" si="90"/>
        <v>770.07979747198817</v>
      </c>
      <c r="N1471">
        <f t="shared" si="91"/>
        <v>941.03751251076949</v>
      </c>
    </row>
    <row r="1472" spans="1:14" x14ac:dyDescent="0.35">
      <c r="A1472" t="s">
        <v>51</v>
      </c>
      <c r="B1472">
        <v>10</v>
      </c>
      <c r="C1472" t="s">
        <v>50</v>
      </c>
      <c r="D1472">
        <v>56</v>
      </c>
      <c r="E1472">
        <v>167.44670481323499</v>
      </c>
      <c r="F1472">
        <v>23.034450151791301</v>
      </c>
      <c r="G1472" t="s">
        <v>51</v>
      </c>
      <c r="H1472">
        <v>10</v>
      </c>
      <c r="I1472">
        <v>56</v>
      </c>
      <c r="J1472">
        <v>6.6137238031607204</v>
      </c>
      <c r="K1472" t="b">
        <f t="shared" si="88"/>
        <v>1</v>
      </c>
      <c r="L1472">
        <f t="shared" si="89"/>
        <v>197.09487876818702</v>
      </c>
      <c r="M1472">
        <f t="shared" si="90"/>
        <v>788.37951507274806</v>
      </c>
      <c r="N1472">
        <f t="shared" si="91"/>
        <v>963.39976741889814</v>
      </c>
    </row>
    <row r="1473" spans="1:14" x14ac:dyDescent="0.35">
      <c r="A1473" t="s">
        <v>51</v>
      </c>
      <c r="B1473">
        <v>10</v>
      </c>
      <c r="C1473" t="s">
        <v>50</v>
      </c>
      <c r="D1473">
        <v>57</v>
      </c>
      <c r="E1473">
        <v>171.133842617852</v>
      </c>
      <c r="F1473">
        <v>23.748834668858301</v>
      </c>
      <c r="G1473" t="s">
        <v>51</v>
      </c>
      <c r="H1473">
        <v>10</v>
      </c>
      <c r="I1473">
        <v>57</v>
      </c>
      <c r="J1473">
        <v>6.7728689683340804</v>
      </c>
      <c r="K1473" t="b">
        <f t="shared" si="88"/>
        <v>1</v>
      </c>
      <c r="L1473">
        <f t="shared" si="89"/>
        <v>201.65554625504438</v>
      </c>
      <c r="M1473">
        <f t="shared" si="90"/>
        <v>806.62218502017754</v>
      </c>
      <c r="N1473">
        <f t="shared" si="91"/>
        <v>985.69231009465693</v>
      </c>
    </row>
    <row r="1474" spans="1:14" x14ac:dyDescent="0.35">
      <c r="A1474" t="s">
        <v>51</v>
      </c>
      <c r="B1474">
        <v>10</v>
      </c>
      <c r="C1474" t="s">
        <v>50</v>
      </c>
      <c r="D1474">
        <v>58</v>
      </c>
      <c r="E1474">
        <v>174.76151179537101</v>
      </c>
      <c r="F1474">
        <v>24.4686264618095</v>
      </c>
      <c r="G1474" t="s">
        <v>51</v>
      </c>
      <c r="H1474">
        <v>10</v>
      </c>
      <c r="I1474">
        <v>58</v>
      </c>
      <c r="J1474">
        <v>6.9304849365508998</v>
      </c>
      <c r="K1474" t="b">
        <f t="shared" si="88"/>
        <v>1</v>
      </c>
      <c r="L1474">
        <f t="shared" si="89"/>
        <v>206.1606231937314</v>
      </c>
      <c r="M1474">
        <f t="shared" si="90"/>
        <v>824.64249277492559</v>
      </c>
      <c r="N1474">
        <f t="shared" si="91"/>
        <v>1007.7131261709591</v>
      </c>
    </row>
    <row r="1475" spans="1:14" x14ac:dyDescent="0.35">
      <c r="A1475" t="s">
        <v>51</v>
      </c>
      <c r="B1475">
        <v>10</v>
      </c>
      <c r="C1475" t="s">
        <v>50</v>
      </c>
      <c r="D1475">
        <v>59</v>
      </c>
      <c r="E1475">
        <v>178.36096710864399</v>
      </c>
      <c r="F1475">
        <v>25.202902911403601</v>
      </c>
      <c r="G1475" t="s">
        <v>51</v>
      </c>
      <c r="H1475">
        <v>10</v>
      </c>
      <c r="I1475">
        <v>59</v>
      </c>
      <c r="J1475">
        <v>7.0866679308070903</v>
      </c>
      <c r="K1475" t="b">
        <f t="shared" ref="K1475:K1538" si="92">H1475=B1475</f>
        <v>1</v>
      </c>
      <c r="L1475">
        <f t="shared" ref="L1475:L1538" si="93">E1475+F1475+J1475</f>
        <v>210.6505379508547</v>
      </c>
      <c r="M1475">
        <f t="shared" ref="M1475:M1538" si="94">(L1475*2)*(100/50)</f>
        <v>842.60215180341879</v>
      </c>
      <c r="N1475">
        <f t="shared" ref="N1475:N1538" si="95">M1475*1.222</f>
        <v>1029.6598295037777</v>
      </c>
    </row>
    <row r="1476" spans="1:14" x14ac:dyDescent="0.35">
      <c r="A1476" t="s">
        <v>51</v>
      </c>
      <c r="B1476">
        <v>10</v>
      </c>
      <c r="C1476" t="s">
        <v>50</v>
      </c>
      <c r="D1476">
        <v>60</v>
      </c>
      <c r="E1476">
        <v>181.92841167083</v>
      </c>
      <c r="F1476">
        <v>25.954397967282901</v>
      </c>
      <c r="G1476" t="s">
        <v>51</v>
      </c>
      <c r="H1476">
        <v>10</v>
      </c>
      <c r="I1476">
        <v>60</v>
      </c>
      <c r="J1476">
        <v>7.24143121862679</v>
      </c>
      <c r="K1476" t="b">
        <f t="shared" si="92"/>
        <v>1</v>
      </c>
      <c r="L1476">
        <f t="shared" si="93"/>
        <v>215.1242408567397</v>
      </c>
      <c r="M1476">
        <f t="shared" si="94"/>
        <v>860.49696342695881</v>
      </c>
      <c r="N1476">
        <f t="shared" si="95"/>
        <v>1051.5272893077436</v>
      </c>
    </row>
    <row r="1477" spans="1:14" x14ac:dyDescent="0.35">
      <c r="A1477" t="s">
        <v>51</v>
      </c>
      <c r="B1477">
        <v>10</v>
      </c>
      <c r="C1477" t="s">
        <v>50</v>
      </c>
      <c r="D1477">
        <v>61</v>
      </c>
      <c r="E1477">
        <v>185.25363147203001</v>
      </c>
      <c r="F1477">
        <v>26.6155105618592</v>
      </c>
      <c r="G1477" t="s">
        <v>51</v>
      </c>
      <c r="H1477">
        <v>10</v>
      </c>
      <c r="I1477">
        <v>61</v>
      </c>
      <c r="J1477">
        <v>7.3919116981134998</v>
      </c>
      <c r="K1477" t="b">
        <f t="shared" si="92"/>
        <v>1</v>
      </c>
      <c r="L1477">
        <f t="shared" si="93"/>
        <v>219.26105373200269</v>
      </c>
      <c r="M1477">
        <f t="shared" si="94"/>
        <v>877.04421492801077</v>
      </c>
      <c r="N1477">
        <f t="shared" si="95"/>
        <v>1071.7480306420291</v>
      </c>
    </row>
    <row r="1478" spans="1:14" x14ac:dyDescent="0.35">
      <c r="A1478" t="s">
        <v>51</v>
      </c>
      <c r="B1478">
        <v>10</v>
      </c>
      <c r="C1478" t="s">
        <v>50</v>
      </c>
      <c r="D1478">
        <v>62</v>
      </c>
      <c r="E1478">
        <v>188.59127227910699</v>
      </c>
      <c r="F1478">
        <v>27.255735559233599</v>
      </c>
      <c r="G1478" t="s">
        <v>51</v>
      </c>
      <c r="H1478">
        <v>10</v>
      </c>
      <c r="I1478">
        <v>62</v>
      </c>
      <c r="J1478">
        <v>7.5397548345513403</v>
      </c>
      <c r="K1478" t="b">
        <f t="shared" si="92"/>
        <v>1</v>
      </c>
      <c r="L1478">
        <f t="shared" si="93"/>
        <v>223.3867626728919</v>
      </c>
      <c r="M1478">
        <f t="shared" si="94"/>
        <v>893.54705069156762</v>
      </c>
      <c r="N1478">
        <f t="shared" si="95"/>
        <v>1091.9144959450955</v>
      </c>
    </row>
    <row r="1479" spans="1:14" x14ac:dyDescent="0.35">
      <c r="A1479" t="s">
        <v>51</v>
      </c>
      <c r="B1479">
        <v>10</v>
      </c>
      <c r="C1479" t="s">
        <v>50</v>
      </c>
      <c r="D1479">
        <v>63</v>
      </c>
      <c r="E1479">
        <v>191.915546477421</v>
      </c>
      <c r="F1479">
        <v>27.899441799145201</v>
      </c>
      <c r="G1479" t="s">
        <v>51</v>
      </c>
      <c r="H1479">
        <v>10</v>
      </c>
      <c r="I1479">
        <v>63</v>
      </c>
      <c r="J1479">
        <v>7.6856377638087503</v>
      </c>
      <c r="K1479" t="b">
        <f t="shared" si="92"/>
        <v>1</v>
      </c>
      <c r="L1479">
        <f t="shared" si="93"/>
        <v>227.50062604037495</v>
      </c>
      <c r="M1479">
        <f t="shared" si="94"/>
        <v>910.00250416149981</v>
      </c>
      <c r="N1479">
        <f t="shared" si="95"/>
        <v>1112.0230600853527</v>
      </c>
    </row>
    <row r="1480" spans="1:14" x14ac:dyDescent="0.35">
      <c r="A1480" t="s">
        <v>51</v>
      </c>
      <c r="B1480">
        <v>10</v>
      </c>
      <c r="C1480" t="s">
        <v>50</v>
      </c>
      <c r="D1480">
        <v>64</v>
      </c>
      <c r="E1480">
        <v>195.217228678899</v>
      </c>
      <c r="F1480">
        <v>28.554803426656399</v>
      </c>
      <c r="G1480" t="s">
        <v>51</v>
      </c>
      <c r="H1480">
        <v>10</v>
      </c>
      <c r="I1480">
        <v>64</v>
      </c>
      <c r="J1480">
        <v>7.8298668286960904</v>
      </c>
      <c r="K1480" t="b">
        <f t="shared" si="92"/>
        <v>1</v>
      </c>
      <c r="L1480">
        <f t="shared" si="93"/>
        <v>231.60189893425149</v>
      </c>
      <c r="M1480">
        <f t="shared" si="94"/>
        <v>926.40759573700598</v>
      </c>
      <c r="N1480">
        <f t="shared" si="95"/>
        <v>1132.0700819906212</v>
      </c>
    </row>
    <row r="1481" spans="1:14" x14ac:dyDescent="0.35">
      <c r="A1481" t="s">
        <v>51</v>
      </c>
      <c r="B1481">
        <v>10</v>
      </c>
      <c r="C1481" t="s">
        <v>50</v>
      </c>
      <c r="D1481">
        <v>65</v>
      </c>
      <c r="E1481">
        <v>198.49301732599699</v>
      </c>
      <c r="F1481">
        <v>29.224225454581202</v>
      </c>
      <c r="G1481" t="s">
        <v>51</v>
      </c>
      <c r="H1481">
        <v>10</v>
      </c>
      <c r="I1481">
        <v>65</v>
      </c>
      <c r="J1481">
        <v>7.97259881222136</v>
      </c>
      <c r="K1481" t="b">
        <f t="shared" si="92"/>
        <v>1</v>
      </c>
      <c r="L1481">
        <f t="shared" si="93"/>
        <v>235.68984159279955</v>
      </c>
      <c r="M1481">
        <f t="shared" si="94"/>
        <v>942.75936637119821</v>
      </c>
      <c r="N1481">
        <f t="shared" si="95"/>
        <v>1152.0519457056041</v>
      </c>
    </row>
    <row r="1482" spans="1:14" x14ac:dyDescent="0.35">
      <c r="A1482" t="s">
        <v>51</v>
      </c>
      <c r="B1482">
        <v>10</v>
      </c>
      <c r="C1482" t="s">
        <v>50</v>
      </c>
      <c r="D1482">
        <v>66</v>
      </c>
      <c r="E1482">
        <v>201.48062675224099</v>
      </c>
      <c r="F1482">
        <v>29.795743749442298</v>
      </c>
      <c r="G1482" t="s">
        <v>51</v>
      </c>
      <c r="H1482">
        <v>10</v>
      </c>
      <c r="I1482">
        <v>66</v>
      </c>
      <c r="J1482">
        <v>8.1103540381583006</v>
      </c>
      <c r="K1482" t="b">
        <f t="shared" si="92"/>
        <v>1</v>
      </c>
      <c r="L1482">
        <f t="shared" si="93"/>
        <v>239.38672453984159</v>
      </c>
      <c r="M1482">
        <f t="shared" si="94"/>
        <v>957.54689815936638</v>
      </c>
      <c r="N1482">
        <f t="shared" si="95"/>
        <v>1170.1223095507457</v>
      </c>
    </row>
    <row r="1483" spans="1:14" x14ac:dyDescent="0.35">
      <c r="A1483" t="s">
        <v>51</v>
      </c>
      <c r="B1483">
        <v>10</v>
      </c>
      <c r="C1483" t="s">
        <v>50</v>
      </c>
      <c r="D1483">
        <v>67</v>
      </c>
      <c r="E1483">
        <v>204.48757709922199</v>
      </c>
      <c r="F1483">
        <v>30.342744602290001</v>
      </c>
      <c r="G1483" t="s">
        <v>51</v>
      </c>
      <c r="H1483">
        <v>10</v>
      </c>
      <c r="I1483">
        <v>67</v>
      </c>
      <c r="J1483">
        <v>8.2451087659564894</v>
      </c>
      <c r="K1483" t="b">
        <f t="shared" si="92"/>
        <v>1</v>
      </c>
      <c r="L1483">
        <f t="shared" si="93"/>
        <v>243.07543046746849</v>
      </c>
      <c r="M1483">
        <f t="shared" si="94"/>
        <v>972.30172186987397</v>
      </c>
      <c r="N1483">
        <f t="shared" si="95"/>
        <v>1188.152704124986</v>
      </c>
    </row>
    <row r="1484" spans="1:14" x14ac:dyDescent="0.35">
      <c r="A1484" t="s">
        <v>51</v>
      </c>
      <c r="B1484">
        <v>10</v>
      </c>
      <c r="C1484" t="s">
        <v>50</v>
      </c>
      <c r="D1484">
        <v>68</v>
      </c>
      <c r="E1484">
        <v>207.48725117544399</v>
      </c>
      <c r="F1484">
        <v>30.890509672425502</v>
      </c>
      <c r="G1484" t="s">
        <v>51</v>
      </c>
      <c r="H1484">
        <v>10</v>
      </c>
      <c r="I1484">
        <v>68</v>
      </c>
      <c r="J1484">
        <v>8.3777377507595006</v>
      </c>
      <c r="K1484" t="b">
        <f t="shared" si="92"/>
        <v>1</v>
      </c>
      <c r="L1484">
        <f t="shared" si="93"/>
        <v>246.755498598629</v>
      </c>
      <c r="M1484">
        <f t="shared" si="94"/>
        <v>987.02199439451601</v>
      </c>
      <c r="N1484">
        <f t="shared" si="95"/>
        <v>1206.1408771500985</v>
      </c>
    </row>
    <row r="1485" spans="1:14" x14ac:dyDescent="0.35">
      <c r="A1485" t="s">
        <v>51</v>
      </c>
      <c r="B1485">
        <v>10</v>
      </c>
      <c r="C1485" t="s">
        <v>50</v>
      </c>
      <c r="D1485">
        <v>69</v>
      </c>
      <c r="E1485">
        <v>210.470330188519</v>
      </c>
      <c r="F1485">
        <v>31.447416014417001</v>
      </c>
      <c r="G1485" t="s">
        <v>51</v>
      </c>
      <c r="H1485">
        <v>10</v>
      </c>
      <c r="I1485">
        <v>69</v>
      </c>
      <c r="J1485">
        <v>8.5086738862251394</v>
      </c>
      <c r="K1485" t="b">
        <f t="shared" si="92"/>
        <v>1</v>
      </c>
      <c r="L1485">
        <f t="shared" si="93"/>
        <v>250.42642008916113</v>
      </c>
      <c r="M1485">
        <f t="shared" si="94"/>
        <v>1001.7056803566445</v>
      </c>
      <c r="N1485">
        <f t="shared" si="95"/>
        <v>1224.0843413958196</v>
      </c>
    </row>
    <row r="1486" spans="1:14" x14ac:dyDescent="0.35">
      <c r="A1486" t="s">
        <v>51</v>
      </c>
      <c r="B1486">
        <v>10</v>
      </c>
      <c r="C1486" t="s">
        <v>50</v>
      </c>
      <c r="D1486">
        <v>70</v>
      </c>
      <c r="E1486">
        <v>213.433555999486</v>
      </c>
      <c r="F1486">
        <v>32.015939256768597</v>
      </c>
      <c r="G1486" t="s">
        <v>51</v>
      </c>
      <c r="H1486">
        <v>10</v>
      </c>
      <c r="I1486">
        <v>70</v>
      </c>
      <c r="J1486">
        <v>8.6381584816212396</v>
      </c>
      <c r="K1486" t="b">
        <f t="shared" si="92"/>
        <v>1</v>
      </c>
      <c r="L1486">
        <f t="shared" si="93"/>
        <v>254.08765373787585</v>
      </c>
      <c r="M1486">
        <f t="shared" si="94"/>
        <v>1016.3506149515034</v>
      </c>
      <c r="N1486">
        <f t="shared" si="95"/>
        <v>1241.9804514707371</v>
      </c>
    </row>
    <row r="1487" spans="1:14" x14ac:dyDescent="0.35">
      <c r="A1487" t="s">
        <v>51</v>
      </c>
      <c r="B1487">
        <v>10</v>
      </c>
      <c r="C1487" t="s">
        <v>50</v>
      </c>
      <c r="D1487">
        <v>71</v>
      </c>
      <c r="E1487">
        <v>216.08509004356</v>
      </c>
      <c r="F1487">
        <v>32.491626082248303</v>
      </c>
      <c r="G1487" t="s">
        <v>51</v>
      </c>
      <c r="H1487">
        <v>10</v>
      </c>
      <c r="I1487">
        <v>71</v>
      </c>
      <c r="J1487">
        <v>8.7623651333572603</v>
      </c>
      <c r="K1487" t="b">
        <f t="shared" si="92"/>
        <v>1</v>
      </c>
      <c r="L1487">
        <f t="shared" si="93"/>
        <v>257.33908125916554</v>
      </c>
      <c r="M1487">
        <f t="shared" si="94"/>
        <v>1029.3563250366622</v>
      </c>
      <c r="N1487">
        <f t="shared" si="95"/>
        <v>1257.873429194801</v>
      </c>
    </row>
    <row r="1488" spans="1:14" x14ac:dyDescent="0.35">
      <c r="A1488" t="s">
        <v>51</v>
      </c>
      <c r="B1488">
        <v>10</v>
      </c>
      <c r="C1488" t="s">
        <v>50</v>
      </c>
      <c r="D1488">
        <v>72</v>
      </c>
      <c r="E1488">
        <v>218.75780381276201</v>
      </c>
      <c r="F1488">
        <v>32.943928044783704</v>
      </c>
      <c r="G1488" t="s">
        <v>51</v>
      </c>
      <c r="H1488">
        <v>10</v>
      </c>
      <c r="I1488">
        <v>72</v>
      </c>
      <c r="J1488">
        <v>8.8833971058810697</v>
      </c>
      <c r="K1488" t="b">
        <f t="shared" si="92"/>
        <v>1</v>
      </c>
      <c r="L1488">
        <f t="shared" si="93"/>
        <v>260.58512896342677</v>
      </c>
      <c r="M1488">
        <f t="shared" si="94"/>
        <v>1042.3405158537071</v>
      </c>
      <c r="N1488">
        <f t="shared" si="95"/>
        <v>1273.74011037323</v>
      </c>
    </row>
    <row r="1489" spans="1:14" x14ac:dyDescent="0.35">
      <c r="A1489" t="s">
        <v>51</v>
      </c>
      <c r="B1489">
        <v>10</v>
      </c>
      <c r="C1489" t="s">
        <v>50</v>
      </c>
      <c r="D1489">
        <v>73</v>
      </c>
      <c r="E1489">
        <v>221.42694595445599</v>
      </c>
      <c r="F1489">
        <v>33.396369695704102</v>
      </c>
      <c r="G1489" t="s">
        <v>51</v>
      </c>
      <c r="H1489">
        <v>10</v>
      </c>
      <c r="I1489">
        <v>73</v>
      </c>
      <c r="J1489">
        <v>9.0022349105733408</v>
      </c>
      <c r="K1489" t="b">
        <f t="shared" si="92"/>
        <v>1</v>
      </c>
      <c r="L1489">
        <f t="shared" si="93"/>
        <v>263.8255505607334</v>
      </c>
      <c r="M1489">
        <f t="shared" si="94"/>
        <v>1055.3022022429336</v>
      </c>
      <c r="N1489">
        <f t="shared" si="95"/>
        <v>1289.5792911408648</v>
      </c>
    </row>
    <row r="1490" spans="1:14" x14ac:dyDescent="0.35">
      <c r="A1490" t="s">
        <v>51</v>
      </c>
      <c r="B1490">
        <v>10</v>
      </c>
      <c r="C1490" t="s">
        <v>50</v>
      </c>
      <c r="D1490">
        <v>74</v>
      </c>
      <c r="E1490">
        <v>224.08399983343699</v>
      </c>
      <c r="F1490">
        <v>33.856621258250101</v>
      </c>
      <c r="G1490" t="s">
        <v>51</v>
      </c>
      <c r="H1490">
        <v>10</v>
      </c>
      <c r="I1490">
        <v>74</v>
      </c>
      <c r="J1490">
        <v>9.1193906969326193</v>
      </c>
      <c r="K1490" t="b">
        <f t="shared" si="92"/>
        <v>1</v>
      </c>
      <c r="L1490">
        <f t="shared" si="93"/>
        <v>267.0600117886197</v>
      </c>
      <c r="M1490">
        <f t="shared" si="94"/>
        <v>1068.2400471544788</v>
      </c>
      <c r="N1490">
        <f t="shared" si="95"/>
        <v>1305.3893376227732</v>
      </c>
    </row>
    <row r="1491" spans="1:14" x14ac:dyDescent="0.35">
      <c r="A1491" t="s">
        <v>51</v>
      </c>
      <c r="B1491">
        <v>10</v>
      </c>
      <c r="C1491" t="s">
        <v>50</v>
      </c>
      <c r="D1491">
        <v>75</v>
      </c>
      <c r="E1491">
        <v>226.726040303834</v>
      </c>
      <c r="F1491">
        <v>34.326912197558102</v>
      </c>
      <c r="G1491" t="s">
        <v>51</v>
      </c>
      <c r="H1491">
        <v>10</v>
      </c>
      <c r="I1491">
        <v>75</v>
      </c>
      <c r="J1491">
        <v>9.2351625685516208</v>
      </c>
      <c r="K1491" t="b">
        <f t="shared" si="92"/>
        <v>1</v>
      </c>
      <c r="L1491">
        <f t="shared" si="93"/>
        <v>270.28811506994373</v>
      </c>
      <c r="M1491">
        <f t="shared" si="94"/>
        <v>1081.1524602797749</v>
      </c>
      <c r="N1491">
        <f t="shared" si="95"/>
        <v>1321.1683064618849</v>
      </c>
    </row>
    <row r="1492" spans="1:14" x14ac:dyDescent="0.35">
      <c r="A1492" t="s">
        <v>51</v>
      </c>
      <c r="B1492">
        <v>10</v>
      </c>
      <c r="C1492" t="s">
        <v>50</v>
      </c>
      <c r="D1492">
        <v>76</v>
      </c>
      <c r="E1492">
        <v>229.073954987044</v>
      </c>
      <c r="F1492">
        <v>34.717176177610703</v>
      </c>
      <c r="G1492" t="s">
        <v>51</v>
      </c>
      <c r="H1492">
        <v>10</v>
      </c>
      <c r="I1492">
        <v>76</v>
      </c>
      <c r="J1492">
        <v>9.3459364014992303</v>
      </c>
      <c r="K1492" t="b">
        <f t="shared" si="92"/>
        <v>1</v>
      </c>
      <c r="L1492">
        <f t="shared" si="93"/>
        <v>273.13706756615392</v>
      </c>
      <c r="M1492">
        <f t="shared" si="94"/>
        <v>1092.5482702646157</v>
      </c>
      <c r="N1492">
        <f t="shared" si="95"/>
        <v>1335.0939862633604</v>
      </c>
    </row>
    <row r="1493" spans="1:14" x14ac:dyDescent="0.35">
      <c r="A1493" t="s">
        <v>51</v>
      </c>
      <c r="B1493">
        <v>10</v>
      </c>
      <c r="C1493" t="s">
        <v>50</v>
      </c>
      <c r="D1493">
        <v>77</v>
      </c>
      <c r="E1493">
        <v>231.44137388339999</v>
      </c>
      <c r="F1493">
        <v>35.087942986777897</v>
      </c>
      <c r="G1493" t="s">
        <v>51</v>
      </c>
      <c r="H1493">
        <v>10</v>
      </c>
      <c r="I1493">
        <v>77</v>
      </c>
      <c r="J1493">
        <v>9.4536905114570899</v>
      </c>
      <c r="K1493" t="b">
        <f t="shared" si="92"/>
        <v>1</v>
      </c>
      <c r="L1493">
        <f t="shared" si="93"/>
        <v>275.98300738163493</v>
      </c>
      <c r="M1493">
        <f t="shared" si="94"/>
        <v>1103.9320295265397</v>
      </c>
      <c r="N1493">
        <f t="shared" si="95"/>
        <v>1349.0049400814316</v>
      </c>
    </row>
    <row r="1494" spans="1:14" x14ac:dyDescent="0.35">
      <c r="A1494" t="s">
        <v>51</v>
      </c>
      <c r="B1494">
        <v>10</v>
      </c>
      <c r="C1494" t="s">
        <v>50</v>
      </c>
      <c r="D1494">
        <v>78</v>
      </c>
      <c r="E1494">
        <v>233.80701509756801</v>
      </c>
      <c r="F1494">
        <v>35.459396825813599</v>
      </c>
      <c r="G1494" t="s">
        <v>51</v>
      </c>
      <c r="H1494">
        <v>10</v>
      </c>
      <c r="I1494">
        <v>78</v>
      </c>
      <c r="J1494">
        <v>9.5593760164258992</v>
      </c>
      <c r="K1494" t="b">
        <f t="shared" si="92"/>
        <v>1</v>
      </c>
      <c r="L1494">
        <f t="shared" si="93"/>
        <v>278.82578793980753</v>
      </c>
      <c r="M1494">
        <f t="shared" si="94"/>
        <v>1115.3031517592301</v>
      </c>
      <c r="N1494">
        <f t="shared" si="95"/>
        <v>1362.9004514497792</v>
      </c>
    </row>
    <row r="1495" spans="1:14" x14ac:dyDescent="0.35">
      <c r="A1495" t="s">
        <v>51</v>
      </c>
      <c r="B1495">
        <v>10</v>
      </c>
      <c r="C1495" t="s">
        <v>50</v>
      </c>
      <c r="D1495">
        <v>79</v>
      </c>
      <c r="E1495">
        <v>236.16365846699901</v>
      </c>
      <c r="F1495">
        <v>35.837999560216403</v>
      </c>
      <c r="G1495" t="s">
        <v>51</v>
      </c>
      <c r="H1495">
        <v>10</v>
      </c>
      <c r="I1495">
        <v>79</v>
      </c>
      <c r="J1495">
        <v>9.6635050634300104</v>
      </c>
      <c r="K1495" t="b">
        <f t="shared" si="92"/>
        <v>1</v>
      </c>
      <c r="L1495">
        <f t="shared" si="93"/>
        <v>281.66516309064542</v>
      </c>
      <c r="M1495">
        <f t="shared" si="94"/>
        <v>1126.6606523625817</v>
      </c>
      <c r="N1495">
        <f t="shared" si="95"/>
        <v>1376.7793171870749</v>
      </c>
    </row>
    <row r="1496" spans="1:14" x14ac:dyDescent="0.35">
      <c r="A1496" t="s">
        <v>51</v>
      </c>
      <c r="B1496">
        <v>10</v>
      </c>
      <c r="C1496" t="s">
        <v>50</v>
      </c>
      <c r="D1496">
        <v>80</v>
      </c>
      <c r="E1496">
        <v>238.508859290251</v>
      </c>
      <c r="F1496">
        <v>36.2255712922952</v>
      </c>
      <c r="G1496" t="s">
        <v>51</v>
      </c>
      <c r="H1496">
        <v>10</v>
      </c>
      <c r="I1496">
        <v>80</v>
      </c>
      <c r="J1496">
        <v>9.7663828387507206</v>
      </c>
      <c r="K1496" t="b">
        <f t="shared" si="92"/>
        <v>1</v>
      </c>
      <c r="L1496">
        <f t="shared" si="93"/>
        <v>284.50081342129693</v>
      </c>
      <c r="M1496">
        <f t="shared" si="94"/>
        <v>1138.0032536851877</v>
      </c>
      <c r="N1496">
        <f t="shared" si="95"/>
        <v>1390.6399760032994</v>
      </c>
    </row>
    <row r="1497" spans="1:14" x14ac:dyDescent="0.35">
      <c r="A1497" t="s">
        <v>51</v>
      </c>
      <c r="B1497">
        <v>10</v>
      </c>
      <c r="C1497" t="s">
        <v>50</v>
      </c>
      <c r="D1497">
        <v>81</v>
      </c>
      <c r="E1497">
        <v>240.542413423829</v>
      </c>
      <c r="F1497">
        <v>36.557680517570702</v>
      </c>
      <c r="G1497" t="s">
        <v>51</v>
      </c>
      <c r="H1497">
        <v>10</v>
      </c>
      <c r="I1497">
        <v>81</v>
      </c>
      <c r="J1497">
        <v>9.8641116708623002</v>
      </c>
      <c r="K1497" t="b">
        <f t="shared" si="92"/>
        <v>1</v>
      </c>
      <c r="L1497">
        <f t="shared" si="93"/>
        <v>286.96420561226199</v>
      </c>
      <c r="M1497">
        <f t="shared" si="94"/>
        <v>1147.856822449048</v>
      </c>
      <c r="N1497">
        <f t="shared" si="95"/>
        <v>1402.6810370327366</v>
      </c>
    </row>
    <row r="1498" spans="1:14" x14ac:dyDescent="0.35">
      <c r="A1498" t="s">
        <v>51</v>
      </c>
      <c r="B1498">
        <v>10</v>
      </c>
      <c r="C1498" t="s">
        <v>50</v>
      </c>
      <c r="D1498">
        <v>82</v>
      </c>
      <c r="E1498">
        <v>242.588266019343</v>
      </c>
      <c r="F1498">
        <v>36.877874642580501</v>
      </c>
      <c r="G1498" t="s">
        <v>51</v>
      </c>
      <c r="H1498">
        <v>10</v>
      </c>
      <c r="I1498">
        <v>82</v>
      </c>
      <c r="J1498">
        <v>9.9586290838448406</v>
      </c>
      <c r="K1498" t="b">
        <f t="shared" si="92"/>
        <v>1</v>
      </c>
      <c r="L1498">
        <f t="shared" si="93"/>
        <v>289.42476974576834</v>
      </c>
      <c r="M1498">
        <f t="shared" si="94"/>
        <v>1157.6990789830734</v>
      </c>
      <c r="N1498">
        <f t="shared" si="95"/>
        <v>1414.7082745173157</v>
      </c>
    </row>
    <row r="1499" spans="1:14" x14ac:dyDescent="0.35">
      <c r="A1499" t="s">
        <v>51</v>
      </c>
      <c r="B1499">
        <v>10</v>
      </c>
      <c r="C1499" t="s">
        <v>50</v>
      </c>
      <c r="D1499">
        <v>83</v>
      </c>
      <c r="E1499">
        <v>244.63123838525399</v>
      </c>
      <c r="F1499">
        <v>37.200428544050801</v>
      </c>
      <c r="G1499" t="s">
        <v>51</v>
      </c>
      <c r="H1499">
        <v>10</v>
      </c>
      <c r="I1499">
        <v>83</v>
      </c>
      <c r="J1499">
        <v>10.0509407900652</v>
      </c>
      <c r="K1499" t="b">
        <f t="shared" si="92"/>
        <v>1</v>
      </c>
      <c r="L1499">
        <f t="shared" si="93"/>
        <v>291.88260771937001</v>
      </c>
      <c r="M1499">
        <f t="shared" si="94"/>
        <v>1167.5304308774801</v>
      </c>
      <c r="N1499">
        <f t="shared" si="95"/>
        <v>1426.7221865322806</v>
      </c>
    </row>
    <row r="1500" spans="1:14" x14ac:dyDescent="0.35">
      <c r="A1500" t="s">
        <v>51</v>
      </c>
      <c r="B1500">
        <v>10</v>
      </c>
      <c r="C1500" t="s">
        <v>50</v>
      </c>
      <c r="D1500">
        <v>84</v>
      </c>
      <c r="E1500">
        <v>246.66623454307501</v>
      </c>
      <c r="F1500">
        <v>37.529787760574898</v>
      </c>
      <c r="G1500" t="s">
        <v>51</v>
      </c>
      <c r="H1500">
        <v>10</v>
      </c>
      <c r="I1500">
        <v>84</v>
      </c>
      <c r="J1500">
        <v>10.1416207702606</v>
      </c>
      <c r="K1500" t="b">
        <f t="shared" si="92"/>
        <v>1</v>
      </c>
      <c r="L1500">
        <f t="shared" si="93"/>
        <v>294.3376430739105</v>
      </c>
      <c r="M1500">
        <f t="shared" si="94"/>
        <v>1177.350572295642</v>
      </c>
      <c r="N1500">
        <f t="shared" si="95"/>
        <v>1438.7223993452744</v>
      </c>
    </row>
    <row r="1501" spans="1:14" x14ac:dyDescent="0.35">
      <c r="A1501" t="s">
        <v>51</v>
      </c>
      <c r="B1501">
        <v>10</v>
      </c>
      <c r="C1501" t="s">
        <v>50</v>
      </c>
      <c r="D1501">
        <v>85</v>
      </c>
      <c r="E1501">
        <v>248.69154260396999</v>
      </c>
      <c r="F1501">
        <v>37.867115399247702</v>
      </c>
      <c r="G1501" t="s">
        <v>51</v>
      </c>
      <c r="H1501">
        <v>10</v>
      </c>
      <c r="I1501">
        <v>85</v>
      </c>
      <c r="J1501">
        <v>10.2310229009524</v>
      </c>
      <c r="K1501" t="b">
        <f t="shared" si="92"/>
        <v>1</v>
      </c>
      <c r="L1501">
        <f t="shared" si="93"/>
        <v>296.7896809041701</v>
      </c>
      <c r="M1501">
        <f t="shared" si="94"/>
        <v>1187.1587236166804</v>
      </c>
      <c r="N1501">
        <f t="shared" si="95"/>
        <v>1450.7079602595834</v>
      </c>
    </row>
    <row r="1502" spans="1:14" x14ac:dyDescent="0.35">
      <c r="A1502" t="s">
        <v>51</v>
      </c>
      <c r="B1502">
        <v>10</v>
      </c>
      <c r="C1502" t="s">
        <v>50</v>
      </c>
      <c r="D1502">
        <v>86</v>
      </c>
      <c r="E1502">
        <v>250.462102117809</v>
      </c>
      <c r="F1502">
        <v>38.123878226551497</v>
      </c>
      <c r="G1502" t="s">
        <v>51</v>
      </c>
      <c r="H1502">
        <v>10</v>
      </c>
      <c r="I1502">
        <v>86</v>
      </c>
      <c r="J1502">
        <v>10.316034849063</v>
      </c>
      <c r="K1502" t="b">
        <f t="shared" si="92"/>
        <v>1</v>
      </c>
      <c r="L1502">
        <f t="shared" si="93"/>
        <v>298.90201519342349</v>
      </c>
      <c r="M1502">
        <f t="shared" si="94"/>
        <v>1195.608060773694</v>
      </c>
      <c r="N1502">
        <f t="shared" si="95"/>
        <v>1461.033050265454</v>
      </c>
    </row>
    <row r="1503" spans="1:14" x14ac:dyDescent="0.35">
      <c r="A1503" t="s">
        <v>51</v>
      </c>
      <c r="B1503">
        <v>10</v>
      </c>
      <c r="C1503" t="s">
        <v>50</v>
      </c>
      <c r="D1503">
        <v>87</v>
      </c>
      <c r="E1503">
        <v>252.256346307288</v>
      </c>
      <c r="F1503">
        <v>38.360356579189101</v>
      </c>
      <c r="G1503" t="s">
        <v>51</v>
      </c>
      <c r="H1503">
        <v>10</v>
      </c>
      <c r="I1503">
        <v>87</v>
      </c>
      <c r="J1503">
        <v>10.398476731633901</v>
      </c>
      <c r="K1503" t="b">
        <f t="shared" si="92"/>
        <v>1</v>
      </c>
      <c r="L1503">
        <f t="shared" si="93"/>
        <v>301.01517961811101</v>
      </c>
      <c r="M1503">
        <f t="shared" si="94"/>
        <v>1204.060718472444</v>
      </c>
      <c r="N1503">
        <f t="shared" si="95"/>
        <v>1471.3621979733266</v>
      </c>
    </row>
    <row r="1504" spans="1:14" x14ac:dyDescent="0.35">
      <c r="A1504" t="s">
        <v>51</v>
      </c>
      <c r="B1504">
        <v>10</v>
      </c>
      <c r="C1504" t="s">
        <v>50</v>
      </c>
      <c r="D1504">
        <v>88</v>
      </c>
      <c r="E1504">
        <v>254.053561539951</v>
      </c>
      <c r="F1504">
        <v>38.596248970297701</v>
      </c>
      <c r="G1504" t="s">
        <v>51</v>
      </c>
      <c r="H1504">
        <v>10</v>
      </c>
      <c r="I1504">
        <v>88</v>
      </c>
      <c r="J1504">
        <v>10.4792114368556</v>
      </c>
      <c r="K1504" t="b">
        <f t="shared" si="92"/>
        <v>1</v>
      </c>
      <c r="L1504">
        <f t="shared" si="93"/>
        <v>303.12902194710432</v>
      </c>
      <c r="M1504">
        <f t="shared" si="94"/>
        <v>1212.5160877884173</v>
      </c>
      <c r="N1504">
        <f t="shared" si="95"/>
        <v>1481.6946592774459</v>
      </c>
    </row>
    <row r="1505" spans="1:14" x14ac:dyDescent="0.35">
      <c r="A1505" t="s">
        <v>51</v>
      </c>
      <c r="B1505">
        <v>10</v>
      </c>
      <c r="C1505" t="s">
        <v>50</v>
      </c>
      <c r="D1505">
        <v>89</v>
      </c>
      <c r="E1505">
        <v>255.84687271802099</v>
      </c>
      <c r="F1505">
        <v>38.837758562489199</v>
      </c>
      <c r="G1505" t="s">
        <v>51</v>
      </c>
      <c r="H1505">
        <v>10</v>
      </c>
      <c r="I1505">
        <v>89</v>
      </c>
      <c r="J1505">
        <v>10.5587015092174</v>
      </c>
      <c r="K1505" t="b">
        <f t="shared" si="92"/>
        <v>1</v>
      </c>
      <c r="L1505">
        <f t="shared" si="93"/>
        <v>305.24333278972756</v>
      </c>
      <c r="M1505">
        <f t="shared" si="94"/>
        <v>1220.9733311589102</v>
      </c>
      <c r="N1505">
        <f t="shared" si="95"/>
        <v>1492.0294106761883</v>
      </c>
    </row>
    <row r="1506" spans="1:14" x14ac:dyDescent="0.35">
      <c r="A1506" t="s">
        <v>51</v>
      </c>
      <c r="B1506">
        <v>10</v>
      </c>
      <c r="C1506" t="s">
        <v>50</v>
      </c>
      <c r="D1506">
        <v>90</v>
      </c>
      <c r="E1506">
        <v>257.63400239485799</v>
      </c>
      <c r="F1506">
        <v>39.0866216625082</v>
      </c>
      <c r="G1506" t="s">
        <v>51</v>
      </c>
      <c r="H1506">
        <v>10</v>
      </c>
      <c r="I1506">
        <v>90</v>
      </c>
      <c r="J1506">
        <v>10.637223321698499</v>
      </c>
      <c r="K1506" t="b">
        <f t="shared" si="92"/>
        <v>1</v>
      </c>
      <c r="L1506">
        <f t="shared" si="93"/>
        <v>307.35784737906471</v>
      </c>
      <c r="M1506">
        <f t="shared" si="94"/>
        <v>1229.4313895162588</v>
      </c>
      <c r="N1506">
        <f t="shared" si="95"/>
        <v>1502.3651579888683</v>
      </c>
    </row>
    <row r="1507" spans="1:14" x14ac:dyDescent="0.35">
      <c r="A1507" t="s">
        <v>51</v>
      </c>
      <c r="B1507">
        <v>10</v>
      </c>
      <c r="C1507" t="s">
        <v>50</v>
      </c>
      <c r="D1507">
        <v>91</v>
      </c>
      <c r="E1507">
        <v>259.15425797034402</v>
      </c>
      <c r="F1507">
        <v>39.281440369805701</v>
      </c>
      <c r="G1507" t="s">
        <v>51</v>
      </c>
      <c r="H1507">
        <v>10</v>
      </c>
      <c r="I1507">
        <v>91</v>
      </c>
      <c r="J1507">
        <v>10.711401104931699</v>
      </c>
      <c r="K1507" t="b">
        <f t="shared" si="92"/>
        <v>1</v>
      </c>
      <c r="L1507">
        <f t="shared" si="93"/>
        <v>309.14709944508144</v>
      </c>
      <c r="M1507">
        <f t="shared" si="94"/>
        <v>1236.5883977803257</v>
      </c>
      <c r="N1507">
        <f t="shared" si="95"/>
        <v>1511.111022087558</v>
      </c>
    </row>
    <row r="1508" spans="1:14" x14ac:dyDescent="0.35">
      <c r="A1508" t="s">
        <v>51</v>
      </c>
      <c r="B1508">
        <v>10</v>
      </c>
      <c r="C1508" t="s">
        <v>50</v>
      </c>
      <c r="D1508">
        <v>92</v>
      </c>
      <c r="E1508">
        <v>260.69048428987003</v>
      </c>
      <c r="F1508">
        <v>39.464343636727001</v>
      </c>
      <c r="G1508" t="s">
        <v>51</v>
      </c>
      <c r="H1508">
        <v>10</v>
      </c>
      <c r="I1508">
        <v>92</v>
      </c>
      <c r="J1508">
        <v>10.7829453581839</v>
      </c>
      <c r="K1508" t="b">
        <f t="shared" si="92"/>
        <v>1</v>
      </c>
      <c r="L1508">
        <f t="shared" si="93"/>
        <v>310.93777328478092</v>
      </c>
      <c r="M1508">
        <f t="shared" si="94"/>
        <v>1243.7510931391237</v>
      </c>
      <c r="N1508">
        <f t="shared" si="95"/>
        <v>1519.863835816009</v>
      </c>
    </row>
    <row r="1509" spans="1:14" x14ac:dyDescent="0.35">
      <c r="A1509" t="s">
        <v>51</v>
      </c>
      <c r="B1509">
        <v>10</v>
      </c>
      <c r="C1509" t="s">
        <v>50</v>
      </c>
      <c r="D1509">
        <v>93</v>
      </c>
      <c r="E1509">
        <v>262.22828546547697</v>
      </c>
      <c r="F1509">
        <v>39.648896206927297</v>
      </c>
      <c r="G1509" t="s">
        <v>51</v>
      </c>
      <c r="H1509">
        <v>10</v>
      </c>
      <c r="I1509">
        <v>93</v>
      </c>
      <c r="J1509">
        <v>10.852731766865601</v>
      </c>
      <c r="K1509" t="b">
        <f t="shared" si="92"/>
        <v>1</v>
      </c>
      <c r="L1509">
        <f t="shared" si="93"/>
        <v>312.72991343926986</v>
      </c>
      <c r="M1509">
        <f t="shared" si="94"/>
        <v>1250.9196537570795</v>
      </c>
      <c r="N1509">
        <f t="shared" si="95"/>
        <v>1528.6238168911511</v>
      </c>
    </row>
    <row r="1510" spans="1:14" x14ac:dyDescent="0.35">
      <c r="A1510" t="s">
        <v>51</v>
      </c>
      <c r="B1510">
        <v>10</v>
      </c>
      <c r="C1510" t="s">
        <v>50</v>
      </c>
      <c r="D1510">
        <v>94</v>
      </c>
      <c r="E1510">
        <v>263.762923688098</v>
      </c>
      <c r="F1510">
        <v>39.839253643516798</v>
      </c>
      <c r="G1510" t="s">
        <v>51</v>
      </c>
      <c r="H1510">
        <v>10</v>
      </c>
      <c r="I1510">
        <v>94</v>
      </c>
      <c r="J1510">
        <v>10.9212569707539</v>
      </c>
      <c r="K1510" t="b">
        <f t="shared" si="92"/>
        <v>1</v>
      </c>
      <c r="L1510">
        <f t="shared" si="93"/>
        <v>314.52343430236874</v>
      </c>
      <c r="M1510">
        <f t="shared" si="94"/>
        <v>1258.093737209475</v>
      </c>
      <c r="N1510">
        <f t="shared" si="95"/>
        <v>1537.3905468699784</v>
      </c>
    </row>
    <row r="1511" spans="1:14" x14ac:dyDescent="0.35">
      <c r="A1511" t="s">
        <v>51</v>
      </c>
      <c r="B1511">
        <v>10</v>
      </c>
      <c r="C1511" t="s">
        <v>50</v>
      </c>
      <c r="D1511">
        <v>95</v>
      </c>
      <c r="E1511">
        <v>265.29284271306</v>
      </c>
      <c r="F1511">
        <v>40.0364876167909</v>
      </c>
      <c r="G1511" t="s">
        <v>51</v>
      </c>
      <c r="H1511">
        <v>10</v>
      </c>
      <c r="I1511">
        <v>95</v>
      </c>
      <c r="J1511">
        <v>10.988826875323699</v>
      </c>
      <c r="K1511" t="b">
        <f t="shared" si="92"/>
        <v>1</v>
      </c>
      <c r="L1511">
        <f t="shared" si="93"/>
        <v>316.3181572051746</v>
      </c>
      <c r="M1511">
        <f t="shared" si="94"/>
        <v>1265.2726288206984</v>
      </c>
      <c r="N1511">
        <f t="shared" si="95"/>
        <v>1546.1631524188933</v>
      </c>
    </row>
    <row r="1512" spans="1:14" x14ac:dyDescent="0.35">
      <c r="A1512" t="s">
        <v>51</v>
      </c>
      <c r="B1512">
        <v>10</v>
      </c>
      <c r="C1512" t="s">
        <v>50</v>
      </c>
      <c r="D1512">
        <v>96</v>
      </c>
      <c r="E1512">
        <v>266.565067002452</v>
      </c>
      <c r="F1512">
        <v>40.172224898594997</v>
      </c>
      <c r="G1512" t="s">
        <v>51</v>
      </c>
      <c r="H1512">
        <v>10</v>
      </c>
      <c r="I1512">
        <v>96</v>
      </c>
      <c r="J1512">
        <v>11.052188997869001</v>
      </c>
      <c r="K1512" t="b">
        <f t="shared" si="92"/>
        <v>1</v>
      </c>
      <c r="L1512">
        <f t="shared" si="93"/>
        <v>317.789480898916</v>
      </c>
      <c r="M1512">
        <f t="shared" si="94"/>
        <v>1271.157923595664</v>
      </c>
      <c r="N1512">
        <f t="shared" si="95"/>
        <v>1553.3549826339013</v>
      </c>
    </row>
    <row r="1513" spans="1:14" x14ac:dyDescent="0.35">
      <c r="A1513" t="s">
        <v>51</v>
      </c>
      <c r="B1513">
        <v>10</v>
      </c>
      <c r="C1513" t="s">
        <v>50</v>
      </c>
      <c r="D1513">
        <v>97</v>
      </c>
      <c r="E1513">
        <v>267.857236678162</v>
      </c>
      <c r="F1513">
        <v>40.293673544177203</v>
      </c>
      <c r="G1513" t="s">
        <v>51</v>
      </c>
      <c r="H1513">
        <v>10</v>
      </c>
      <c r="I1513">
        <v>97</v>
      </c>
      <c r="J1513">
        <v>11.1130613061763</v>
      </c>
      <c r="K1513" t="b">
        <f t="shared" si="92"/>
        <v>1</v>
      </c>
      <c r="L1513">
        <f t="shared" si="93"/>
        <v>319.26397152851547</v>
      </c>
      <c r="M1513">
        <f t="shared" si="94"/>
        <v>1277.0558861140619</v>
      </c>
      <c r="N1513">
        <f t="shared" si="95"/>
        <v>1560.5622928313835</v>
      </c>
    </row>
    <row r="1514" spans="1:14" x14ac:dyDescent="0.35">
      <c r="A1514" t="s">
        <v>51</v>
      </c>
      <c r="B1514">
        <v>10</v>
      </c>
      <c r="C1514" t="s">
        <v>50</v>
      </c>
      <c r="D1514">
        <v>98</v>
      </c>
      <c r="E1514">
        <v>269.15335665506501</v>
      </c>
      <c r="F1514">
        <v>40.415963945412003</v>
      </c>
      <c r="G1514" t="s">
        <v>51</v>
      </c>
      <c r="H1514">
        <v>10</v>
      </c>
      <c r="I1514">
        <v>98</v>
      </c>
      <c r="J1514">
        <v>11.1723032721841</v>
      </c>
      <c r="K1514" t="b">
        <f t="shared" si="92"/>
        <v>1</v>
      </c>
      <c r="L1514">
        <f t="shared" si="93"/>
        <v>320.74162387266108</v>
      </c>
      <c r="M1514">
        <f t="shared" si="94"/>
        <v>1282.9664954906443</v>
      </c>
      <c r="N1514">
        <f t="shared" si="95"/>
        <v>1567.7850574895674</v>
      </c>
    </row>
    <row r="1515" spans="1:14" x14ac:dyDescent="0.35">
      <c r="A1515" t="s">
        <v>51</v>
      </c>
      <c r="B1515">
        <v>10</v>
      </c>
      <c r="C1515" t="s">
        <v>50</v>
      </c>
      <c r="D1515">
        <v>99</v>
      </c>
      <c r="E1515">
        <v>270.44819958798701</v>
      </c>
      <c r="F1515">
        <v>40.543736063109002</v>
      </c>
      <c r="G1515" t="s">
        <v>51</v>
      </c>
      <c r="H1515">
        <v>10</v>
      </c>
      <c r="I1515">
        <v>99</v>
      </c>
      <c r="J1515">
        <v>11.230395104974001</v>
      </c>
      <c r="K1515" t="b">
        <f t="shared" si="92"/>
        <v>1</v>
      </c>
      <c r="L1515">
        <f t="shared" si="93"/>
        <v>322.22233075606999</v>
      </c>
      <c r="M1515">
        <f t="shared" si="94"/>
        <v>1288.88932302428</v>
      </c>
      <c r="N1515">
        <f t="shared" si="95"/>
        <v>1575.0227527356701</v>
      </c>
    </row>
    <row r="1516" spans="1:14" x14ac:dyDescent="0.35">
      <c r="A1516" t="s">
        <v>51</v>
      </c>
      <c r="B1516">
        <v>10</v>
      </c>
      <c r="C1516" t="s">
        <v>50</v>
      </c>
      <c r="D1516">
        <v>100</v>
      </c>
      <c r="E1516">
        <v>271.74005962620703</v>
      </c>
      <c r="F1516">
        <v>40.678214695993702</v>
      </c>
      <c r="G1516" t="s">
        <v>51</v>
      </c>
      <c r="H1516">
        <v>10</v>
      </c>
      <c r="I1516">
        <v>100</v>
      </c>
      <c r="J1516">
        <v>11.287630422296701</v>
      </c>
      <c r="K1516" t="b">
        <f t="shared" si="92"/>
        <v>1</v>
      </c>
      <c r="L1516">
        <f t="shared" si="93"/>
        <v>323.70590474449739</v>
      </c>
      <c r="M1516">
        <f t="shared" si="94"/>
        <v>1294.8236189779896</v>
      </c>
      <c r="N1516">
        <f t="shared" si="95"/>
        <v>1582.2744623911033</v>
      </c>
    </row>
    <row r="1517" spans="1:14" x14ac:dyDescent="0.35">
      <c r="A1517" t="s">
        <v>51</v>
      </c>
      <c r="B1517">
        <v>12</v>
      </c>
      <c r="C1517" t="s">
        <v>50</v>
      </c>
      <c r="D1517">
        <v>0</v>
      </c>
      <c r="E1517">
        <v>0</v>
      </c>
      <c r="F1517">
        <v>0</v>
      </c>
      <c r="G1517" t="s">
        <v>51</v>
      </c>
      <c r="H1517">
        <v>12</v>
      </c>
      <c r="I1517">
        <v>0</v>
      </c>
      <c r="J1517">
        <v>0</v>
      </c>
      <c r="K1517" t="b">
        <f t="shared" si="92"/>
        <v>1</v>
      </c>
      <c r="L1517">
        <f t="shared" si="93"/>
        <v>0</v>
      </c>
      <c r="M1517">
        <f t="shared" si="94"/>
        <v>0</v>
      </c>
      <c r="N1517">
        <f t="shared" si="95"/>
        <v>0</v>
      </c>
    </row>
    <row r="1518" spans="1:14" x14ac:dyDescent="0.35">
      <c r="A1518" t="s">
        <v>51</v>
      </c>
      <c r="B1518">
        <v>12</v>
      </c>
      <c r="C1518" t="s">
        <v>50</v>
      </c>
      <c r="D1518">
        <v>1</v>
      </c>
      <c r="E1518">
        <v>0.14943111761057601</v>
      </c>
      <c r="F1518" s="19">
        <v>5.9335513951802002E-4</v>
      </c>
      <c r="G1518" t="s">
        <v>51</v>
      </c>
      <c r="H1518">
        <v>12</v>
      </c>
      <c r="I1518">
        <v>1</v>
      </c>
      <c r="J1518">
        <v>2.01978771187765E-3</v>
      </c>
      <c r="K1518" t="b">
        <f t="shared" si="92"/>
        <v>1</v>
      </c>
      <c r="L1518">
        <f t="shared" si="93"/>
        <v>0.1520442604619717</v>
      </c>
      <c r="M1518">
        <f t="shared" si="94"/>
        <v>0.60817704184788679</v>
      </c>
      <c r="N1518">
        <f t="shared" si="95"/>
        <v>0.7431923451381176</v>
      </c>
    </row>
    <row r="1519" spans="1:14" x14ac:dyDescent="0.35">
      <c r="A1519" t="s">
        <v>51</v>
      </c>
      <c r="B1519">
        <v>12</v>
      </c>
      <c r="C1519" t="s">
        <v>50</v>
      </c>
      <c r="D1519">
        <v>2</v>
      </c>
      <c r="E1519">
        <v>0.33622001462379703</v>
      </c>
      <c r="F1519">
        <v>1.91060354924802E-3</v>
      </c>
      <c r="G1519" t="s">
        <v>51</v>
      </c>
      <c r="H1519">
        <v>12</v>
      </c>
      <c r="I1519">
        <v>2</v>
      </c>
      <c r="J1519">
        <v>5.8423442057745903E-3</v>
      </c>
      <c r="K1519" t="b">
        <f t="shared" si="92"/>
        <v>1</v>
      </c>
      <c r="L1519">
        <f t="shared" si="93"/>
        <v>0.34397296237881964</v>
      </c>
      <c r="M1519">
        <f t="shared" si="94"/>
        <v>1.3758918495152785</v>
      </c>
      <c r="N1519">
        <f t="shared" si="95"/>
        <v>1.6813398401076702</v>
      </c>
    </row>
    <row r="1520" spans="1:14" x14ac:dyDescent="0.35">
      <c r="A1520" t="s">
        <v>51</v>
      </c>
      <c r="B1520">
        <v>12</v>
      </c>
      <c r="C1520" t="s">
        <v>50</v>
      </c>
      <c r="D1520">
        <v>3</v>
      </c>
      <c r="E1520">
        <v>0.56970613589032304</v>
      </c>
      <c r="F1520">
        <v>4.11545191218304E-3</v>
      </c>
      <c r="G1520" t="s">
        <v>51</v>
      </c>
      <c r="H1520">
        <v>12</v>
      </c>
      <c r="I1520">
        <v>3</v>
      </c>
      <c r="J1520">
        <v>1.1475093441080501E-2</v>
      </c>
      <c r="K1520" t="b">
        <f t="shared" si="92"/>
        <v>1</v>
      </c>
      <c r="L1520">
        <f t="shared" si="93"/>
        <v>0.58529668124358658</v>
      </c>
      <c r="M1520">
        <f t="shared" si="94"/>
        <v>2.3411867249743463</v>
      </c>
      <c r="N1520">
        <f t="shared" si="95"/>
        <v>2.8609301779186511</v>
      </c>
    </row>
    <row r="1521" spans="1:14" x14ac:dyDescent="0.35">
      <c r="A1521" t="s">
        <v>51</v>
      </c>
      <c r="B1521">
        <v>12</v>
      </c>
      <c r="C1521" t="s">
        <v>50</v>
      </c>
      <c r="D1521">
        <v>4</v>
      </c>
      <c r="E1521">
        <v>0.86156378747348095</v>
      </c>
      <c r="F1521">
        <v>7.4130515811011303E-3</v>
      </c>
      <c r="G1521" t="s">
        <v>51</v>
      </c>
      <c r="H1521">
        <v>12</v>
      </c>
      <c r="I1521">
        <v>4</v>
      </c>
      <c r="J1521">
        <v>1.90929451891667E-2</v>
      </c>
      <c r="K1521" t="b">
        <f t="shared" si="92"/>
        <v>1</v>
      </c>
      <c r="L1521">
        <f t="shared" si="93"/>
        <v>0.88806978424374883</v>
      </c>
      <c r="M1521">
        <f t="shared" si="94"/>
        <v>3.5522791369749953</v>
      </c>
      <c r="N1521">
        <f t="shared" si="95"/>
        <v>4.3408851053834443</v>
      </c>
    </row>
    <row r="1522" spans="1:14" x14ac:dyDescent="0.35">
      <c r="A1522" t="s">
        <v>51</v>
      </c>
      <c r="B1522">
        <v>12</v>
      </c>
      <c r="C1522" t="s">
        <v>50</v>
      </c>
      <c r="D1522">
        <v>5</v>
      </c>
      <c r="E1522">
        <v>1.22638585195242</v>
      </c>
      <c r="F1522">
        <v>1.20603442060406E-2</v>
      </c>
      <c r="G1522" t="s">
        <v>51</v>
      </c>
      <c r="H1522">
        <v>12</v>
      </c>
      <c r="I1522">
        <v>5</v>
      </c>
      <c r="J1522">
        <v>2.9014319633302501E-2</v>
      </c>
      <c r="K1522" t="b">
        <f t="shared" si="92"/>
        <v>1</v>
      </c>
      <c r="L1522">
        <f t="shared" si="93"/>
        <v>1.2674605157917631</v>
      </c>
      <c r="M1522">
        <f t="shared" si="94"/>
        <v>5.0698420631670524</v>
      </c>
      <c r="N1522">
        <f t="shared" si="95"/>
        <v>6.1953470011901377</v>
      </c>
    </row>
    <row r="1523" spans="1:14" x14ac:dyDescent="0.35">
      <c r="A1523" t="s">
        <v>51</v>
      </c>
      <c r="B1523">
        <v>12</v>
      </c>
      <c r="C1523" t="s">
        <v>50</v>
      </c>
      <c r="D1523">
        <v>6</v>
      </c>
      <c r="E1523">
        <v>1.68241343255111</v>
      </c>
      <c r="F1523">
        <v>1.8378994234842998E-2</v>
      </c>
      <c r="G1523" t="s">
        <v>51</v>
      </c>
      <c r="H1523">
        <v>12</v>
      </c>
      <c r="I1523">
        <v>6</v>
      </c>
      <c r="J1523">
        <v>4.1698362082418297E-2</v>
      </c>
      <c r="K1523" t="b">
        <f t="shared" si="92"/>
        <v>1</v>
      </c>
      <c r="L1523">
        <f t="shared" si="93"/>
        <v>1.7424907888683712</v>
      </c>
      <c r="M1523">
        <f t="shared" si="94"/>
        <v>6.9699631554734847</v>
      </c>
      <c r="N1523">
        <f t="shared" si="95"/>
        <v>8.5172949759885981</v>
      </c>
    </row>
    <row r="1524" spans="1:14" x14ac:dyDescent="0.35">
      <c r="A1524" t="s">
        <v>51</v>
      </c>
      <c r="B1524">
        <v>12</v>
      </c>
      <c r="C1524" t="s">
        <v>50</v>
      </c>
      <c r="D1524">
        <v>7</v>
      </c>
      <c r="E1524">
        <v>2.2524479082994602</v>
      </c>
      <c r="F1524">
        <v>2.6771554991045301E-2</v>
      </c>
      <c r="G1524" t="s">
        <v>51</v>
      </c>
      <c r="H1524">
        <v>12</v>
      </c>
      <c r="I1524">
        <v>7</v>
      </c>
      <c r="J1524">
        <v>5.7757182371766497E-2</v>
      </c>
      <c r="K1524" t="b">
        <f t="shared" si="92"/>
        <v>1</v>
      </c>
      <c r="L1524">
        <f t="shared" si="93"/>
        <v>2.336976645662272</v>
      </c>
      <c r="M1524">
        <f t="shared" si="94"/>
        <v>9.3479065826490881</v>
      </c>
      <c r="N1524">
        <f t="shared" si="95"/>
        <v>11.423141843997186</v>
      </c>
    </row>
    <row r="1525" spans="1:14" x14ac:dyDescent="0.35">
      <c r="A1525" t="s">
        <v>51</v>
      </c>
      <c r="B1525">
        <v>12</v>
      </c>
      <c r="C1525" t="s">
        <v>50</v>
      </c>
      <c r="D1525">
        <v>8</v>
      </c>
      <c r="E1525">
        <v>2.96499100298491</v>
      </c>
      <c r="F1525">
        <v>3.7741676709891502E-2</v>
      </c>
      <c r="G1525" t="s">
        <v>51</v>
      </c>
      <c r="H1525">
        <v>12</v>
      </c>
      <c r="I1525">
        <v>8</v>
      </c>
      <c r="J1525">
        <v>7.79803011958798E-2</v>
      </c>
      <c r="K1525" t="b">
        <f t="shared" si="92"/>
        <v>1</v>
      </c>
      <c r="L1525">
        <f t="shared" si="93"/>
        <v>3.0807129808906817</v>
      </c>
      <c r="M1525">
        <f t="shared" si="94"/>
        <v>12.322851923562727</v>
      </c>
      <c r="N1525">
        <f t="shared" si="95"/>
        <v>15.058525050593651</v>
      </c>
    </row>
    <row r="1526" spans="1:14" x14ac:dyDescent="0.35">
      <c r="A1526" t="s">
        <v>51</v>
      </c>
      <c r="B1526">
        <v>12</v>
      </c>
      <c r="C1526" t="s">
        <v>50</v>
      </c>
      <c r="D1526">
        <v>9</v>
      </c>
      <c r="E1526">
        <v>3.8556698713416999</v>
      </c>
      <c r="F1526">
        <v>5.1919367008834601E-2</v>
      </c>
      <c r="G1526" t="s">
        <v>51</v>
      </c>
      <c r="H1526">
        <v>12</v>
      </c>
      <c r="I1526">
        <v>9</v>
      </c>
      <c r="J1526">
        <v>0.10337057254338899</v>
      </c>
      <c r="K1526" t="b">
        <f t="shared" si="92"/>
        <v>1</v>
      </c>
      <c r="L1526">
        <f t="shared" si="93"/>
        <v>4.0109598108939233</v>
      </c>
      <c r="M1526">
        <f t="shared" si="94"/>
        <v>16.043839243575693</v>
      </c>
      <c r="N1526">
        <f t="shared" si="95"/>
        <v>19.605571555649497</v>
      </c>
    </row>
    <row r="1527" spans="1:14" x14ac:dyDescent="0.35">
      <c r="A1527" t="s">
        <v>51</v>
      </c>
      <c r="B1527">
        <v>12</v>
      </c>
      <c r="C1527" t="s">
        <v>50</v>
      </c>
      <c r="D1527">
        <v>10</v>
      </c>
      <c r="E1527">
        <v>4.96901845678771</v>
      </c>
      <c r="F1527">
        <v>7.0092566888387497E-2</v>
      </c>
      <c r="G1527" t="s">
        <v>51</v>
      </c>
      <c r="H1527">
        <v>12</v>
      </c>
      <c r="I1527">
        <v>10</v>
      </c>
      <c r="J1527">
        <v>0.13519226518351199</v>
      </c>
      <c r="K1527" t="b">
        <f t="shared" si="92"/>
        <v>1</v>
      </c>
      <c r="L1527">
        <f t="shared" si="93"/>
        <v>5.1743032888596092</v>
      </c>
      <c r="M1527">
        <f t="shared" si="94"/>
        <v>20.697213155438437</v>
      </c>
      <c r="N1527">
        <f t="shared" si="95"/>
        <v>25.291994475945771</v>
      </c>
    </row>
    <row r="1528" spans="1:14" x14ac:dyDescent="0.35">
      <c r="A1528" t="s">
        <v>51</v>
      </c>
      <c r="B1528">
        <v>12</v>
      </c>
      <c r="C1528" t="s">
        <v>50</v>
      </c>
      <c r="D1528">
        <v>11</v>
      </c>
      <c r="E1528">
        <v>6.3607041885952098</v>
      </c>
      <c r="F1528">
        <v>9.3246621133526206E-2</v>
      </c>
      <c r="G1528" t="s">
        <v>51</v>
      </c>
      <c r="H1528">
        <v>12</v>
      </c>
      <c r="I1528">
        <v>11</v>
      </c>
      <c r="J1528">
        <v>0.175033072138887</v>
      </c>
      <c r="K1528" t="b">
        <f t="shared" si="92"/>
        <v>1</v>
      </c>
      <c r="L1528">
        <f t="shared" si="93"/>
        <v>6.6289838818676232</v>
      </c>
      <c r="M1528">
        <f t="shared" si="94"/>
        <v>26.515935527470493</v>
      </c>
      <c r="N1528">
        <f t="shared" si="95"/>
        <v>32.402473214568943</v>
      </c>
    </row>
    <row r="1529" spans="1:14" x14ac:dyDescent="0.35">
      <c r="A1529" t="s">
        <v>51</v>
      </c>
      <c r="B1529">
        <v>12</v>
      </c>
      <c r="C1529" t="s">
        <v>50</v>
      </c>
      <c r="D1529">
        <v>12</v>
      </c>
      <c r="E1529">
        <v>8.1003113533546092</v>
      </c>
      <c r="F1529">
        <v>0.122613616703776</v>
      </c>
      <c r="G1529" t="s">
        <v>51</v>
      </c>
      <c r="H1529">
        <v>12</v>
      </c>
      <c r="I1529">
        <v>12</v>
      </c>
      <c r="J1529">
        <v>0.22488278568317899</v>
      </c>
      <c r="K1529" t="b">
        <f t="shared" si="92"/>
        <v>1</v>
      </c>
      <c r="L1529">
        <f t="shared" si="93"/>
        <v>8.4478077557415645</v>
      </c>
      <c r="M1529">
        <f t="shared" si="94"/>
        <v>33.791231022966258</v>
      </c>
      <c r="N1529">
        <f t="shared" si="95"/>
        <v>41.292884310064764</v>
      </c>
    </row>
    <row r="1530" spans="1:14" x14ac:dyDescent="0.35">
      <c r="A1530" t="s">
        <v>51</v>
      </c>
      <c r="B1530">
        <v>12</v>
      </c>
      <c r="C1530" t="s">
        <v>50</v>
      </c>
      <c r="D1530">
        <v>13</v>
      </c>
      <c r="E1530">
        <v>10.2748203093038</v>
      </c>
      <c r="F1530">
        <v>0.15973405609750099</v>
      </c>
      <c r="G1530" t="s">
        <v>51</v>
      </c>
      <c r="H1530">
        <v>12</v>
      </c>
      <c r="I1530">
        <v>13</v>
      </c>
      <c r="J1530">
        <v>0.28723236379920802</v>
      </c>
      <c r="K1530" t="b">
        <f t="shared" si="92"/>
        <v>1</v>
      </c>
      <c r="L1530">
        <f t="shared" si="93"/>
        <v>10.72178672920051</v>
      </c>
      <c r="M1530">
        <f t="shared" si="94"/>
        <v>42.887146916802038</v>
      </c>
      <c r="N1530">
        <f t="shared" si="95"/>
        <v>52.408093532332089</v>
      </c>
    </row>
    <row r="1531" spans="1:14" x14ac:dyDescent="0.35">
      <c r="A1531" t="s">
        <v>51</v>
      </c>
      <c r="B1531">
        <v>12</v>
      </c>
      <c r="C1531" t="s">
        <v>50</v>
      </c>
      <c r="D1531">
        <v>14</v>
      </c>
      <c r="E1531">
        <v>12.992956504240301</v>
      </c>
      <c r="F1531">
        <v>0.206533949422642</v>
      </c>
      <c r="G1531" t="s">
        <v>51</v>
      </c>
      <c r="H1531">
        <v>12</v>
      </c>
      <c r="I1531">
        <v>14</v>
      </c>
      <c r="J1531">
        <v>0.36519822209913</v>
      </c>
      <c r="K1531" t="b">
        <f t="shared" si="92"/>
        <v>1</v>
      </c>
      <c r="L1531">
        <f t="shared" si="93"/>
        <v>13.564688675762072</v>
      </c>
      <c r="M1531">
        <f t="shared" si="94"/>
        <v>54.25875470304829</v>
      </c>
      <c r="N1531">
        <f t="shared" si="95"/>
        <v>66.304198247125015</v>
      </c>
    </row>
    <row r="1532" spans="1:14" x14ac:dyDescent="0.35">
      <c r="A1532" t="s">
        <v>51</v>
      </c>
      <c r="B1532">
        <v>12</v>
      </c>
      <c r="C1532" t="s">
        <v>50</v>
      </c>
      <c r="D1532">
        <v>15</v>
      </c>
      <c r="E1532">
        <v>16.329722727272699</v>
      </c>
      <c r="F1532">
        <v>0.26517934457632603</v>
      </c>
      <c r="G1532" t="s">
        <v>51</v>
      </c>
      <c r="H1532">
        <v>12</v>
      </c>
      <c r="I1532">
        <v>15</v>
      </c>
      <c r="J1532">
        <v>0.46185468702271498</v>
      </c>
      <c r="K1532" t="b">
        <f t="shared" si="92"/>
        <v>1</v>
      </c>
      <c r="L1532">
        <f t="shared" si="93"/>
        <v>17.056756758871739</v>
      </c>
      <c r="M1532">
        <f t="shared" si="94"/>
        <v>68.227027035486955</v>
      </c>
      <c r="N1532">
        <f t="shared" si="95"/>
        <v>83.373427037365062</v>
      </c>
    </row>
    <row r="1533" spans="1:14" x14ac:dyDescent="0.35">
      <c r="A1533" t="s">
        <v>51</v>
      </c>
      <c r="B1533">
        <v>12</v>
      </c>
      <c r="C1533" t="s">
        <v>50</v>
      </c>
      <c r="D1533">
        <v>16</v>
      </c>
      <c r="E1533">
        <v>19.804131818181698</v>
      </c>
      <c r="F1533">
        <v>0.33586142332994501</v>
      </c>
      <c r="G1533" t="s">
        <v>51</v>
      </c>
      <c r="H1533">
        <v>12</v>
      </c>
      <c r="I1533">
        <v>16</v>
      </c>
      <c r="J1533">
        <v>0.57274873495093803</v>
      </c>
      <c r="K1533" t="b">
        <f t="shared" si="92"/>
        <v>1</v>
      </c>
      <c r="L1533">
        <f t="shared" si="93"/>
        <v>20.712741976462581</v>
      </c>
      <c r="M1533">
        <f t="shared" si="94"/>
        <v>82.850967905850325</v>
      </c>
      <c r="N1533">
        <f t="shared" si="95"/>
        <v>101.24388278094909</v>
      </c>
    </row>
    <row r="1534" spans="1:14" x14ac:dyDescent="0.35">
      <c r="A1534" t="s">
        <v>51</v>
      </c>
      <c r="B1534">
        <v>12</v>
      </c>
      <c r="C1534" t="s">
        <v>50</v>
      </c>
      <c r="D1534">
        <v>17</v>
      </c>
      <c r="E1534">
        <v>23.2785409090908</v>
      </c>
      <c r="F1534">
        <v>0.41821908517550099</v>
      </c>
      <c r="G1534" t="s">
        <v>51</v>
      </c>
      <c r="H1534">
        <v>12</v>
      </c>
      <c r="I1534">
        <v>17</v>
      </c>
      <c r="J1534">
        <v>0.69324140594323203</v>
      </c>
      <c r="K1534" t="b">
        <f t="shared" si="92"/>
        <v>1</v>
      </c>
      <c r="L1534">
        <f t="shared" si="93"/>
        <v>24.390001400209535</v>
      </c>
      <c r="M1534">
        <f t="shared" si="94"/>
        <v>97.560005600838139</v>
      </c>
      <c r="N1534">
        <f t="shared" si="95"/>
        <v>119.21832684422421</v>
      </c>
    </row>
    <row r="1535" spans="1:14" x14ac:dyDescent="0.35">
      <c r="A1535" t="s">
        <v>51</v>
      </c>
      <c r="B1535">
        <v>12</v>
      </c>
      <c r="C1535" t="s">
        <v>50</v>
      </c>
      <c r="D1535">
        <v>18</v>
      </c>
      <c r="E1535">
        <v>26.752949999999998</v>
      </c>
      <c r="F1535">
        <v>0.51190206262023596</v>
      </c>
      <c r="G1535" t="s">
        <v>51</v>
      </c>
      <c r="H1535">
        <v>12</v>
      </c>
      <c r="I1535">
        <v>18</v>
      </c>
      <c r="J1535">
        <v>0.820364857452341</v>
      </c>
      <c r="K1535" t="b">
        <f t="shared" si="92"/>
        <v>1</v>
      </c>
      <c r="L1535">
        <f t="shared" si="93"/>
        <v>28.085216920072575</v>
      </c>
      <c r="M1535">
        <f t="shared" si="94"/>
        <v>112.3408676802903</v>
      </c>
      <c r="N1535">
        <f t="shared" si="95"/>
        <v>137.28054030531476</v>
      </c>
    </row>
    <row r="1536" spans="1:14" x14ac:dyDescent="0.35">
      <c r="A1536" t="s">
        <v>51</v>
      </c>
      <c r="B1536">
        <v>12</v>
      </c>
      <c r="C1536" t="s">
        <v>50</v>
      </c>
      <c r="D1536">
        <v>19</v>
      </c>
      <c r="E1536">
        <v>30.925692000000002</v>
      </c>
      <c r="F1536">
        <v>0.61934350874162902</v>
      </c>
      <c r="G1536" t="s">
        <v>51</v>
      </c>
      <c r="H1536">
        <v>12</v>
      </c>
      <c r="I1536">
        <v>19</v>
      </c>
      <c r="J1536">
        <v>0.96161285748692704</v>
      </c>
      <c r="K1536" t="b">
        <f t="shared" si="92"/>
        <v>1</v>
      </c>
      <c r="L1536">
        <f t="shared" si="93"/>
        <v>32.506648366228561</v>
      </c>
      <c r="M1536">
        <f t="shared" si="94"/>
        <v>130.02659346491424</v>
      </c>
      <c r="N1536">
        <f t="shared" si="95"/>
        <v>158.8924972141252</v>
      </c>
    </row>
    <row r="1537" spans="1:14" x14ac:dyDescent="0.35">
      <c r="A1537" t="s">
        <v>51</v>
      </c>
      <c r="B1537">
        <v>12</v>
      </c>
      <c r="C1537" t="s">
        <v>50</v>
      </c>
      <c r="D1537">
        <v>20</v>
      </c>
      <c r="E1537">
        <v>35.098433999999997</v>
      </c>
      <c r="F1537">
        <v>0.74013066947938</v>
      </c>
      <c r="G1537" t="s">
        <v>51</v>
      </c>
      <c r="H1537">
        <v>12</v>
      </c>
      <c r="I1537">
        <v>20</v>
      </c>
      <c r="J1537">
        <v>1.1123042095889799</v>
      </c>
      <c r="K1537" t="b">
        <f t="shared" si="92"/>
        <v>1</v>
      </c>
      <c r="L1537">
        <f t="shared" si="93"/>
        <v>36.950868879068352</v>
      </c>
      <c r="M1537">
        <f t="shared" si="94"/>
        <v>147.80347551627341</v>
      </c>
      <c r="N1537">
        <f t="shared" si="95"/>
        <v>180.61584708088611</v>
      </c>
    </row>
    <row r="1538" spans="1:14" x14ac:dyDescent="0.35">
      <c r="A1538" t="s">
        <v>51</v>
      </c>
      <c r="B1538">
        <v>12</v>
      </c>
      <c r="C1538" t="s">
        <v>50</v>
      </c>
      <c r="D1538">
        <v>21</v>
      </c>
      <c r="E1538">
        <v>39.271175999999997</v>
      </c>
      <c r="F1538">
        <v>0.87386317339499897</v>
      </c>
      <c r="G1538" t="s">
        <v>51</v>
      </c>
      <c r="H1538">
        <v>12</v>
      </c>
      <c r="I1538">
        <v>21</v>
      </c>
      <c r="J1538">
        <v>1.26946710035252</v>
      </c>
      <c r="K1538" t="b">
        <f t="shared" si="92"/>
        <v>1</v>
      </c>
      <c r="L1538">
        <f t="shared" si="93"/>
        <v>41.41450627374752</v>
      </c>
      <c r="M1538">
        <f t="shared" si="94"/>
        <v>165.65802509499008</v>
      </c>
      <c r="N1538">
        <f t="shared" si="95"/>
        <v>202.43410666607787</v>
      </c>
    </row>
    <row r="1539" spans="1:14" x14ac:dyDescent="0.35">
      <c r="A1539" t="s">
        <v>51</v>
      </c>
      <c r="B1539">
        <v>12</v>
      </c>
      <c r="C1539" t="s">
        <v>50</v>
      </c>
      <c r="D1539">
        <v>22</v>
      </c>
      <c r="E1539">
        <v>43.443917999999996</v>
      </c>
      <c r="F1539">
        <v>1.0201526601931501</v>
      </c>
      <c r="G1539" t="s">
        <v>51</v>
      </c>
      <c r="H1539">
        <v>12</v>
      </c>
      <c r="I1539">
        <v>22</v>
      </c>
      <c r="J1539">
        <v>1.4311696379997301</v>
      </c>
      <c r="K1539" t="b">
        <f t="shared" ref="K1539:K1602" si="96">H1539=B1539</f>
        <v>1</v>
      </c>
      <c r="L1539">
        <f t="shared" ref="L1539:L1602" si="97">E1539+F1539+J1539</f>
        <v>45.895240298192874</v>
      </c>
      <c r="M1539">
        <f t="shared" ref="M1539:M1602" si="98">(L1539*2)*(100/50)</f>
        <v>183.5809611927715</v>
      </c>
      <c r="N1539">
        <f t="shared" ref="N1539:N1602" si="99">M1539*1.222</f>
        <v>224.33593457756677</v>
      </c>
    </row>
    <row r="1540" spans="1:14" x14ac:dyDescent="0.35">
      <c r="A1540" t="s">
        <v>51</v>
      </c>
      <c r="B1540">
        <v>12</v>
      </c>
      <c r="C1540" t="s">
        <v>50</v>
      </c>
      <c r="D1540">
        <v>23</v>
      </c>
      <c r="E1540">
        <v>47.616660000000003</v>
      </c>
      <c r="F1540">
        <v>1.1786224203873501</v>
      </c>
      <c r="G1540" t="s">
        <v>51</v>
      </c>
      <c r="H1540">
        <v>12</v>
      </c>
      <c r="I1540">
        <v>23</v>
      </c>
      <c r="J1540">
        <v>1.5961243529365401</v>
      </c>
      <c r="K1540" t="b">
        <f t="shared" si="96"/>
        <v>1</v>
      </c>
      <c r="L1540">
        <f t="shared" si="97"/>
        <v>50.391406773323894</v>
      </c>
      <c r="M1540">
        <f t="shared" si="98"/>
        <v>201.56562709329557</v>
      </c>
      <c r="N1540">
        <f t="shared" si="99"/>
        <v>246.31319630800718</v>
      </c>
    </row>
    <row r="1541" spans="1:14" x14ac:dyDescent="0.35">
      <c r="A1541" t="s">
        <v>51</v>
      </c>
      <c r="B1541">
        <v>12</v>
      </c>
      <c r="C1541" t="s">
        <v>50</v>
      </c>
      <c r="D1541">
        <v>24</v>
      </c>
      <c r="E1541">
        <v>52.679969999999997</v>
      </c>
      <c r="F1541">
        <v>1.35244327777573</v>
      </c>
      <c r="G1541" t="s">
        <v>51</v>
      </c>
      <c r="H1541">
        <v>12</v>
      </c>
      <c r="I1541">
        <v>24</v>
      </c>
      <c r="J1541">
        <v>1.77548906601948</v>
      </c>
      <c r="K1541" t="b">
        <f t="shared" si="96"/>
        <v>1</v>
      </c>
      <c r="L1541">
        <f t="shared" si="97"/>
        <v>55.807902343795206</v>
      </c>
      <c r="M1541">
        <f t="shared" si="98"/>
        <v>223.23160937518082</v>
      </c>
      <c r="N1541">
        <f t="shared" si="99"/>
        <v>272.78902665647098</v>
      </c>
    </row>
    <row r="1542" spans="1:14" x14ac:dyDescent="0.35">
      <c r="A1542" t="s">
        <v>51</v>
      </c>
      <c r="B1542">
        <v>12</v>
      </c>
      <c r="C1542" t="s">
        <v>50</v>
      </c>
      <c r="D1542">
        <v>25</v>
      </c>
      <c r="E1542">
        <v>57.7122374277007</v>
      </c>
      <c r="F1542">
        <v>1.56897156725524</v>
      </c>
      <c r="G1542" t="s">
        <v>51</v>
      </c>
      <c r="H1542">
        <v>12</v>
      </c>
      <c r="I1542">
        <v>25</v>
      </c>
      <c r="J1542">
        <v>1.9639262646323601</v>
      </c>
      <c r="K1542" t="b">
        <f t="shared" si="96"/>
        <v>1</v>
      </c>
      <c r="L1542">
        <f t="shared" si="97"/>
        <v>61.245135259588302</v>
      </c>
      <c r="M1542">
        <f t="shared" si="98"/>
        <v>244.98054103835321</v>
      </c>
      <c r="N1542">
        <f t="shared" si="99"/>
        <v>299.36622114886762</v>
      </c>
    </row>
    <row r="1543" spans="1:14" x14ac:dyDescent="0.35">
      <c r="A1543" t="s">
        <v>51</v>
      </c>
      <c r="B1543">
        <v>12</v>
      </c>
      <c r="C1543" t="s">
        <v>50</v>
      </c>
      <c r="D1543">
        <v>26</v>
      </c>
      <c r="E1543">
        <v>62.440869459989401</v>
      </c>
      <c r="F1543">
        <v>2.0706796556783602</v>
      </c>
      <c r="G1543" t="s">
        <v>51</v>
      </c>
      <c r="H1543">
        <v>12</v>
      </c>
      <c r="I1543">
        <v>26</v>
      </c>
      <c r="J1543">
        <v>2.1544004729118398</v>
      </c>
      <c r="K1543" t="b">
        <f t="shared" si="96"/>
        <v>1</v>
      </c>
      <c r="L1543">
        <f t="shared" si="97"/>
        <v>66.665949588579608</v>
      </c>
      <c r="M1543">
        <f t="shared" si="98"/>
        <v>266.66379835431843</v>
      </c>
      <c r="N1543">
        <f t="shared" si="99"/>
        <v>325.86316158897711</v>
      </c>
    </row>
    <row r="1544" spans="1:14" x14ac:dyDescent="0.35">
      <c r="A1544" t="s">
        <v>51</v>
      </c>
      <c r="B1544">
        <v>12</v>
      </c>
      <c r="C1544" t="s">
        <v>50</v>
      </c>
      <c r="D1544">
        <v>27</v>
      </c>
      <c r="E1544">
        <v>67.000238823452804</v>
      </c>
      <c r="F1544">
        <v>2.72359886618966</v>
      </c>
      <c r="G1544" t="s">
        <v>51</v>
      </c>
      <c r="H1544">
        <v>12</v>
      </c>
      <c r="I1544">
        <v>27</v>
      </c>
      <c r="J1544">
        <v>2.3442082580306698</v>
      </c>
      <c r="K1544" t="b">
        <f t="shared" si="96"/>
        <v>1</v>
      </c>
      <c r="L1544">
        <f t="shared" si="97"/>
        <v>72.068045947673141</v>
      </c>
      <c r="M1544">
        <f t="shared" si="98"/>
        <v>288.27218379069257</v>
      </c>
      <c r="N1544">
        <f t="shared" si="99"/>
        <v>352.26860859222631</v>
      </c>
    </row>
    <row r="1545" spans="1:14" x14ac:dyDescent="0.35">
      <c r="A1545" t="s">
        <v>51</v>
      </c>
      <c r="B1545">
        <v>12</v>
      </c>
      <c r="C1545" t="s">
        <v>50</v>
      </c>
      <c r="D1545">
        <v>28</v>
      </c>
      <c r="E1545">
        <v>71.435282323269902</v>
      </c>
      <c r="F1545">
        <v>3.4803302218692398</v>
      </c>
      <c r="G1545" t="s">
        <v>51</v>
      </c>
      <c r="H1545">
        <v>12</v>
      </c>
      <c r="I1545">
        <v>28</v>
      </c>
      <c r="J1545">
        <v>2.5321487325115499</v>
      </c>
      <c r="K1545" t="b">
        <f t="shared" si="96"/>
        <v>1</v>
      </c>
      <c r="L1545">
        <f t="shared" si="97"/>
        <v>77.447761277650685</v>
      </c>
      <c r="M1545">
        <f t="shared" si="98"/>
        <v>309.79104511060274</v>
      </c>
      <c r="N1545">
        <f t="shared" si="99"/>
        <v>378.56465712515654</v>
      </c>
    </row>
    <row r="1546" spans="1:14" x14ac:dyDescent="0.35">
      <c r="A1546" t="s">
        <v>51</v>
      </c>
      <c r="B1546">
        <v>12</v>
      </c>
      <c r="C1546" t="s">
        <v>50</v>
      </c>
      <c r="D1546">
        <v>29</v>
      </c>
      <c r="E1546">
        <v>76.380981323230401</v>
      </c>
      <c r="F1546">
        <v>4.2518187405417303</v>
      </c>
      <c r="G1546" t="s">
        <v>51</v>
      </c>
      <c r="H1546">
        <v>12</v>
      </c>
      <c r="I1546">
        <v>29</v>
      </c>
      <c r="J1546">
        <v>2.7259551514292899</v>
      </c>
      <c r="K1546" t="b">
        <f t="shared" si="96"/>
        <v>1</v>
      </c>
      <c r="L1546">
        <f t="shared" si="97"/>
        <v>83.358755215201427</v>
      </c>
      <c r="M1546">
        <f t="shared" si="98"/>
        <v>333.43502086080571</v>
      </c>
      <c r="N1546">
        <f t="shared" si="99"/>
        <v>407.45759549190456</v>
      </c>
    </row>
    <row r="1547" spans="1:14" x14ac:dyDescent="0.35">
      <c r="A1547" t="s">
        <v>51</v>
      </c>
      <c r="B1547">
        <v>12</v>
      </c>
      <c r="C1547" t="s">
        <v>50</v>
      </c>
      <c r="D1547">
        <v>30</v>
      </c>
      <c r="E1547">
        <v>81.270056957035294</v>
      </c>
      <c r="F1547">
        <v>5.0631727276814402</v>
      </c>
      <c r="G1547" t="s">
        <v>51</v>
      </c>
      <c r="H1547">
        <v>12</v>
      </c>
      <c r="I1547">
        <v>30</v>
      </c>
      <c r="J1547">
        <v>2.9228617123746199</v>
      </c>
      <c r="K1547" t="b">
        <f t="shared" si="96"/>
        <v>1</v>
      </c>
      <c r="L1547">
        <f t="shared" si="97"/>
        <v>89.256091397091367</v>
      </c>
      <c r="M1547">
        <f t="shared" si="98"/>
        <v>357.02436558836547</v>
      </c>
      <c r="N1547">
        <f t="shared" si="99"/>
        <v>436.28377474898258</v>
      </c>
    </row>
    <row r="1548" spans="1:14" x14ac:dyDescent="0.35">
      <c r="A1548" t="s">
        <v>51</v>
      </c>
      <c r="B1548">
        <v>12</v>
      </c>
      <c r="C1548" t="s">
        <v>50</v>
      </c>
      <c r="D1548">
        <v>31</v>
      </c>
      <c r="E1548">
        <v>86.087807240094605</v>
      </c>
      <c r="F1548">
        <v>5.9257934949940498</v>
      </c>
      <c r="G1548" t="s">
        <v>51</v>
      </c>
      <c r="H1548">
        <v>12</v>
      </c>
      <c r="I1548">
        <v>31</v>
      </c>
      <c r="J1548">
        <v>3.12092409806632</v>
      </c>
      <c r="K1548" t="b">
        <f t="shared" si="96"/>
        <v>1</v>
      </c>
      <c r="L1548">
        <f t="shared" si="97"/>
        <v>95.134524833154984</v>
      </c>
      <c r="M1548">
        <f t="shared" si="98"/>
        <v>380.53809933261994</v>
      </c>
      <c r="N1548">
        <f t="shared" si="99"/>
        <v>465.01755738446155</v>
      </c>
    </row>
    <row r="1549" spans="1:14" x14ac:dyDescent="0.35">
      <c r="A1549" t="s">
        <v>51</v>
      </c>
      <c r="B1549">
        <v>12</v>
      </c>
      <c r="C1549" t="s">
        <v>50</v>
      </c>
      <c r="D1549">
        <v>32</v>
      </c>
      <c r="E1549">
        <v>90.826305003023606</v>
      </c>
      <c r="F1549">
        <v>6.84444342350913</v>
      </c>
      <c r="G1549" t="s">
        <v>51</v>
      </c>
      <c r="H1549">
        <v>12</v>
      </c>
      <c r="I1549">
        <v>32</v>
      </c>
      <c r="J1549">
        <v>3.3187798623925802</v>
      </c>
      <c r="K1549" t="b">
        <f t="shared" si="96"/>
        <v>1</v>
      </c>
      <c r="L1549">
        <f t="shared" si="97"/>
        <v>100.98952828892531</v>
      </c>
      <c r="M1549">
        <f t="shared" si="98"/>
        <v>403.95811315570126</v>
      </c>
      <c r="N1549">
        <f t="shared" si="99"/>
        <v>493.63681427626693</v>
      </c>
    </row>
    <row r="1550" spans="1:14" x14ac:dyDescent="0.35">
      <c r="A1550" t="s">
        <v>51</v>
      </c>
      <c r="B1550">
        <v>12</v>
      </c>
      <c r="C1550" t="s">
        <v>50</v>
      </c>
      <c r="D1550">
        <v>33</v>
      </c>
      <c r="E1550">
        <v>95.480918738635395</v>
      </c>
      <c r="F1550">
        <v>7.8206830122438102</v>
      </c>
      <c r="G1550" t="s">
        <v>51</v>
      </c>
      <c r="H1550">
        <v>12</v>
      </c>
      <c r="I1550">
        <v>33</v>
      </c>
      <c r="J1550">
        <v>3.5154668832031999</v>
      </c>
      <c r="K1550" t="b">
        <f t="shared" si="96"/>
        <v>1</v>
      </c>
      <c r="L1550">
        <f t="shared" si="97"/>
        <v>106.8170686340824</v>
      </c>
      <c r="M1550">
        <f t="shared" si="98"/>
        <v>427.26827453632961</v>
      </c>
      <c r="N1550">
        <f t="shared" si="99"/>
        <v>522.12183148339477</v>
      </c>
    </row>
    <row r="1551" spans="1:14" x14ac:dyDescent="0.35">
      <c r="A1551" t="s">
        <v>51</v>
      </c>
      <c r="B1551">
        <v>12</v>
      </c>
      <c r="C1551" t="s">
        <v>50</v>
      </c>
      <c r="D1551">
        <v>34</v>
      </c>
      <c r="E1551">
        <v>100.48262262896201</v>
      </c>
      <c r="F1551">
        <v>8.7500630515464</v>
      </c>
      <c r="G1551" t="s">
        <v>51</v>
      </c>
      <c r="H1551">
        <v>12</v>
      </c>
      <c r="I1551">
        <v>34</v>
      </c>
      <c r="J1551">
        <v>3.7161613058540199</v>
      </c>
      <c r="K1551" t="b">
        <f t="shared" si="96"/>
        <v>1</v>
      </c>
      <c r="L1551">
        <f t="shared" si="97"/>
        <v>112.94884698636243</v>
      </c>
      <c r="M1551">
        <f t="shared" si="98"/>
        <v>451.7953879454497</v>
      </c>
      <c r="N1551">
        <f t="shared" si="99"/>
        <v>552.09396406933956</v>
      </c>
    </row>
    <row r="1552" spans="1:14" x14ac:dyDescent="0.35">
      <c r="A1552" t="s">
        <v>51</v>
      </c>
      <c r="B1552">
        <v>12</v>
      </c>
      <c r="C1552" t="s">
        <v>50</v>
      </c>
      <c r="D1552">
        <v>35</v>
      </c>
      <c r="E1552">
        <v>105.452360651597</v>
      </c>
      <c r="F1552">
        <v>9.6914614475839898</v>
      </c>
      <c r="G1552" t="s">
        <v>51</v>
      </c>
      <c r="H1552">
        <v>12</v>
      </c>
      <c r="I1552">
        <v>35</v>
      </c>
      <c r="J1552">
        <v>3.91903392562498</v>
      </c>
      <c r="K1552" t="b">
        <f t="shared" si="96"/>
        <v>1</v>
      </c>
      <c r="L1552">
        <f t="shared" si="97"/>
        <v>119.06285602480597</v>
      </c>
      <c r="M1552">
        <f t="shared" si="98"/>
        <v>476.25142409922387</v>
      </c>
      <c r="N1552">
        <f t="shared" si="99"/>
        <v>581.97924024925157</v>
      </c>
    </row>
    <row r="1553" spans="1:14" x14ac:dyDescent="0.35">
      <c r="A1553" t="s">
        <v>51</v>
      </c>
      <c r="B1553">
        <v>12</v>
      </c>
      <c r="C1553" t="s">
        <v>50</v>
      </c>
      <c r="D1553">
        <v>36</v>
      </c>
      <c r="E1553">
        <v>110.362259384339</v>
      </c>
      <c r="F1553">
        <v>10.6693856362823</v>
      </c>
      <c r="G1553" t="s">
        <v>51</v>
      </c>
      <c r="H1553">
        <v>12</v>
      </c>
      <c r="I1553">
        <v>36</v>
      </c>
      <c r="J1553">
        <v>4.1225631795013502</v>
      </c>
      <c r="K1553" t="b">
        <f t="shared" si="96"/>
        <v>1</v>
      </c>
      <c r="L1553">
        <f t="shared" si="97"/>
        <v>125.15420820012265</v>
      </c>
      <c r="M1553">
        <f t="shared" si="98"/>
        <v>500.61683280049061</v>
      </c>
      <c r="N1553">
        <f t="shared" si="99"/>
        <v>611.7537696821995</v>
      </c>
    </row>
    <row r="1554" spans="1:14" x14ac:dyDescent="0.35">
      <c r="A1554" t="s">
        <v>51</v>
      </c>
      <c r="B1554">
        <v>12</v>
      </c>
      <c r="C1554" t="s">
        <v>50</v>
      </c>
      <c r="D1554">
        <v>37</v>
      </c>
      <c r="E1554">
        <v>115.199845231065</v>
      </c>
      <c r="F1554">
        <v>11.693346227167</v>
      </c>
      <c r="G1554" t="s">
        <v>51</v>
      </c>
      <c r="H1554">
        <v>12</v>
      </c>
      <c r="I1554">
        <v>37</v>
      </c>
      <c r="J1554">
        <v>4.3256056543400501</v>
      </c>
      <c r="K1554" t="b">
        <f t="shared" si="96"/>
        <v>1</v>
      </c>
      <c r="L1554">
        <f t="shared" si="97"/>
        <v>131.21879711257205</v>
      </c>
      <c r="M1554">
        <f t="shared" si="98"/>
        <v>524.87518845028819</v>
      </c>
      <c r="N1554">
        <f t="shared" si="99"/>
        <v>641.39748028625218</v>
      </c>
    </row>
    <row r="1555" spans="1:14" x14ac:dyDescent="0.35">
      <c r="A1555" t="s">
        <v>51</v>
      </c>
      <c r="B1555">
        <v>12</v>
      </c>
      <c r="C1555" t="s">
        <v>50</v>
      </c>
      <c r="D1555">
        <v>38</v>
      </c>
      <c r="E1555">
        <v>119.959291828975</v>
      </c>
      <c r="F1555">
        <v>12.7664218970185</v>
      </c>
      <c r="G1555" t="s">
        <v>51</v>
      </c>
      <c r="H1555">
        <v>12</v>
      </c>
      <c r="I1555">
        <v>38</v>
      </c>
      <c r="J1555">
        <v>4.5273343768116501</v>
      </c>
      <c r="K1555" t="b">
        <f t="shared" si="96"/>
        <v>1</v>
      </c>
      <c r="L1555">
        <f t="shared" si="97"/>
        <v>137.25304810280514</v>
      </c>
      <c r="M1555">
        <f t="shared" si="98"/>
        <v>549.01219241122055</v>
      </c>
      <c r="N1555">
        <f t="shared" si="99"/>
        <v>670.89289912651145</v>
      </c>
    </row>
    <row r="1556" spans="1:14" x14ac:dyDescent="0.35">
      <c r="A1556" t="s">
        <v>51</v>
      </c>
      <c r="B1556">
        <v>12</v>
      </c>
      <c r="C1556" t="s">
        <v>50</v>
      </c>
      <c r="D1556">
        <v>39</v>
      </c>
      <c r="E1556">
        <v>124.88650164377199</v>
      </c>
      <c r="F1556">
        <v>13.7564536405058</v>
      </c>
      <c r="G1556" t="s">
        <v>51</v>
      </c>
      <c r="H1556">
        <v>12</v>
      </c>
      <c r="I1556">
        <v>39</v>
      </c>
      <c r="J1556">
        <v>4.7305204968597803</v>
      </c>
      <c r="K1556" t="b">
        <f t="shared" si="96"/>
        <v>1</v>
      </c>
      <c r="L1556">
        <f t="shared" si="97"/>
        <v>143.37347578113759</v>
      </c>
      <c r="M1556">
        <f t="shared" si="98"/>
        <v>573.49390312455034</v>
      </c>
      <c r="N1556">
        <f t="shared" si="99"/>
        <v>700.80954961820055</v>
      </c>
    </row>
    <row r="1557" spans="1:14" x14ac:dyDescent="0.35">
      <c r="A1557" t="s">
        <v>51</v>
      </c>
      <c r="B1557">
        <v>12</v>
      </c>
      <c r="C1557" t="s">
        <v>50</v>
      </c>
      <c r="D1557">
        <v>40</v>
      </c>
      <c r="E1557">
        <v>129.79854610822699</v>
      </c>
      <c r="F1557">
        <v>14.7413484547736</v>
      </c>
      <c r="G1557" t="s">
        <v>51</v>
      </c>
      <c r="H1557">
        <v>12</v>
      </c>
      <c r="I1557">
        <v>40</v>
      </c>
      <c r="J1557">
        <v>4.9344486483266596</v>
      </c>
      <c r="K1557" t="b">
        <f t="shared" si="96"/>
        <v>1</v>
      </c>
      <c r="L1557">
        <f t="shared" si="97"/>
        <v>149.47434321132724</v>
      </c>
      <c r="M1557">
        <f t="shared" si="98"/>
        <v>597.89737284530895</v>
      </c>
      <c r="N1557">
        <f t="shared" si="99"/>
        <v>730.63058961696754</v>
      </c>
    </row>
    <row r="1558" spans="1:14" x14ac:dyDescent="0.35">
      <c r="A1558" t="s">
        <v>51</v>
      </c>
      <c r="B1558">
        <v>12</v>
      </c>
      <c r="C1558" t="s">
        <v>50</v>
      </c>
      <c r="D1558">
        <v>41</v>
      </c>
      <c r="E1558">
        <v>134.66172566792801</v>
      </c>
      <c r="F1558">
        <v>15.751626014796701</v>
      </c>
      <c r="G1558" t="s">
        <v>51</v>
      </c>
      <c r="H1558">
        <v>12</v>
      </c>
      <c r="I1558">
        <v>41</v>
      </c>
      <c r="J1558">
        <v>5.1382154504636102</v>
      </c>
      <c r="K1558" t="b">
        <f t="shared" si="96"/>
        <v>1</v>
      </c>
      <c r="L1558">
        <f t="shared" si="97"/>
        <v>155.55156713318831</v>
      </c>
      <c r="M1558">
        <f t="shared" si="98"/>
        <v>622.20626853275326</v>
      </c>
      <c r="N1558">
        <f t="shared" si="99"/>
        <v>760.33606014702445</v>
      </c>
    </row>
    <row r="1559" spans="1:14" x14ac:dyDescent="0.35">
      <c r="A1559" t="s">
        <v>51</v>
      </c>
      <c r="B1559">
        <v>12</v>
      </c>
      <c r="C1559" t="s">
        <v>50</v>
      </c>
      <c r="D1559">
        <v>42</v>
      </c>
      <c r="E1559">
        <v>139.462223173631</v>
      </c>
      <c r="F1559">
        <v>16.798505395286298</v>
      </c>
      <c r="G1559" t="s">
        <v>51</v>
      </c>
      <c r="H1559">
        <v>12</v>
      </c>
      <c r="I1559">
        <v>42</v>
      </c>
      <c r="J1559">
        <v>5.34105467851965</v>
      </c>
      <c r="K1559" t="b">
        <f t="shared" si="96"/>
        <v>1</v>
      </c>
      <c r="L1559">
        <f t="shared" si="97"/>
        <v>161.60178324743694</v>
      </c>
      <c r="M1559">
        <f t="shared" si="98"/>
        <v>646.40713298974777</v>
      </c>
      <c r="N1559">
        <f t="shared" si="99"/>
        <v>789.90951651347177</v>
      </c>
    </row>
    <row r="1560" spans="1:14" x14ac:dyDescent="0.35">
      <c r="A1560" t="s">
        <v>51</v>
      </c>
      <c r="B1560">
        <v>12</v>
      </c>
      <c r="C1560" t="s">
        <v>50</v>
      </c>
      <c r="D1560">
        <v>43</v>
      </c>
      <c r="E1560">
        <v>144.194249474022</v>
      </c>
      <c r="F1560">
        <v>17.8854568031777</v>
      </c>
      <c r="G1560" t="s">
        <v>51</v>
      </c>
      <c r="H1560">
        <v>12</v>
      </c>
      <c r="I1560">
        <v>43</v>
      </c>
      <c r="J1560">
        <v>5.5423872237716001</v>
      </c>
      <c r="K1560" t="b">
        <f t="shared" si="96"/>
        <v>1</v>
      </c>
      <c r="L1560">
        <f t="shared" si="97"/>
        <v>167.62209350097132</v>
      </c>
      <c r="M1560">
        <f t="shared" si="98"/>
        <v>670.48837400388527</v>
      </c>
      <c r="N1560">
        <f t="shared" si="99"/>
        <v>819.33679303274778</v>
      </c>
    </row>
    <row r="1561" spans="1:14" x14ac:dyDescent="0.35">
      <c r="A1561" t="s">
        <v>51</v>
      </c>
      <c r="B1561">
        <v>12</v>
      </c>
      <c r="C1561" t="s">
        <v>50</v>
      </c>
      <c r="D1561">
        <v>44</v>
      </c>
      <c r="E1561">
        <v>148.94431388794999</v>
      </c>
      <c r="F1561">
        <v>18.8619546755491</v>
      </c>
      <c r="G1561" t="s">
        <v>51</v>
      </c>
      <c r="H1561">
        <v>12</v>
      </c>
      <c r="I1561">
        <v>44</v>
      </c>
      <c r="J1561">
        <v>5.7429964429607097</v>
      </c>
      <c r="K1561" t="b">
        <f t="shared" si="96"/>
        <v>1</v>
      </c>
      <c r="L1561">
        <f t="shared" si="97"/>
        <v>173.54926500645979</v>
      </c>
      <c r="M1561">
        <f t="shared" si="98"/>
        <v>694.19706002583916</v>
      </c>
      <c r="N1561">
        <f t="shared" si="99"/>
        <v>848.30880735157541</v>
      </c>
    </row>
    <row r="1562" spans="1:14" x14ac:dyDescent="0.35">
      <c r="A1562" t="s">
        <v>51</v>
      </c>
      <c r="B1562">
        <v>12</v>
      </c>
      <c r="C1562" t="s">
        <v>50</v>
      </c>
      <c r="D1562">
        <v>45</v>
      </c>
      <c r="E1562">
        <v>153.69510188118301</v>
      </c>
      <c r="F1562">
        <v>19.819682161453098</v>
      </c>
      <c r="G1562" t="s">
        <v>51</v>
      </c>
      <c r="H1562">
        <v>12</v>
      </c>
      <c r="I1562">
        <v>45</v>
      </c>
      <c r="J1562">
        <v>5.9431359706408999</v>
      </c>
      <c r="K1562" t="b">
        <f t="shared" si="96"/>
        <v>1</v>
      </c>
      <c r="L1562">
        <f t="shared" si="97"/>
        <v>179.457920013277</v>
      </c>
      <c r="M1562">
        <f t="shared" si="98"/>
        <v>717.83168005310802</v>
      </c>
      <c r="N1562">
        <f t="shared" si="99"/>
        <v>877.19031302489793</v>
      </c>
    </row>
    <row r="1563" spans="1:14" x14ac:dyDescent="0.35">
      <c r="A1563" t="s">
        <v>51</v>
      </c>
      <c r="B1563">
        <v>12</v>
      </c>
      <c r="C1563" t="s">
        <v>50</v>
      </c>
      <c r="D1563">
        <v>46</v>
      </c>
      <c r="E1563">
        <v>158.40930177672601</v>
      </c>
      <c r="F1563">
        <v>20.793023251850101</v>
      </c>
      <c r="G1563" t="s">
        <v>51</v>
      </c>
      <c r="H1563">
        <v>12</v>
      </c>
      <c r="I1563">
        <v>46</v>
      </c>
      <c r="J1563">
        <v>6.1424613929524101</v>
      </c>
      <c r="K1563" t="b">
        <f t="shared" si="96"/>
        <v>1</v>
      </c>
      <c r="L1563">
        <f t="shared" si="97"/>
        <v>185.34478642152854</v>
      </c>
      <c r="M1563">
        <f t="shared" si="98"/>
        <v>741.37914568611416</v>
      </c>
      <c r="N1563">
        <f t="shared" si="99"/>
        <v>905.96531602843152</v>
      </c>
    </row>
    <row r="1564" spans="1:14" x14ac:dyDescent="0.35">
      <c r="A1564" t="s">
        <v>51</v>
      </c>
      <c r="B1564">
        <v>12</v>
      </c>
      <c r="C1564" t="s">
        <v>50</v>
      </c>
      <c r="D1564">
        <v>47</v>
      </c>
      <c r="E1564">
        <v>163.07251008133699</v>
      </c>
      <c r="F1564">
        <v>21.7941667228638</v>
      </c>
      <c r="G1564" t="s">
        <v>51</v>
      </c>
      <c r="H1564">
        <v>12</v>
      </c>
      <c r="I1564">
        <v>47</v>
      </c>
      <c r="J1564">
        <v>6.3405571494761599</v>
      </c>
      <c r="K1564" t="b">
        <f t="shared" si="96"/>
        <v>1</v>
      </c>
      <c r="L1564">
        <f t="shared" si="97"/>
        <v>191.20723395367693</v>
      </c>
      <c r="M1564">
        <f t="shared" si="98"/>
        <v>764.82893581470773</v>
      </c>
      <c r="N1564">
        <f t="shared" si="99"/>
        <v>934.62095956557278</v>
      </c>
    </row>
    <row r="1565" spans="1:14" x14ac:dyDescent="0.35">
      <c r="A1565" t="s">
        <v>51</v>
      </c>
      <c r="B1565">
        <v>12</v>
      </c>
      <c r="C1565" t="s">
        <v>50</v>
      </c>
      <c r="D1565">
        <v>48</v>
      </c>
      <c r="E1565">
        <v>167.67913239562901</v>
      </c>
      <c r="F1565">
        <v>22.826808778468799</v>
      </c>
      <c r="G1565" t="s">
        <v>51</v>
      </c>
      <c r="H1565">
        <v>12</v>
      </c>
      <c r="I1565">
        <v>48</v>
      </c>
      <c r="J1565">
        <v>6.5370773878748398</v>
      </c>
      <c r="K1565" t="b">
        <f t="shared" si="96"/>
        <v>1</v>
      </c>
      <c r="L1565">
        <f t="shared" si="97"/>
        <v>197.04301856197264</v>
      </c>
      <c r="M1565">
        <f t="shared" si="98"/>
        <v>788.17207424789058</v>
      </c>
      <c r="N1565">
        <f t="shared" si="99"/>
        <v>963.1462747309223</v>
      </c>
    </row>
    <row r="1566" spans="1:14" x14ac:dyDescent="0.35">
      <c r="A1566" t="s">
        <v>51</v>
      </c>
      <c r="B1566">
        <v>12</v>
      </c>
      <c r="C1566" t="s">
        <v>50</v>
      </c>
      <c r="D1566">
        <v>49</v>
      </c>
      <c r="E1566">
        <v>172.11418414736301</v>
      </c>
      <c r="F1566">
        <v>23.754415885989498</v>
      </c>
      <c r="G1566" t="s">
        <v>51</v>
      </c>
      <c r="H1566">
        <v>12</v>
      </c>
      <c r="I1566">
        <v>49</v>
      </c>
      <c r="J1566">
        <v>6.73041739796904</v>
      </c>
      <c r="K1566" t="b">
        <f t="shared" si="96"/>
        <v>1</v>
      </c>
      <c r="L1566">
        <f t="shared" si="97"/>
        <v>202.59901743132153</v>
      </c>
      <c r="M1566">
        <f t="shared" si="98"/>
        <v>810.39606972528611</v>
      </c>
      <c r="N1566">
        <f t="shared" si="99"/>
        <v>990.30399720429966</v>
      </c>
    </row>
    <row r="1567" spans="1:14" x14ac:dyDescent="0.35">
      <c r="A1567" t="s">
        <v>51</v>
      </c>
      <c r="B1567">
        <v>12</v>
      </c>
      <c r="C1567" t="s">
        <v>50</v>
      </c>
      <c r="D1567">
        <v>50</v>
      </c>
      <c r="E1567">
        <v>176.51273982052101</v>
      </c>
      <c r="F1567">
        <v>24.663265020843198</v>
      </c>
      <c r="G1567" t="s">
        <v>51</v>
      </c>
      <c r="H1567">
        <v>12</v>
      </c>
      <c r="I1567">
        <v>50</v>
      </c>
      <c r="J1567">
        <v>6.9217108137488204</v>
      </c>
      <c r="K1567" t="b">
        <f t="shared" si="96"/>
        <v>1</v>
      </c>
      <c r="L1567">
        <f t="shared" si="97"/>
        <v>208.09771565511303</v>
      </c>
      <c r="M1567">
        <f t="shared" si="98"/>
        <v>832.39086262045214</v>
      </c>
      <c r="N1567">
        <f t="shared" si="99"/>
        <v>1017.1816341221925</v>
      </c>
    </row>
    <row r="1568" spans="1:14" x14ac:dyDescent="0.35">
      <c r="A1568" t="s">
        <v>51</v>
      </c>
      <c r="B1568">
        <v>12</v>
      </c>
      <c r="C1568" t="s">
        <v>50</v>
      </c>
      <c r="D1568">
        <v>51</v>
      </c>
      <c r="E1568">
        <v>180.88026862984501</v>
      </c>
      <c r="F1568">
        <v>25.584530270802901</v>
      </c>
      <c r="G1568" t="s">
        <v>51</v>
      </c>
      <c r="H1568">
        <v>12</v>
      </c>
      <c r="I1568">
        <v>51</v>
      </c>
      <c r="J1568">
        <v>7.1112075230559997</v>
      </c>
      <c r="K1568" t="b">
        <f t="shared" si="96"/>
        <v>1</v>
      </c>
      <c r="L1568">
        <f t="shared" si="97"/>
        <v>213.57600642370392</v>
      </c>
      <c r="M1568">
        <f t="shared" si="98"/>
        <v>854.30402569481566</v>
      </c>
      <c r="N1568">
        <f t="shared" si="99"/>
        <v>1043.9595193990647</v>
      </c>
    </row>
    <row r="1569" spans="1:14" x14ac:dyDescent="0.35">
      <c r="A1569" t="s">
        <v>51</v>
      </c>
      <c r="B1569">
        <v>12</v>
      </c>
      <c r="C1569" t="s">
        <v>50</v>
      </c>
      <c r="D1569">
        <v>52</v>
      </c>
      <c r="E1569">
        <v>185.204359229375</v>
      </c>
      <c r="F1569">
        <v>26.528870854563699</v>
      </c>
      <c r="G1569" t="s">
        <v>51</v>
      </c>
      <c r="H1569">
        <v>12</v>
      </c>
      <c r="I1569">
        <v>52</v>
      </c>
      <c r="J1569">
        <v>7.2988943126861701</v>
      </c>
      <c r="K1569" t="b">
        <f t="shared" si="96"/>
        <v>1</v>
      </c>
      <c r="L1569">
        <f t="shared" si="97"/>
        <v>219.03212439662488</v>
      </c>
      <c r="M1569">
        <f t="shared" si="98"/>
        <v>876.12849758649952</v>
      </c>
      <c r="N1569">
        <f t="shared" si="99"/>
        <v>1070.6290240507024</v>
      </c>
    </row>
    <row r="1570" spans="1:14" x14ac:dyDescent="0.35">
      <c r="A1570" t="s">
        <v>51</v>
      </c>
      <c r="B1570">
        <v>12</v>
      </c>
      <c r="C1570" t="s">
        <v>50</v>
      </c>
      <c r="D1570">
        <v>53</v>
      </c>
      <c r="E1570">
        <v>189.48036681864301</v>
      </c>
      <c r="F1570">
        <v>27.499381338041601</v>
      </c>
      <c r="G1570" t="s">
        <v>51</v>
      </c>
      <c r="H1570">
        <v>12</v>
      </c>
      <c r="I1570">
        <v>53</v>
      </c>
      <c r="J1570">
        <v>7.4846988725583996</v>
      </c>
      <c r="K1570" t="b">
        <f t="shared" si="96"/>
        <v>1</v>
      </c>
      <c r="L1570">
        <f t="shared" si="97"/>
        <v>224.46444702924299</v>
      </c>
      <c r="M1570">
        <f t="shared" si="98"/>
        <v>897.85778811697196</v>
      </c>
      <c r="N1570">
        <f t="shared" si="99"/>
        <v>1097.1822170789396</v>
      </c>
    </row>
    <row r="1571" spans="1:14" x14ac:dyDescent="0.35">
      <c r="A1571" t="s">
        <v>51</v>
      </c>
      <c r="B1571">
        <v>12</v>
      </c>
      <c r="C1571" t="s">
        <v>50</v>
      </c>
      <c r="D1571">
        <v>54</v>
      </c>
      <c r="E1571">
        <v>193.533099521065</v>
      </c>
      <c r="F1571">
        <v>28.343349072618601</v>
      </c>
      <c r="G1571" t="s">
        <v>51</v>
      </c>
      <c r="H1571">
        <v>12</v>
      </c>
      <c r="I1571">
        <v>54</v>
      </c>
      <c r="J1571">
        <v>7.6661783892999198</v>
      </c>
      <c r="K1571" t="b">
        <f t="shared" si="96"/>
        <v>1</v>
      </c>
      <c r="L1571">
        <f t="shared" si="97"/>
        <v>229.54262698298351</v>
      </c>
      <c r="M1571">
        <f t="shared" si="98"/>
        <v>918.17050793193403</v>
      </c>
      <c r="N1571">
        <f t="shared" si="99"/>
        <v>1122.0043606928234</v>
      </c>
    </row>
    <row r="1572" spans="1:14" x14ac:dyDescent="0.35">
      <c r="A1572" t="s">
        <v>51</v>
      </c>
      <c r="B1572">
        <v>12</v>
      </c>
      <c r="C1572" t="s">
        <v>50</v>
      </c>
      <c r="D1572">
        <v>55</v>
      </c>
      <c r="E1572">
        <v>197.602244991882</v>
      </c>
      <c r="F1572">
        <v>29.1584556765423</v>
      </c>
      <c r="G1572" t="s">
        <v>51</v>
      </c>
      <c r="H1572">
        <v>12</v>
      </c>
      <c r="I1572">
        <v>55</v>
      </c>
      <c r="J1572">
        <v>7.8450403248947396</v>
      </c>
      <c r="K1572" t="b">
        <f t="shared" si="96"/>
        <v>1</v>
      </c>
      <c r="L1572">
        <f t="shared" si="97"/>
        <v>234.60574099331905</v>
      </c>
      <c r="M1572">
        <f t="shared" si="98"/>
        <v>938.42296397327618</v>
      </c>
      <c r="N1572">
        <f t="shared" si="99"/>
        <v>1146.7528619753434</v>
      </c>
    </row>
    <row r="1573" spans="1:14" x14ac:dyDescent="0.35">
      <c r="A1573" t="s">
        <v>51</v>
      </c>
      <c r="B1573">
        <v>12</v>
      </c>
      <c r="C1573" t="s">
        <v>50</v>
      </c>
      <c r="D1573">
        <v>56</v>
      </c>
      <c r="E1573">
        <v>201.65137214885999</v>
      </c>
      <c r="F1573">
        <v>29.979113581758099</v>
      </c>
      <c r="G1573" t="s">
        <v>51</v>
      </c>
      <c r="H1573">
        <v>12</v>
      </c>
      <c r="I1573">
        <v>56</v>
      </c>
      <c r="J1573">
        <v>8.0218579191694097</v>
      </c>
      <c r="K1573" t="b">
        <f t="shared" si="96"/>
        <v>1</v>
      </c>
      <c r="L1573">
        <f t="shared" si="97"/>
        <v>239.6523436497875</v>
      </c>
      <c r="M1573">
        <f t="shared" si="98"/>
        <v>958.60937459914999</v>
      </c>
      <c r="N1573">
        <f t="shared" si="99"/>
        <v>1171.4206557601613</v>
      </c>
    </row>
    <row r="1574" spans="1:14" x14ac:dyDescent="0.35">
      <c r="A1574" t="s">
        <v>51</v>
      </c>
      <c r="B1574">
        <v>12</v>
      </c>
      <c r="C1574" t="s">
        <v>50</v>
      </c>
      <c r="D1574">
        <v>57</v>
      </c>
      <c r="E1574">
        <v>205.667402567881</v>
      </c>
      <c r="F1574">
        <v>30.816897496193299</v>
      </c>
      <c r="G1574" t="s">
        <v>51</v>
      </c>
      <c r="H1574">
        <v>12</v>
      </c>
      <c r="I1574">
        <v>57</v>
      </c>
      <c r="J1574">
        <v>8.1968199869504303</v>
      </c>
      <c r="K1574" t="b">
        <f t="shared" si="96"/>
        <v>1</v>
      </c>
      <c r="L1574">
        <f t="shared" si="97"/>
        <v>244.68112005102472</v>
      </c>
      <c r="M1574">
        <f t="shared" si="98"/>
        <v>978.72448020409888</v>
      </c>
      <c r="N1574">
        <f t="shared" si="99"/>
        <v>1196.0013148094088</v>
      </c>
    </row>
    <row r="1575" spans="1:14" x14ac:dyDescent="0.35">
      <c r="A1575" t="s">
        <v>51</v>
      </c>
      <c r="B1575">
        <v>12</v>
      </c>
      <c r="C1575" t="s">
        <v>50</v>
      </c>
      <c r="D1575">
        <v>58</v>
      </c>
      <c r="E1575">
        <v>209.645648780355</v>
      </c>
      <c r="F1575">
        <v>31.675209762209199</v>
      </c>
      <c r="G1575" t="s">
        <v>51</v>
      </c>
      <c r="H1575">
        <v>12</v>
      </c>
      <c r="I1575">
        <v>58</v>
      </c>
      <c r="J1575">
        <v>8.3699891371204806</v>
      </c>
      <c r="K1575" t="b">
        <f t="shared" si="96"/>
        <v>1</v>
      </c>
      <c r="L1575">
        <f t="shared" si="97"/>
        <v>249.69084767968468</v>
      </c>
      <c r="M1575">
        <f t="shared" si="98"/>
        <v>998.76339071873872</v>
      </c>
      <c r="N1575">
        <f t="shared" si="99"/>
        <v>1220.4888634582987</v>
      </c>
    </row>
    <row r="1576" spans="1:14" x14ac:dyDescent="0.35">
      <c r="A1576" t="s">
        <v>51</v>
      </c>
      <c r="B1576">
        <v>12</v>
      </c>
      <c r="C1576" t="s">
        <v>50</v>
      </c>
      <c r="D1576">
        <v>59</v>
      </c>
      <c r="E1576">
        <v>213.34142117467101</v>
      </c>
      <c r="F1576">
        <v>32.419358017442299</v>
      </c>
      <c r="G1576" t="s">
        <v>51</v>
      </c>
      <c r="H1576">
        <v>12</v>
      </c>
      <c r="I1576">
        <v>59</v>
      </c>
      <c r="J1576">
        <v>8.5380648433431308</v>
      </c>
      <c r="K1576" t="b">
        <f t="shared" si="96"/>
        <v>1</v>
      </c>
      <c r="L1576">
        <f t="shared" si="97"/>
        <v>254.29884403545645</v>
      </c>
      <c r="M1576">
        <f t="shared" si="98"/>
        <v>1017.1953761418258</v>
      </c>
      <c r="N1576">
        <f t="shared" si="99"/>
        <v>1243.012749645311</v>
      </c>
    </row>
    <row r="1577" spans="1:14" x14ac:dyDescent="0.35">
      <c r="A1577" t="s">
        <v>51</v>
      </c>
      <c r="B1577">
        <v>12</v>
      </c>
      <c r="C1577" t="s">
        <v>50</v>
      </c>
      <c r="D1577">
        <v>60</v>
      </c>
      <c r="E1577">
        <v>217.05381094213001</v>
      </c>
      <c r="F1577">
        <v>33.137595391060202</v>
      </c>
      <c r="G1577" t="s">
        <v>51</v>
      </c>
      <c r="H1577">
        <v>12</v>
      </c>
      <c r="I1577">
        <v>60</v>
      </c>
      <c r="J1577">
        <v>8.7030215393969392</v>
      </c>
      <c r="K1577" t="b">
        <f t="shared" si="96"/>
        <v>1</v>
      </c>
      <c r="L1577">
        <f t="shared" si="97"/>
        <v>258.89442787258719</v>
      </c>
      <c r="M1577">
        <f t="shared" si="98"/>
        <v>1035.5777114903487</v>
      </c>
      <c r="N1577">
        <f t="shared" si="99"/>
        <v>1265.4759634412062</v>
      </c>
    </row>
    <row r="1578" spans="1:14" x14ac:dyDescent="0.35">
      <c r="A1578" t="s">
        <v>51</v>
      </c>
      <c r="B1578">
        <v>12</v>
      </c>
      <c r="C1578" t="s">
        <v>50</v>
      </c>
      <c r="D1578">
        <v>61</v>
      </c>
      <c r="E1578">
        <v>220.75072867652199</v>
      </c>
      <c r="F1578">
        <v>33.860235757465198</v>
      </c>
      <c r="G1578" t="s">
        <v>51</v>
      </c>
      <c r="H1578">
        <v>12</v>
      </c>
      <c r="I1578">
        <v>61</v>
      </c>
      <c r="J1578">
        <v>8.8656586249151506</v>
      </c>
      <c r="K1578" t="b">
        <f t="shared" si="96"/>
        <v>1</v>
      </c>
      <c r="L1578">
        <f t="shared" si="97"/>
        <v>263.47662305890236</v>
      </c>
      <c r="M1578">
        <f t="shared" si="98"/>
        <v>1053.9064922356094</v>
      </c>
      <c r="N1578">
        <f t="shared" si="99"/>
        <v>1287.8737335119147</v>
      </c>
    </row>
    <row r="1579" spans="1:14" x14ac:dyDescent="0.35">
      <c r="A1579" t="s">
        <v>51</v>
      </c>
      <c r="B1579">
        <v>12</v>
      </c>
      <c r="C1579" t="s">
        <v>50</v>
      </c>
      <c r="D1579">
        <v>62</v>
      </c>
      <c r="E1579">
        <v>224.420943954363</v>
      </c>
      <c r="F1579">
        <v>34.597215532012498</v>
      </c>
      <c r="G1579" t="s">
        <v>51</v>
      </c>
      <c r="H1579">
        <v>12</v>
      </c>
      <c r="I1579">
        <v>62</v>
      </c>
      <c r="J1579">
        <v>9.0263348750383194</v>
      </c>
      <c r="K1579" t="b">
        <f t="shared" si="96"/>
        <v>1</v>
      </c>
      <c r="L1579">
        <f t="shared" si="97"/>
        <v>268.04449436141385</v>
      </c>
      <c r="M1579">
        <f t="shared" si="98"/>
        <v>1072.1779774456554</v>
      </c>
      <c r="N1579">
        <f t="shared" si="99"/>
        <v>1310.2014884385908</v>
      </c>
    </row>
    <row r="1580" spans="1:14" x14ac:dyDescent="0.35">
      <c r="A1580" t="s">
        <v>51</v>
      </c>
      <c r="B1580">
        <v>12</v>
      </c>
      <c r="C1580" t="s">
        <v>50</v>
      </c>
      <c r="D1580">
        <v>63</v>
      </c>
      <c r="E1580">
        <v>228.06053882256001</v>
      </c>
      <c r="F1580">
        <v>35.351357465630002</v>
      </c>
      <c r="G1580" t="s">
        <v>51</v>
      </c>
      <c r="H1580">
        <v>12</v>
      </c>
      <c r="I1580">
        <v>63</v>
      </c>
      <c r="J1580">
        <v>9.1852344947709703</v>
      </c>
      <c r="K1580" t="b">
        <f t="shared" si="96"/>
        <v>1</v>
      </c>
      <c r="L1580">
        <f t="shared" si="97"/>
        <v>272.59713078296096</v>
      </c>
      <c r="M1580">
        <f t="shared" si="98"/>
        <v>1090.3885231318438</v>
      </c>
      <c r="N1580">
        <f t="shared" si="99"/>
        <v>1332.4547752671131</v>
      </c>
    </row>
    <row r="1581" spans="1:14" x14ac:dyDescent="0.35">
      <c r="A1581" t="s">
        <v>51</v>
      </c>
      <c r="B1581">
        <v>12</v>
      </c>
      <c r="C1581" t="s">
        <v>50</v>
      </c>
      <c r="D1581">
        <v>64</v>
      </c>
      <c r="E1581">
        <v>231.40848649084199</v>
      </c>
      <c r="F1581">
        <v>36.002929961341998</v>
      </c>
      <c r="G1581" t="s">
        <v>51</v>
      </c>
      <c r="H1581">
        <v>12</v>
      </c>
      <c r="I1581">
        <v>64</v>
      </c>
      <c r="J1581">
        <v>9.3389147059454896</v>
      </c>
      <c r="K1581" t="b">
        <f t="shared" si="96"/>
        <v>1</v>
      </c>
      <c r="L1581">
        <f t="shared" si="97"/>
        <v>276.75033115812948</v>
      </c>
      <c r="M1581">
        <f t="shared" si="98"/>
        <v>1107.0013246325179</v>
      </c>
      <c r="N1581">
        <f t="shared" si="99"/>
        <v>1352.7556187009368</v>
      </c>
    </row>
    <row r="1582" spans="1:14" x14ac:dyDescent="0.35">
      <c r="A1582" t="s">
        <v>51</v>
      </c>
      <c r="B1582">
        <v>12</v>
      </c>
      <c r="C1582" t="s">
        <v>50</v>
      </c>
      <c r="D1582">
        <v>65</v>
      </c>
      <c r="E1582">
        <v>234.77294391529301</v>
      </c>
      <c r="F1582">
        <v>36.631391120878099</v>
      </c>
      <c r="G1582" t="s">
        <v>51</v>
      </c>
      <c r="H1582">
        <v>12</v>
      </c>
      <c r="I1582">
        <v>65</v>
      </c>
      <c r="J1582">
        <v>9.4893859208777993</v>
      </c>
      <c r="K1582" t="b">
        <f t="shared" si="96"/>
        <v>1</v>
      </c>
      <c r="L1582">
        <f t="shared" si="97"/>
        <v>280.89372095704891</v>
      </c>
      <c r="M1582">
        <f t="shared" si="98"/>
        <v>1123.5748838281957</v>
      </c>
      <c r="N1582">
        <f t="shared" si="99"/>
        <v>1373.008508038055</v>
      </c>
    </row>
    <row r="1583" spans="1:14" x14ac:dyDescent="0.35">
      <c r="A1583" t="s">
        <v>51</v>
      </c>
      <c r="B1583">
        <v>12</v>
      </c>
      <c r="C1583" t="s">
        <v>50</v>
      </c>
      <c r="D1583">
        <v>66</v>
      </c>
      <c r="E1583">
        <v>238.125611858208</v>
      </c>
      <c r="F1583">
        <v>37.263468035516603</v>
      </c>
      <c r="G1583" t="s">
        <v>51</v>
      </c>
      <c r="H1583">
        <v>12</v>
      </c>
      <c r="I1583">
        <v>66</v>
      </c>
      <c r="J1583">
        <v>9.6375234362401692</v>
      </c>
      <c r="K1583" t="b">
        <f t="shared" si="96"/>
        <v>1</v>
      </c>
      <c r="L1583">
        <f t="shared" si="97"/>
        <v>285.02660332996476</v>
      </c>
      <c r="M1583">
        <f t="shared" si="98"/>
        <v>1140.106413319859</v>
      </c>
      <c r="N1583">
        <f t="shared" si="99"/>
        <v>1393.2100370768676</v>
      </c>
    </row>
    <row r="1584" spans="1:14" x14ac:dyDescent="0.35">
      <c r="A1584" t="s">
        <v>51</v>
      </c>
      <c r="B1584">
        <v>12</v>
      </c>
      <c r="C1584" t="s">
        <v>50</v>
      </c>
      <c r="D1584">
        <v>67</v>
      </c>
      <c r="E1584">
        <v>241.45679184241601</v>
      </c>
      <c r="F1584">
        <v>37.907732116397398</v>
      </c>
      <c r="G1584" t="s">
        <v>51</v>
      </c>
      <c r="H1584">
        <v>12</v>
      </c>
      <c r="I1584">
        <v>67</v>
      </c>
      <c r="J1584">
        <v>9.7837567795417204</v>
      </c>
      <c r="K1584" t="b">
        <f t="shared" si="96"/>
        <v>1</v>
      </c>
      <c r="L1584">
        <f t="shared" si="97"/>
        <v>289.14828073835508</v>
      </c>
      <c r="M1584">
        <f t="shared" si="98"/>
        <v>1156.5931229534203</v>
      </c>
      <c r="N1584">
        <f t="shared" si="99"/>
        <v>1413.3567962490797</v>
      </c>
    </row>
    <row r="1585" spans="1:14" x14ac:dyDescent="0.35">
      <c r="A1585" t="s">
        <v>51</v>
      </c>
      <c r="B1585">
        <v>12</v>
      </c>
      <c r="C1585" t="s">
        <v>50</v>
      </c>
      <c r="D1585">
        <v>68</v>
      </c>
      <c r="E1585">
        <v>244.763174896876</v>
      </c>
      <c r="F1585">
        <v>38.566545258089597</v>
      </c>
      <c r="G1585" t="s">
        <v>51</v>
      </c>
      <c r="H1585">
        <v>12</v>
      </c>
      <c r="I1585">
        <v>68</v>
      </c>
      <c r="J1585">
        <v>9.9283254508862306</v>
      </c>
      <c r="K1585" t="b">
        <f t="shared" si="96"/>
        <v>1</v>
      </c>
      <c r="L1585">
        <f t="shared" si="97"/>
        <v>293.25804560585181</v>
      </c>
      <c r="M1585">
        <f t="shared" si="98"/>
        <v>1173.0321824234072</v>
      </c>
      <c r="N1585">
        <f t="shared" si="99"/>
        <v>1433.4453269214036</v>
      </c>
    </row>
    <row r="1586" spans="1:14" x14ac:dyDescent="0.35">
      <c r="A1586" t="s">
        <v>51</v>
      </c>
      <c r="B1586">
        <v>12</v>
      </c>
      <c r="C1586" t="s">
        <v>50</v>
      </c>
      <c r="D1586">
        <v>69</v>
      </c>
      <c r="E1586">
        <v>247.80813977593101</v>
      </c>
      <c r="F1586">
        <v>39.130483690988299</v>
      </c>
      <c r="G1586" t="s">
        <v>51</v>
      </c>
      <c r="H1586">
        <v>12</v>
      </c>
      <c r="I1586">
        <v>69</v>
      </c>
      <c r="J1586">
        <v>10.068157768172901</v>
      </c>
      <c r="K1586" t="b">
        <f t="shared" si="96"/>
        <v>1</v>
      </c>
      <c r="L1586">
        <f t="shared" si="97"/>
        <v>297.00678123509221</v>
      </c>
      <c r="M1586">
        <f t="shared" si="98"/>
        <v>1188.0271249403688</v>
      </c>
      <c r="N1586">
        <f t="shared" si="99"/>
        <v>1451.7691466771307</v>
      </c>
    </row>
    <row r="1587" spans="1:14" x14ac:dyDescent="0.35">
      <c r="A1587" t="s">
        <v>51</v>
      </c>
      <c r="B1587">
        <v>12</v>
      </c>
      <c r="C1587" t="s">
        <v>50</v>
      </c>
      <c r="D1587">
        <v>70</v>
      </c>
      <c r="E1587">
        <v>250.87038625729201</v>
      </c>
      <c r="F1587">
        <v>39.673155252762498</v>
      </c>
      <c r="G1587" t="s">
        <v>51</v>
      </c>
      <c r="H1587">
        <v>12</v>
      </c>
      <c r="I1587">
        <v>70</v>
      </c>
      <c r="J1587">
        <v>10.2051015465264</v>
      </c>
      <c r="K1587" t="b">
        <f t="shared" si="96"/>
        <v>1</v>
      </c>
      <c r="L1587">
        <f t="shared" si="97"/>
        <v>300.74864305658093</v>
      </c>
      <c r="M1587">
        <f t="shared" si="98"/>
        <v>1202.9945722263237</v>
      </c>
      <c r="N1587">
        <f t="shared" si="99"/>
        <v>1470.0593672605676</v>
      </c>
    </row>
    <row r="1588" spans="1:14" x14ac:dyDescent="0.35">
      <c r="A1588" t="s">
        <v>51</v>
      </c>
      <c r="B1588">
        <v>12</v>
      </c>
      <c r="C1588" t="s">
        <v>50</v>
      </c>
      <c r="D1588">
        <v>71</v>
      </c>
      <c r="E1588">
        <v>253.924144954572</v>
      </c>
      <c r="F1588">
        <v>40.218895644983199</v>
      </c>
      <c r="G1588" t="s">
        <v>51</v>
      </c>
      <c r="H1588">
        <v>12</v>
      </c>
      <c r="I1588">
        <v>71</v>
      </c>
      <c r="J1588">
        <v>10.3399672827878</v>
      </c>
      <c r="K1588" t="b">
        <f t="shared" si="96"/>
        <v>1</v>
      </c>
      <c r="L1588">
        <f t="shared" si="97"/>
        <v>304.48300788234303</v>
      </c>
      <c r="M1588">
        <f t="shared" si="98"/>
        <v>1217.9320315293721</v>
      </c>
      <c r="N1588">
        <f t="shared" si="99"/>
        <v>1488.3129425288928</v>
      </c>
    </row>
    <row r="1589" spans="1:14" x14ac:dyDescent="0.35">
      <c r="A1589" t="s">
        <v>51</v>
      </c>
      <c r="B1589">
        <v>12</v>
      </c>
      <c r="C1589" t="s">
        <v>50</v>
      </c>
      <c r="D1589">
        <v>72</v>
      </c>
      <c r="E1589">
        <v>256.96073504341501</v>
      </c>
      <c r="F1589">
        <v>40.775372293697203</v>
      </c>
      <c r="G1589" t="s">
        <v>51</v>
      </c>
      <c r="H1589">
        <v>12</v>
      </c>
      <c r="I1589">
        <v>72</v>
      </c>
      <c r="J1589">
        <v>10.473158707475701</v>
      </c>
      <c r="K1589" t="b">
        <f t="shared" si="96"/>
        <v>1</v>
      </c>
      <c r="L1589">
        <f t="shared" si="97"/>
        <v>308.20926604458793</v>
      </c>
      <c r="M1589">
        <f t="shared" si="98"/>
        <v>1232.8370641783517</v>
      </c>
      <c r="N1589">
        <f t="shared" si="99"/>
        <v>1506.5268924259458</v>
      </c>
    </row>
    <row r="1590" spans="1:14" x14ac:dyDescent="0.35">
      <c r="A1590" t="s">
        <v>51</v>
      </c>
      <c r="B1590">
        <v>12</v>
      </c>
      <c r="C1590" t="s">
        <v>50</v>
      </c>
      <c r="D1590">
        <v>73</v>
      </c>
      <c r="E1590">
        <v>259.97724665720102</v>
      </c>
      <c r="F1590">
        <v>41.344648634331399</v>
      </c>
      <c r="G1590" t="s">
        <v>51</v>
      </c>
      <c r="H1590">
        <v>12</v>
      </c>
      <c r="I1590">
        <v>73</v>
      </c>
      <c r="J1590">
        <v>10.604904897751799</v>
      </c>
      <c r="K1590" t="b">
        <f t="shared" si="96"/>
        <v>1</v>
      </c>
      <c r="L1590">
        <f t="shared" si="97"/>
        <v>311.92680018928422</v>
      </c>
      <c r="M1590">
        <f t="shared" si="98"/>
        <v>1247.7072007571369</v>
      </c>
      <c r="N1590">
        <f t="shared" si="99"/>
        <v>1524.6981993252211</v>
      </c>
    </row>
    <row r="1591" spans="1:14" x14ac:dyDescent="0.35">
      <c r="A1591" t="s">
        <v>51</v>
      </c>
      <c r="B1591">
        <v>12</v>
      </c>
      <c r="C1591" t="s">
        <v>50</v>
      </c>
      <c r="D1591">
        <v>74</v>
      </c>
      <c r="E1591">
        <v>262.75402959559301</v>
      </c>
      <c r="F1591">
        <v>41.808456522185999</v>
      </c>
      <c r="G1591" t="s">
        <v>51</v>
      </c>
      <c r="H1591">
        <v>12</v>
      </c>
      <c r="I1591">
        <v>74</v>
      </c>
      <c r="J1591">
        <v>10.7323598049209</v>
      </c>
      <c r="K1591" t="b">
        <f t="shared" si="96"/>
        <v>1</v>
      </c>
      <c r="L1591">
        <f t="shared" si="97"/>
        <v>315.29484592269995</v>
      </c>
      <c r="M1591">
        <f t="shared" si="98"/>
        <v>1261.1793836907998</v>
      </c>
      <c r="N1591">
        <f t="shared" si="99"/>
        <v>1541.1612068701572</v>
      </c>
    </row>
    <row r="1592" spans="1:14" x14ac:dyDescent="0.35">
      <c r="A1592" t="s">
        <v>51</v>
      </c>
      <c r="B1592">
        <v>12</v>
      </c>
      <c r="C1592" t="s">
        <v>50</v>
      </c>
      <c r="D1592">
        <v>75</v>
      </c>
      <c r="E1592">
        <v>265.55604446938298</v>
      </c>
      <c r="F1592">
        <v>42.246934429546698</v>
      </c>
      <c r="G1592" t="s">
        <v>51</v>
      </c>
      <c r="H1592">
        <v>12</v>
      </c>
      <c r="I1592">
        <v>75</v>
      </c>
      <c r="J1592">
        <v>10.8573283758102</v>
      </c>
      <c r="K1592" t="b">
        <f t="shared" si="96"/>
        <v>1</v>
      </c>
      <c r="L1592">
        <f t="shared" si="97"/>
        <v>318.66030727473986</v>
      </c>
      <c r="M1592">
        <f t="shared" si="98"/>
        <v>1274.6412290989595</v>
      </c>
      <c r="N1592">
        <f t="shared" si="99"/>
        <v>1557.6115819589284</v>
      </c>
    </row>
    <row r="1593" spans="1:14" x14ac:dyDescent="0.35">
      <c r="A1593" t="s">
        <v>51</v>
      </c>
      <c r="B1593">
        <v>12</v>
      </c>
      <c r="C1593" t="s">
        <v>50</v>
      </c>
      <c r="D1593">
        <v>76</v>
      </c>
      <c r="E1593">
        <v>268.35569895157897</v>
      </c>
      <c r="F1593">
        <v>42.6862664934158</v>
      </c>
      <c r="G1593" t="s">
        <v>51</v>
      </c>
      <c r="H1593">
        <v>12</v>
      </c>
      <c r="I1593">
        <v>76</v>
      </c>
      <c r="J1593">
        <v>10.9805709734269</v>
      </c>
      <c r="K1593" t="b">
        <f t="shared" si="96"/>
        <v>1</v>
      </c>
      <c r="L1593">
        <f t="shared" si="97"/>
        <v>322.02253641842168</v>
      </c>
      <c r="M1593">
        <f t="shared" si="98"/>
        <v>1288.0901456736867</v>
      </c>
      <c r="N1593">
        <f t="shared" si="99"/>
        <v>1574.0461580132451</v>
      </c>
    </row>
    <row r="1594" spans="1:14" x14ac:dyDescent="0.35">
      <c r="A1594" t="s">
        <v>51</v>
      </c>
      <c r="B1594">
        <v>12</v>
      </c>
      <c r="C1594" t="s">
        <v>50</v>
      </c>
      <c r="D1594">
        <v>77</v>
      </c>
      <c r="E1594">
        <v>271.14384580019498</v>
      </c>
      <c r="F1594">
        <v>43.134650628847403</v>
      </c>
      <c r="G1594" t="s">
        <v>51</v>
      </c>
      <c r="H1594">
        <v>12</v>
      </c>
      <c r="I1594">
        <v>77</v>
      </c>
      <c r="J1594">
        <v>11.102453950951199</v>
      </c>
      <c r="K1594" t="b">
        <f t="shared" si="96"/>
        <v>1</v>
      </c>
      <c r="L1594">
        <f t="shared" si="97"/>
        <v>325.38095037999358</v>
      </c>
      <c r="M1594">
        <f t="shared" si="98"/>
        <v>1301.5238015199743</v>
      </c>
      <c r="N1594">
        <f t="shared" si="99"/>
        <v>1590.4620854574086</v>
      </c>
    </row>
    <row r="1595" spans="1:14" x14ac:dyDescent="0.35">
      <c r="A1595" t="s">
        <v>51</v>
      </c>
      <c r="B1595">
        <v>12</v>
      </c>
      <c r="C1595" t="s">
        <v>50</v>
      </c>
      <c r="D1595">
        <v>78</v>
      </c>
      <c r="E1595">
        <v>273.917476618536</v>
      </c>
      <c r="F1595">
        <v>43.594322676797198</v>
      </c>
      <c r="G1595" t="s">
        <v>51</v>
      </c>
      <c r="H1595">
        <v>12</v>
      </c>
      <c r="I1595">
        <v>78</v>
      </c>
      <c r="J1595">
        <v>11.2231813665027</v>
      </c>
      <c r="K1595" t="b">
        <f t="shared" si="96"/>
        <v>1</v>
      </c>
      <c r="L1595">
        <f t="shared" si="97"/>
        <v>328.73498066183595</v>
      </c>
      <c r="M1595">
        <f t="shared" si="98"/>
        <v>1314.9399226473438</v>
      </c>
      <c r="N1595">
        <f t="shared" si="99"/>
        <v>1606.8565854750541</v>
      </c>
    </row>
    <row r="1596" spans="1:14" x14ac:dyDescent="0.35">
      <c r="A1596" t="s">
        <v>51</v>
      </c>
      <c r="B1596">
        <v>12</v>
      </c>
      <c r="C1596" t="s">
        <v>50</v>
      </c>
      <c r="D1596">
        <v>79</v>
      </c>
      <c r="E1596">
        <v>276.36375589942202</v>
      </c>
      <c r="F1596">
        <v>44.012188008619098</v>
      </c>
      <c r="G1596" t="s">
        <v>51</v>
      </c>
      <c r="H1596">
        <v>12</v>
      </c>
      <c r="I1596">
        <v>79</v>
      </c>
      <c r="J1596">
        <v>11.3386165109891</v>
      </c>
      <c r="K1596" t="b">
        <f t="shared" si="96"/>
        <v>1</v>
      </c>
      <c r="L1596">
        <f t="shared" si="97"/>
        <v>331.71456041903019</v>
      </c>
      <c r="M1596">
        <f t="shared" si="98"/>
        <v>1326.8582416761208</v>
      </c>
      <c r="N1596">
        <f t="shared" si="99"/>
        <v>1621.4207713282196</v>
      </c>
    </row>
    <row r="1597" spans="1:14" x14ac:dyDescent="0.35">
      <c r="A1597" t="s">
        <v>51</v>
      </c>
      <c r="B1597">
        <v>12</v>
      </c>
      <c r="C1597" t="s">
        <v>50</v>
      </c>
      <c r="D1597">
        <v>80</v>
      </c>
      <c r="E1597">
        <v>278.813595761096</v>
      </c>
      <c r="F1597">
        <v>44.424811394502598</v>
      </c>
      <c r="G1597" t="s">
        <v>51</v>
      </c>
      <c r="H1597">
        <v>12</v>
      </c>
      <c r="I1597">
        <v>80</v>
      </c>
      <c r="J1597">
        <v>11.4506366437036</v>
      </c>
      <c r="K1597" t="b">
        <f t="shared" si="96"/>
        <v>1</v>
      </c>
      <c r="L1597">
        <f t="shared" si="97"/>
        <v>334.68904379930217</v>
      </c>
      <c r="M1597">
        <f t="shared" si="98"/>
        <v>1338.7561751972087</v>
      </c>
      <c r="N1597">
        <f t="shared" si="99"/>
        <v>1635.960046090989</v>
      </c>
    </row>
    <row r="1598" spans="1:14" x14ac:dyDescent="0.35">
      <c r="A1598" t="s">
        <v>51</v>
      </c>
      <c r="B1598">
        <v>12</v>
      </c>
      <c r="C1598" t="s">
        <v>50</v>
      </c>
      <c r="D1598">
        <v>81</v>
      </c>
      <c r="E1598">
        <v>281.25442590031201</v>
      </c>
      <c r="F1598">
        <v>44.843772480376103</v>
      </c>
      <c r="G1598" t="s">
        <v>51</v>
      </c>
      <c r="H1598">
        <v>12</v>
      </c>
      <c r="I1598">
        <v>81</v>
      </c>
      <c r="J1598">
        <v>11.5602406064811</v>
      </c>
      <c r="K1598" t="b">
        <f t="shared" si="96"/>
        <v>1</v>
      </c>
      <c r="L1598">
        <f t="shared" si="97"/>
        <v>337.65843898716923</v>
      </c>
      <c r="M1598">
        <f t="shared" si="98"/>
        <v>1350.6337559486769</v>
      </c>
      <c r="N1598">
        <f t="shared" si="99"/>
        <v>1650.4744497692832</v>
      </c>
    </row>
    <row r="1599" spans="1:14" x14ac:dyDescent="0.35">
      <c r="A1599" t="s">
        <v>51</v>
      </c>
      <c r="B1599">
        <v>12</v>
      </c>
      <c r="C1599" t="s">
        <v>50</v>
      </c>
      <c r="D1599">
        <v>82</v>
      </c>
      <c r="E1599">
        <v>283.682115112747</v>
      </c>
      <c r="F1599">
        <v>45.272440978916798</v>
      </c>
      <c r="G1599" t="s">
        <v>51</v>
      </c>
      <c r="H1599">
        <v>12</v>
      </c>
      <c r="I1599">
        <v>82</v>
      </c>
      <c r="J1599">
        <v>11.668007848242199</v>
      </c>
      <c r="K1599" t="b">
        <f t="shared" si="96"/>
        <v>1</v>
      </c>
      <c r="L1599">
        <f t="shared" si="97"/>
        <v>340.622563939906</v>
      </c>
      <c r="M1599">
        <f t="shared" si="98"/>
        <v>1362.490255759624</v>
      </c>
      <c r="N1599">
        <f t="shared" si="99"/>
        <v>1664.9630925382605</v>
      </c>
    </row>
    <row r="1600" spans="1:14" x14ac:dyDescent="0.35">
      <c r="A1600" t="s">
        <v>51</v>
      </c>
      <c r="B1600">
        <v>12</v>
      </c>
      <c r="C1600" t="s">
        <v>50</v>
      </c>
      <c r="D1600">
        <v>83</v>
      </c>
      <c r="E1600">
        <v>286.095307224782</v>
      </c>
      <c r="F1600">
        <v>45.7115076132377</v>
      </c>
      <c r="G1600" t="s">
        <v>51</v>
      </c>
      <c r="H1600">
        <v>12</v>
      </c>
      <c r="I1600">
        <v>83</v>
      </c>
      <c r="J1600">
        <v>11.774298216769999</v>
      </c>
      <c r="K1600" t="b">
        <f t="shared" si="96"/>
        <v>1</v>
      </c>
      <c r="L1600">
        <f t="shared" si="97"/>
        <v>343.58111305478968</v>
      </c>
      <c r="M1600">
        <f t="shared" si="98"/>
        <v>1374.3244522191587</v>
      </c>
      <c r="N1600">
        <f t="shared" si="99"/>
        <v>1679.424480611812</v>
      </c>
    </row>
    <row r="1601" spans="1:14" x14ac:dyDescent="0.35">
      <c r="A1601" t="s">
        <v>51</v>
      </c>
      <c r="B1601">
        <v>12</v>
      </c>
      <c r="C1601" t="s">
        <v>50</v>
      </c>
      <c r="D1601">
        <v>84</v>
      </c>
      <c r="E1601">
        <v>288.17547126009902</v>
      </c>
      <c r="F1601">
        <v>46.022570670405699</v>
      </c>
      <c r="G1601" t="s">
        <v>51</v>
      </c>
      <c r="H1601">
        <v>12</v>
      </c>
      <c r="I1601">
        <v>84</v>
      </c>
      <c r="J1601">
        <v>11.8749967553451</v>
      </c>
      <c r="K1601" t="b">
        <f t="shared" si="96"/>
        <v>1</v>
      </c>
      <c r="L1601">
        <f t="shared" si="97"/>
        <v>346.07303868584978</v>
      </c>
      <c r="M1601">
        <f t="shared" si="98"/>
        <v>1384.2921547433991</v>
      </c>
      <c r="N1601">
        <f t="shared" si="99"/>
        <v>1691.6050130964336</v>
      </c>
    </row>
    <row r="1602" spans="1:14" x14ac:dyDescent="0.35">
      <c r="A1602" t="s">
        <v>51</v>
      </c>
      <c r="B1602">
        <v>12</v>
      </c>
      <c r="C1602" t="s">
        <v>50</v>
      </c>
      <c r="D1602">
        <v>85</v>
      </c>
      <c r="E1602">
        <v>290.29294911462802</v>
      </c>
      <c r="F1602">
        <v>46.3006990674901</v>
      </c>
      <c r="G1602" t="s">
        <v>51</v>
      </c>
      <c r="H1602">
        <v>12</v>
      </c>
      <c r="I1602">
        <v>85</v>
      </c>
      <c r="J1602">
        <v>11.9725352296533</v>
      </c>
      <c r="K1602" t="b">
        <f t="shared" si="96"/>
        <v>1</v>
      </c>
      <c r="L1602">
        <f t="shared" si="97"/>
        <v>348.56618341177142</v>
      </c>
      <c r="M1602">
        <f t="shared" si="98"/>
        <v>1394.2647336470857</v>
      </c>
      <c r="N1602">
        <f t="shared" si="99"/>
        <v>1703.7915045167388</v>
      </c>
    </row>
    <row r="1603" spans="1:14" x14ac:dyDescent="0.35">
      <c r="A1603" t="s">
        <v>51</v>
      </c>
      <c r="B1603">
        <v>12</v>
      </c>
      <c r="C1603" t="s">
        <v>50</v>
      </c>
      <c r="D1603">
        <v>86</v>
      </c>
      <c r="E1603">
        <v>292.415807363699</v>
      </c>
      <c r="F1603">
        <v>46.576367190265202</v>
      </c>
      <c r="G1603" t="s">
        <v>51</v>
      </c>
      <c r="H1603">
        <v>12</v>
      </c>
      <c r="I1603">
        <v>86</v>
      </c>
      <c r="J1603">
        <v>12.068005080179001</v>
      </c>
      <c r="K1603" t="b">
        <f t="shared" ref="K1603:K1666" si="100">H1603=B1603</f>
        <v>1</v>
      </c>
      <c r="L1603">
        <f t="shared" ref="L1603:L1666" si="101">E1603+F1603+J1603</f>
        <v>351.0601796341432</v>
      </c>
      <c r="M1603">
        <f t="shared" ref="M1603:M1666" si="102">(L1603*2)*(100/50)</f>
        <v>1404.2407185365728</v>
      </c>
      <c r="N1603">
        <f t="shared" ref="N1603:N1666" si="103">M1603*1.222</f>
        <v>1715.9821580516918</v>
      </c>
    </row>
    <row r="1604" spans="1:14" x14ac:dyDescent="0.35">
      <c r="A1604" t="s">
        <v>51</v>
      </c>
      <c r="B1604">
        <v>12</v>
      </c>
      <c r="C1604" t="s">
        <v>50</v>
      </c>
      <c r="D1604">
        <v>87</v>
      </c>
      <c r="E1604">
        <v>294.53368207008901</v>
      </c>
      <c r="F1604">
        <v>46.8590251806297</v>
      </c>
      <c r="G1604" t="s">
        <v>51</v>
      </c>
      <c r="H1604">
        <v>12</v>
      </c>
      <c r="I1604">
        <v>87</v>
      </c>
      <c r="J1604">
        <v>12.1619664670835</v>
      </c>
      <c r="K1604" t="b">
        <f t="shared" si="100"/>
        <v>1</v>
      </c>
      <c r="L1604">
        <f t="shared" si="101"/>
        <v>353.55467371780225</v>
      </c>
      <c r="M1604">
        <f t="shared" si="102"/>
        <v>1414.218694871209</v>
      </c>
      <c r="N1604">
        <f t="shared" si="103"/>
        <v>1728.1752451326174</v>
      </c>
    </row>
    <row r="1605" spans="1:14" x14ac:dyDescent="0.35">
      <c r="A1605" t="s">
        <v>51</v>
      </c>
      <c r="B1605">
        <v>12</v>
      </c>
      <c r="C1605" t="s">
        <v>50</v>
      </c>
      <c r="D1605">
        <v>88</v>
      </c>
      <c r="E1605">
        <v>296.64321983237801</v>
      </c>
      <c r="F1605">
        <v>47.151311917962197</v>
      </c>
      <c r="G1605" t="s">
        <v>51</v>
      </c>
      <c r="H1605">
        <v>12</v>
      </c>
      <c r="I1605">
        <v>88</v>
      </c>
      <c r="J1605">
        <v>12.254745029051</v>
      </c>
      <c r="K1605" t="b">
        <f t="shared" si="100"/>
        <v>1</v>
      </c>
      <c r="L1605">
        <f t="shared" si="101"/>
        <v>356.04927677939116</v>
      </c>
      <c r="M1605">
        <f t="shared" si="102"/>
        <v>1424.1971071175647</v>
      </c>
      <c r="N1605">
        <f t="shared" si="103"/>
        <v>1740.368864897664</v>
      </c>
    </row>
    <row r="1606" spans="1:14" x14ac:dyDescent="0.35">
      <c r="A1606" t="s">
        <v>51</v>
      </c>
      <c r="B1606">
        <v>12</v>
      </c>
      <c r="C1606" t="s">
        <v>50</v>
      </c>
      <c r="D1606">
        <v>89</v>
      </c>
      <c r="E1606">
        <v>298.33770779944302</v>
      </c>
      <c r="F1606">
        <v>47.343110056561102</v>
      </c>
      <c r="G1606" t="s">
        <v>51</v>
      </c>
      <c r="H1606">
        <v>12</v>
      </c>
      <c r="I1606">
        <v>89</v>
      </c>
      <c r="J1606">
        <v>12.341001495384701</v>
      </c>
      <c r="K1606" t="b">
        <f t="shared" si="100"/>
        <v>1</v>
      </c>
      <c r="L1606">
        <f t="shared" si="101"/>
        <v>358.02181935138884</v>
      </c>
      <c r="M1606">
        <f t="shared" si="102"/>
        <v>1432.0872774055554</v>
      </c>
      <c r="N1606">
        <f t="shared" si="103"/>
        <v>1750.0106529895886</v>
      </c>
    </row>
    <row r="1607" spans="1:14" x14ac:dyDescent="0.35">
      <c r="A1607" t="s">
        <v>51</v>
      </c>
      <c r="B1607">
        <v>12</v>
      </c>
      <c r="C1607" t="s">
        <v>50</v>
      </c>
      <c r="D1607">
        <v>90</v>
      </c>
      <c r="E1607">
        <v>300.06316883477598</v>
      </c>
      <c r="F1607">
        <v>47.511025214247098</v>
      </c>
      <c r="G1607" t="s">
        <v>51</v>
      </c>
      <c r="H1607">
        <v>12</v>
      </c>
      <c r="I1607">
        <v>90</v>
      </c>
      <c r="J1607">
        <v>12.423418243423299</v>
      </c>
      <c r="K1607" t="b">
        <f t="shared" si="100"/>
        <v>1</v>
      </c>
      <c r="L1607">
        <f t="shared" si="101"/>
        <v>359.99761229244632</v>
      </c>
      <c r="M1607">
        <f t="shared" si="102"/>
        <v>1439.9904491697853</v>
      </c>
      <c r="N1607">
        <f t="shared" si="103"/>
        <v>1759.6683288854776</v>
      </c>
    </row>
    <row r="1608" spans="1:14" x14ac:dyDescent="0.35">
      <c r="A1608" t="s">
        <v>51</v>
      </c>
      <c r="B1608">
        <v>12</v>
      </c>
      <c r="C1608" t="s">
        <v>50</v>
      </c>
      <c r="D1608">
        <v>91</v>
      </c>
      <c r="E1608">
        <v>301.79407305850901</v>
      </c>
      <c r="F1608">
        <v>47.679286028073797</v>
      </c>
      <c r="G1608" t="s">
        <v>51</v>
      </c>
      <c r="H1608">
        <v>12</v>
      </c>
      <c r="I1608">
        <v>91</v>
      </c>
      <c r="J1608">
        <v>12.5033244037787</v>
      </c>
      <c r="K1608" t="b">
        <f t="shared" si="100"/>
        <v>1</v>
      </c>
      <c r="L1608">
        <f t="shared" si="101"/>
        <v>361.97668349036155</v>
      </c>
      <c r="M1608">
        <f t="shared" si="102"/>
        <v>1447.9067339614462</v>
      </c>
      <c r="N1608">
        <f t="shared" si="103"/>
        <v>1769.3420289008873</v>
      </c>
    </row>
    <row r="1609" spans="1:14" x14ac:dyDescent="0.35">
      <c r="A1609" t="s">
        <v>51</v>
      </c>
      <c r="B1609">
        <v>12</v>
      </c>
      <c r="C1609" t="s">
        <v>50</v>
      </c>
      <c r="D1609">
        <v>92</v>
      </c>
      <c r="E1609">
        <v>303.52221139841299</v>
      </c>
      <c r="F1609">
        <v>47.855250659861902</v>
      </c>
      <c r="G1609" t="s">
        <v>51</v>
      </c>
      <c r="H1609">
        <v>12</v>
      </c>
      <c r="I1609">
        <v>92</v>
      </c>
      <c r="J1609">
        <v>12.5814571909776</v>
      </c>
      <c r="K1609" t="b">
        <f t="shared" si="100"/>
        <v>1</v>
      </c>
      <c r="L1609">
        <f t="shared" si="101"/>
        <v>363.95891924925246</v>
      </c>
      <c r="M1609">
        <f t="shared" si="102"/>
        <v>1455.8356769970098</v>
      </c>
      <c r="N1609">
        <f t="shared" si="103"/>
        <v>1779.031197290346</v>
      </c>
    </row>
    <row r="1610" spans="1:14" x14ac:dyDescent="0.35">
      <c r="A1610" t="s">
        <v>51</v>
      </c>
      <c r="B1610">
        <v>12</v>
      </c>
      <c r="C1610" t="s">
        <v>50</v>
      </c>
      <c r="D1610">
        <v>93</v>
      </c>
      <c r="E1610">
        <v>305.244950564372</v>
      </c>
      <c r="F1610">
        <v>48.040868367859701</v>
      </c>
      <c r="G1610" t="s">
        <v>51</v>
      </c>
      <c r="H1610">
        <v>12</v>
      </c>
      <c r="I1610">
        <v>93</v>
      </c>
      <c r="J1610">
        <v>12.6582646565108</v>
      </c>
      <c r="K1610" t="b">
        <f t="shared" si="100"/>
        <v>1</v>
      </c>
      <c r="L1610">
        <f t="shared" si="101"/>
        <v>365.9440835887425</v>
      </c>
      <c r="M1610">
        <f t="shared" si="102"/>
        <v>1463.77633435497</v>
      </c>
      <c r="N1610">
        <f t="shared" si="103"/>
        <v>1788.7346805817733</v>
      </c>
    </row>
    <row r="1611" spans="1:14" x14ac:dyDescent="0.35">
      <c r="A1611" t="s">
        <v>51</v>
      </c>
      <c r="B1611">
        <v>12</v>
      </c>
      <c r="C1611" t="s">
        <v>50</v>
      </c>
      <c r="D1611">
        <v>94</v>
      </c>
      <c r="E1611">
        <v>306.69650596077702</v>
      </c>
      <c r="F1611">
        <v>48.172774404706701</v>
      </c>
      <c r="G1611" t="s">
        <v>51</v>
      </c>
      <c r="H1611">
        <v>12</v>
      </c>
      <c r="I1611">
        <v>94</v>
      </c>
      <c r="J1611">
        <v>12.730414547859199</v>
      </c>
      <c r="K1611" t="b">
        <f t="shared" si="100"/>
        <v>1</v>
      </c>
      <c r="L1611">
        <f t="shared" si="101"/>
        <v>367.59969491334294</v>
      </c>
      <c r="M1611">
        <f t="shared" si="102"/>
        <v>1470.3987796533718</v>
      </c>
      <c r="N1611">
        <f t="shared" si="103"/>
        <v>1796.8273087364203</v>
      </c>
    </row>
    <row r="1612" spans="1:14" x14ac:dyDescent="0.35">
      <c r="A1612" t="s">
        <v>51</v>
      </c>
      <c r="B1612">
        <v>12</v>
      </c>
      <c r="C1612" t="s">
        <v>50</v>
      </c>
      <c r="D1612">
        <v>95</v>
      </c>
      <c r="E1612">
        <v>308.164587427036</v>
      </c>
      <c r="F1612">
        <v>48.295098082434997</v>
      </c>
      <c r="G1612" t="s">
        <v>51</v>
      </c>
      <c r="H1612">
        <v>12</v>
      </c>
      <c r="I1612">
        <v>95</v>
      </c>
      <c r="J1612">
        <v>12.799715623427099</v>
      </c>
      <c r="K1612" t="b">
        <f t="shared" si="100"/>
        <v>1</v>
      </c>
      <c r="L1612">
        <f t="shared" si="101"/>
        <v>369.25940113289812</v>
      </c>
      <c r="M1612">
        <f t="shared" si="102"/>
        <v>1477.0376045315925</v>
      </c>
      <c r="N1612">
        <f t="shared" si="103"/>
        <v>1804.9399527376061</v>
      </c>
    </row>
    <row r="1613" spans="1:14" x14ac:dyDescent="0.35">
      <c r="A1613" t="s">
        <v>51</v>
      </c>
      <c r="B1613">
        <v>12</v>
      </c>
      <c r="C1613" t="s">
        <v>50</v>
      </c>
      <c r="D1613">
        <v>96</v>
      </c>
      <c r="E1613">
        <v>309.63451946464602</v>
      </c>
      <c r="F1613">
        <v>48.421537244865902</v>
      </c>
      <c r="G1613" t="s">
        <v>51</v>
      </c>
      <c r="H1613">
        <v>12</v>
      </c>
      <c r="I1613">
        <v>96</v>
      </c>
      <c r="J1613">
        <v>12.867105980093999</v>
      </c>
      <c r="K1613" t="b">
        <f t="shared" si="100"/>
        <v>1</v>
      </c>
      <c r="L1613">
        <f t="shared" si="101"/>
        <v>370.92316268960593</v>
      </c>
      <c r="M1613">
        <f t="shared" si="102"/>
        <v>1483.6926507584237</v>
      </c>
      <c r="N1613">
        <f t="shared" si="103"/>
        <v>1813.0724192267937</v>
      </c>
    </row>
    <row r="1614" spans="1:14" x14ac:dyDescent="0.35">
      <c r="A1614" t="s">
        <v>51</v>
      </c>
      <c r="B1614">
        <v>12</v>
      </c>
      <c r="C1614" t="s">
        <v>50</v>
      </c>
      <c r="D1614">
        <v>97</v>
      </c>
      <c r="E1614">
        <v>311.10161797941203</v>
      </c>
      <c r="F1614">
        <v>48.556072238373602</v>
      </c>
      <c r="G1614" t="s">
        <v>51</v>
      </c>
      <c r="H1614">
        <v>12</v>
      </c>
      <c r="I1614">
        <v>97</v>
      </c>
      <c r="J1614">
        <v>12.9331262855058</v>
      </c>
      <c r="K1614" t="b">
        <f t="shared" si="100"/>
        <v>1</v>
      </c>
      <c r="L1614">
        <f t="shared" si="101"/>
        <v>372.59081650329142</v>
      </c>
      <c r="M1614">
        <f t="shared" si="102"/>
        <v>1490.3632660131657</v>
      </c>
      <c r="N1614">
        <f t="shared" si="103"/>
        <v>1821.2239110680885</v>
      </c>
    </row>
    <row r="1615" spans="1:14" x14ac:dyDescent="0.35">
      <c r="A1615" t="s">
        <v>51</v>
      </c>
      <c r="B1615">
        <v>12</v>
      </c>
      <c r="C1615" t="s">
        <v>50</v>
      </c>
      <c r="D1615">
        <v>98</v>
      </c>
      <c r="E1615">
        <v>312.56439180394</v>
      </c>
      <c r="F1615">
        <v>48.6995979963149</v>
      </c>
      <c r="G1615" t="s">
        <v>51</v>
      </c>
      <c r="H1615">
        <v>12</v>
      </c>
      <c r="I1615">
        <v>98</v>
      </c>
      <c r="J1615">
        <v>12.9981145144815</v>
      </c>
      <c r="K1615" t="b">
        <f t="shared" si="100"/>
        <v>1</v>
      </c>
      <c r="L1615">
        <f t="shared" si="101"/>
        <v>374.26210431473635</v>
      </c>
      <c r="M1615">
        <f t="shared" si="102"/>
        <v>1497.0484172589454</v>
      </c>
      <c r="N1615">
        <f t="shared" si="103"/>
        <v>1829.3931658904312</v>
      </c>
    </row>
    <row r="1616" spans="1:14" x14ac:dyDescent="0.35">
      <c r="A1616" t="s">
        <v>51</v>
      </c>
      <c r="B1616">
        <v>12</v>
      </c>
      <c r="C1616" t="s">
        <v>50</v>
      </c>
      <c r="D1616">
        <v>99</v>
      </c>
      <c r="E1616">
        <v>314.05925024371197</v>
      </c>
      <c r="F1616">
        <v>48.6778907656577</v>
      </c>
      <c r="G1616" t="s">
        <v>51</v>
      </c>
      <c r="H1616">
        <v>12</v>
      </c>
      <c r="I1616">
        <v>99</v>
      </c>
      <c r="J1616">
        <v>13.062799042857501</v>
      </c>
      <c r="K1616" t="b">
        <f t="shared" si="100"/>
        <v>1</v>
      </c>
      <c r="L1616">
        <f t="shared" si="101"/>
        <v>375.79994005222716</v>
      </c>
      <c r="M1616">
        <f t="shared" si="102"/>
        <v>1503.1997602089086</v>
      </c>
      <c r="N1616">
        <f t="shared" si="103"/>
        <v>1836.9101069752862</v>
      </c>
    </row>
    <row r="1617" spans="1:14" x14ac:dyDescent="0.35">
      <c r="A1617" t="s">
        <v>51</v>
      </c>
      <c r="B1617">
        <v>12</v>
      </c>
      <c r="C1617" t="s">
        <v>50</v>
      </c>
      <c r="D1617">
        <v>100</v>
      </c>
      <c r="E1617">
        <v>315.42333940046802</v>
      </c>
      <c r="F1617">
        <v>48.733453595645599</v>
      </c>
      <c r="G1617" t="s">
        <v>51</v>
      </c>
      <c r="H1617">
        <v>12</v>
      </c>
      <c r="I1617">
        <v>100</v>
      </c>
      <c r="J1617">
        <v>13.1254334328539</v>
      </c>
      <c r="K1617" t="b">
        <f t="shared" si="100"/>
        <v>1</v>
      </c>
      <c r="L1617">
        <f t="shared" si="101"/>
        <v>377.28222642896753</v>
      </c>
      <c r="M1617">
        <f t="shared" si="102"/>
        <v>1509.1289057158701</v>
      </c>
      <c r="N1617">
        <f t="shared" si="103"/>
        <v>1844.1555227847932</v>
      </c>
    </row>
    <row r="1618" spans="1:14" x14ac:dyDescent="0.35">
      <c r="A1618" t="s">
        <v>51</v>
      </c>
      <c r="B1618">
        <v>14</v>
      </c>
      <c r="C1618" t="s">
        <v>50</v>
      </c>
      <c r="D1618">
        <v>0</v>
      </c>
      <c r="E1618">
        <v>0</v>
      </c>
      <c r="F1618">
        <v>0</v>
      </c>
      <c r="G1618" t="s">
        <v>51</v>
      </c>
      <c r="H1618">
        <v>14</v>
      </c>
      <c r="I1618">
        <v>0</v>
      </c>
      <c r="J1618">
        <v>0</v>
      </c>
      <c r="K1618" t="b">
        <f t="shared" si="100"/>
        <v>1</v>
      </c>
      <c r="L1618">
        <f t="shared" si="101"/>
        <v>0</v>
      </c>
      <c r="M1618">
        <f t="shared" si="102"/>
        <v>0</v>
      </c>
      <c r="N1618">
        <f t="shared" si="103"/>
        <v>0</v>
      </c>
    </row>
    <row r="1619" spans="1:14" x14ac:dyDescent="0.35">
      <c r="A1619" t="s">
        <v>51</v>
      </c>
      <c r="B1619">
        <v>14</v>
      </c>
      <c r="C1619" t="s">
        <v>50</v>
      </c>
      <c r="D1619">
        <v>1</v>
      </c>
      <c r="E1619">
        <v>0.221209367241606</v>
      </c>
      <c r="F1619" s="19">
        <v>8.7836935881316E-4</v>
      </c>
      <c r="G1619" t="s">
        <v>51</v>
      </c>
      <c r="H1619">
        <v>14</v>
      </c>
      <c r="I1619">
        <v>1</v>
      </c>
      <c r="J1619">
        <v>2.9899793888391799E-3</v>
      </c>
      <c r="K1619" t="b">
        <f t="shared" si="100"/>
        <v>1</v>
      </c>
      <c r="L1619">
        <f t="shared" si="101"/>
        <v>0.22507771598925835</v>
      </c>
      <c r="M1619">
        <f t="shared" si="102"/>
        <v>0.90031086395703341</v>
      </c>
      <c r="N1619">
        <f t="shared" si="103"/>
        <v>1.1001798757554948</v>
      </c>
    </row>
    <row r="1620" spans="1:14" x14ac:dyDescent="0.35">
      <c r="A1620" t="s">
        <v>51</v>
      </c>
      <c r="B1620">
        <v>14</v>
      </c>
      <c r="C1620" t="s">
        <v>50</v>
      </c>
      <c r="D1620">
        <v>2</v>
      </c>
      <c r="E1620">
        <v>0.49772107629361401</v>
      </c>
      <c r="F1620">
        <v>2.82834933537838E-3</v>
      </c>
      <c r="G1620" t="s">
        <v>51</v>
      </c>
      <c r="H1620">
        <v>14</v>
      </c>
      <c r="I1620">
        <v>2</v>
      </c>
      <c r="J1620">
        <v>8.6486756281583706E-3</v>
      </c>
      <c r="K1620" t="b">
        <f t="shared" si="100"/>
        <v>1</v>
      </c>
      <c r="L1620">
        <f t="shared" si="101"/>
        <v>0.50919810125715081</v>
      </c>
      <c r="M1620">
        <f t="shared" si="102"/>
        <v>2.0367924050286033</v>
      </c>
      <c r="N1620">
        <f t="shared" si="103"/>
        <v>2.4889603189449532</v>
      </c>
    </row>
    <row r="1621" spans="1:14" x14ac:dyDescent="0.35">
      <c r="A1621" t="s">
        <v>51</v>
      </c>
      <c r="B1621">
        <v>14</v>
      </c>
      <c r="C1621" t="s">
        <v>50</v>
      </c>
      <c r="D1621">
        <v>3</v>
      </c>
      <c r="E1621">
        <v>0.843360712608622</v>
      </c>
      <c r="F1621">
        <v>6.0922820357922E-3</v>
      </c>
      <c r="G1621" t="s">
        <v>51</v>
      </c>
      <c r="H1621">
        <v>14</v>
      </c>
      <c r="I1621">
        <v>3</v>
      </c>
      <c r="J1621">
        <v>1.6987078727169001E-2</v>
      </c>
      <c r="K1621" t="b">
        <f t="shared" si="100"/>
        <v>1</v>
      </c>
      <c r="L1621">
        <f t="shared" si="101"/>
        <v>0.86644007337158313</v>
      </c>
      <c r="M1621">
        <f t="shared" si="102"/>
        <v>3.4657602934863325</v>
      </c>
      <c r="N1621">
        <f t="shared" si="103"/>
        <v>4.2351590786402982</v>
      </c>
    </row>
    <row r="1622" spans="1:14" x14ac:dyDescent="0.35">
      <c r="A1622" t="s">
        <v>51</v>
      </c>
      <c r="B1622">
        <v>14</v>
      </c>
      <c r="C1622" t="s">
        <v>50</v>
      </c>
      <c r="D1622">
        <v>4</v>
      </c>
      <c r="E1622">
        <v>1.2754102580023801</v>
      </c>
      <c r="F1622">
        <v>1.0973861909125599E-2</v>
      </c>
      <c r="G1622" t="s">
        <v>51</v>
      </c>
      <c r="H1622">
        <v>14</v>
      </c>
      <c r="I1622">
        <v>4</v>
      </c>
      <c r="J1622">
        <v>2.8264115209798199E-2</v>
      </c>
      <c r="K1622" t="b">
        <f t="shared" si="100"/>
        <v>1</v>
      </c>
      <c r="L1622">
        <f t="shared" si="101"/>
        <v>1.3146482351213038</v>
      </c>
      <c r="M1622">
        <f t="shared" si="102"/>
        <v>5.2585929404852152</v>
      </c>
      <c r="N1622">
        <f t="shared" si="103"/>
        <v>6.4260005732729333</v>
      </c>
    </row>
    <row r="1623" spans="1:14" x14ac:dyDescent="0.35">
      <c r="A1623" t="s">
        <v>51</v>
      </c>
      <c r="B1623">
        <v>14</v>
      </c>
      <c r="C1623" t="s">
        <v>50</v>
      </c>
      <c r="D1623">
        <v>5</v>
      </c>
      <c r="E1623">
        <v>1.81547218974458</v>
      </c>
      <c r="F1623">
        <v>1.78534508286739E-2</v>
      </c>
      <c r="G1623" t="s">
        <v>51</v>
      </c>
      <c r="H1623">
        <v>14</v>
      </c>
      <c r="I1623">
        <v>5</v>
      </c>
      <c r="J1623">
        <v>4.2951156289647401E-2</v>
      </c>
      <c r="K1623" t="b">
        <f t="shared" si="100"/>
        <v>1</v>
      </c>
      <c r="L1623">
        <f t="shared" si="101"/>
        <v>1.8762767968629013</v>
      </c>
      <c r="M1623">
        <f t="shared" si="102"/>
        <v>7.5051071874516051</v>
      </c>
      <c r="N1623">
        <f t="shared" si="103"/>
        <v>9.1712409830658608</v>
      </c>
    </row>
    <row r="1624" spans="1:14" x14ac:dyDescent="0.35">
      <c r="A1624" t="s">
        <v>51</v>
      </c>
      <c r="B1624">
        <v>14</v>
      </c>
      <c r="C1624" t="s">
        <v>50</v>
      </c>
      <c r="D1624">
        <v>6</v>
      </c>
      <c r="E1624">
        <v>2.4905496044223399</v>
      </c>
      <c r="F1624">
        <v>2.7207222633654399E-2</v>
      </c>
      <c r="G1624" t="s">
        <v>51</v>
      </c>
      <c r="H1624">
        <v>14</v>
      </c>
      <c r="I1624">
        <v>6</v>
      </c>
      <c r="J1624">
        <v>6.1727894689922701E-2</v>
      </c>
      <c r="K1624" t="b">
        <f t="shared" si="100"/>
        <v>1</v>
      </c>
      <c r="L1624">
        <f t="shared" si="101"/>
        <v>2.5794847217459171</v>
      </c>
      <c r="M1624">
        <f t="shared" si="102"/>
        <v>10.317938886983669</v>
      </c>
      <c r="N1624">
        <f t="shared" si="103"/>
        <v>12.608521319894043</v>
      </c>
    </row>
    <row r="1625" spans="1:14" x14ac:dyDescent="0.35">
      <c r="A1625" t="s">
        <v>51</v>
      </c>
      <c r="B1625">
        <v>14</v>
      </c>
      <c r="C1625" t="s">
        <v>50</v>
      </c>
      <c r="D1625">
        <v>7</v>
      </c>
      <c r="E1625">
        <v>3.3343963727695298</v>
      </c>
      <c r="F1625">
        <v>3.9631094475758903E-2</v>
      </c>
      <c r="G1625" t="s">
        <v>51</v>
      </c>
      <c r="H1625">
        <v>14</v>
      </c>
      <c r="I1625">
        <v>7</v>
      </c>
      <c r="J1625">
        <v>8.5500463159302598E-2</v>
      </c>
      <c r="K1625" t="b">
        <f t="shared" si="100"/>
        <v>1</v>
      </c>
      <c r="L1625">
        <f t="shared" si="101"/>
        <v>3.4595279304045912</v>
      </c>
      <c r="M1625">
        <f t="shared" si="102"/>
        <v>13.838111721618365</v>
      </c>
      <c r="N1625">
        <f t="shared" si="103"/>
        <v>16.910172523817643</v>
      </c>
    </row>
    <row r="1626" spans="1:14" x14ac:dyDescent="0.35">
      <c r="A1626" t="s">
        <v>51</v>
      </c>
      <c r="B1626">
        <v>14</v>
      </c>
      <c r="C1626" t="s">
        <v>50</v>
      </c>
      <c r="D1626">
        <v>8</v>
      </c>
      <c r="E1626">
        <v>4.3892048332035101</v>
      </c>
      <c r="F1626">
        <v>5.58706416516919E-2</v>
      </c>
      <c r="G1626" t="s">
        <v>51</v>
      </c>
      <c r="H1626">
        <v>14</v>
      </c>
      <c r="I1626">
        <v>8</v>
      </c>
      <c r="J1626">
        <v>0.11543762343934599</v>
      </c>
      <c r="K1626" t="b">
        <f t="shared" si="100"/>
        <v>1</v>
      </c>
      <c r="L1626">
        <f t="shared" si="101"/>
        <v>4.5605130982945488</v>
      </c>
      <c r="M1626">
        <f t="shared" si="102"/>
        <v>18.242052393178195</v>
      </c>
      <c r="N1626">
        <f t="shared" si="103"/>
        <v>22.291788024463752</v>
      </c>
    </row>
    <row r="1627" spans="1:14" x14ac:dyDescent="0.35">
      <c r="A1627" t="s">
        <v>51</v>
      </c>
      <c r="B1627">
        <v>14</v>
      </c>
      <c r="C1627" t="s">
        <v>50</v>
      </c>
      <c r="D1627">
        <v>9</v>
      </c>
      <c r="E1627">
        <v>5.707715408746</v>
      </c>
      <c r="F1627">
        <v>7.6858491773711499E-2</v>
      </c>
      <c r="G1627" t="s">
        <v>51</v>
      </c>
      <c r="H1627">
        <v>14</v>
      </c>
      <c r="I1627">
        <v>9</v>
      </c>
      <c r="J1627">
        <v>0.15302394380343701</v>
      </c>
      <c r="K1627" t="b">
        <f t="shared" si="100"/>
        <v>1</v>
      </c>
      <c r="L1627">
        <f t="shared" si="101"/>
        <v>5.9375978443231485</v>
      </c>
      <c r="M1627">
        <f t="shared" si="102"/>
        <v>23.750391377292594</v>
      </c>
      <c r="N1627">
        <f t="shared" si="103"/>
        <v>29.022978263051549</v>
      </c>
    </row>
    <row r="1628" spans="1:14" x14ac:dyDescent="0.35">
      <c r="A1628" t="s">
        <v>51</v>
      </c>
      <c r="B1628">
        <v>14</v>
      </c>
      <c r="C1628" t="s">
        <v>50</v>
      </c>
      <c r="D1628">
        <v>10</v>
      </c>
      <c r="E1628">
        <v>7.3558536281741098</v>
      </c>
      <c r="F1628">
        <v>0.103761068093776</v>
      </c>
      <c r="G1628" t="s">
        <v>51</v>
      </c>
      <c r="H1628">
        <v>14</v>
      </c>
      <c r="I1628">
        <v>10</v>
      </c>
      <c r="J1628">
        <v>0.20013097616749301</v>
      </c>
      <c r="K1628" t="b">
        <f t="shared" si="100"/>
        <v>1</v>
      </c>
      <c r="L1628">
        <f t="shared" si="101"/>
        <v>7.6597456724353794</v>
      </c>
      <c r="M1628">
        <f t="shared" si="102"/>
        <v>30.638982689741518</v>
      </c>
      <c r="N1628">
        <f t="shared" si="103"/>
        <v>37.440836846864137</v>
      </c>
    </row>
    <row r="1629" spans="1:14" x14ac:dyDescent="0.35">
      <c r="A1629" t="s">
        <v>51</v>
      </c>
      <c r="B1629">
        <v>14</v>
      </c>
      <c r="C1629" t="s">
        <v>50</v>
      </c>
      <c r="D1629">
        <v>11</v>
      </c>
      <c r="E1629">
        <v>9.4160264024592397</v>
      </c>
      <c r="F1629">
        <v>0.13803701925137099</v>
      </c>
      <c r="G1629" t="s">
        <v>51</v>
      </c>
      <c r="H1629">
        <v>14</v>
      </c>
      <c r="I1629">
        <v>11</v>
      </c>
      <c r="J1629">
        <v>0.259109051403208</v>
      </c>
      <c r="K1629" t="b">
        <f t="shared" si="100"/>
        <v>1</v>
      </c>
      <c r="L1629">
        <f t="shared" si="101"/>
        <v>9.8131724731138181</v>
      </c>
      <c r="M1629">
        <f t="shared" si="102"/>
        <v>39.252689892455273</v>
      </c>
      <c r="N1629">
        <f t="shared" si="103"/>
        <v>47.966787048580343</v>
      </c>
    </row>
    <row r="1630" spans="1:14" x14ac:dyDescent="0.35">
      <c r="A1630" t="s">
        <v>51</v>
      </c>
      <c r="B1630">
        <v>14</v>
      </c>
      <c r="C1630" t="s">
        <v>50</v>
      </c>
      <c r="D1630">
        <v>12</v>
      </c>
      <c r="E1630">
        <v>11.9912423703156</v>
      </c>
      <c r="F1630">
        <v>0.18151025703315399</v>
      </c>
      <c r="G1630" t="s">
        <v>51</v>
      </c>
      <c r="H1630">
        <v>14</v>
      </c>
      <c r="I1630">
        <v>12</v>
      </c>
      <c r="J1630">
        <v>0.33290374535072498</v>
      </c>
      <c r="K1630" t="b">
        <f t="shared" si="100"/>
        <v>1</v>
      </c>
      <c r="L1630">
        <f t="shared" si="101"/>
        <v>12.505656372699478</v>
      </c>
      <c r="M1630">
        <f t="shared" si="102"/>
        <v>50.022625490797914</v>
      </c>
      <c r="N1630">
        <f t="shared" si="103"/>
        <v>61.127648349755049</v>
      </c>
    </row>
    <row r="1631" spans="1:14" x14ac:dyDescent="0.35">
      <c r="A1631" t="s">
        <v>51</v>
      </c>
      <c r="B1631">
        <v>14</v>
      </c>
      <c r="C1631" t="s">
        <v>50</v>
      </c>
      <c r="D1631">
        <v>13</v>
      </c>
      <c r="E1631">
        <v>15.2102623301361</v>
      </c>
      <c r="F1631">
        <v>0.236461254130127</v>
      </c>
      <c r="G1631" t="s">
        <v>51</v>
      </c>
      <c r="H1631">
        <v>14</v>
      </c>
      <c r="I1631">
        <v>13</v>
      </c>
      <c r="J1631">
        <v>0.42520253119512502</v>
      </c>
      <c r="K1631" t="b">
        <f t="shared" si="100"/>
        <v>1</v>
      </c>
      <c r="L1631">
        <f t="shared" si="101"/>
        <v>15.871926115461353</v>
      </c>
      <c r="M1631">
        <f t="shared" si="102"/>
        <v>63.487704461845411</v>
      </c>
      <c r="N1631">
        <f t="shared" si="103"/>
        <v>77.581974852375097</v>
      </c>
    </row>
    <row r="1632" spans="1:14" x14ac:dyDescent="0.35">
      <c r="A1632" t="s">
        <v>51</v>
      </c>
      <c r="B1632">
        <v>14</v>
      </c>
      <c r="C1632" t="s">
        <v>50</v>
      </c>
      <c r="D1632">
        <v>14</v>
      </c>
      <c r="E1632">
        <v>19.1448537313433</v>
      </c>
      <c r="F1632">
        <v>0.30538704038682002</v>
      </c>
      <c r="G1632" t="s">
        <v>51</v>
      </c>
      <c r="H1632">
        <v>14</v>
      </c>
      <c r="I1632">
        <v>14</v>
      </c>
      <c r="J1632">
        <v>0.53941332355465499</v>
      </c>
      <c r="K1632" t="b">
        <f t="shared" si="100"/>
        <v>1</v>
      </c>
      <c r="L1632">
        <f t="shared" si="101"/>
        <v>19.989654095284774</v>
      </c>
      <c r="M1632">
        <f t="shared" si="102"/>
        <v>79.958616381139095</v>
      </c>
      <c r="N1632">
        <f t="shared" si="103"/>
        <v>97.709429217751975</v>
      </c>
    </row>
    <row r="1633" spans="1:14" x14ac:dyDescent="0.35">
      <c r="A1633" t="s">
        <v>51</v>
      </c>
      <c r="B1633">
        <v>14</v>
      </c>
      <c r="C1633" t="s">
        <v>50</v>
      </c>
      <c r="D1633">
        <v>15</v>
      </c>
      <c r="E1633">
        <v>23.2182268656716</v>
      </c>
      <c r="F1633">
        <v>0.38841944111551402</v>
      </c>
      <c r="G1633" t="s">
        <v>51</v>
      </c>
      <c r="H1633">
        <v>14</v>
      </c>
      <c r="I1633">
        <v>15</v>
      </c>
      <c r="J1633">
        <v>0.67001569185407295</v>
      </c>
      <c r="K1633" t="b">
        <f t="shared" si="100"/>
        <v>1</v>
      </c>
      <c r="L1633">
        <f t="shared" si="101"/>
        <v>24.276661998641185</v>
      </c>
      <c r="M1633">
        <f t="shared" si="102"/>
        <v>97.106647994564739</v>
      </c>
      <c r="N1633">
        <f t="shared" si="103"/>
        <v>118.66432384935811</v>
      </c>
    </row>
    <row r="1634" spans="1:14" x14ac:dyDescent="0.35">
      <c r="A1634" t="s">
        <v>51</v>
      </c>
      <c r="B1634">
        <v>14</v>
      </c>
      <c r="C1634" t="s">
        <v>50</v>
      </c>
      <c r="D1634">
        <v>16</v>
      </c>
      <c r="E1634">
        <v>27.291599999999999</v>
      </c>
      <c r="F1634">
        <v>0.48513525788204898</v>
      </c>
      <c r="G1634" t="s">
        <v>51</v>
      </c>
      <c r="H1634">
        <v>14</v>
      </c>
      <c r="I1634">
        <v>16</v>
      </c>
      <c r="J1634">
        <v>0.81168211184638706</v>
      </c>
      <c r="K1634" t="b">
        <f t="shared" si="100"/>
        <v>1</v>
      </c>
      <c r="L1634">
        <f t="shared" si="101"/>
        <v>28.588417369728436</v>
      </c>
      <c r="M1634">
        <f t="shared" si="102"/>
        <v>114.35366947891374</v>
      </c>
      <c r="N1634">
        <f t="shared" si="103"/>
        <v>139.74018410323259</v>
      </c>
    </row>
    <row r="1635" spans="1:14" x14ac:dyDescent="0.35">
      <c r="A1635" t="s">
        <v>51</v>
      </c>
      <c r="B1635">
        <v>14</v>
      </c>
      <c r="C1635" t="s">
        <v>50</v>
      </c>
      <c r="D1635">
        <v>17</v>
      </c>
      <c r="E1635">
        <v>32.211269999999999</v>
      </c>
      <c r="F1635">
        <v>0.59848443014558705</v>
      </c>
      <c r="G1635" t="s">
        <v>51</v>
      </c>
      <c r="H1635">
        <v>14</v>
      </c>
      <c r="I1635">
        <v>17</v>
      </c>
      <c r="J1635">
        <v>0.97243933898814505</v>
      </c>
      <c r="K1635" t="b">
        <f t="shared" si="100"/>
        <v>1</v>
      </c>
      <c r="L1635">
        <f t="shared" si="101"/>
        <v>33.782193769133734</v>
      </c>
      <c r="M1635">
        <f t="shared" si="102"/>
        <v>135.12877507653494</v>
      </c>
      <c r="N1635">
        <f t="shared" si="103"/>
        <v>165.12736314352568</v>
      </c>
    </row>
    <row r="1636" spans="1:14" x14ac:dyDescent="0.35">
      <c r="A1636" t="s">
        <v>51</v>
      </c>
      <c r="B1636">
        <v>14</v>
      </c>
      <c r="C1636" t="s">
        <v>50</v>
      </c>
      <c r="D1636">
        <v>18</v>
      </c>
      <c r="E1636">
        <v>37.130939999999903</v>
      </c>
      <c r="F1636">
        <v>0.72796795724121899</v>
      </c>
      <c r="G1636" t="s">
        <v>51</v>
      </c>
      <c r="H1636">
        <v>14</v>
      </c>
      <c r="I1636">
        <v>18</v>
      </c>
      <c r="J1636">
        <v>1.14595934357104</v>
      </c>
      <c r="K1636" t="b">
        <f t="shared" si="100"/>
        <v>1</v>
      </c>
      <c r="L1636">
        <f t="shared" si="101"/>
        <v>39.004867300812165</v>
      </c>
      <c r="M1636">
        <f t="shared" si="102"/>
        <v>156.01946920324866</v>
      </c>
      <c r="N1636">
        <f t="shared" si="103"/>
        <v>190.65579136636987</v>
      </c>
    </row>
    <row r="1637" spans="1:14" x14ac:dyDescent="0.35">
      <c r="A1637" t="s">
        <v>51</v>
      </c>
      <c r="B1637">
        <v>14</v>
      </c>
      <c r="C1637" t="s">
        <v>50</v>
      </c>
      <c r="D1637">
        <v>19</v>
      </c>
      <c r="E1637">
        <v>42.050609999999999</v>
      </c>
      <c r="F1637">
        <v>0.873101808523983</v>
      </c>
      <c r="G1637" t="s">
        <v>51</v>
      </c>
      <c r="H1637">
        <v>14</v>
      </c>
      <c r="I1637">
        <v>19</v>
      </c>
      <c r="J1637">
        <v>1.32822509423305</v>
      </c>
      <c r="K1637" t="b">
        <f t="shared" si="100"/>
        <v>1</v>
      </c>
      <c r="L1637">
        <f t="shared" si="101"/>
        <v>44.251936902757031</v>
      </c>
      <c r="M1637">
        <f t="shared" si="102"/>
        <v>177.00774761102812</v>
      </c>
      <c r="N1637">
        <f t="shared" si="103"/>
        <v>216.30346758067637</v>
      </c>
    </row>
    <row r="1638" spans="1:14" x14ac:dyDescent="0.35">
      <c r="A1638" t="s">
        <v>51</v>
      </c>
      <c r="B1638">
        <v>14</v>
      </c>
      <c r="C1638" t="s">
        <v>50</v>
      </c>
      <c r="D1638">
        <v>20</v>
      </c>
      <c r="E1638">
        <v>46.970280000000002</v>
      </c>
      <c r="F1638">
        <v>1.0334164742682601</v>
      </c>
      <c r="G1638" t="s">
        <v>51</v>
      </c>
      <c r="H1638">
        <v>14</v>
      </c>
      <c r="I1638">
        <v>20</v>
      </c>
      <c r="J1638">
        <v>1.51662541312841</v>
      </c>
      <c r="K1638" t="b">
        <f t="shared" si="100"/>
        <v>1</v>
      </c>
      <c r="L1638">
        <f t="shared" si="101"/>
        <v>49.520321887396669</v>
      </c>
      <c r="M1638">
        <f t="shared" si="102"/>
        <v>198.08128754958668</v>
      </c>
      <c r="N1638">
        <f t="shared" si="103"/>
        <v>242.05533338559491</v>
      </c>
    </row>
    <row r="1639" spans="1:14" x14ac:dyDescent="0.35">
      <c r="A1639" t="s">
        <v>51</v>
      </c>
      <c r="B1639">
        <v>14</v>
      </c>
      <c r="C1639" t="s">
        <v>50</v>
      </c>
      <c r="D1639">
        <v>21</v>
      </c>
      <c r="E1639">
        <v>51.641279191726802</v>
      </c>
      <c r="F1639">
        <v>1.43128738748173</v>
      </c>
      <c r="G1639" t="s">
        <v>51</v>
      </c>
      <c r="H1639">
        <v>14</v>
      </c>
      <c r="I1639">
        <v>21</v>
      </c>
      <c r="J1639">
        <v>1.7060590951819099</v>
      </c>
      <c r="K1639" t="b">
        <f t="shared" si="100"/>
        <v>1</v>
      </c>
      <c r="L1639">
        <f t="shared" si="101"/>
        <v>54.77862567439044</v>
      </c>
      <c r="M1639">
        <f t="shared" si="102"/>
        <v>219.11450269756176</v>
      </c>
      <c r="N1639">
        <f t="shared" si="103"/>
        <v>267.75792229642047</v>
      </c>
    </row>
    <row r="1640" spans="1:14" x14ac:dyDescent="0.35">
      <c r="A1640" t="s">
        <v>51</v>
      </c>
      <c r="B1640">
        <v>14</v>
      </c>
      <c r="C1640" t="s">
        <v>50</v>
      </c>
      <c r="D1640">
        <v>22</v>
      </c>
      <c r="E1640">
        <v>57.149182274576702</v>
      </c>
      <c r="F1640">
        <v>1.9295171309657599</v>
      </c>
      <c r="G1640" t="s">
        <v>51</v>
      </c>
      <c r="H1640">
        <v>14</v>
      </c>
      <c r="I1640">
        <v>22</v>
      </c>
      <c r="J1640">
        <v>1.90785094495175</v>
      </c>
      <c r="K1640" t="b">
        <f t="shared" si="100"/>
        <v>1</v>
      </c>
      <c r="L1640">
        <f t="shared" si="101"/>
        <v>60.986550350494213</v>
      </c>
      <c r="M1640">
        <f t="shared" si="102"/>
        <v>243.94620140197685</v>
      </c>
      <c r="N1640">
        <f t="shared" si="103"/>
        <v>298.10225811321573</v>
      </c>
    </row>
    <row r="1641" spans="1:14" x14ac:dyDescent="0.35">
      <c r="A1641" t="s">
        <v>51</v>
      </c>
      <c r="B1641">
        <v>14</v>
      </c>
      <c r="C1641" t="s">
        <v>50</v>
      </c>
      <c r="D1641">
        <v>23</v>
      </c>
      <c r="E1641">
        <v>62.569807451486099</v>
      </c>
      <c r="F1641">
        <v>2.5085993115386001</v>
      </c>
      <c r="G1641" t="s">
        <v>51</v>
      </c>
      <c r="H1641">
        <v>14</v>
      </c>
      <c r="I1641">
        <v>23</v>
      </c>
      <c r="J1641">
        <v>2.1166841197600199</v>
      </c>
      <c r="K1641" t="b">
        <f t="shared" si="100"/>
        <v>1</v>
      </c>
      <c r="L1641">
        <f t="shared" si="101"/>
        <v>67.195090882784726</v>
      </c>
      <c r="M1641">
        <f t="shared" si="102"/>
        <v>268.7803635311389</v>
      </c>
      <c r="N1641">
        <f t="shared" si="103"/>
        <v>328.44960423505171</v>
      </c>
    </row>
    <row r="1642" spans="1:14" x14ac:dyDescent="0.35">
      <c r="A1642" t="s">
        <v>51</v>
      </c>
      <c r="B1642">
        <v>14</v>
      </c>
      <c r="C1642" t="s">
        <v>50</v>
      </c>
      <c r="D1642">
        <v>24</v>
      </c>
      <c r="E1642">
        <v>67.9129870449988</v>
      </c>
      <c r="F1642">
        <v>3.1560630163130701</v>
      </c>
      <c r="G1642" t="s">
        <v>51</v>
      </c>
      <c r="H1642">
        <v>14</v>
      </c>
      <c r="I1642">
        <v>24</v>
      </c>
      <c r="J1642">
        <v>2.3293189296096202</v>
      </c>
      <c r="K1642" t="b">
        <f t="shared" si="100"/>
        <v>1</v>
      </c>
      <c r="L1642">
        <f t="shared" si="101"/>
        <v>73.398368990921483</v>
      </c>
      <c r="M1642">
        <f t="shared" si="102"/>
        <v>293.59347596368593</v>
      </c>
      <c r="N1642">
        <f t="shared" si="103"/>
        <v>358.77122762762423</v>
      </c>
    </row>
    <row r="1643" spans="1:14" x14ac:dyDescent="0.35">
      <c r="A1643" t="s">
        <v>51</v>
      </c>
      <c r="B1643">
        <v>14</v>
      </c>
      <c r="C1643" t="s">
        <v>50</v>
      </c>
      <c r="D1643">
        <v>25</v>
      </c>
      <c r="E1643">
        <v>73.181796453142198</v>
      </c>
      <c r="F1643">
        <v>3.8660722323810801</v>
      </c>
      <c r="G1643" t="s">
        <v>51</v>
      </c>
      <c r="H1643">
        <v>14</v>
      </c>
      <c r="I1643">
        <v>25</v>
      </c>
      <c r="J1643">
        <v>2.5436918392479102</v>
      </c>
      <c r="K1643" t="b">
        <f t="shared" si="100"/>
        <v>1</v>
      </c>
      <c r="L1643">
        <f t="shared" si="101"/>
        <v>79.591560524771197</v>
      </c>
      <c r="M1643">
        <f t="shared" si="102"/>
        <v>318.36624209908479</v>
      </c>
      <c r="N1643">
        <f t="shared" si="103"/>
        <v>389.0435478450816</v>
      </c>
    </row>
    <row r="1644" spans="1:14" x14ac:dyDescent="0.35">
      <c r="A1644" t="s">
        <v>51</v>
      </c>
      <c r="B1644">
        <v>14</v>
      </c>
      <c r="C1644" t="s">
        <v>50</v>
      </c>
      <c r="D1644">
        <v>26</v>
      </c>
      <c r="E1644">
        <v>78.3763230076637</v>
      </c>
      <c r="F1644">
        <v>4.63572964221364</v>
      </c>
      <c r="G1644" t="s">
        <v>51</v>
      </c>
      <c r="H1644">
        <v>14</v>
      </c>
      <c r="I1644">
        <v>26</v>
      </c>
      <c r="J1644">
        <v>2.7584284678537498</v>
      </c>
      <c r="K1644" t="b">
        <f t="shared" si="100"/>
        <v>1</v>
      </c>
      <c r="L1644">
        <f t="shared" si="101"/>
        <v>85.770481117731094</v>
      </c>
      <c r="M1644">
        <f t="shared" si="102"/>
        <v>343.08192447092438</v>
      </c>
      <c r="N1644">
        <f t="shared" si="103"/>
        <v>419.24611170346958</v>
      </c>
    </row>
    <row r="1645" spans="1:14" x14ac:dyDescent="0.35">
      <c r="A1645" t="s">
        <v>51</v>
      </c>
      <c r="B1645">
        <v>14</v>
      </c>
      <c r="C1645" t="s">
        <v>50</v>
      </c>
      <c r="D1645">
        <v>27</v>
      </c>
      <c r="E1645">
        <v>84.044614665150604</v>
      </c>
      <c r="F1645">
        <v>5.4883746682597296</v>
      </c>
      <c r="G1645" t="s">
        <v>51</v>
      </c>
      <c r="H1645">
        <v>14</v>
      </c>
      <c r="I1645">
        <v>27</v>
      </c>
      <c r="J1645">
        <v>2.97999729711244</v>
      </c>
      <c r="K1645" t="b">
        <f t="shared" si="100"/>
        <v>1</v>
      </c>
      <c r="L1645">
        <f t="shared" si="101"/>
        <v>92.512986630522761</v>
      </c>
      <c r="M1645">
        <f t="shared" si="102"/>
        <v>370.05194652209104</v>
      </c>
      <c r="N1645">
        <f t="shared" si="103"/>
        <v>452.20347864999525</v>
      </c>
    </row>
    <row r="1646" spans="1:14" x14ac:dyDescent="0.35">
      <c r="A1646" t="s">
        <v>51</v>
      </c>
      <c r="B1646">
        <v>14</v>
      </c>
      <c r="C1646" t="s">
        <v>50</v>
      </c>
      <c r="D1646">
        <v>28</v>
      </c>
      <c r="E1646">
        <v>89.612610900389299</v>
      </c>
      <c r="F1646">
        <v>6.4197518340214001</v>
      </c>
      <c r="G1646" t="s">
        <v>51</v>
      </c>
      <c r="H1646">
        <v>14</v>
      </c>
      <c r="I1646">
        <v>28</v>
      </c>
      <c r="J1646">
        <v>3.2047417459428398</v>
      </c>
      <c r="K1646" t="b">
        <f t="shared" si="100"/>
        <v>1</v>
      </c>
      <c r="L1646">
        <f t="shared" si="101"/>
        <v>99.237104480353537</v>
      </c>
      <c r="M1646">
        <f t="shared" si="102"/>
        <v>396.94841792141415</v>
      </c>
      <c r="N1646">
        <f t="shared" si="103"/>
        <v>485.0709666999681</v>
      </c>
    </row>
    <row r="1647" spans="1:14" x14ac:dyDescent="0.35">
      <c r="A1647" t="s">
        <v>51</v>
      </c>
      <c r="B1647">
        <v>14</v>
      </c>
      <c r="C1647" t="s">
        <v>50</v>
      </c>
      <c r="D1647">
        <v>29</v>
      </c>
      <c r="E1647">
        <v>95.078676436879405</v>
      </c>
      <c r="F1647">
        <v>7.4276992863873499</v>
      </c>
      <c r="G1647" t="s">
        <v>51</v>
      </c>
      <c r="H1647">
        <v>14</v>
      </c>
      <c r="I1647">
        <v>29</v>
      </c>
      <c r="J1647">
        <v>3.43031839612518</v>
      </c>
      <c r="K1647" t="b">
        <f t="shared" si="100"/>
        <v>1</v>
      </c>
      <c r="L1647">
        <f t="shared" si="101"/>
        <v>105.93669411939193</v>
      </c>
      <c r="M1647">
        <f t="shared" si="102"/>
        <v>423.74677647756772</v>
      </c>
      <c r="N1647">
        <f t="shared" si="103"/>
        <v>517.81856085558775</v>
      </c>
    </row>
    <row r="1648" spans="1:14" x14ac:dyDescent="0.35">
      <c r="A1648" t="s">
        <v>51</v>
      </c>
      <c r="B1648">
        <v>14</v>
      </c>
      <c r="C1648" t="s">
        <v>50</v>
      </c>
      <c r="D1648">
        <v>30</v>
      </c>
      <c r="E1648">
        <v>100.44051493325399</v>
      </c>
      <c r="F1648">
        <v>8.5107276224968</v>
      </c>
      <c r="G1648" t="s">
        <v>51</v>
      </c>
      <c r="H1648">
        <v>14</v>
      </c>
      <c r="I1648">
        <v>30</v>
      </c>
      <c r="J1648">
        <v>3.6551730071062001</v>
      </c>
      <c r="K1648" t="b">
        <f t="shared" si="100"/>
        <v>1</v>
      </c>
      <c r="L1648">
        <f t="shared" si="101"/>
        <v>112.60641556285699</v>
      </c>
      <c r="M1648">
        <f t="shared" si="102"/>
        <v>450.42566225142798</v>
      </c>
      <c r="N1648">
        <f t="shared" si="103"/>
        <v>550.42015927124498</v>
      </c>
    </row>
    <row r="1649" spans="1:14" x14ac:dyDescent="0.35">
      <c r="A1649" t="s">
        <v>51</v>
      </c>
      <c r="B1649">
        <v>14</v>
      </c>
      <c r="C1649" t="s">
        <v>50</v>
      </c>
      <c r="D1649">
        <v>31</v>
      </c>
      <c r="E1649">
        <v>105.69583342893699</v>
      </c>
      <c r="F1649">
        <v>9.6673923130445001</v>
      </c>
      <c r="G1649" t="s">
        <v>51</v>
      </c>
      <c r="H1649">
        <v>14</v>
      </c>
      <c r="I1649">
        <v>31</v>
      </c>
      <c r="J1649">
        <v>3.87823966349481</v>
      </c>
      <c r="K1649" t="b">
        <f t="shared" si="100"/>
        <v>1</v>
      </c>
      <c r="L1649">
        <f t="shared" si="101"/>
        <v>119.2414654054763</v>
      </c>
      <c r="M1649">
        <f t="shared" si="102"/>
        <v>476.96586162190522</v>
      </c>
      <c r="N1649">
        <f t="shared" si="103"/>
        <v>582.85228290196812</v>
      </c>
    </row>
    <row r="1650" spans="1:14" x14ac:dyDescent="0.35">
      <c r="A1650" t="s">
        <v>51</v>
      </c>
      <c r="B1650">
        <v>14</v>
      </c>
      <c r="C1650" t="s">
        <v>50</v>
      </c>
      <c r="D1650">
        <v>32</v>
      </c>
      <c r="E1650">
        <v>111.28244624868201</v>
      </c>
      <c r="F1650">
        <v>10.747560459754</v>
      </c>
      <c r="G1650" t="s">
        <v>51</v>
      </c>
      <c r="H1650">
        <v>14</v>
      </c>
      <c r="I1650">
        <v>32</v>
      </c>
      <c r="J1650">
        <v>4.10470972964273</v>
      </c>
      <c r="K1650" t="b">
        <f t="shared" si="100"/>
        <v>1</v>
      </c>
      <c r="L1650">
        <f t="shared" si="101"/>
        <v>126.13471643807874</v>
      </c>
      <c r="M1650">
        <f t="shared" si="102"/>
        <v>504.53886575231496</v>
      </c>
      <c r="N1650">
        <f t="shared" si="103"/>
        <v>616.54649394932892</v>
      </c>
    </row>
    <row r="1651" spans="1:14" x14ac:dyDescent="0.35">
      <c r="A1651" t="s">
        <v>51</v>
      </c>
      <c r="B1651">
        <v>14</v>
      </c>
      <c r="C1651" t="s">
        <v>50</v>
      </c>
      <c r="D1651">
        <v>33</v>
      </c>
      <c r="E1651">
        <v>116.838438993804</v>
      </c>
      <c r="F1651">
        <v>11.8348008897398</v>
      </c>
      <c r="G1651" t="s">
        <v>51</v>
      </c>
      <c r="H1651">
        <v>14</v>
      </c>
      <c r="I1651">
        <v>33</v>
      </c>
      <c r="J1651">
        <v>4.3329869744692697</v>
      </c>
      <c r="K1651" t="b">
        <f t="shared" si="100"/>
        <v>1</v>
      </c>
      <c r="L1651">
        <f t="shared" si="101"/>
        <v>133.00622685801306</v>
      </c>
      <c r="M1651">
        <f t="shared" si="102"/>
        <v>532.02490743205226</v>
      </c>
      <c r="N1651">
        <f t="shared" si="103"/>
        <v>650.13443688196787</v>
      </c>
    </row>
    <row r="1652" spans="1:14" x14ac:dyDescent="0.35">
      <c r="A1652" t="s">
        <v>51</v>
      </c>
      <c r="B1652">
        <v>14</v>
      </c>
      <c r="C1652" t="s">
        <v>50</v>
      </c>
      <c r="D1652">
        <v>34</v>
      </c>
      <c r="E1652">
        <v>122.325474274063</v>
      </c>
      <c r="F1652">
        <v>12.963243309351601</v>
      </c>
      <c r="G1652" t="s">
        <v>51</v>
      </c>
      <c r="H1652">
        <v>14</v>
      </c>
      <c r="I1652">
        <v>34</v>
      </c>
      <c r="J1652">
        <v>4.5615522536180304</v>
      </c>
      <c r="K1652" t="b">
        <f t="shared" si="100"/>
        <v>1</v>
      </c>
      <c r="L1652">
        <f t="shared" si="101"/>
        <v>139.85026983703264</v>
      </c>
      <c r="M1652">
        <f t="shared" si="102"/>
        <v>559.40107934813057</v>
      </c>
      <c r="N1652">
        <f t="shared" si="103"/>
        <v>683.58811896341558</v>
      </c>
    </row>
    <row r="1653" spans="1:14" x14ac:dyDescent="0.35">
      <c r="A1653" t="s">
        <v>51</v>
      </c>
      <c r="B1653">
        <v>14</v>
      </c>
      <c r="C1653" t="s">
        <v>50</v>
      </c>
      <c r="D1653">
        <v>35</v>
      </c>
      <c r="E1653">
        <v>127.726951117323</v>
      </c>
      <c r="F1653">
        <v>14.145876200565599</v>
      </c>
      <c r="G1653" t="s">
        <v>51</v>
      </c>
      <c r="H1653">
        <v>14</v>
      </c>
      <c r="I1653">
        <v>35</v>
      </c>
      <c r="J1653">
        <v>4.78920617703786</v>
      </c>
      <c r="K1653" t="b">
        <f t="shared" si="100"/>
        <v>1</v>
      </c>
      <c r="L1653">
        <f t="shared" si="101"/>
        <v>146.66203349492648</v>
      </c>
      <c r="M1653">
        <f t="shared" si="102"/>
        <v>586.6481339797059</v>
      </c>
      <c r="N1653">
        <f t="shared" si="103"/>
        <v>716.88401972320059</v>
      </c>
    </row>
    <row r="1654" spans="1:14" x14ac:dyDescent="0.35">
      <c r="A1654" t="s">
        <v>51</v>
      </c>
      <c r="B1654">
        <v>14</v>
      </c>
      <c r="C1654" t="s">
        <v>50</v>
      </c>
      <c r="D1654">
        <v>36</v>
      </c>
      <c r="E1654">
        <v>133.03545146202001</v>
      </c>
      <c r="F1654">
        <v>15.3868134617246</v>
      </c>
      <c r="G1654" t="s">
        <v>51</v>
      </c>
      <c r="H1654">
        <v>14</v>
      </c>
      <c r="I1654">
        <v>36</v>
      </c>
      <c r="J1654">
        <v>5.01506308352843</v>
      </c>
      <c r="K1654" t="b">
        <f t="shared" si="100"/>
        <v>1</v>
      </c>
      <c r="L1654">
        <f t="shared" si="101"/>
        <v>153.43732800727301</v>
      </c>
      <c r="M1654">
        <f t="shared" si="102"/>
        <v>613.74931202909204</v>
      </c>
      <c r="N1654">
        <f t="shared" si="103"/>
        <v>750.00165929955051</v>
      </c>
    </row>
    <row r="1655" spans="1:14" x14ac:dyDescent="0.35">
      <c r="A1655" t="s">
        <v>51</v>
      </c>
      <c r="B1655">
        <v>14</v>
      </c>
      <c r="C1655" t="s">
        <v>50</v>
      </c>
      <c r="D1655">
        <v>37</v>
      </c>
      <c r="E1655">
        <v>138.50246394648599</v>
      </c>
      <c r="F1655">
        <v>16.5161253974304</v>
      </c>
      <c r="G1655" t="s">
        <v>51</v>
      </c>
      <c r="H1655">
        <v>14</v>
      </c>
      <c r="I1655">
        <v>37</v>
      </c>
      <c r="J1655">
        <v>5.2419304959817197</v>
      </c>
      <c r="K1655" t="b">
        <f t="shared" si="100"/>
        <v>1</v>
      </c>
      <c r="L1655">
        <f t="shared" si="101"/>
        <v>160.26051983989811</v>
      </c>
      <c r="M1655">
        <f t="shared" si="102"/>
        <v>641.04207935959244</v>
      </c>
      <c r="N1655">
        <f t="shared" si="103"/>
        <v>783.35342097742193</v>
      </c>
    </row>
    <row r="1656" spans="1:14" x14ac:dyDescent="0.35">
      <c r="A1656" t="s">
        <v>51</v>
      </c>
      <c r="B1656">
        <v>14</v>
      </c>
      <c r="C1656" t="s">
        <v>50</v>
      </c>
      <c r="D1656">
        <v>38</v>
      </c>
      <c r="E1656">
        <v>143.95574984190699</v>
      </c>
      <c r="F1656">
        <v>17.6356994526063</v>
      </c>
      <c r="G1656" t="s">
        <v>51</v>
      </c>
      <c r="H1656">
        <v>14</v>
      </c>
      <c r="I1656">
        <v>38</v>
      </c>
      <c r="J1656">
        <v>5.4692593057747896</v>
      </c>
      <c r="K1656" t="b">
        <f t="shared" si="100"/>
        <v>1</v>
      </c>
      <c r="L1656">
        <f t="shared" si="101"/>
        <v>167.06070860028808</v>
      </c>
      <c r="M1656">
        <f t="shared" si="102"/>
        <v>668.24283440115232</v>
      </c>
      <c r="N1656">
        <f t="shared" si="103"/>
        <v>816.59274363820816</v>
      </c>
    </row>
    <row r="1657" spans="1:14" x14ac:dyDescent="0.35">
      <c r="A1657" t="s">
        <v>51</v>
      </c>
      <c r="B1657">
        <v>14</v>
      </c>
      <c r="C1657" t="s">
        <v>50</v>
      </c>
      <c r="D1657">
        <v>39</v>
      </c>
      <c r="E1657">
        <v>149.352283352348</v>
      </c>
      <c r="F1657">
        <v>18.7846364024645</v>
      </c>
      <c r="G1657" t="s">
        <v>51</v>
      </c>
      <c r="H1657">
        <v>14</v>
      </c>
      <c r="I1657">
        <v>39</v>
      </c>
      <c r="J1657">
        <v>5.6961261433767403</v>
      </c>
      <c r="K1657" t="b">
        <f t="shared" si="100"/>
        <v>1</v>
      </c>
      <c r="L1657">
        <f t="shared" si="101"/>
        <v>173.83304589818923</v>
      </c>
      <c r="M1657">
        <f t="shared" si="102"/>
        <v>695.33218359275691</v>
      </c>
      <c r="N1657">
        <f t="shared" si="103"/>
        <v>849.69592835034894</v>
      </c>
    </row>
    <row r="1658" spans="1:14" x14ac:dyDescent="0.35">
      <c r="A1658" t="s">
        <v>51</v>
      </c>
      <c r="B1658">
        <v>14</v>
      </c>
      <c r="C1658" t="s">
        <v>50</v>
      </c>
      <c r="D1658">
        <v>40</v>
      </c>
      <c r="E1658">
        <v>154.674857092802</v>
      </c>
      <c r="F1658">
        <v>19.977001614216999</v>
      </c>
      <c r="G1658" t="s">
        <v>51</v>
      </c>
      <c r="H1658">
        <v>14</v>
      </c>
      <c r="I1658">
        <v>40</v>
      </c>
      <c r="J1658">
        <v>5.92170727820523</v>
      </c>
      <c r="K1658" t="b">
        <f t="shared" si="100"/>
        <v>1</v>
      </c>
      <c r="L1658">
        <f t="shared" si="101"/>
        <v>180.57356598522421</v>
      </c>
      <c r="M1658">
        <f t="shared" si="102"/>
        <v>722.29426394089683</v>
      </c>
      <c r="N1658">
        <f t="shared" si="103"/>
        <v>882.64359053577596</v>
      </c>
    </row>
    <row r="1659" spans="1:14" x14ac:dyDescent="0.35">
      <c r="A1659" t="s">
        <v>51</v>
      </c>
      <c r="B1659">
        <v>14</v>
      </c>
      <c r="C1659" t="s">
        <v>50</v>
      </c>
      <c r="D1659">
        <v>41</v>
      </c>
      <c r="E1659">
        <v>159.916470601497</v>
      </c>
      <c r="F1659">
        <v>21.217019606355802</v>
      </c>
      <c r="G1659" t="s">
        <v>51</v>
      </c>
      <c r="H1659">
        <v>14</v>
      </c>
      <c r="I1659">
        <v>41</v>
      </c>
      <c r="J1659">
        <v>6.14537089420066</v>
      </c>
      <c r="K1659" t="b">
        <f t="shared" si="100"/>
        <v>1</v>
      </c>
      <c r="L1659">
        <f t="shared" si="101"/>
        <v>187.27886110205344</v>
      </c>
      <c r="M1659">
        <f t="shared" si="102"/>
        <v>749.11544440821376</v>
      </c>
      <c r="N1659">
        <f t="shared" si="103"/>
        <v>915.4190730668372</v>
      </c>
    </row>
    <row r="1660" spans="1:14" x14ac:dyDescent="0.35">
      <c r="A1660" t="s">
        <v>51</v>
      </c>
      <c r="B1660">
        <v>14</v>
      </c>
      <c r="C1660" t="s">
        <v>50</v>
      </c>
      <c r="D1660">
        <v>42</v>
      </c>
      <c r="E1660">
        <v>165.18178511272799</v>
      </c>
      <c r="F1660">
        <v>22.318136631669802</v>
      </c>
      <c r="G1660" t="s">
        <v>51</v>
      </c>
      <c r="H1660">
        <v>14</v>
      </c>
      <c r="I1660">
        <v>42</v>
      </c>
      <c r="J1660">
        <v>6.3681116786144703</v>
      </c>
      <c r="K1660" t="b">
        <f t="shared" si="100"/>
        <v>1</v>
      </c>
      <c r="L1660">
        <f t="shared" si="101"/>
        <v>193.86803342301226</v>
      </c>
      <c r="M1660">
        <f t="shared" si="102"/>
        <v>775.47213369204906</v>
      </c>
      <c r="N1660">
        <f t="shared" si="103"/>
        <v>947.62694737168397</v>
      </c>
    </row>
    <row r="1661" spans="1:14" x14ac:dyDescent="0.35">
      <c r="A1661" t="s">
        <v>51</v>
      </c>
      <c r="B1661">
        <v>14</v>
      </c>
      <c r="C1661" t="s">
        <v>50</v>
      </c>
      <c r="D1661">
        <v>43</v>
      </c>
      <c r="E1661">
        <v>170.45003784709101</v>
      </c>
      <c r="F1661">
        <v>23.395805096989601</v>
      </c>
      <c r="G1661" t="s">
        <v>51</v>
      </c>
      <c r="H1661">
        <v>14</v>
      </c>
      <c r="I1661">
        <v>43</v>
      </c>
      <c r="J1661">
        <v>6.5902718026508502</v>
      </c>
      <c r="K1661" t="b">
        <f t="shared" si="100"/>
        <v>1</v>
      </c>
      <c r="L1661">
        <f t="shared" si="101"/>
        <v>200.43611474673145</v>
      </c>
      <c r="M1661">
        <f t="shared" si="102"/>
        <v>801.74445898692579</v>
      </c>
      <c r="N1661">
        <f t="shared" si="103"/>
        <v>979.73172888202328</v>
      </c>
    </row>
    <row r="1662" spans="1:14" x14ac:dyDescent="0.35">
      <c r="A1662" t="s">
        <v>51</v>
      </c>
      <c r="B1662">
        <v>14</v>
      </c>
      <c r="C1662" t="s">
        <v>50</v>
      </c>
      <c r="D1662">
        <v>44</v>
      </c>
      <c r="E1662">
        <v>175.62057229529799</v>
      </c>
      <c r="F1662">
        <v>24.4923978871945</v>
      </c>
      <c r="G1662" t="s">
        <v>51</v>
      </c>
      <c r="H1662">
        <v>14</v>
      </c>
      <c r="I1662">
        <v>44</v>
      </c>
      <c r="J1662">
        <v>6.8114483444585803</v>
      </c>
      <c r="K1662" t="b">
        <f t="shared" si="100"/>
        <v>1</v>
      </c>
      <c r="L1662">
        <f t="shared" si="101"/>
        <v>206.92441852695106</v>
      </c>
      <c r="M1662">
        <f t="shared" si="102"/>
        <v>827.69767410780423</v>
      </c>
      <c r="N1662">
        <f t="shared" si="103"/>
        <v>1011.4465577597367</v>
      </c>
    </row>
    <row r="1663" spans="1:14" x14ac:dyDescent="0.35">
      <c r="A1663" t="s">
        <v>51</v>
      </c>
      <c r="B1663">
        <v>14</v>
      </c>
      <c r="C1663" t="s">
        <v>50</v>
      </c>
      <c r="D1663">
        <v>45</v>
      </c>
      <c r="E1663">
        <v>180.724991867873</v>
      </c>
      <c r="F1663">
        <v>25.6225847469949</v>
      </c>
      <c r="G1663" t="s">
        <v>51</v>
      </c>
      <c r="H1663">
        <v>14</v>
      </c>
      <c r="I1663">
        <v>45</v>
      </c>
      <c r="J1663">
        <v>7.0311504028184997</v>
      </c>
      <c r="K1663" t="b">
        <f t="shared" si="100"/>
        <v>1</v>
      </c>
      <c r="L1663">
        <f t="shared" si="101"/>
        <v>213.3787270176864</v>
      </c>
      <c r="M1663">
        <f t="shared" si="102"/>
        <v>853.51490807074561</v>
      </c>
      <c r="N1663">
        <f t="shared" si="103"/>
        <v>1042.9952176624511</v>
      </c>
    </row>
    <row r="1664" spans="1:14" x14ac:dyDescent="0.35">
      <c r="A1664" t="s">
        <v>51</v>
      </c>
      <c r="B1664">
        <v>14</v>
      </c>
      <c r="C1664" t="s">
        <v>50</v>
      </c>
      <c r="D1664">
        <v>46</v>
      </c>
      <c r="E1664">
        <v>185.76322919811901</v>
      </c>
      <c r="F1664">
        <v>26.790659499924502</v>
      </c>
      <c r="G1664" t="s">
        <v>51</v>
      </c>
      <c r="H1664">
        <v>14</v>
      </c>
      <c r="I1664">
        <v>46</v>
      </c>
      <c r="J1664">
        <v>7.2489713276006498</v>
      </c>
      <c r="K1664" t="b">
        <f t="shared" si="100"/>
        <v>1</v>
      </c>
      <c r="L1664">
        <f t="shared" si="101"/>
        <v>219.80286002564418</v>
      </c>
      <c r="M1664">
        <f t="shared" si="102"/>
        <v>879.21144010257672</v>
      </c>
      <c r="N1664">
        <f t="shared" si="103"/>
        <v>1074.3963798053487</v>
      </c>
    </row>
    <row r="1665" spans="1:14" x14ac:dyDescent="0.35">
      <c r="A1665" t="s">
        <v>51</v>
      </c>
      <c r="B1665">
        <v>14</v>
      </c>
      <c r="C1665" t="s">
        <v>50</v>
      </c>
      <c r="D1665">
        <v>47</v>
      </c>
      <c r="E1665">
        <v>190.698239362686</v>
      </c>
      <c r="F1665">
        <v>27.8215356240751</v>
      </c>
      <c r="G1665" t="s">
        <v>51</v>
      </c>
      <c r="H1665">
        <v>14</v>
      </c>
      <c r="I1665">
        <v>47</v>
      </c>
      <c r="J1665">
        <v>7.4641365233004198</v>
      </c>
      <c r="K1665" t="b">
        <f t="shared" si="100"/>
        <v>1</v>
      </c>
      <c r="L1665">
        <f t="shared" si="101"/>
        <v>225.98391151006152</v>
      </c>
      <c r="M1665">
        <f t="shared" si="102"/>
        <v>903.93564604024607</v>
      </c>
      <c r="N1665">
        <f t="shared" si="103"/>
        <v>1104.6093594611807</v>
      </c>
    </row>
    <row r="1666" spans="1:14" x14ac:dyDescent="0.35">
      <c r="A1666" t="s">
        <v>51</v>
      </c>
      <c r="B1666">
        <v>14</v>
      </c>
      <c r="C1666" t="s">
        <v>50</v>
      </c>
      <c r="D1666">
        <v>48</v>
      </c>
      <c r="E1666">
        <v>195.64109750333299</v>
      </c>
      <c r="F1666">
        <v>28.827079330417899</v>
      </c>
      <c r="G1666" t="s">
        <v>51</v>
      </c>
      <c r="H1666">
        <v>14</v>
      </c>
      <c r="I1666">
        <v>48</v>
      </c>
      <c r="J1666">
        <v>7.6776585348926396</v>
      </c>
      <c r="K1666" t="b">
        <f t="shared" si="100"/>
        <v>1</v>
      </c>
      <c r="L1666">
        <f t="shared" si="101"/>
        <v>232.1458353686435</v>
      </c>
      <c r="M1666">
        <f t="shared" si="102"/>
        <v>928.58334147457401</v>
      </c>
      <c r="N1666">
        <f t="shared" si="103"/>
        <v>1134.7288432819294</v>
      </c>
    </row>
    <row r="1667" spans="1:14" x14ac:dyDescent="0.35">
      <c r="A1667" t="s">
        <v>51</v>
      </c>
      <c r="B1667">
        <v>14</v>
      </c>
      <c r="C1667" t="s">
        <v>50</v>
      </c>
      <c r="D1667">
        <v>49</v>
      </c>
      <c r="E1667">
        <v>200.54953338845999</v>
      </c>
      <c r="F1667">
        <v>29.846854174022599</v>
      </c>
      <c r="G1667" t="s">
        <v>51</v>
      </c>
      <c r="H1667">
        <v>14</v>
      </c>
      <c r="I1667">
        <v>49</v>
      </c>
      <c r="J1667">
        <v>7.8895957094900799</v>
      </c>
      <c r="K1667" t="b">
        <f t="shared" ref="K1667:K1718" si="104">H1667=B1667</f>
        <v>1</v>
      </c>
      <c r="L1667">
        <f t="shared" ref="L1667:L1718" si="105">E1667+F1667+J1667</f>
        <v>238.28598327197267</v>
      </c>
      <c r="M1667">
        <f t="shared" ref="M1667:M1718" si="106">(L1667*2)*(100/50)</f>
        <v>953.14393308789067</v>
      </c>
      <c r="N1667">
        <f t="shared" ref="N1667:N1718" si="107">M1667*1.222</f>
        <v>1164.7418862334023</v>
      </c>
    </row>
    <row r="1668" spans="1:14" x14ac:dyDescent="0.35">
      <c r="A1668" t="s">
        <v>51</v>
      </c>
      <c r="B1668">
        <v>14</v>
      </c>
      <c r="C1668" t="s">
        <v>50</v>
      </c>
      <c r="D1668">
        <v>50</v>
      </c>
      <c r="E1668">
        <v>205.40822320996801</v>
      </c>
      <c r="F1668">
        <v>30.894075408569801</v>
      </c>
      <c r="G1668" t="s">
        <v>51</v>
      </c>
      <c r="H1668">
        <v>14</v>
      </c>
      <c r="I1668">
        <v>50</v>
      </c>
      <c r="J1668">
        <v>8.0997763143329404</v>
      </c>
      <c r="K1668" t="b">
        <f t="shared" si="104"/>
        <v>1</v>
      </c>
      <c r="L1668">
        <f t="shared" si="105"/>
        <v>244.40207493287073</v>
      </c>
      <c r="M1668">
        <f t="shared" si="106"/>
        <v>977.60829973148293</v>
      </c>
      <c r="N1668">
        <f t="shared" si="107"/>
        <v>1194.6373422718721</v>
      </c>
    </row>
    <row r="1669" spans="1:14" x14ac:dyDescent="0.35">
      <c r="A1669" t="s">
        <v>51</v>
      </c>
      <c r="B1669">
        <v>14</v>
      </c>
      <c r="C1669" t="s">
        <v>50</v>
      </c>
      <c r="D1669">
        <v>51</v>
      </c>
      <c r="E1669">
        <v>210.21161536161301</v>
      </c>
      <c r="F1669">
        <v>31.9724505076972</v>
      </c>
      <c r="G1669" t="s">
        <v>51</v>
      </c>
      <c r="H1669">
        <v>14</v>
      </c>
      <c r="I1669">
        <v>51</v>
      </c>
      <c r="J1669">
        <v>8.3080149197926598</v>
      </c>
      <c r="K1669" t="b">
        <f t="shared" si="104"/>
        <v>1</v>
      </c>
      <c r="L1669">
        <f t="shared" si="105"/>
        <v>250.49208078910289</v>
      </c>
      <c r="M1669">
        <f t="shared" si="106"/>
        <v>1001.9683231564115</v>
      </c>
      <c r="N1669">
        <f t="shared" si="107"/>
        <v>1224.4052908971348</v>
      </c>
    </row>
    <row r="1670" spans="1:14" x14ac:dyDescent="0.35">
      <c r="A1670" t="s">
        <v>51</v>
      </c>
      <c r="B1670">
        <v>14</v>
      </c>
      <c r="C1670" t="s">
        <v>50</v>
      </c>
      <c r="D1670">
        <v>52</v>
      </c>
      <c r="E1670">
        <v>214.806917400895</v>
      </c>
      <c r="F1670">
        <v>32.921645600264902</v>
      </c>
      <c r="G1670" t="s">
        <v>51</v>
      </c>
      <c r="H1670">
        <v>14</v>
      </c>
      <c r="I1670">
        <v>52</v>
      </c>
      <c r="J1670">
        <v>8.5121015572099203</v>
      </c>
      <c r="K1670" t="b">
        <f t="shared" si="104"/>
        <v>1</v>
      </c>
      <c r="L1670">
        <f t="shared" si="105"/>
        <v>256.24066455836982</v>
      </c>
      <c r="M1670">
        <f t="shared" si="106"/>
        <v>1024.9626582334793</v>
      </c>
      <c r="N1670">
        <f t="shared" si="107"/>
        <v>1252.5043683613117</v>
      </c>
    </row>
    <row r="1671" spans="1:14" x14ac:dyDescent="0.35">
      <c r="A1671" t="s">
        <v>51</v>
      </c>
      <c r="B1671">
        <v>14</v>
      </c>
      <c r="C1671" t="s">
        <v>50</v>
      </c>
      <c r="D1671">
        <v>53</v>
      </c>
      <c r="E1671">
        <v>219.41218905597</v>
      </c>
      <c r="F1671">
        <v>33.846209466853402</v>
      </c>
      <c r="G1671" t="s">
        <v>51</v>
      </c>
      <c r="H1671">
        <v>14</v>
      </c>
      <c r="I1671">
        <v>53</v>
      </c>
      <c r="J1671">
        <v>8.7135957792063401</v>
      </c>
      <c r="K1671" t="b">
        <f t="shared" si="104"/>
        <v>1</v>
      </c>
      <c r="L1671">
        <f t="shared" si="105"/>
        <v>261.97199430202971</v>
      </c>
      <c r="M1671">
        <f t="shared" si="106"/>
        <v>1047.8879772081189</v>
      </c>
      <c r="N1671">
        <f t="shared" si="107"/>
        <v>1280.5191081483213</v>
      </c>
    </row>
    <row r="1672" spans="1:14" x14ac:dyDescent="0.35">
      <c r="A1672" t="s">
        <v>51</v>
      </c>
      <c r="B1672">
        <v>14</v>
      </c>
      <c r="C1672" t="s">
        <v>50</v>
      </c>
      <c r="D1672">
        <v>54</v>
      </c>
      <c r="E1672">
        <v>223.989161167107</v>
      </c>
      <c r="F1672">
        <v>34.782017171333798</v>
      </c>
      <c r="G1672" t="s">
        <v>51</v>
      </c>
      <c r="H1672">
        <v>14</v>
      </c>
      <c r="I1672">
        <v>54</v>
      </c>
      <c r="J1672">
        <v>8.9129518047679497</v>
      </c>
      <c r="K1672" t="b">
        <f t="shared" si="104"/>
        <v>1</v>
      </c>
      <c r="L1672">
        <f t="shared" si="105"/>
        <v>267.68413014320873</v>
      </c>
      <c r="M1672">
        <f t="shared" si="106"/>
        <v>1070.7365205728349</v>
      </c>
      <c r="N1672">
        <f t="shared" si="107"/>
        <v>1308.4400281400042</v>
      </c>
    </row>
    <row r="1673" spans="1:14" x14ac:dyDescent="0.35">
      <c r="A1673" t="s">
        <v>51</v>
      </c>
      <c r="B1673">
        <v>14</v>
      </c>
      <c r="C1673" t="s">
        <v>50</v>
      </c>
      <c r="D1673">
        <v>55</v>
      </c>
      <c r="E1673">
        <v>228.52439543566501</v>
      </c>
      <c r="F1673">
        <v>35.740693635806203</v>
      </c>
      <c r="G1673" t="s">
        <v>51</v>
      </c>
      <c r="H1673">
        <v>14</v>
      </c>
      <c r="I1673">
        <v>55</v>
      </c>
      <c r="J1673">
        <v>9.1102763552976107</v>
      </c>
      <c r="K1673" t="b">
        <f t="shared" si="104"/>
        <v>1</v>
      </c>
      <c r="L1673">
        <f t="shared" si="105"/>
        <v>273.37536542676884</v>
      </c>
      <c r="M1673">
        <f t="shared" si="106"/>
        <v>1093.5014617070754</v>
      </c>
      <c r="N1673">
        <f t="shared" si="107"/>
        <v>1336.2587862060461</v>
      </c>
    </row>
    <row r="1674" spans="1:14" x14ac:dyDescent="0.35">
      <c r="A1674" t="s">
        <v>51</v>
      </c>
      <c r="B1674">
        <v>14</v>
      </c>
      <c r="C1674" t="s">
        <v>50</v>
      </c>
      <c r="D1674">
        <v>56</v>
      </c>
      <c r="E1674">
        <v>233.013192106204</v>
      </c>
      <c r="F1674">
        <v>36.725372251932903</v>
      </c>
      <c r="G1674" t="s">
        <v>51</v>
      </c>
      <c r="H1674">
        <v>14</v>
      </c>
      <c r="I1674">
        <v>56</v>
      </c>
      <c r="J1674">
        <v>9.3055774163539908</v>
      </c>
      <c r="K1674" t="b">
        <f t="shared" si="104"/>
        <v>1</v>
      </c>
      <c r="L1674">
        <f t="shared" si="105"/>
        <v>279.04414177449087</v>
      </c>
      <c r="M1674">
        <f t="shared" si="106"/>
        <v>1116.1765670979635</v>
      </c>
      <c r="N1674">
        <f t="shared" si="107"/>
        <v>1363.9677649937114</v>
      </c>
    </row>
    <row r="1675" spans="1:14" x14ac:dyDescent="0.35">
      <c r="A1675" t="s">
        <v>51</v>
      </c>
      <c r="B1675">
        <v>14</v>
      </c>
      <c r="C1675" t="s">
        <v>50</v>
      </c>
      <c r="D1675">
        <v>57</v>
      </c>
      <c r="E1675">
        <v>237.227819603386</v>
      </c>
      <c r="F1675">
        <v>37.585716278861398</v>
      </c>
      <c r="G1675" t="s">
        <v>51</v>
      </c>
      <c r="H1675">
        <v>14</v>
      </c>
      <c r="I1675">
        <v>57</v>
      </c>
      <c r="J1675">
        <v>9.4957492468761302</v>
      </c>
      <c r="K1675" t="b">
        <f t="shared" si="104"/>
        <v>1</v>
      </c>
      <c r="L1675">
        <f t="shared" si="105"/>
        <v>284.30928512912351</v>
      </c>
      <c r="M1675">
        <f t="shared" si="106"/>
        <v>1137.237140516494</v>
      </c>
      <c r="N1675">
        <f t="shared" si="107"/>
        <v>1389.7037857111557</v>
      </c>
    </row>
    <row r="1676" spans="1:14" x14ac:dyDescent="0.35">
      <c r="A1676" t="s">
        <v>51</v>
      </c>
      <c r="B1676">
        <v>14</v>
      </c>
      <c r="C1676" t="s">
        <v>50</v>
      </c>
      <c r="D1676">
        <v>58</v>
      </c>
      <c r="E1676">
        <v>241.455609767455</v>
      </c>
      <c r="F1676">
        <v>38.421128867400498</v>
      </c>
      <c r="G1676" t="s">
        <v>51</v>
      </c>
      <c r="H1676">
        <v>14</v>
      </c>
      <c r="I1676">
        <v>58</v>
      </c>
      <c r="J1676">
        <v>9.6827286148818299</v>
      </c>
      <c r="K1676" t="b">
        <f t="shared" si="104"/>
        <v>1</v>
      </c>
      <c r="L1676">
        <f t="shared" si="105"/>
        <v>289.55946724973734</v>
      </c>
      <c r="M1676">
        <f t="shared" si="106"/>
        <v>1158.2378689989494</v>
      </c>
      <c r="N1676">
        <f t="shared" si="107"/>
        <v>1415.3666759167161</v>
      </c>
    </row>
    <row r="1677" spans="1:14" x14ac:dyDescent="0.35">
      <c r="A1677" t="s">
        <v>51</v>
      </c>
      <c r="B1677">
        <v>14</v>
      </c>
      <c r="C1677" t="s">
        <v>50</v>
      </c>
      <c r="D1677">
        <v>59</v>
      </c>
      <c r="E1677">
        <v>245.661128930144</v>
      </c>
      <c r="F1677">
        <v>39.264905398775298</v>
      </c>
      <c r="G1677" t="s">
        <v>51</v>
      </c>
      <c r="H1677">
        <v>14</v>
      </c>
      <c r="I1677">
        <v>59</v>
      </c>
      <c r="J1677">
        <v>9.8672455590353696</v>
      </c>
      <c r="K1677" t="b">
        <f t="shared" si="104"/>
        <v>1</v>
      </c>
      <c r="L1677">
        <f t="shared" si="105"/>
        <v>294.79327988795467</v>
      </c>
      <c r="M1677">
        <f t="shared" si="106"/>
        <v>1179.1731195518187</v>
      </c>
      <c r="N1677">
        <f t="shared" si="107"/>
        <v>1440.9495520923224</v>
      </c>
    </row>
    <row r="1678" spans="1:14" x14ac:dyDescent="0.35">
      <c r="A1678" t="s">
        <v>51</v>
      </c>
      <c r="B1678">
        <v>14</v>
      </c>
      <c r="C1678" t="s">
        <v>50</v>
      </c>
      <c r="D1678">
        <v>60</v>
      </c>
      <c r="E1678">
        <v>249.83225783703901</v>
      </c>
      <c r="F1678">
        <v>40.127592420406998</v>
      </c>
      <c r="G1678" t="s">
        <v>51</v>
      </c>
      <c r="H1678">
        <v>14</v>
      </c>
      <c r="I1678">
        <v>60</v>
      </c>
      <c r="J1678">
        <v>10.049602154075799</v>
      </c>
      <c r="K1678" t="b">
        <f t="shared" si="104"/>
        <v>1</v>
      </c>
      <c r="L1678">
        <f t="shared" si="105"/>
        <v>300.00945241152181</v>
      </c>
      <c r="M1678">
        <f t="shared" si="106"/>
        <v>1200.0378096460872</v>
      </c>
      <c r="N1678">
        <f t="shared" si="107"/>
        <v>1466.4462033875186</v>
      </c>
    </row>
    <row r="1679" spans="1:14" x14ac:dyDescent="0.35">
      <c r="A1679" t="s">
        <v>51</v>
      </c>
      <c r="B1679">
        <v>14</v>
      </c>
      <c r="C1679" t="s">
        <v>50</v>
      </c>
      <c r="D1679">
        <v>61</v>
      </c>
      <c r="E1679">
        <v>253.96487933318099</v>
      </c>
      <c r="F1679">
        <v>41.011966777693203</v>
      </c>
      <c r="G1679" t="s">
        <v>51</v>
      </c>
      <c r="H1679">
        <v>14</v>
      </c>
      <c r="I1679">
        <v>61</v>
      </c>
      <c r="J1679">
        <v>10.229942755813999</v>
      </c>
      <c r="K1679" t="b">
        <f t="shared" si="104"/>
        <v>1</v>
      </c>
      <c r="L1679">
        <f t="shared" si="105"/>
        <v>305.20678886668821</v>
      </c>
      <c r="M1679">
        <f t="shared" si="106"/>
        <v>1220.8271554667529</v>
      </c>
      <c r="N1679">
        <f t="shared" si="107"/>
        <v>1491.8507839803719</v>
      </c>
    </row>
    <row r="1680" spans="1:14" x14ac:dyDescent="0.35">
      <c r="A1680" t="s">
        <v>51</v>
      </c>
      <c r="B1680">
        <v>14</v>
      </c>
      <c r="C1680" t="s">
        <v>50</v>
      </c>
      <c r="D1680">
        <v>62</v>
      </c>
      <c r="E1680">
        <v>257.76518107809602</v>
      </c>
      <c r="F1680">
        <v>41.776083900108702</v>
      </c>
      <c r="G1680" t="s">
        <v>51</v>
      </c>
      <c r="H1680">
        <v>14</v>
      </c>
      <c r="I1680">
        <v>62</v>
      </c>
      <c r="J1680">
        <v>10.404349522777</v>
      </c>
      <c r="K1680" t="b">
        <f t="shared" si="104"/>
        <v>1</v>
      </c>
      <c r="L1680">
        <f t="shared" si="105"/>
        <v>309.94561450098172</v>
      </c>
      <c r="M1680">
        <f t="shared" si="106"/>
        <v>1239.7824580039269</v>
      </c>
      <c r="N1680">
        <f t="shared" si="107"/>
        <v>1515.0141636807987</v>
      </c>
    </row>
    <row r="1681" spans="1:14" x14ac:dyDescent="0.35">
      <c r="A1681" t="s">
        <v>51</v>
      </c>
      <c r="B1681">
        <v>14</v>
      </c>
      <c r="C1681" t="s">
        <v>50</v>
      </c>
      <c r="D1681">
        <v>63</v>
      </c>
      <c r="E1681">
        <v>261.58193405423799</v>
      </c>
      <c r="F1681">
        <v>42.514908359407897</v>
      </c>
      <c r="G1681" t="s">
        <v>51</v>
      </c>
      <c r="H1681">
        <v>14</v>
      </c>
      <c r="I1681">
        <v>63</v>
      </c>
      <c r="J1681">
        <v>10.5750819099263</v>
      </c>
      <c r="K1681" t="b">
        <f t="shared" si="104"/>
        <v>1</v>
      </c>
      <c r="L1681">
        <f t="shared" si="105"/>
        <v>314.67192432357223</v>
      </c>
      <c r="M1681">
        <f t="shared" si="106"/>
        <v>1258.6876972942889</v>
      </c>
      <c r="N1681">
        <f t="shared" si="107"/>
        <v>1538.1163660936211</v>
      </c>
    </row>
    <row r="1682" spans="1:14" x14ac:dyDescent="0.35">
      <c r="A1682" t="s">
        <v>51</v>
      </c>
      <c r="B1682">
        <v>14</v>
      </c>
      <c r="C1682" t="s">
        <v>50</v>
      </c>
      <c r="D1682">
        <v>64</v>
      </c>
      <c r="E1682">
        <v>265.38203599072699</v>
      </c>
      <c r="F1682">
        <v>43.259619357730202</v>
      </c>
      <c r="G1682" t="s">
        <v>51</v>
      </c>
      <c r="H1682">
        <v>14</v>
      </c>
      <c r="I1682">
        <v>64</v>
      </c>
      <c r="J1682">
        <v>10.743103876722399</v>
      </c>
      <c r="K1682" t="b">
        <f t="shared" si="104"/>
        <v>1</v>
      </c>
      <c r="L1682">
        <f t="shared" si="105"/>
        <v>319.38475922517961</v>
      </c>
      <c r="M1682">
        <f t="shared" si="106"/>
        <v>1277.5390369007184</v>
      </c>
      <c r="N1682">
        <f t="shared" si="107"/>
        <v>1561.1527030926779</v>
      </c>
    </row>
    <row r="1683" spans="1:14" x14ac:dyDescent="0.35">
      <c r="A1683" t="s">
        <v>51</v>
      </c>
      <c r="B1683">
        <v>14</v>
      </c>
      <c r="C1683" t="s">
        <v>50</v>
      </c>
      <c r="D1683">
        <v>65</v>
      </c>
      <c r="E1683">
        <v>269.15441098790501</v>
      </c>
      <c r="F1683">
        <v>44.019918926577198</v>
      </c>
      <c r="G1683" t="s">
        <v>51</v>
      </c>
      <c r="H1683">
        <v>14</v>
      </c>
      <c r="I1683">
        <v>65</v>
      </c>
      <c r="J1683">
        <v>10.908881624604099</v>
      </c>
      <c r="K1683" t="b">
        <f t="shared" si="104"/>
        <v>1</v>
      </c>
      <c r="L1683">
        <f t="shared" si="105"/>
        <v>324.08321153908628</v>
      </c>
      <c r="M1683">
        <f t="shared" si="106"/>
        <v>1296.3328461563451</v>
      </c>
      <c r="N1683">
        <f t="shared" si="107"/>
        <v>1584.1187380030537</v>
      </c>
    </row>
    <row r="1684" spans="1:14" x14ac:dyDescent="0.35">
      <c r="A1684" t="s">
        <v>51</v>
      </c>
      <c r="B1684">
        <v>14</v>
      </c>
      <c r="C1684" t="s">
        <v>50</v>
      </c>
      <c r="D1684">
        <v>66</v>
      </c>
      <c r="E1684">
        <v>272.89538437175702</v>
      </c>
      <c r="F1684">
        <v>44.798326787300603</v>
      </c>
      <c r="G1684" t="s">
        <v>51</v>
      </c>
      <c r="H1684">
        <v>14</v>
      </c>
      <c r="I1684">
        <v>66</v>
      </c>
      <c r="J1684">
        <v>11.072673093720701</v>
      </c>
      <c r="K1684" t="b">
        <f t="shared" si="104"/>
        <v>1</v>
      </c>
      <c r="L1684">
        <f t="shared" si="105"/>
        <v>328.76638425277832</v>
      </c>
      <c r="M1684">
        <f t="shared" si="106"/>
        <v>1315.0655370111133</v>
      </c>
      <c r="N1684">
        <f t="shared" si="107"/>
        <v>1607.0100862275804</v>
      </c>
    </row>
    <row r="1685" spans="1:14" x14ac:dyDescent="0.35">
      <c r="A1685" t="s">
        <v>51</v>
      </c>
      <c r="B1685">
        <v>14</v>
      </c>
      <c r="C1685" t="s">
        <v>50</v>
      </c>
      <c r="D1685">
        <v>67</v>
      </c>
      <c r="E1685">
        <v>276.30441090190402</v>
      </c>
      <c r="F1685">
        <v>45.4591613753866</v>
      </c>
      <c r="G1685" t="s">
        <v>51</v>
      </c>
      <c r="H1685">
        <v>14</v>
      </c>
      <c r="I1685">
        <v>67</v>
      </c>
      <c r="J1685">
        <v>11.230544483526099</v>
      </c>
      <c r="K1685" t="b">
        <f t="shared" si="104"/>
        <v>1</v>
      </c>
      <c r="L1685">
        <f t="shared" si="105"/>
        <v>332.99411676081672</v>
      </c>
      <c r="M1685">
        <f t="shared" si="106"/>
        <v>1331.9764670432669</v>
      </c>
      <c r="N1685">
        <f t="shared" si="107"/>
        <v>1627.6752427268721</v>
      </c>
    </row>
    <row r="1686" spans="1:14" x14ac:dyDescent="0.35">
      <c r="A1686" t="s">
        <v>51</v>
      </c>
      <c r="B1686">
        <v>14</v>
      </c>
      <c r="C1686" t="s">
        <v>50</v>
      </c>
      <c r="D1686">
        <v>68</v>
      </c>
      <c r="E1686">
        <v>279.73339251949801</v>
      </c>
      <c r="F1686">
        <v>46.094405117614102</v>
      </c>
      <c r="G1686" t="s">
        <v>51</v>
      </c>
      <c r="H1686">
        <v>14</v>
      </c>
      <c r="I1686">
        <v>68</v>
      </c>
      <c r="J1686">
        <v>11.384791190503501</v>
      </c>
      <c r="K1686" t="b">
        <f t="shared" si="104"/>
        <v>1</v>
      </c>
      <c r="L1686">
        <f t="shared" si="105"/>
        <v>337.2125888276156</v>
      </c>
      <c r="M1686">
        <f t="shared" si="106"/>
        <v>1348.8503553104624</v>
      </c>
      <c r="N1686">
        <f t="shared" si="107"/>
        <v>1648.295134189385</v>
      </c>
    </row>
    <row r="1687" spans="1:14" x14ac:dyDescent="0.35">
      <c r="A1687" t="s">
        <v>51</v>
      </c>
      <c r="B1687">
        <v>14</v>
      </c>
      <c r="C1687" t="s">
        <v>50</v>
      </c>
      <c r="D1687">
        <v>69</v>
      </c>
      <c r="E1687">
        <v>283.150861113747</v>
      </c>
      <c r="F1687">
        <v>46.733757224742</v>
      </c>
      <c r="G1687" t="s">
        <v>51</v>
      </c>
      <c r="H1687">
        <v>14</v>
      </c>
      <c r="I1687">
        <v>69</v>
      </c>
      <c r="J1687">
        <v>11.536424837065001</v>
      </c>
      <c r="K1687" t="b">
        <f t="shared" si="104"/>
        <v>1</v>
      </c>
      <c r="L1687">
        <f t="shared" si="105"/>
        <v>341.42104317555402</v>
      </c>
      <c r="M1687">
        <f t="shared" si="106"/>
        <v>1365.6841727022161</v>
      </c>
      <c r="N1687">
        <f t="shared" si="107"/>
        <v>1668.866059042108</v>
      </c>
    </row>
    <row r="1688" spans="1:14" x14ac:dyDescent="0.35">
      <c r="A1688" t="s">
        <v>51</v>
      </c>
      <c r="B1688">
        <v>14</v>
      </c>
      <c r="C1688" t="s">
        <v>50</v>
      </c>
      <c r="D1688">
        <v>70</v>
      </c>
      <c r="E1688">
        <v>286.54647573917498</v>
      </c>
      <c r="F1688">
        <v>47.386327841001702</v>
      </c>
      <c r="G1688" t="s">
        <v>51</v>
      </c>
      <c r="H1688">
        <v>14</v>
      </c>
      <c r="I1688">
        <v>70</v>
      </c>
      <c r="J1688">
        <v>11.685954235327999</v>
      </c>
      <c r="K1688" t="b">
        <f t="shared" si="104"/>
        <v>1</v>
      </c>
      <c r="L1688">
        <f t="shared" si="105"/>
        <v>345.61875781550469</v>
      </c>
      <c r="M1688">
        <f t="shared" si="106"/>
        <v>1382.4750312620188</v>
      </c>
      <c r="N1688">
        <f t="shared" si="107"/>
        <v>1689.384488202187</v>
      </c>
    </row>
    <row r="1689" spans="1:14" x14ac:dyDescent="0.35">
      <c r="A1689" t="s">
        <v>51</v>
      </c>
      <c r="B1689">
        <v>14</v>
      </c>
      <c r="C1689" t="s">
        <v>50</v>
      </c>
      <c r="D1689">
        <v>71</v>
      </c>
      <c r="E1689">
        <v>289.91686779706703</v>
      </c>
      <c r="F1689">
        <v>48.054463702333102</v>
      </c>
      <c r="G1689" t="s">
        <v>51</v>
      </c>
      <c r="H1689">
        <v>14</v>
      </c>
      <c r="I1689">
        <v>71</v>
      </c>
      <c r="J1689">
        <v>11.833670742165401</v>
      </c>
      <c r="K1689" t="b">
        <f t="shared" si="104"/>
        <v>1</v>
      </c>
      <c r="L1689">
        <f t="shared" si="105"/>
        <v>349.80500224156555</v>
      </c>
      <c r="M1689">
        <f t="shared" si="106"/>
        <v>1399.2200089662622</v>
      </c>
      <c r="N1689">
        <f t="shared" si="107"/>
        <v>1709.8468509567724</v>
      </c>
    </row>
    <row r="1690" spans="1:14" x14ac:dyDescent="0.35">
      <c r="A1690" t="s">
        <v>51</v>
      </c>
      <c r="B1690">
        <v>14</v>
      </c>
      <c r="C1690" t="s">
        <v>50</v>
      </c>
      <c r="D1690">
        <v>72</v>
      </c>
      <c r="E1690">
        <v>292.96390679242302</v>
      </c>
      <c r="F1690">
        <v>48.606872403204598</v>
      </c>
      <c r="G1690" t="s">
        <v>51</v>
      </c>
      <c r="H1690">
        <v>14</v>
      </c>
      <c r="I1690">
        <v>72</v>
      </c>
      <c r="J1690">
        <v>11.9756967958015</v>
      </c>
      <c r="K1690" t="b">
        <f t="shared" si="104"/>
        <v>1</v>
      </c>
      <c r="L1690">
        <f t="shared" si="105"/>
        <v>353.54647599142913</v>
      </c>
      <c r="M1690">
        <f t="shared" si="106"/>
        <v>1414.1859039657165</v>
      </c>
      <c r="N1690">
        <f t="shared" si="107"/>
        <v>1728.1351746461055</v>
      </c>
    </row>
    <row r="1691" spans="1:14" x14ac:dyDescent="0.35">
      <c r="A1691" t="s">
        <v>51</v>
      </c>
      <c r="B1691">
        <v>14</v>
      </c>
      <c r="C1691" t="s">
        <v>50</v>
      </c>
      <c r="D1691">
        <v>73</v>
      </c>
      <c r="E1691">
        <v>296.03441143504</v>
      </c>
      <c r="F1691">
        <v>49.133613265172201</v>
      </c>
      <c r="G1691" t="s">
        <v>51</v>
      </c>
      <c r="H1691">
        <v>14</v>
      </c>
      <c r="I1691">
        <v>73</v>
      </c>
      <c r="J1691">
        <v>12.114295978805</v>
      </c>
      <c r="K1691" t="b">
        <f t="shared" si="104"/>
        <v>1</v>
      </c>
      <c r="L1691">
        <f t="shared" si="105"/>
        <v>357.28232067901718</v>
      </c>
      <c r="M1691">
        <f t="shared" si="106"/>
        <v>1429.1292827160687</v>
      </c>
      <c r="N1691">
        <f t="shared" si="107"/>
        <v>1746.395983479036</v>
      </c>
    </row>
    <row r="1692" spans="1:14" x14ac:dyDescent="0.35">
      <c r="A1692" t="s">
        <v>51</v>
      </c>
      <c r="B1692">
        <v>14</v>
      </c>
      <c r="C1692" t="s">
        <v>50</v>
      </c>
      <c r="D1692">
        <v>74</v>
      </c>
      <c r="E1692">
        <v>299.09805048291298</v>
      </c>
      <c r="F1692">
        <v>49.663352093798899</v>
      </c>
      <c r="G1692" t="s">
        <v>51</v>
      </c>
      <c r="H1692">
        <v>14</v>
      </c>
      <c r="I1692">
        <v>74</v>
      </c>
      <c r="J1692">
        <v>12.25047670246</v>
      </c>
      <c r="K1692" t="b">
        <f t="shared" si="104"/>
        <v>1</v>
      </c>
      <c r="L1692">
        <f t="shared" si="105"/>
        <v>361.01187927917186</v>
      </c>
      <c r="M1692">
        <f t="shared" si="106"/>
        <v>1444.0475171166875</v>
      </c>
      <c r="N1692">
        <f t="shared" si="107"/>
        <v>1764.6260659165921</v>
      </c>
    </row>
    <row r="1693" spans="1:14" x14ac:dyDescent="0.35">
      <c r="A1693" t="s">
        <v>51</v>
      </c>
      <c r="B1693">
        <v>14</v>
      </c>
      <c r="C1693" t="s">
        <v>50</v>
      </c>
      <c r="D1693">
        <v>75</v>
      </c>
      <c r="E1693">
        <v>302.145003600596</v>
      </c>
      <c r="F1693">
        <v>50.204775350821002</v>
      </c>
      <c r="G1693" t="s">
        <v>51</v>
      </c>
      <c r="H1693">
        <v>14</v>
      </c>
      <c r="I1693">
        <v>75</v>
      </c>
      <c r="J1693">
        <v>12.3847536980835</v>
      </c>
      <c r="K1693" t="b">
        <f t="shared" si="104"/>
        <v>1</v>
      </c>
      <c r="L1693">
        <f t="shared" si="105"/>
        <v>364.73453264950052</v>
      </c>
      <c r="M1693">
        <f t="shared" si="106"/>
        <v>1458.9381305980021</v>
      </c>
      <c r="N1693">
        <f t="shared" si="107"/>
        <v>1782.8223955907586</v>
      </c>
    </row>
    <row r="1694" spans="1:14" x14ac:dyDescent="0.35">
      <c r="A1694" t="s">
        <v>51</v>
      </c>
      <c r="B1694">
        <v>14</v>
      </c>
      <c r="C1694" t="s">
        <v>50</v>
      </c>
      <c r="D1694">
        <v>76</v>
      </c>
      <c r="E1694">
        <v>305.17211633566302</v>
      </c>
      <c r="F1694">
        <v>50.760105565111097</v>
      </c>
      <c r="G1694" t="s">
        <v>51</v>
      </c>
      <c r="H1694">
        <v>14</v>
      </c>
      <c r="I1694">
        <v>76</v>
      </c>
      <c r="J1694">
        <v>12.5174256304963</v>
      </c>
      <c r="K1694" t="b">
        <f t="shared" si="104"/>
        <v>1</v>
      </c>
      <c r="L1694">
        <f t="shared" si="105"/>
        <v>368.44964753127039</v>
      </c>
      <c r="M1694">
        <f t="shared" si="106"/>
        <v>1473.7985901250815</v>
      </c>
      <c r="N1694">
        <f t="shared" si="107"/>
        <v>1800.9818771328496</v>
      </c>
    </row>
    <row r="1695" spans="1:14" x14ac:dyDescent="0.35">
      <c r="A1695" t="s">
        <v>51</v>
      </c>
      <c r="B1695">
        <v>14</v>
      </c>
      <c r="C1695" t="s">
        <v>50</v>
      </c>
      <c r="D1695">
        <v>77</v>
      </c>
      <c r="E1695">
        <v>307.89628991353999</v>
      </c>
      <c r="F1695">
        <v>51.203890964429903</v>
      </c>
      <c r="G1695" t="s">
        <v>51</v>
      </c>
      <c r="H1695">
        <v>14</v>
      </c>
      <c r="I1695">
        <v>77</v>
      </c>
      <c r="J1695">
        <v>12.6448256813588</v>
      </c>
      <c r="K1695" t="b">
        <f t="shared" si="104"/>
        <v>1</v>
      </c>
      <c r="L1695">
        <f t="shared" si="105"/>
        <v>371.74500655932866</v>
      </c>
      <c r="M1695">
        <f t="shared" si="106"/>
        <v>1486.9800262373146</v>
      </c>
      <c r="N1695">
        <f t="shared" si="107"/>
        <v>1817.0895920619985</v>
      </c>
    </row>
    <row r="1696" spans="1:14" x14ac:dyDescent="0.35">
      <c r="A1696" t="s">
        <v>51</v>
      </c>
      <c r="B1696">
        <v>14</v>
      </c>
      <c r="C1696" t="s">
        <v>50</v>
      </c>
      <c r="D1696">
        <v>78</v>
      </c>
      <c r="E1696">
        <v>310.64622579099898</v>
      </c>
      <c r="F1696">
        <v>51.623107348868501</v>
      </c>
      <c r="G1696" t="s">
        <v>51</v>
      </c>
      <c r="H1696">
        <v>14</v>
      </c>
      <c r="I1696">
        <v>78</v>
      </c>
      <c r="J1696">
        <v>12.769105471136999</v>
      </c>
      <c r="K1696" t="b">
        <f t="shared" si="104"/>
        <v>1</v>
      </c>
      <c r="L1696">
        <f t="shared" si="105"/>
        <v>375.03843861100449</v>
      </c>
      <c r="M1696">
        <f t="shared" si="106"/>
        <v>1500.153754444018</v>
      </c>
      <c r="N1696">
        <f t="shared" si="107"/>
        <v>1833.18788793059</v>
      </c>
    </row>
    <row r="1697" spans="1:14" x14ac:dyDescent="0.35">
      <c r="A1697" t="s">
        <v>51</v>
      </c>
      <c r="B1697">
        <v>14</v>
      </c>
      <c r="C1697" t="s">
        <v>50</v>
      </c>
      <c r="D1697">
        <v>79</v>
      </c>
      <c r="E1697">
        <v>313.39300523974799</v>
      </c>
      <c r="F1697">
        <v>52.045085922968397</v>
      </c>
      <c r="G1697" t="s">
        <v>51</v>
      </c>
      <c r="H1697">
        <v>14</v>
      </c>
      <c r="I1697">
        <v>79</v>
      </c>
      <c r="J1697">
        <v>12.891223225686399</v>
      </c>
      <c r="K1697" t="b">
        <f t="shared" si="104"/>
        <v>1</v>
      </c>
      <c r="L1697">
        <f t="shared" si="105"/>
        <v>378.32931438840279</v>
      </c>
      <c r="M1697">
        <f t="shared" si="106"/>
        <v>1513.3172575536112</v>
      </c>
      <c r="N1697">
        <f t="shared" si="107"/>
        <v>1849.2736887305127</v>
      </c>
    </row>
    <row r="1698" spans="1:14" x14ac:dyDescent="0.35">
      <c r="A1698" t="s">
        <v>51</v>
      </c>
      <c r="B1698">
        <v>14</v>
      </c>
      <c r="C1698" t="s">
        <v>50</v>
      </c>
      <c r="D1698">
        <v>80</v>
      </c>
      <c r="E1698">
        <v>316.12738000164302</v>
      </c>
      <c r="F1698">
        <v>52.478005720763399</v>
      </c>
      <c r="G1698" t="s">
        <v>51</v>
      </c>
      <c r="H1698">
        <v>14</v>
      </c>
      <c r="I1698">
        <v>80</v>
      </c>
      <c r="J1698">
        <v>13.0116698301751</v>
      </c>
      <c r="K1698" t="b">
        <f t="shared" si="104"/>
        <v>1</v>
      </c>
      <c r="L1698">
        <f t="shared" si="105"/>
        <v>381.61705555258152</v>
      </c>
      <c r="M1698">
        <f t="shared" si="106"/>
        <v>1526.4682222103261</v>
      </c>
      <c r="N1698">
        <f t="shared" si="107"/>
        <v>1865.3441675410184</v>
      </c>
    </row>
    <row r="1699" spans="1:14" x14ac:dyDescent="0.35">
      <c r="A1699" t="s">
        <v>51</v>
      </c>
      <c r="B1699">
        <v>14</v>
      </c>
      <c r="C1699" t="s">
        <v>50</v>
      </c>
      <c r="D1699">
        <v>81</v>
      </c>
      <c r="E1699">
        <v>318.84641187602</v>
      </c>
      <c r="F1699">
        <v>52.923929791917999</v>
      </c>
      <c r="G1699" t="s">
        <v>51</v>
      </c>
      <c r="H1699">
        <v>14</v>
      </c>
      <c r="I1699">
        <v>81</v>
      </c>
      <c r="J1699">
        <v>13.1307314788257</v>
      </c>
      <c r="K1699" t="b">
        <f t="shared" si="104"/>
        <v>1</v>
      </c>
      <c r="L1699">
        <f t="shared" si="105"/>
        <v>384.90107314676368</v>
      </c>
      <c r="M1699">
        <f t="shared" si="106"/>
        <v>1539.6042925870547</v>
      </c>
      <c r="N1699">
        <f t="shared" si="107"/>
        <v>1881.3964455413809</v>
      </c>
    </row>
    <row r="1700" spans="1:14" x14ac:dyDescent="0.35">
      <c r="A1700" t="s">
        <v>51</v>
      </c>
      <c r="B1700">
        <v>14</v>
      </c>
      <c r="C1700" t="s">
        <v>50</v>
      </c>
      <c r="D1700">
        <v>82</v>
      </c>
      <c r="E1700">
        <v>321.24908603346103</v>
      </c>
      <c r="F1700">
        <v>53.267231636777197</v>
      </c>
      <c r="G1700" t="s">
        <v>51</v>
      </c>
      <c r="H1700">
        <v>14</v>
      </c>
      <c r="I1700">
        <v>82</v>
      </c>
      <c r="J1700">
        <v>13.2444879936289</v>
      </c>
      <c r="K1700" t="b">
        <f t="shared" si="104"/>
        <v>1</v>
      </c>
      <c r="L1700">
        <f t="shared" si="105"/>
        <v>387.76080566386713</v>
      </c>
      <c r="M1700">
        <f t="shared" si="106"/>
        <v>1551.0432226554685</v>
      </c>
      <c r="N1700">
        <f t="shared" si="107"/>
        <v>1895.3748180849825</v>
      </c>
    </row>
    <row r="1701" spans="1:14" x14ac:dyDescent="0.35">
      <c r="A1701" t="s">
        <v>51</v>
      </c>
      <c r="B1701">
        <v>14</v>
      </c>
      <c r="C1701" t="s">
        <v>50</v>
      </c>
      <c r="D1701">
        <v>83</v>
      </c>
      <c r="E1701">
        <v>323.67768201111699</v>
      </c>
      <c r="F1701">
        <v>53.588580940346397</v>
      </c>
      <c r="G1701" t="s">
        <v>51</v>
      </c>
      <c r="H1701">
        <v>14</v>
      </c>
      <c r="I1701">
        <v>83</v>
      </c>
      <c r="J1701">
        <v>13.355113546169999</v>
      </c>
      <c r="K1701" t="b">
        <f t="shared" si="104"/>
        <v>1</v>
      </c>
      <c r="L1701">
        <f t="shared" si="105"/>
        <v>390.62137649763338</v>
      </c>
      <c r="M1701">
        <f t="shared" si="106"/>
        <v>1562.4855059905335</v>
      </c>
      <c r="N1701">
        <f t="shared" si="107"/>
        <v>1909.357288320432</v>
      </c>
    </row>
    <row r="1702" spans="1:14" x14ac:dyDescent="0.35">
      <c r="A1702" t="s">
        <v>51</v>
      </c>
      <c r="B1702">
        <v>14</v>
      </c>
      <c r="C1702" t="s">
        <v>50</v>
      </c>
      <c r="D1702">
        <v>84</v>
      </c>
      <c r="E1702">
        <v>326.10565974289102</v>
      </c>
      <c r="F1702">
        <v>53.9130258821639</v>
      </c>
      <c r="G1702" t="s">
        <v>51</v>
      </c>
      <c r="H1702">
        <v>14</v>
      </c>
      <c r="I1702">
        <v>84</v>
      </c>
      <c r="J1702">
        <v>13.4636105477068</v>
      </c>
      <c r="K1702" t="b">
        <f t="shared" si="104"/>
        <v>1</v>
      </c>
      <c r="L1702">
        <f t="shared" si="105"/>
        <v>393.48229617276172</v>
      </c>
      <c r="M1702">
        <f t="shared" si="106"/>
        <v>1573.9291846910469</v>
      </c>
      <c r="N1702">
        <f t="shared" si="107"/>
        <v>1923.3414636924592</v>
      </c>
    </row>
    <row r="1703" spans="1:14" x14ac:dyDescent="0.35">
      <c r="A1703" t="s">
        <v>51</v>
      </c>
      <c r="B1703">
        <v>14</v>
      </c>
      <c r="C1703" t="s">
        <v>50</v>
      </c>
      <c r="D1703">
        <v>85</v>
      </c>
      <c r="E1703">
        <v>328.52462083718899</v>
      </c>
      <c r="F1703">
        <v>54.247959289621797</v>
      </c>
      <c r="G1703" t="s">
        <v>51</v>
      </c>
      <c r="H1703">
        <v>14</v>
      </c>
      <c r="I1703">
        <v>85</v>
      </c>
      <c r="J1703">
        <v>13.5705081267245</v>
      </c>
      <c r="K1703" t="b">
        <f t="shared" si="104"/>
        <v>1</v>
      </c>
      <c r="L1703">
        <f t="shared" si="105"/>
        <v>396.34308825353531</v>
      </c>
      <c r="M1703">
        <f t="shared" si="106"/>
        <v>1585.3723530141413</v>
      </c>
      <c r="N1703">
        <f t="shared" si="107"/>
        <v>1937.3250153832805</v>
      </c>
    </row>
    <row r="1704" spans="1:14" x14ac:dyDescent="0.35">
      <c r="A1704" t="s">
        <v>51</v>
      </c>
      <c r="B1704">
        <v>14</v>
      </c>
      <c r="C1704" t="s">
        <v>50</v>
      </c>
      <c r="D1704">
        <v>86</v>
      </c>
      <c r="E1704">
        <v>330.931922178891</v>
      </c>
      <c r="F1704">
        <v>54.595199606244201</v>
      </c>
      <c r="G1704" t="s">
        <v>51</v>
      </c>
      <c r="H1704">
        <v>14</v>
      </c>
      <c r="I1704">
        <v>86</v>
      </c>
      <c r="J1704">
        <v>13.6761202879433</v>
      </c>
      <c r="K1704" t="b">
        <f t="shared" si="104"/>
        <v>1</v>
      </c>
      <c r="L1704">
        <f t="shared" si="105"/>
        <v>399.20324207307851</v>
      </c>
      <c r="M1704">
        <f t="shared" si="106"/>
        <v>1596.8129682923141</v>
      </c>
      <c r="N1704">
        <f t="shared" si="107"/>
        <v>1951.3054472532078</v>
      </c>
    </row>
    <row r="1705" spans="1:14" x14ac:dyDescent="0.35">
      <c r="A1705" t="s">
        <v>51</v>
      </c>
      <c r="B1705">
        <v>14</v>
      </c>
      <c r="C1705" t="s">
        <v>50</v>
      </c>
      <c r="D1705">
        <v>87</v>
      </c>
      <c r="E1705">
        <v>333.021802372678</v>
      </c>
      <c r="F1705">
        <v>54.804674118163703</v>
      </c>
      <c r="G1705" t="s">
        <v>51</v>
      </c>
      <c r="H1705">
        <v>14</v>
      </c>
      <c r="I1705">
        <v>87</v>
      </c>
      <c r="J1705">
        <v>13.776479633934001</v>
      </c>
      <c r="K1705" t="b">
        <f t="shared" si="104"/>
        <v>1</v>
      </c>
      <c r="L1705">
        <f t="shared" si="105"/>
        <v>401.60295612477569</v>
      </c>
      <c r="M1705">
        <f t="shared" si="106"/>
        <v>1606.4118244991027</v>
      </c>
      <c r="N1705">
        <f t="shared" si="107"/>
        <v>1963.0352495379036</v>
      </c>
    </row>
    <row r="1706" spans="1:14" x14ac:dyDescent="0.35">
      <c r="A1706" t="s">
        <v>51</v>
      </c>
      <c r="B1706">
        <v>14</v>
      </c>
      <c r="C1706" t="s">
        <v>50</v>
      </c>
      <c r="D1706">
        <v>88</v>
      </c>
      <c r="E1706">
        <v>335.15379426459202</v>
      </c>
      <c r="F1706">
        <v>54.981725474635198</v>
      </c>
      <c r="G1706" t="s">
        <v>51</v>
      </c>
      <c r="H1706">
        <v>14</v>
      </c>
      <c r="I1706">
        <v>88</v>
      </c>
      <c r="J1706">
        <v>13.873966121779899</v>
      </c>
      <c r="K1706" t="b">
        <f t="shared" si="104"/>
        <v>1</v>
      </c>
      <c r="L1706">
        <f t="shared" si="105"/>
        <v>404.00948586100714</v>
      </c>
      <c r="M1706">
        <f t="shared" si="106"/>
        <v>1616.0379434440285</v>
      </c>
      <c r="N1706">
        <f t="shared" si="107"/>
        <v>1974.7983668886029</v>
      </c>
    </row>
    <row r="1707" spans="1:14" x14ac:dyDescent="0.35">
      <c r="A1707" t="s">
        <v>51</v>
      </c>
      <c r="B1707">
        <v>14</v>
      </c>
      <c r="C1707" t="s">
        <v>50</v>
      </c>
      <c r="D1707">
        <v>89</v>
      </c>
      <c r="E1707">
        <v>337.29364740087601</v>
      </c>
      <c r="F1707">
        <v>55.158907282951503</v>
      </c>
      <c r="G1707" t="s">
        <v>51</v>
      </c>
      <c r="H1707">
        <v>14</v>
      </c>
      <c r="I1707">
        <v>89</v>
      </c>
      <c r="J1707">
        <v>13.969608572064001</v>
      </c>
      <c r="K1707" t="b">
        <f t="shared" si="104"/>
        <v>1</v>
      </c>
      <c r="L1707">
        <f t="shared" si="105"/>
        <v>406.42216325589152</v>
      </c>
      <c r="M1707">
        <f t="shared" si="106"/>
        <v>1625.6886530235661</v>
      </c>
      <c r="N1707">
        <f t="shared" si="107"/>
        <v>1986.5915339947976</v>
      </c>
    </row>
    <row r="1708" spans="1:14" x14ac:dyDescent="0.35">
      <c r="A1708" t="s">
        <v>51</v>
      </c>
      <c r="B1708">
        <v>14</v>
      </c>
      <c r="C1708" t="s">
        <v>50</v>
      </c>
      <c r="D1708">
        <v>90</v>
      </c>
      <c r="E1708">
        <v>339.430627646299</v>
      </c>
      <c r="F1708">
        <v>55.345883833084301</v>
      </c>
      <c r="G1708" t="s">
        <v>51</v>
      </c>
      <c r="H1708">
        <v>14</v>
      </c>
      <c r="I1708">
        <v>90</v>
      </c>
      <c r="J1708">
        <v>14.063922980508501</v>
      </c>
      <c r="K1708" t="b">
        <f t="shared" si="104"/>
        <v>1</v>
      </c>
      <c r="L1708">
        <f t="shared" si="105"/>
        <v>408.84043445989181</v>
      </c>
      <c r="M1708">
        <f t="shared" si="106"/>
        <v>1635.3617378395672</v>
      </c>
      <c r="N1708">
        <f t="shared" si="107"/>
        <v>1998.4120436399512</v>
      </c>
    </row>
    <row r="1709" spans="1:14" x14ac:dyDescent="0.35">
      <c r="A1709" t="s">
        <v>51</v>
      </c>
      <c r="B1709">
        <v>14</v>
      </c>
      <c r="C1709" t="s">
        <v>50</v>
      </c>
      <c r="D1709">
        <v>91</v>
      </c>
      <c r="E1709">
        <v>341.56139037445598</v>
      </c>
      <c r="F1709">
        <v>55.545154557730498</v>
      </c>
      <c r="G1709" t="s">
        <v>51</v>
      </c>
      <c r="H1709">
        <v>14</v>
      </c>
      <c r="I1709">
        <v>91</v>
      </c>
      <c r="J1709">
        <v>14.157206889170601</v>
      </c>
      <c r="K1709" t="b">
        <f t="shared" si="104"/>
        <v>1</v>
      </c>
      <c r="L1709">
        <f t="shared" si="105"/>
        <v>411.26375182135706</v>
      </c>
      <c r="M1709">
        <f t="shared" si="106"/>
        <v>1645.0550072854282</v>
      </c>
      <c r="N1709">
        <f t="shared" si="107"/>
        <v>2010.2572189027933</v>
      </c>
    </row>
    <row r="1710" spans="1:14" x14ac:dyDescent="0.35">
      <c r="A1710" t="s">
        <v>51</v>
      </c>
      <c r="B1710">
        <v>14</v>
      </c>
      <c r="C1710" t="s">
        <v>50</v>
      </c>
      <c r="D1710">
        <v>92</v>
      </c>
      <c r="E1710">
        <v>343.24451912543498</v>
      </c>
      <c r="F1710">
        <v>55.749049603929997</v>
      </c>
      <c r="G1710" t="s">
        <v>51</v>
      </c>
      <c r="H1710">
        <v>14</v>
      </c>
      <c r="I1710">
        <v>92</v>
      </c>
      <c r="J1710">
        <v>14.2436280135371</v>
      </c>
      <c r="K1710" t="b">
        <f t="shared" si="104"/>
        <v>1</v>
      </c>
      <c r="L1710">
        <f t="shared" si="105"/>
        <v>413.23719674290209</v>
      </c>
      <c r="M1710">
        <f t="shared" si="106"/>
        <v>1652.9487869716083</v>
      </c>
      <c r="N1710">
        <f t="shared" si="107"/>
        <v>2019.9034176793054</v>
      </c>
    </row>
    <row r="1711" spans="1:14" x14ac:dyDescent="0.35">
      <c r="A1711" t="s">
        <v>51</v>
      </c>
      <c r="B1711">
        <v>14</v>
      </c>
      <c r="C1711" t="s">
        <v>50</v>
      </c>
      <c r="D1711">
        <v>93</v>
      </c>
      <c r="E1711">
        <v>344.92167498352597</v>
      </c>
      <c r="F1711">
        <v>55.962253752413297</v>
      </c>
      <c r="G1711" t="s">
        <v>51</v>
      </c>
      <c r="H1711">
        <v>14</v>
      </c>
      <c r="I1711">
        <v>93</v>
      </c>
      <c r="J1711">
        <v>14.3254917643527</v>
      </c>
      <c r="K1711" t="b">
        <f t="shared" si="104"/>
        <v>1</v>
      </c>
      <c r="L1711">
        <f t="shared" si="105"/>
        <v>415.20942050029197</v>
      </c>
      <c r="M1711">
        <f t="shared" si="106"/>
        <v>1660.8376820011679</v>
      </c>
      <c r="N1711">
        <f t="shared" si="107"/>
        <v>2029.543647405427</v>
      </c>
    </row>
    <row r="1712" spans="1:14" x14ac:dyDescent="0.35">
      <c r="A1712" t="s">
        <v>51</v>
      </c>
      <c r="B1712">
        <v>14</v>
      </c>
      <c r="C1712" t="s">
        <v>50</v>
      </c>
      <c r="D1712">
        <v>94</v>
      </c>
      <c r="E1712">
        <v>346.591138793109</v>
      </c>
      <c r="F1712">
        <v>56.185787697470097</v>
      </c>
      <c r="G1712" t="s">
        <v>51</v>
      </c>
      <c r="H1712">
        <v>14</v>
      </c>
      <c r="I1712">
        <v>94</v>
      </c>
      <c r="J1712">
        <v>14.404205290714</v>
      </c>
      <c r="K1712" t="b">
        <f t="shared" si="104"/>
        <v>1</v>
      </c>
      <c r="L1712">
        <f t="shared" si="105"/>
        <v>417.18113178129312</v>
      </c>
      <c r="M1712">
        <f t="shared" si="106"/>
        <v>1668.7245271251725</v>
      </c>
      <c r="N1712">
        <f t="shared" si="107"/>
        <v>2039.1813721469607</v>
      </c>
    </row>
    <row r="1713" spans="1:14" x14ac:dyDescent="0.35">
      <c r="A1713" t="s">
        <v>51</v>
      </c>
      <c r="B1713">
        <v>14</v>
      </c>
      <c r="C1713" t="s">
        <v>50</v>
      </c>
      <c r="D1713">
        <v>95</v>
      </c>
      <c r="E1713">
        <v>348.25237593770902</v>
      </c>
      <c r="F1713">
        <v>56.419550233181603</v>
      </c>
      <c r="G1713" t="s">
        <v>51</v>
      </c>
      <c r="H1713">
        <v>14</v>
      </c>
      <c r="I1713">
        <v>95</v>
      </c>
      <c r="J1713">
        <v>14.480653231138399</v>
      </c>
      <c r="K1713" t="b">
        <f t="shared" si="104"/>
        <v>1</v>
      </c>
      <c r="L1713">
        <f t="shared" si="105"/>
        <v>419.152579402029</v>
      </c>
      <c r="M1713">
        <f t="shared" si="106"/>
        <v>1676.610317608116</v>
      </c>
      <c r="N1713">
        <f t="shared" si="107"/>
        <v>2048.8178081171177</v>
      </c>
    </row>
    <row r="1714" spans="1:14" x14ac:dyDescent="0.35">
      <c r="A1714" t="s">
        <v>51</v>
      </c>
      <c r="B1714">
        <v>14</v>
      </c>
      <c r="C1714" t="s">
        <v>50</v>
      </c>
      <c r="D1714">
        <v>96</v>
      </c>
      <c r="E1714">
        <v>349.905221527484</v>
      </c>
      <c r="F1714">
        <v>56.663111022501603</v>
      </c>
      <c r="G1714" t="s">
        <v>51</v>
      </c>
      <c r="H1714">
        <v>14</v>
      </c>
      <c r="I1714">
        <v>96</v>
      </c>
      <c r="J1714">
        <v>14.5554075108607</v>
      </c>
      <c r="K1714" t="b">
        <f t="shared" si="104"/>
        <v>1</v>
      </c>
      <c r="L1714">
        <f t="shared" si="105"/>
        <v>421.12374006084627</v>
      </c>
      <c r="M1714">
        <f t="shared" si="106"/>
        <v>1684.4949602433851</v>
      </c>
      <c r="N1714">
        <f t="shared" si="107"/>
        <v>2058.4528414174165</v>
      </c>
    </row>
    <row r="1715" spans="1:14" x14ac:dyDescent="0.35">
      <c r="A1715" t="s">
        <v>51</v>
      </c>
      <c r="B1715">
        <v>14</v>
      </c>
      <c r="C1715" t="s">
        <v>50</v>
      </c>
      <c r="D1715">
        <v>97</v>
      </c>
      <c r="E1715">
        <v>351.46703551855001</v>
      </c>
      <c r="F1715">
        <v>56.732272417019701</v>
      </c>
      <c r="G1715" t="s">
        <v>51</v>
      </c>
      <c r="H1715">
        <v>14</v>
      </c>
      <c r="I1715">
        <v>97</v>
      </c>
      <c r="J1715">
        <v>14.6277184949528</v>
      </c>
      <c r="K1715" t="b">
        <f t="shared" si="104"/>
        <v>1</v>
      </c>
      <c r="L1715">
        <f t="shared" si="105"/>
        <v>422.82702643052249</v>
      </c>
      <c r="M1715">
        <f t="shared" si="106"/>
        <v>1691.30810572209</v>
      </c>
      <c r="N1715">
        <f t="shared" si="107"/>
        <v>2066.7785051923938</v>
      </c>
    </row>
    <row r="1716" spans="1:14" x14ac:dyDescent="0.35">
      <c r="A1716" t="s">
        <v>51</v>
      </c>
      <c r="B1716">
        <v>14</v>
      </c>
      <c r="C1716" t="s">
        <v>50</v>
      </c>
      <c r="D1716">
        <v>98</v>
      </c>
      <c r="E1716">
        <v>353.086023617254</v>
      </c>
      <c r="F1716">
        <v>56.758433665708601</v>
      </c>
      <c r="G1716" t="s">
        <v>51</v>
      </c>
      <c r="H1716">
        <v>14</v>
      </c>
      <c r="I1716">
        <v>98</v>
      </c>
      <c r="J1716">
        <v>14.699146518657701</v>
      </c>
      <c r="K1716" t="b">
        <f t="shared" si="104"/>
        <v>1</v>
      </c>
      <c r="L1716">
        <f t="shared" si="105"/>
        <v>424.54360380162029</v>
      </c>
      <c r="M1716">
        <f t="shared" si="106"/>
        <v>1698.1744152064812</v>
      </c>
      <c r="N1716">
        <f t="shared" si="107"/>
        <v>2075.1691353823198</v>
      </c>
    </row>
    <row r="1717" spans="1:14" x14ac:dyDescent="0.35">
      <c r="A1717" t="s">
        <v>51</v>
      </c>
      <c r="B1717">
        <v>14</v>
      </c>
      <c r="C1717" t="s">
        <v>50</v>
      </c>
      <c r="D1717">
        <v>99</v>
      </c>
      <c r="E1717">
        <v>354.72012115866102</v>
      </c>
      <c r="F1717">
        <v>56.781754838782803</v>
      </c>
      <c r="G1717" t="s">
        <v>51</v>
      </c>
      <c r="H1717">
        <v>14</v>
      </c>
      <c r="I1717">
        <v>99</v>
      </c>
      <c r="J1717">
        <v>14.7701218715913</v>
      </c>
      <c r="K1717" t="b">
        <f t="shared" si="104"/>
        <v>1</v>
      </c>
      <c r="L1717">
        <f t="shared" si="105"/>
        <v>426.27199786903509</v>
      </c>
      <c r="M1717">
        <f t="shared" si="106"/>
        <v>1705.0879914761404</v>
      </c>
      <c r="N1717">
        <f t="shared" si="107"/>
        <v>2083.6175255838434</v>
      </c>
    </row>
    <row r="1718" spans="1:14" x14ac:dyDescent="0.35">
      <c r="A1718" t="s">
        <v>51</v>
      </c>
      <c r="B1718">
        <v>14</v>
      </c>
      <c r="C1718" t="s">
        <v>50</v>
      </c>
      <c r="D1718">
        <v>100</v>
      </c>
      <c r="E1718">
        <v>356.35631746545903</v>
      </c>
      <c r="F1718">
        <v>56.814119726540902</v>
      </c>
      <c r="G1718" t="s">
        <v>51</v>
      </c>
      <c r="H1718">
        <v>14</v>
      </c>
      <c r="I1718">
        <v>100</v>
      </c>
      <c r="J1718">
        <v>14.840761145347001</v>
      </c>
      <c r="K1718" t="b">
        <f t="shared" si="104"/>
        <v>1</v>
      </c>
      <c r="L1718">
        <f t="shared" si="105"/>
        <v>428.01119833734697</v>
      </c>
      <c r="M1718">
        <f t="shared" si="106"/>
        <v>1712.0447933493879</v>
      </c>
      <c r="N1718">
        <f t="shared" si="107"/>
        <v>2092.118737472952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EF99B6E6173418F140FEA2205202F" ma:contentTypeVersion="7" ma:contentTypeDescription="Create a new document." ma:contentTypeScope="" ma:versionID="0109aaa9be27663929230d6dfec6909f">
  <xsd:schema xmlns:xsd="http://www.w3.org/2001/XMLSchema" xmlns:xs="http://www.w3.org/2001/XMLSchema" xmlns:p="http://schemas.microsoft.com/office/2006/metadata/properties" xmlns:ns2="cf0797e8-ccba-4196-aa7d-6d4101829a48" targetNamespace="http://schemas.microsoft.com/office/2006/metadata/properties" ma:root="true" ma:fieldsID="567fa3ffa14044510561cbd420185b38" ns2:_="">
    <xsd:import namespace="cf0797e8-ccba-4196-aa7d-6d4101829a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0797e8-ccba-4196-aa7d-6d4101829a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6F4CF3-8888-4F2F-B2C1-815A4519A2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CC1719-E9D3-43C8-B0BA-CCA85442D4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0797e8-ccba-4196-aa7d-6d4101829a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DE75B7-DD7A-4CFE-BAA1-C017EEC76CD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Over to underbark</vt:lpstr>
      <vt:lpstr>CARBINE OUTPUTS</vt:lpstr>
    </vt:vector>
  </TitlesOfParts>
  <Manager/>
  <Company>Forest Research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Carly Whittaker</dc:creator>
  <cp:keywords/>
  <dc:description/>
  <cp:lastModifiedBy>Jacob O'Sullivan</cp:lastModifiedBy>
  <cp:revision/>
  <dcterms:created xsi:type="dcterms:W3CDTF">2025-12-10T10:25:15Z</dcterms:created>
  <dcterms:modified xsi:type="dcterms:W3CDTF">2025-12-15T15:56:29Z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0x010100245EF99B6E6173418F140FEA2205202F</vt:lpwstr>
  </property>
</Properties>
</file>