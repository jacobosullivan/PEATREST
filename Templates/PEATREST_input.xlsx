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ctrlProps/ctrlProp19.xml" ContentType="application/vnd.ms-excel.controlproperties+xml"/>
  <Override PartName="/xl/ctrlProps/ctrlProp20.xml" ContentType="application/vnd.ms-excel.controlproperties+xml"/>
  <Override PartName="/xl/ctrlProps/ctrlProp21.xml" ContentType="application/vnd.ms-excel.controlproperties+xml"/>
  <Override PartName="/xl/ctrlProps/ctrlProp22.xml" ContentType="application/vnd.ms-excel.controlproperties+xml"/>
  <Override PartName="/xl/ctrlProps/ctrlProp23.xml" ContentType="application/vnd.ms-excel.controlproperties+xml"/>
  <Override PartName="/xl/ctrlProps/ctrlProp24.xml" ContentType="application/vnd.ms-excel.controlproperties+xml"/>
  <Override PartName="/xl/ctrlProps/ctrlProp25.xml" ContentType="application/vnd.ms-excel.controlproperties+xml"/>
  <Override PartName="/xl/ctrlProps/ctrlProp26.xml" ContentType="application/vnd.ms-excel.controlproperties+xml"/>
  <Override PartName="/xl/ctrlProps/ctrlProp27.xml" ContentType="application/vnd.ms-excel.controlproperties+xml"/>
  <Override PartName="/xl/ctrlProps/ctrlProp28.xml" ContentType="application/vnd.ms-excel.controlproperties+xml"/>
  <Override PartName="/xl/ctrlProps/ctrlProp29.xml" ContentType="application/vnd.ms-excel.controlproperties+xml"/>
  <Override PartName="/xl/ctrlProps/ctrlProp30.xml" ContentType="application/vnd.ms-excel.controlproperties+xml"/>
  <Override PartName="/xl/ctrlProps/ctrlProp31.xml" ContentType="application/vnd.ms-excel.controlproperties+xml"/>
  <Override PartName="/xl/ctrlProps/ctrlProp32.xml" ContentType="application/vnd.ms-excel.controlproperties+xml"/>
  <Override PartName="/xl/ctrlProps/ctrlProp33.xml" ContentType="application/vnd.ms-excel.controlproperties+xml"/>
  <Override PartName="/xl/ctrlProps/ctrlProp34.xml" ContentType="application/vnd.ms-excel.controlproperties+xml"/>
  <Override PartName="/xl/ctrlProps/ctrlProp35.xml" ContentType="application/vnd.ms-excel.controlproperties+xml"/>
  <Override PartName="/xl/ctrlProps/ctrlProp36.xml" ContentType="application/vnd.ms-excel.controlproperties+xml"/>
  <Override PartName="/xl/ctrlProps/ctrlProp37.xml" ContentType="application/vnd.ms-excel.controlproperties+xml"/>
  <Override PartName="/xl/ctrlProps/ctrlProp38.xml" ContentType="application/vnd.ms-excel.controlproperties+xml"/>
  <Override PartName="/xl/ctrlProps/ctrlProp39.xml" ContentType="application/vnd.ms-excel.controlproperties+xml"/>
  <Override PartName="/xl/ctrlProps/ctrlProp40.xml" ContentType="application/vnd.ms-excel.controlproperties+xml"/>
  <Override PartName="/xl/ctrlProps/ctrlProp41.xml" ContentType="application/vnd.ms-excel.controlproperties+xml"/>
  <Override PartName="/xl/ctrlProps/ctrlProp42.xml" ContentType="application/vnd.ms-excel.controlproperties+xml"/>
  <Override PartName="/xl/ctrlProps/ctrlProp43.xml" ContentType="application/vnd.ms-excel.controlproperties+xml"/>
  <Override PartName="/xl/ctrlProps/ctrlProp44.xml" ContentType="application/vnd.ms-excel.controlproperties+xml"/>
  <Override PartName="/xl/ctrlProps/ctrlProp45.xml" ContentType="application/vnd.ms-excel.controlproperties+xml"/>
  <Override PartName="/xl/ctrlProps/ctrlProp46.xml" ContentType="application/vnd.ms-excel.controlproperties+xml"/>
  <Override PartName="/xl/ctrlProps/ctrlProp47.xml" ContentType="application/vnd.ms-excel.controlproperties+xml"/>
  <Override PartName="/xl/ctrlProps/ctrlProp48.xml" ContentType="application/vnd.ms-excel.controlproperties+xml"/>
  <Override PartName="/xl/ctrlProps/ctrlProp49.xml" ContentType="application/vnd.ms-excel.controlproperties+xml"/>
  <Override PartName="/xl/ctrlProps/ctrlProp50.xml" ContentType="application/vnd.ms-excel.controlproperties+xml"/>
  <Override PartName="/xl/ctrlProps/ctrlProp51.xml" ContentType="application/vnd.ms-excel.controlproperties+xml"/>
  <Override PartName="/xl/ctrlProps/ctrlProp52.xml" ContentType="application/vnd.ms-excel.controlproperties+xml"/>
  <Override PartName="/xl/ctrlProps/ctrlProp53.xml" ContentType="application/vnd.ms-excel.controlproperties+xml"/>
  <Override PartName="/xl/ctrlProps/ctrlProp54.xml" ContentType="application/vnd.ms-excel.controlproperties+xml"/>
  <Override PartName="/xl/ctrlProps/ctrlProp55.xml" ContentType="application/vnd.ms-excel.controlproperties+xml"/>
  <Override PartName="/xl/ctrlProps/ctrlProp56.xml" ContentType="application/vnd.ms-excel.controlproperties+xml"/>
  <Override PartName="/xl/ctrlProps/ctrlProp57.xml" ContentType="application/vnd.ms-excel.controlproperties+xml"/>
  <Override PartName="/xl/ctrlProps/ctrlProp58.xml" ContentType="application/vnd.ms-excel.controlproperties+xml"/>
  <Override PartName="/xl/ctrlProps/ctrlProp59.xml" ContentType="application/vnd.ms-excel.controlproperties+xml"/>
  <Override PartName="/xl/ctrlProps/ctrlProp60.xml" ContentType="application/vnd.ms-excel.controlproperties+xml"/>
  <Override PartName="/xl/ctrlProps/ctrlProp61.xml" ContentType="application/vnd.ms-excel.controlproperties+xml"/>
  <Override PartName="/xl/ctrlProps/ctrlProp62.xml" ContentType="application/vnd.ms-excel.controlproperties+xml"/>
  <Override PartName="/xl/ctrlProps/ctrlProp63.xml" ContentType="application/vnd.ms-excel.controlproperties+xml"/>
  <Override PartName="/xl/ctrlProps/ctrlProp64.xml" ContentType="application/vnd.ms-excel.controlproperties+xml"/>
  <Override PartName="/xl/ctrlProps/ctrlProp65.xml" ContentType="application/vnd.ms-excel.controlproperties+xml"/>
  <Override PartName="/xl/ctrlProps/ctrlProp66.xml" ContentType="application/vnd.ms-excel.controlproperties+xml"/>
  <Override PartName="/xl/ctrlProps/ctrlProp67.xml" ContentType="application/vnd.ms-excel.controlproperties+xml"/>
  <Override PartName="/xl/ctrlProps/ctrlProp68.xml" ContentType="application/vnd.ms-excel.controlproperties+xml"/>
  <Override PartName="/xl/ctrlProps/ctrlProp69.xml" ContentType="application/vnd.ms-excel.controlproperties+xml"/>
  <Override PartName="/xl/ctrlProps/ctrlProp70.xml" ContentType="application/vnd.ms-excel.controlproperties+xml"/>
  <Override PartName="/xl/ctrlProps/ctrlProp71.xml" ContentType="application/vnd.ms-excel.controlproperties+xml"/>
  <Override PartName="/xl/ctrlProps/ctrlProp72.xml" ContentType="application/vnd.ms-excel.controlproperties+xml"/>
  <Override PartName="/xl/ctrlProps/ctrlProp73.xml" ContentType="application/vnd.ms-excel.controlproperties+xml"/>
  <Override PartName="/xl/ctrlProps/ctrlProp74.xml" ContentType="application/vnd.ms-excel.controlproperties+xml"/>
  <Override PartName="/xl/ctrlProps/ctrlProp75.xml" ContentType="application/vnd.ms-excel.controlproperties+xml"/>
  <Override PartName="/xl/ctrlProps/ctrlProp76.xml" ContentType="application/vnd.ms-excel.controlproperties+xml"/>
  <Override PartName="/xl/ctrlProps/ctrlProp77.xml" ContentType="application/vnd.ms-excel.controlproperties+xml"/>
  <Override PartName="/xl/ctrlProps/ctrlProp78.xml" ContentType="application/vnd.ms-excel.controlproperties+xml"/>
  <Override PartName="/xl/ctrlProps/ctrlProp79.xml" ContentType="application/vnd.ms-excel.controlproperties+xml"/>
  <Override PartName="/xl/ctrlProps/ctrlProp80.xml" ContentType="application/vnd.ms-excel.controlproperties+xml"/>
  <Override PartName="/xl/ctrlProps/ctrlProp81.xml" ContentType="application/vnd.ms-excel.controlproperties+xml"/>
  <Override PartName="/xl/ctrlProps/ctrlProp82.xml" ContentType="application/vnd.ms-excel.controlproperties+xml"/>
  <Override PartName="/xl/ctrlProps/ctrlProp83.xml" ContentType="application/vnd.ms-excel.controlproperties+xml"/>
  <Override PartName="/xl/ctrlProps/ctrlProp84.xml" ContentType="application/vnd.ms-excel.controlproperties+xml"/>
  <Override PartName="/xl/ctrlProps/ctrlProp85.xml" ContentType="application/vnd.ms-excel.controlproperties+xml"/>
  <Override PartName="/xl/ctrlProps/ctrlProp86.xml" ContentType="application/vnd.ms-excel.controlproperties+xml"/>
  <Override PartName="/xl/ctrlProps/ctrlProp87.xml" ContentType="application/vnd.ms-excel.controlproperties+xml"/>
  <Override PartName="/xl/ctrlProps/ctrlProp88.xml" ContentType="application/vnd.ms-excel.controlproperties+xml"/>
  <Override PartName="/xl/ctrlProps/ctrlProp89.xml" ContentType="application/vnd.ms-excel.controlproperties+xml"/>
  <Override PartName="/xl/ctrlProps/ctrlProp90.xml" ContentType="application/vnd.ms-excel.controlproperties+xml"/>
  <Override PartName="/xl/ctrlProps/ctrlProp91.xml" ContentType="application/vnd.ms-excel.controlproperties+xml"/>
  <Override PartName="/xl/ctrlProps/ctrlProp92.xml" ContentType="application/vnd.ms-excel.controlproperties+xml"/>
  <Override PartName="/xl/ctrlProps/ctrlProp93.xml" ContentType="application/vnd.ms-excel.controlproperties+xml"/>
  <Override PartName="/xl/ctrlProps/ctrlProp94.xml" ContentType="application/vnd.ms-excel.controlproperties+xml"/>
  <Override PartName="/xl/ctrlProps/ctrlProp95.xml" ContentType="application/vnd.ms-excel.controlproperties+xml"/>
  <Override PartName="/xl/ctrlProps/ctrlProp96.xml" ContentType="application/vnd.ms-excel.controlproperties+xml"/>
  <Override PartName="/xl/ctrlProps/ctrlProp97.xml" ContentType="application/vnd.ms-excel.controlproperties+xml"/>
  <Override PartName="/xl/ctrlProps/ctrlProp98.xml" ContentType="application/vnd.ms-excel.controlproperties+xml"/>
  <Override PartName="/xl/ctrlProps/ctrlProp99.xml" ContentType="application/vnd.ms-excel.controlproperties+xml"/>
  <Override PartName="/xl/ctrlProps/ctrlProp100.xml" ContentType="application/vnd.ms-excel.controlproperties+xml"/>
  <Override PartName="/xl/ctrlProps/ctrlProp101.xml" ContentType="application/vnd.ms-excel.controlproperties+xml"/>
  <Override PartName="/xl/ctrlProps/ctrlProp102.xml" ContentType="application/vnd.ms-excel.controlproperties+xml"/>
  <Override PartName="/xl/ctrlProps/ctrlProp103.xml" ContentType="application/vnd.ms-excel.controlproperties+xml"/>
  <Override PartName="/xl/ctrlProps/ctrlProp104.xml" ContentType="application/vnd.ms-excel.controlproperties+xml"/>
  <Override PartName="/xl/ctrlProps/ctrlProp105.xml" ContentType="application/vnd.ms-excel.controlproperties+xml"/>
  <Override PartName="/xl/ctrlProps/ctrlProp106.xml" ContentType="application/vnd.ms-excel.controlproperties+xml"/>
  <Override PartName="/xl/ctrlProps/ctrlProp107.xml" ContentType="application/vnd.ms-excel.controlproperties+xml"/>
  <Override PartName="/xl/ctrlProps/ctrlProp108.xml" ContentType="application/vnd.ms-excel.controlproperties+xml"/>
  <Override PartName="/xl/ctrlProps/ctrlProp109.xml" ContentType="application/vnd.ms-excel.controlproperties+xml"/>
  <Override PartName="/xl/ctrlProps/ctrlProp110.xml" ContentType="application/vnd.ms-excel.controlproperties+xml"/>
  <Override PartName="/xl/ctrlProps/ctrlProp111.xml" ContentType="application/vnd.ms-excel.controlproperties+xml"/>
  <Override PartName="/xl/ctrlProps/ctrlProp112.xml" ContentType="application/vnd.ms-excel.controlproperties+xml"/>
  <Override PartName="/xl/ctrlProps/ctrlProp113.xml" ContentType="application/vnd.ms-excel.controlproperties+xml"/>
  <Override PartName="/xl/ctrlProps/ctrlProp114.xml" ContentType="application/vnd.ms-excel.controlproperties+xml"/>
  <Override PartName="/xl/ctrlProps/ctrlProp115.xml" ContentType="application/vnd.ms-excel.controlproperties+xml"/>
  <Override PartName="/xl/ctrlProps/ctrlProp116.xml" ContentType="application/vnd.ms-excel.controlproperties+xml"/>
  <Override PartName="/xl/ctrlProps/ctrlProp117.xml" ContentType="application/vnd.ms-excel.controlproperties+xml"/>
  <Override PartName="/xl/ctrlProps/ctrlProp118.xml" ContentType="application/vnd.ms-excel.controlproperties+xml"/>
  <Override PartName="/xl/ctrlProps/ctrlProp119.xml" ContentType="application/vnd.ms-excel.controlproperties+xml"/>
  <Override PartName="/xl/ctrlProps/ctrlProp120.xml" ContentType="application/vnd.ms-excel.controlproperties+xml"/>
  <Override PartName="/xl/ctrlProps/ctrlProp121.xml" ContentType="application/vnd.ms-excel.controlproperties+xml"/>
  <Override PartName="/xl/ctrlProps/ctrlProp122.xml" ContentType="application/vnd.ms-excel.controlproperties+xml"/>
  <Override PartName="/xl/ctrlProps/ctrlProp123.xml" ContentType="application/vnd.ms-excel.controlproperties+xml"/>
  <Override PartName="/xl/ctrlProps/ctrlProp124.xml" ContentType="application/vnd.ms-excel.controlproperties+xml"/>
  <Override PartName="/xl/ctrlProps/ctrlProp125.xml" ContentType="application/vnd.ms-excel.controlproperties+xml"/>
  <Override PartName="/xl/ctrlProps/ctrlProp126.xml" ContentType="application/vnd.ms-excel.controlproperties+xml"/>
  <Override PartName="/xl/ctrlProps/ctrlProp127.xml" ContentType="application/vnd.ms-excel.controlproperties+xml"/>
  <Override PartName="/xl/ctrlProps/ctrlProp128.xml" ContentType="application/vnd.ms-excel.controlproperties+xml"/>
  <Override PartName="/xl/ctrlProps/ctrlProp129.xml" ContentType="application/vnd.ms-excel.controlproperties+xml"/>
  <Override PartName="/xl/ctrlProps/ctrlProp130.xml" ContentType="application/vnd.ms-excel.controlproperties+xml"/>
  <Override PartName="/xl/ctrlProps/ctrlProp131.xml" ContentType="application/vnd.ms-excel.controlproperties+xml"/>
  <Override PartName="/xl/ctrlProps/ctrlProp132.xml" ContentType="application/vnd.ms-excel.controlproperties+xml"/>
  <Override PartName="/xl/ctrlProps/ctrlProp133.xml" ContentType="application/vnd.ms-excel.controlproperties+xml"/>
  <Override PartName="/xl/ctrlProps/ctrlProp134.xml" ContentType="application/vnd.ms-excel.controlproperties+xml"/>
  <Override PartName="/xl/ctrlProps/ctrlProp135.xml" ContentType="application/vnd.ms-excel.controlproperties+xml"/>
  <Override PartName="/xl/ctrlProps/ctrlProp136.xml" ContentType="application/vnd.ms-excel.controlproperties+xml"/>
  <Override PartName="/xl/ctrlProps/ctrlProp137.xml" ContentType="application/vnd.ms-excel.controlproperties+xml"/>
  <Override PartName="/xl/ctrlProps/ctrlProp138.xml" ContentType="application/vnd.ms-excel.controlproperties+xml"/>
  <Override PartName="/xl/ctrlProps/ctrlProp139.xml" ContentType="application/vnd.ms-excel.controlproperties+xml"/>
  <Override PartName="/xl/ctrlProps/ctrlProp140.xml" ContentType="application/vnd.ms-excel.controlproperties+xml"/>
  <Override PartName="/xl/ctrlProps/ctrlProp141.xml" ContentType="application/vnd.ms-excel.controlproperties+xml"/>
  <Override PartName="/xl/ctrlProps/ctrlProp142.xml" ContentType="application/vnd.ms-excel.controlproperties+xml"/>
  <Override PartName="/xl/ctrlProps/ctrlProp143.xml" ContentType="application/vnd.ms-excel.controlproperties+xml"/>
  <Override PartName="/xl/ctrlProps/ctrlProp144.xml" ContentType="application/vnd.ms-excel.controlproperties+xml"/>
  <Override PartName="/xl/ctrlProps/ctrlProp145.xml" ContentType="application/vnd.ms-excel.controlproperties+xml"/>
  <Override PartName="/xl/ctrlProps/ctrlProp146.xml" ContentType="application/vnd.ms-excel.controlproperties+xml"/>
  <Override PartName="/xl/ctrlProps/ctrlProp147.xml" ContentType="application/vnd.ms-excel.controlproperties+xml"/>
  <Override PartName="/xl/ctrlProps/ctrlProp148.xml" ContentType="application/vnd.ms-excel.controlproperties+xml"/>
  <Override PartName="/xl/ctrlProps/ctrlProp149.xml" ContentType="application/vnd.ms-excel.controlproperties+xml"/>
  <Override PartName="/xl/ctrlProps/ctrlProp150.xml" ContentType="application/vnd.ms-excel.controlproperties+xml"/>
  <Override PartName="/xl/ctrlProps/ctrlProp151.xml" ContentType="application/vnd.ms-excel.controlproperties+xml"/>
  <Override PartName="/xl/ctrlProps/ctrlProp152.xml" ContentType="application/vnd.ms-excel.controlproperties+xml"/>
  <Override PartName="/xl/ctrlProps/ctrlProp153.xml" ContentType="application/vnd.ms-excel.controlproperties+xml"/>
  <Override PartName="/xl/ctrlProps/ctrlProp154.xml" ContentType="application/vnd.ms-excel.controlproperties+xml"/>
  <Override PartName="/xl/ctrlProps/ctrlProp155.xml" ContentType="application/vnd.ms-excel.controlproperties+xml"/>
  <Override PartName="/xl/ctrlProps/ctrlProp156.xml" ContentType="application/vnd.ms-excel.controlproperties+xml"/>
  <Override PartName="/xl/ctrlProps/ctrlProp157.xml" ContentType="application/vnd.ms-excel.controlproperties+xml"/>
  <Override PartName="/xl/ctrlProps/ctrlProp158.xml" ContentType="application/vnd.ms-excel.controlproperties+xml"/>
  <Override PartName="/xl/ctrlProps/ctrlProp159.xml" ContentType="application/vnd.ms-excel.controlproperties+xml"/>
  <Override PartName="/xl/ctrlProps/ctrlProp160.xml" ContentType="application/vnd.ms-excel.controlproperties+xml"/>
  <Override PartName="/xl/ctrlProps/ctrlProp161.xml" ContentType="application/vnd.ms-excel.controlproperties+xml"/>
  <Override PartName="/xl/ctrlProps/ctrlProp162.xml" ContentType="application/vnd.ms-excel.controlproperties+xml"/>
  <Override PartName="/xl/ctrlProps/ctrlProp163.xml" ContentType="application/vnd.ms-excel.controlproperties+xml"/>
  <Override PartName="/xl/ctrlProps/ctrlProp164.xml" ContentType="application/vnd.ms-excel.controlproperties+xml"/>
  <Override PartName="/xl/ctrlProps/ctrlProp165.xml" ContentType="application/vnd.ms-excel.controlproperties+xml"/>
  <Override PartName="/xl/ctrlProps/ctrlProp166.xml" ContentType="application/vnd.ms-excel.controlproperties+xml"/>
  <Override PartName="/xl/ctrlProps/ctrlProp167.xml" ContentType="application/vnd.ms-excel.controlproperties+xml"/>
  <Override PartName="/xl/ctrlProps/ctrlProp168.xml" ContentType="application/vnd.ms-excel.controlproperties+xml"/>
  <Override PartName="/xl/ctrlProps/ctrlProp169.xml" ContentType="application/vnd.ms-excel.controlproperties+xml"/>
  <Override PartName="/xl/ctrlProps/ctrlProp170.xml" ContentType="application/vnd.ms-excel.controlproperties+xml"/>
  <Override PartName="/xl/ctrlProps/ctrlProp171.xml" ContentType="application/vnd.ms-excel.controlproperties+xml"/>
  <Override PartName="/xl/ctrlProps/ctrlProp172.xml" ContentType="application/vnd.ms-excel.controlproperties+xml"/>
  <Override PartName="/xl/ctrlProps/ctrlProp173.xml" ContentType="application/vnd.ms-excel.controlproperties+xml"/>
  <Override PartName="/xl/ctrlProps/ctrlProp174.xml" ContentType="application/vnd.ms-excel.controlproperties+xml"/>
  <Override PartName="/xl/ctrlProps/ctrlProp175.xml" ContentType="application/vnd.ms-excel.controlproperties+xml"/>
  <Override PartName="/xl/ctrlProps/ctrlProp176.xml" ContentType="application/vnd.ms-excel.controlproperties+xml"/>
  <Override PartName="/xl/ctrlProps/ctrlProp177.xml" ContentType="application/vnd.ms-excel.controlproperties+xml"/>
  <Override PartName="/xl/ctrlProps/ctrlProp178.xml" ContentType="application/vnd.ms-excel.controlproperties+xml"/>
  <Override PartName="/xl/ctrlProps/ctrlProp179.xml" ContentType="application/vnd.ms-excel.controlproperties+xml"/>
  <Override PartName="/xl/ctrlProps/ctrlProp180.xml" ContentType="application/vnd.ms-excel.controlproperties+xml"/>
  <Override PartName="/xl/ctrlProps/ctrlProp181.xml" ContentType="application/vnd.ms-excel.controlproperties+xml"/>
  <Override PartName="/xl/ctrlProps/ctrlProp182.xml" ContentType="application/vnd.ms-excel.controlproperties+xml"/>
  <Override PartName="/xl/ctrlProps/ctrlProp183.xml" ContentType="application/vnd.ms-excel.controlproperties+xml"/>
  <Override PartName="/xl/ctrlProps/ctrlProp184.xml" ContentType="application/vnd.ms-excel.controlproperties+xml"/>
  <Override PartName="/xl/ctrlProps/ctrlProp185.xml" ContentType="application/vnd.ms-excel.controlproperties+xml"/>
  <Override PartName="/xl/ctrlProps/ctrlProp186.xml" ContentType="application/vnd.ms-excel.controlproperties+xml"/>
  <Override PartName="/xl/ctrlProps/ctrlProp187.xml" ContentType="application/vnd.ms-excel.controlproperties+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231"/>
  <workbookPr codeName="ThisWorkbook"/>
  <mc:AlternateContent xmlns:mc="http://schemas.openxmlformats.org/markup-compatibility/2006">
    <mc:Choice Requires="x15">
      <x15ac:absPath xmlns:x15ac="http://schemas.microsoft.com/office/spreadsheetml/2010/11/ac" url="https://forestresearch-my.sharepoint.com/personal/jacob_osullivan_forestresearch_gov_uk/Documents/Turbines and trees/PEATREST/Templates/"/>
    </mc:Choice>
  </mc:AlternateContent>
  <xr:revisionPtr revIDLastSave="184" documentId="109_{2692C0AF-F37D-4242-A816-1D703B957833}" xr6:coauthVersionLast="47" xr6:coauthVersionMax="47" xr10:uidLastSave="{4CA5AF32-DBC6-4971-A00B-AFF1BDFAC108}"/>
  <bookViews>
    <workbookView xWindow="28680" yWindow="-120" windowWidth="29040" windowHeight="15720" xr2:uid="{00000000-000D-0000-FFFF-FFFF00000000}"/>
  </bookViews>
  <sheets>
    <sheet name="Forestry input data" sheetId="28" r:id="rId1"/>
    <sheet name="3PG parms" sheetId="36" r:id="rId2"/>
    <sheet name="Decay rate parms" sheetId="37" r:id="rId3"/>
    <sheet name="fE YC coefficients" sheetId="38" r:id="rId4"/>
  </sheets>
  <externalReferences>
    <externalReference r:id="rId5"/>
  </externalReferences>
  <definedNames>
    <definedName name="AirTemp">'[1]Input data'!$C$29</definedName>
    <definedName name="BiomassTransport">'[1]Input data'!$C$75</definedName>
    <definedName name="BiomassValue">'[1]Input data'!$C$69</definedName>
    <definedName name="CtoBio">'[1]Input data'!$C$71</definedName>
    <definedName name="dDM_mol">#REF!</definedName>
    <definedName name="DistInFront">'[1]Input data'!$C$56</definedName>
    <definedName name="DistInFrontLargeClear">'[1]Input data'!$C$57</definedName>
    <definedName name="DistToBiofuel">'[1]Input data'!$C$11</definedName>
    <definedName name="EFFossilFuel">'[1]Input data'!$C$80</definedName>
    <definedName name="FarmLife">'[1]Input data'!$C$15</definedName>
    <definedName name="FellingEmissions">'[1]Input data'!$C$73</definedName>
    <definedName name="ForestAge">'[1]Input data'!$C$52</definedName>
    <definedName name="ForestWidth">'[1]Input data'!$C$58</definedName>
    <definedName name="gDM_mol">#REF!</definedName>
    <definedName name="halfAge">#REF!</definedName>
    <definedName name="Intstep">#REF!</definedName>
    <definedName name="k">#REF!</definedName>
    <definedName name="LAIund">#REF!</definedName>
    <definedName name="lf">#REF!</definedName>
    <definedName name="MaxLUE">#REF!</definedName>
    <definedName name="MethodAreaFelled">'[1]Input data'!$C$59</definedName>
    <definedName name="molPAR_MJ">#REF!</definedName>
    <definedName name="nf">#REF!</definedName>
    <definedName name="NumTurbines">'[1]Input data'!$C$13</definedName>
    <definedName name="PAR">#REF!</definedName>
    <definedName name="PlantingAge">'[1]Input data'!$C$54</definedName>
    <definedName name="RedFac">#REF!</definedName>
    <definedName name="RemovalEmissions">'[1]Input data'!$C$74</definedName>
    <definedName name="ReplantYear">'[1]Input data'!$C$53</definedName>
    <definedName name="SafeDistance">'[1]Input data'!$C$55</definedName>
    <definedName name="sla">#REF!</definedName>
    <definedName name="SoilSubgroup">'[1]Input data'!$C$27</definedName>
    <definedName name="Species">'[1]Input data'!$C$41</definedName>
    <definedName name="TransportEmissions">'[1]Input data'!$C$76</definedName>
    <definedName name="TreeCseq">'[1]Input data'!$C$40</definedName>
    <definedName name="TurbineHeight">'[1]Input data'!$C$18</definedName>
    <definedName name="UseAsBiofuel">'[1]Input data'!$C$50</definedName>
    <definedName name="wf0">#REF!</definedName>
    <definedName name="WindFarmArea">'[1]Input data'!$C$14</definedName>
    <definedName name="Windspeed">'[1]Input data'!$C$19</definedName>
    <definedName name="Y">#REF!</definedName>
  </definedNames>
  <calcPr calcId="191029"/>
  <customWorkbookViews>
    <customWorkbookView name="soi663 - Personal View" guid="{55FEC4CD-8C58-46CE-8DB2-DCE86527AF45}" mergeInterval="0" personalView="1" maximized="1" windowWidth="1020" windowHeight="596" activeSheetId="5"/>
    <customWorkbookView name="soi450 - Personal View" guid="{7ADC3CB4-E91A-4D68-AA62-B94BAF7A6D27}" mergeInterval="0" personalView="1" maximized="1" windowWidth="1020" windowHeight="565" activeSheetId="5"/>
    <customWorkbookView name="Jagadeesh And Dali  - Personal View" guid="{DA59FCE9-3342-40E5-9DAB-341AFC9E9804}" mergeInterval="0" personalView="1" maximized="1" windowWidth="1020" windowHeight="596" activeSheetId="6"/>
  </customWorkbookView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79" i="28" l="1"/>
  <c r="C178" i="28"/>
  <c r="C144" i="28"/>
  <c r="C143" i="28"/>
  <c r="C109" i="28"/>
  <c r="C108" i="28"/>
  <c r="C39" i="28"/>
  <c r="C38" i="28"/>
  <c r="C74" i="28"/>
  <c r="C73" i="28"/>
  <c r="D10" i="37" l="1"/>
  <c r="D9" i="37"/>
  <c r="D8" i="37"/>
  <c r="D7" i="37"/>
  <c r="D6" i="37"/>
  <c r="D5" i="37"/>
  <c r="D4" i="37"/>
  <c r="D3" i="37"/>
  <c r="D2" i="37"/>
  <c r="C177" i="28" l="1"/>
  <c r="C142" i="28"/>
  <c r="C107" i="28"/>
  <c r="C72" i="28"/>
  <c r="C37" i="28"/>
  <c r="Y92" i="28" l="1"/>
  <c r="AB92" i="28" s="1"/>
  <c r="Y91" i="28"/>
  <c r="Z91" i="28" s="1"/>
  <c r="Y90" i="28"/>
  <c r="Z90" i="28" s="1"/>
  <c r="Y89" i="28"/>
  <c r="Z89" i="28" s="1"/>
  <c r="Y88" i="28"/>
  <c r="AA88" i="28" s="1"/>
  <c r="Y87" i="28"/>
  <c r="Z87" i="28" s="1"/>
  <c r="Y86" i="28"/>
  <c r="AA86" i="28" s="1"/>
  <c r="Y85" i="28"/>
  <c r="AB85" i="28" s="1"/>
  <c r="Y84" i="28"/>
  <c r="AB84" i="28" s="1"/>
  <c r="Y83" i="28"/>
  <c r="AB83" i="28" s="1"/>
  <c r="Y82" i="28"/>
  <c r="AB82" i="28" s="1"/>
  <c r="Y81" i="28"/>
  <c r="AB81" i="28" s="1"/>
  <c r="Y80" i="28"/>
  <c r="AB80" i="28" s="1"/>
  <c r="Y79" i="28"/>
  <c r="AB79" i="28" s="1"/>
  <c r="Y78" i="28"/>
  <c r="AA78" i="28" s="1"/>
  <c r="Y77" i="28"/>
  <c r="AA77" i="28" s="1"/>
  <c r="Y76" i="28"/>
  <c r="AA76" i="28" s="1"/>
  <c r="Y75" i="28"/>
  <c r="Z75" i="28" s="1"/>
  <c r="Y74" i="28"/>
  <c r="AB74" i="28" s="1"/>
  <c r="Y73" i="28"/>
  <c r="AB73" i="28" s="1"/>
  <c r="Y72" i="28"/>
  <c r="AB72" i="28" s="1"/>
  <c r="Y71" i="28"/>
  <c r="AA71" i="28" s="1"/>
  <c r="Y70" i="28"/>
  <c r="AB70" i="28" s="1"/>
  <c r="Y69" i="28"/>
  <c r="AB69" i="28" s="1"/>
  <c r="Y68" i="28"/>
  <c r="AB68" i="28" s="1"/>
  <c r="Y67" i="28"/>
  <c r="AB67" i="28" s="1"/>
  <c r="Y66" i="28"/>
  <c r="AA66" i="28" s="1"/>
  <c r="Y65" i="28"/>
  <c r="AB65" i="28" s="1"/>
  <c r="Y64" i="28"/>
  <c r="AA64" i="28" s="1"/>
  <c r="Y63" i="28"/>
  <c r="AA63" i="28" s="1"/>
  <c r="Y62" i="28"/>
  <c r="Z62" i="28" s="1"/>
  <c r="Y61" i="28"/>
  <c r="AB61" i="28" s="1"/>
  <c r="Y60" i="28"/>
  <c r="AB60" i="28" s="1"/>
  <c r="Y59" i="28"/>
  <c r="AB59" i="28" s="1"/>
  <c r="Y58" i="28"/>
  <c r="AB58" i="28" s="1"/>
  <c r="Y57" i="28"/>
  <c r="Z57" i="28" s="1"/>
  <c r="Y56" i="28"/>
  <c r="AA56" i="28" s="1"/>
  <c r="Y55" i="28"/>
  <c r="AA55" i="28" s="1"/>
  <c r="Y54" i="28"/>
  <c r="Z54" i="28" s="1"/>
  <c r="Y53" i="28"/>
  <c r="AB53" i="28" s="1"/>
  <c r="Y52" i="28"/>
  <c r="Z52" i="28" s="1"/>
  <c r="Y51" i="28"/>
  <c r="AB51" i="28" s="1"/>
  <c r="Y50" i="28"/>
  <c r="AB50" i="28" s="1"/>
  <c r="Y49" i="28"/>
  <c r="AA49" i="28" s="1"/>
  <c r="Y48" i="28"/>
  <c r="AB48" i="28" s="1"/>
  <c r="Y47" i="28"/>
  <c r="AB47" i="28" s="1"/>
  <c r="Y46" i="28"/>
  <c r="AB46" i="28" s="1"/>
  <c r="C36" i="28"/>
  <c r="C35" i="28"/>
  <c r="C34" i="28"/>
  <c r="C176" i="28"/>
  <c r="C175" i="28"/>
  <c r="C174" i="28"/>
  <c r="C172" i="28"/>
  <c r="C141" i="28"/>
  <c r="C140" i="28"/>
  <c r="C139" i="28"/>
  <c r="C106" i="28"/>
  <c r="C105" i="28"/>
  <c r="C104" i="28"/>
  <c r="C71" i="28"/>
  <c r="C70" i="28"/>
  <c r="C69" i="28"/>
  <c r="AB90" i="28" l="1"/>
  <c r="AB87" i="28"/>
  <c r="Z63" i="28"/>
  <c r="AA87" i="28"/>
  <c r="Z53" i="28"/>
  <c r="AA75" i="28"/>
  <c r="Z86" i="28"/>
  <c r="AA68" i="28"/>
  <c r="AB62" i="28"/>
  <c r="AB56" i="28"/>
  <c r="Z66" i="28"/>
  <c r="AB86" i="28"/>
  <c r="Z68" i="28"/>
  <c r="AA80" i="28"/>
  <c r="Z92" i="28"/>
  <c r="AA53" i="28"/>
  <c r="AB63" i="28"/>
  <c r="Z46" i="28"/>
  <c r="AB75" i="28"/>
  <c r="Z67" i="28"/>
  <c r="AA52" i="28"/>
  <c r="Z69" i="28"/>
  <c r="AA89" i="28"/>
  <c r="Z70" i="28"/>
  <c r="AA57" i="28"/>
  <c r="Z74" i="28"/>
  <c r="AA62" i="28"/>
  <c r="AA90" i="28"/>
  <c r="Z48" i="28"/>
  <c r="Z81" i="28"/>
  <c r="AA67" i="28"/>
  <c r="AA91" i="28"/>
  <c r="AB57" i="28"/>
  <c r="AA47" i="28"/>
  <c r="Z82" i="28"/>
  <c r="AB52" i="28"/>
  <c r="AB91" i="28"/>
  <c r="Z58" i="28"/>
  <c r="AA69" i="28"/>
  <c r="AA74" i="28"/>
  <c r="AB55" i="28"/>
  <c r="AB76" i="28"/>
  <c r="AB78" i="28"/>
  <c r="Z76" i="28"/>
  <c r="Z47" i="28"/>
  <c r="Z78" i="28"/>
  <c r="AA81" i="28"/>
  <c r="AB88" i="28"/>
  <c r="AA54" i="28"/>
  <c r="AB66" i="28"/>
  <c r="AA79" i="28"/>
  <c r="Z77" i="28"/>
  <c r="Z64" i="28"/>
  <c r="Z79" i="28"/>
  <c r="AA65" i="28"/>
  <c r="AB54" i="28"/>
  <c r="AB89" i="28"/>
  <c r="Z65" i="28"/>
  <c r="Z80" i="28"/>
  <c r="AA46" i="28"/>
  <c r="AB77" i="28"/>
  <c r="Z55" i="28"/>
  <c r="Z88" i="28"/>
  <c r="Z56" i="28"/>
  <c r="AB64" i="28"/>
  <c r="Z50" i="28"/>
  <c r="Z60" i="28"/>
  <c r="Z72" i="28"/>
  <c r="Z84" i="28"/>
  <c r="Z59" i="28"/>
  <c r="Z83" i="28"/>
  <c r="Z51" i="28"/>
  <c r="Z61" i="28"/>
  <c r="Z73" i="28"/>
  <c r="Z85" i="28"/>
  <c r="AA48" i="28"/>
  <c r="AA58" i="28"/>
  <c r="AA70" i="28"/>
  <c r="AA82" i="28"/>
  <c r="AA92" i="28"/>
  <c r="AA83" i="28"/>
  <c r="AA50" i="28"/>
  <c r="AA60" i="28"/>
  <c r="AA72" i="28"/>
  <c r="AA84" i="28"/>
  <c r="AA51" i="28"/>
  <c r="AA61" i="28"/>
  <c r="AA73" i="28"/>
  <c r="AA85" i="28"/>
  <c r="Z49" i="28"/>
  <c r="AA59" i="28"/>
  <c r="AB49" i="28"/>
  <c r="AB71" i="28"/>
  <c r="Z71" i="28"/>
  <c r="C137" i="28"/>
  <c r="C102" i="28"/>
  <c r="C67" i="28"/>
  <c r="C32" i="28"/>
  <c r="C29" i="28"/>
  <c r="C64" i="28"/>
  <c r="C63" i="28"/>
  <c r="C169" i="28"/>
  <c r="C168" i="28"/>
  <c r="C134" i="28"/>
  <c r="C133" i="28"/>
  <c r="C99" i="28"/>
  <c r="C98" i="28"/>
  <c r="C28" i="28"/>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xml:space="preserve">Jo Smith </author>
  </authors>
  <commentList>
    <comment ref="C3" authorId="0" shapeId="0" xr:uid="{37910C7F-EABF-4BBA-AE65-2C217A330EE4}">
      <text>
        <r>
          <rPr>
            <sz val="8"/>
            <color indexed="81"/>
            <rFont val="Tahoma"/>
            <family val="2"/>
          </rPr>
          <t xml:space="preserve">Note: Photosynthetically active radiation
Average annual sum of solar irradiance of 800kWh (figure obtained from 
http://re.jrc.ec.europa.eu/pvgis/countries/europe.htm 
(solar irradiance map of UK and Ireland).
 Further data was obtained from 
http://www.satel-light.com/pub/Bradley06212010152223/map2.htm 
which yielded the same result.). 800 kWh is equivalent to 2880 MJ. 
</t>
        </r>
      </text>
    </comment>
    <comment ref="D3" authorId="0" shapeId="0" xr:uid="{5C448531-A21B-4F0D-83AB-B364FB4C81D5}">
      <text>
        <r>
          <rPr>
            <sz val="8"/>
            <color indexed="81"/>
            <rFont val="Tahoma"/>
            <family val="2"/>
          </rPr>
          <t xml:space="preserve">Note: Photosynthetically active radiation
Average annual sum of solar irradiance of 800kWh (figure obtained from 
http://re.jrc.ec.europa.eu/pvgis/countries/europe.htm 
(solar irradiance map of UK and Ireland).
 Further data was obtained from 
http://www.satel-light.com/pub/Bradley06212010152223/map2.htm 
which yielded the same result.). 800 kWh is equivalent to 2880 MJ. 
</t>
        </r>
      </text>
    </comment>
    <comment ref="C4" authorId="0" shapeId="0" xr:uid="{D860DDCC-BED5-4A28-ABBF-00AF52C939D6}">
      <text>
        <r>
          <rPr>
            <sz val="8"/>
            <color indexed="81"/>
            <rFont val="Tahoma"/>
            <family val="2"/>
          </rPr>
          <t>Note:Light extinction coefficient set after work of Xenakis et al 2008</t>
        </r>
      </text>
    </comment>
    <comment ref="D4" authorId="0" shapeId="0" xr:uid="{D46E19F2-3399-4802-B86E-261AFF2D6782}">
      <text>
        <r>
          <rPr>
            <sz val="8"/>
            <color indexed="81"/>
            <rFont val="Tahoma"/>
            <family val="2"/>
          </rPr>
          <t>Note:Light extinction coefficient set after work of Xenakis et al 2008</t>
        </r>
      </text>
    </comment>
    <comment ref="C6" authorId="0" shapeId="0" xr:uid="{D3221BDD-7A49-41CD-A798-CBC374F8364F}">
      <text>
        <r>
          <rPr>
            <sz val="8"/>
            <color indexed="81"/>
            <rFont val="Tahoma"/>
            <family val="2"/>
          </rPr>
          <t>Note: calibrated against observed data by Xenakis et al 2008.</t>
        </r>
      </text>
    </comment>
    <comment ref="D6" authorId="0" shapeId="0" xr:uid="{35E5528D-6C0B-43A1-B854-D75171D1FBD1}">
      <text>
        <r>
          <rPr>
            <sz val="8"/>
            <color indexed="81"/>
            <rFont val="Tahoma"/>
            <family val="2"/>
          </rPr>
          <t>Note: calibrated against observed data by Xenakis et al 2008</t>
        </r>
      </text>
    </comment>
    <comment ref="C8" authorId="0" shapeId="0" xr:uid="{F52EBECD-DECD-43D4-A7F4-57980B1A4942}">
      <text>
        <r>
          <rPr>
            <sz val="8"/>
            <color indexed="81"/>
            <rFont val="Tahoma"/>
            <family val="2"/>
          </rPr>
          <t>Note: Maximum light-use efficiency for Scots Pine set after Xenakis et al 2008</t>
        </r>
      </text>
    </comment>
    <comment ref="D8" authorId="0" shapeId="0" xr:uid="{754B8101-83D8-4642-A818-435FC51E542A}">
      <text>
        <r>
          <rPr>
            <sz val="8"/>
            <color indexed="81"/>
            <rFont val="Tahoma"/>
            <family val="2"/>
          </rPr>
          <t>Note: Value for maximum light-use efficiency for Sitka Spruce set after Minnuno et al, 2010</t>
        </r>
      </text>
    </comment>
    <comment ref="C9" authorId="0" shapeId="0" xr:uid="{E9BC2EF4-0B57-4C1B-8D18-34675DA1097B}">
      <text>
        <r>
          <rPr>
            <sz val="8"/>
            <color indexed="81"/>
            <rFont val="Tahoma"/>
            <family val="2"/>
          </rPr>
          <t>Note: NPP/GPP set to 0.47 after Waring et al (2000) and Minnuno etal (2010)</t>
        </r>
      </text>
    </comment>
    <comment ref="D9" authorId="0" shapeId="0" xr:uid="{81C8062C-03D2-4BEA-AEA7-16F395109AD0}">
      <text>
        <r>
          <rPr>
            <sz val="8"/>
            <color indexed="81"/>
            <rFont val="Tahoma"/>
            <family val="2"/>
          </rPr>
          <t>Note: NPP/GPP set to 0.47 after Waring et al (2000) and Minnuno etal (2010)</t>
        </r>
      </text>
    </comment>
    <comment ref="C10" authorId="0" shapeId="0" xr:uid="{73521085-E3AE-4A10-8587-F997C8CA5A54}">
      <text>
        <r>
          <rPr>
            <sz val="8"/>
            <color indexed="81"/>
            <rFont val="Tahoma"/>
            <family val="2"/>
          </rPr>
          <t>Note: Allocation to foliage set to 0.25 after Magnani et al., 2007</t>
        </r>
      </text>
    </comment>
    <comment ref="D10" authorId="0" shapeId="0" xr:uid="{DBC5B1CE-A561-4DDC-8C22-11B98AC82DE1}">
      <text>
        <r>
          <rPr>
            <sz val="8"/>
            <color indexed="81"/>
            <rFont val="Tahoma"/>
            <family val="2"/>
          </rPr>
          <t>Note: Allocation to foliage set to 0.25 after Magnani et al., 2007</t>
        </r>
      </text>
    </comment>
    <comment ref="C12" authorId="0" shapeId="0" xr:uid="{6E445EF5-1916-4045-9E62-A485E70B05C1}">
      <text>
        <r>
          <rPr>
            <sz val="8"/>
            <color indexed="81"/>
            <rFont val="Tahoma"/>
            <family val="2"/>
          </rPr>
          <t>Note: Age for 50% reduction in light use efficiency for Scots Pine set to 100 yrs after work of Xenakis et al., 2008</t>
        </r>
      </text>
    </comment>
    <comment ref="D12" authorId="0" shapeId="0" xr:uid="{35957F6E-4F91-4973-B800-6DD5B8C039DA}">
      <text>
        <r>
          <rPr>
            <sz val="8"/>
            <color indexed="81"/>
            <rFont val="Tahoma"/>
            <family val="2"/>
          </rPr>
          <t>Note: Age for 50% reduction in light use efficiency for Scots Pine set to 120 years by after work of Magnani et al, 2007</t>
        </r>
      </text>
    </comment>
    <comment ref="C18" authorId="0" shapeId="0" xr:uid="{1242D61A-A5CB-412D-80ED-C54CF72408A1}">
      <text>
        <r>
          <rPr>
            <sz val="8"/>
            <color indexed="81"/>
            <rFont val="Tahoma"/>
            <family val="2"/>
          </rPr>
          <t>Note: LAI set after Magnani et al, 2007</t>
        </r>
      </text>
    </comment>
    <comment ref="D18" authorId="0" shapeId="0" xr:uid="{A7CEA19A-1C73-4881-A6D9-1051BFD491C4}">
      <text>
        <r>
          <rPr>
            <sz val="8"/>
            <color indexed="81"/>
            <rFont val="Tahoma"/>
            <family val="2"/>
          </rPr>
          <t>Note: LAI set after Magnani et al, 2007</t>
        </r>
      </text>
    </comment>
  </commentList>
</comments>
</file>

<file path=xl/sharedStrings.xml><?xml version="1.0" encoding="utf-8"?>
<sst xmlns="http://schemas.openxmlformats.org/spreadsheetml/2006/main" count="306" uniqueCount="166">
  <si>
    <t>Years after felling when replanting occurs</t>
  </si>
  <si>
    <t>Forestry Plantation Characteristics</t>
  </si>
  <si>
    <t>Record source of data</t>
  </si>
  <si>
    <t>Possible range of values</t>
  </si>
  <si>
    <t>Enter minimum value here</t>
  </si>
  <si>
    <t>Expected values</t>
  </si>
  <si>
    <t>Enter expected value here</t>
  </si>
  <si>
    <t>Enter maximum value here</t>
  </si>
  <si>
    <t>Lifetime of windfarm (years)</t>
  </si>
  <si>
    <t>Species</t>
  </si>
  <si>
    <t>Age of forestry when felled for windfarm (yr)</t>
  </si>
  <si>
    <r>
      <t>Value of felled forestry as a biomass fuel (MWh t</t>
    </r>
    <r>
      <rPr>
        <vertAlign val="superscript"/>
        <sz val="10"/>
        <rFont val="Arial"/>
        <family val="2"/>
      </rPr>
      <t>-1</t>
    </r>
    <r>
      <rPr>
        <sz val="10"/>
        <rFont val="Arial"/>
        <family val="2"/>
      </rPr>
      <t>)</t>
    </r>
  </si>
  <si>
    <t>(Carbon : Biomass) ratio of felled forestry</t>
  </si>
  <si>
    <t>Parameter</t>
  </si>
  <si>
    <t>Units</t>
  </si>
  <si>
    <t>3PG module</t>
  </si>
  <si>
    <t>Accumulated temperature</t>
  </si>
  <si>
    <t>Light extinction coefficient</t>
  </si>
  <si>
    <t>-</t>
  </si>
  <si>
    <t>Specific leaf area</t>
  </si>
  <si>
    <t>Leaf longevity</t>
  </si>
  <si>
    <t>yrs</t>
  </si>
  <si>
    <t>Fine root longevity</t>
  </si>
  <si>
    <t>Maximum light-use efficiency</t>
  </si>
  <si>
    <t>Ratio of NPP to GPP</t>
  </si>
  <si>
    <t>Allocation to foliage</t>
  </si>
  <si>
    <t>Coefficient for allocation response to nitrogen</t>
  </si>
  <si>
    <t>Age for 50% reduction in light-use efficiency</t>
  </si>
  <si>
    <t>Initial foliage biomass</t>
  </si>
  <si>
    <t>Understorey module</t>
  </si>
  <si>
    <t>Understorey LAI</t>
  </si>
  <si>
    <t>AREA 1</t>
  </si>
  <si>
    <t>AREA 2</t>
  </si>
  <si>
    <t>AREA 3</t>
  </si>
  <si>
    <t>AREA 4</t>
  </si>
  <si>
    <t>AREA 5</t>
  </si>
  <si>
    <t>Years when replanted forestry will be grown on wind farm site</t>
  </si>
  <si>
    <t>Average annual photosynthetically active radiation</t>
  </si>
  <si>
    <t xml:space="preserve">Note - total number of turbines already specified: </t>
  </si>
  <si>
    <t>Scots pine</t>
  </si>
  <si>
    <t>Sitka spruce</t>
  </si>
  <si>
    <t>Input data</t>
  </si>
  <si>
    <t>C</t>
  </si>
  <si>
    <r>
      <t>Grid-mix emission factor (t CO</t>
    </r>
    <r>
      <rPr>
        <vertAlign val="subscript"/>
        <sz val="10"/>
        <rFont val="Arial"/>
        <family val="2"/>
      </rPr>
      <t>2</t>
    </r>
    <r>
      <rPr>
        <sz val="10"/>
        <rFont val="Arial"/>
        <family val="2"/>
      </rPr>
      <t xml:space="preserve"> MWh</t>
    </r>
    <r>
      <rPr>
        <vertAlign val="superscript"/>
        <sz val="10"/>
        <rFont val="Arial"/>
        <family val="2"/>
      </rPr>
      <t>-1</t>
    </r>
    <r>
      <rPr>
        <sz val="10"/>
        <rFont val="Arial"/>
        <family val="2"/>
      </rPr>
      <t>)</t>
    </r>
  </si>
  <si>
    <t>Yes</t>
  </si>
  <si>
    <t>No</t>
  </si>
  <si>
    <t>Felling regime</t>
  </si>
  <si>
    <r>
      <t>Emissions of CO</t>
    </r>
    <r>
      <rPr>
        <vertAlign val="subscript"/>
        <sz val="10"/>
        <rFont val="Arial"/>
        <family val="2"/>
      </rPr>
      <t>2</t>
    </r>
    <r>
      <rPr>
        <sz val="10"/>
        <rFont val="Arial"/>
        <family val="2"/>
      </rPr>
      <t xml:space="preserve"> associated with transportation (g CO</t>
    </r>
    <r>
      <rPr>
        <vertAlign val="subscript"/>
        <sz val="10"/>
        <rFont val="Arial"/>
        <family val="2"/>
      </rPr>
      <t>2</t>
    </r>
    <r>
      <rPr>
        <sz val="10"/>
        <rFont val="Arial"/>
        <family val="2"/>
      </rPr>
      <t xml:space="preserve"> km</t>
    </r>
    <r>
      <rPr>
        <vertAlign val="superscript"/>
        <sz val="10"/>
        <rFont val="Arial"/>
        <family val="2"/>
      </rPr>
      <t>-1</t>
    </r>
    <r>
      <rPr>
        <sz val="10"/>
        <rFont val="Arial"/>
        <family val="2"/>
      </rPr>
      <t xml:space="preserve"> t</t>
    </r>
    <r>
      <rPr>
        <vertAlign val="superscript"/>
        <sz val="10"/>
        <rFont val="Arial"/>
        <family val="2"/>
      </rPr>
      <t>-1</t>
    </r>
    <r>
      <rPr>
        <sz val="10"/>
        <rFont val="Arial"/>
        <family val="2"/>
      </rPr>
      <t>)</t>
    </r>
  </si>
  <si>
    <t>t</t>
  </si>
  <si>
    <t>y0</t>
  </si>
  <si>
    <t>y1</t>
  </si>
  <si>
    <t>t1</t>
  </si>
  <si>
    <t>c</t>
  </si>
  <si>
    <t>n1</t>
  </si>
  <si>
    <t>n2</t>
  </si>
  <si>
    <t>n3</t>
  </si>
  <si>
    <t>Value</t>
  </si>
  <si>
    <t>y(n1)</t>
  </si>
  <si>
    <t>y(n2)</t>
  </si>
  <si>
    <t>y(n3)</t>
  </si>
  <si>
    <t>t0</t>
  </si>
  <si>
    <t>Fallow period between harvesting of forestry and restoration of peatland hydrology (yr)</t>
  </si>
  <si>
    <t>Input used to parameterise 3PG module</t>
  </si>
  <si>
    <t>Yield Class</t>
  </si>
  <si>
    <t>Age of forestry when felled (yr)</t>
  </si>
  <si>
    <t>Is forestry being rotated?</t>
  </si>
  <si>
    <t>Total area felled (ha)</t>
  </si>
  <si>
    <t>Expected post-restoration water table depth (m)</t>
  </si>
  <si>
    <t>Peatland restoration</t>
  </si>
  <si>
    <t>Pre-restoration water table depth (m)</t>
  </si>
  <si>
    <t>Felled Forest Biomass used for timber products (if No, left in situ)?</t>
  </si>
  <si>
    <r>
      <t>Emissions from damming (kg CO</t>
    </r>
    <r>
      <rPr>
        <vertAlign val="subscript"/>
        <sz val="10"/>
        <rFont val="Arial"/>
        <family val="2"/>
      </rPr>
      <t>2</t>
    </r>
    <r>
      <rPr>
        <sz val="10"/>
        <rFont val="Arial"/>
        <family val="2"/>
      </rPr>
      <t xml:space="preserve"> ha</t>
    </r>
    <r>
      <rPr>
        <vertAlign val="superscript"/>
        <sz val="10"/>
        <rFont val="Arial"/>
        <family val="2"/>
      </rPr>
      <t>-1</t>
    </r>
    <r>
      <rPr>
        <sz val="10"/>
        <rFont val="Arial"/>
        <family val="2"/>
      </rPr>
      <t>)</t>
    </r>
  </si>
  <si>
    <r>
      <t>Emissions from bunding (kg CO</t>
    </r>
    <r>
      <rPr>
        <vertAlign val="subscript"/>
        <sz val="10"/>
        <rFont val="Arial"/>
        <family val="2"/>
      </rPr>
      <t>2</t>
    </r>
    <r>
      <rPr>
        <sz val="10"/>
        <rFont val="Arial"/>
        <family val="2"/>
      </rPr>
      <t xml:space="preserve"> ha</t>
    </r>
    <r>
      <rPr>
        <vertAlign val="superscript"/>
        <sz val="10"/>
        <rFont val="Arial"/>
        <family val="2"/>
      </rPr>
      <t>-1</t>
    </r>
    <r>
      <rPr>
        <sz val="10"/>
        <rFont val="Arial"/>
        <family val="2"/>
      </rPr>
      <t>)</t>
    </r>
  </si>
  <si>
    <r>
      <t>Emissions from turfing (imported) (kg CO</t>
    </r>
    <r>
      <rPr>
        <vertAlign val="subscript"/>
        <sz val="10"/>
        <rFont val="Arial"/>
        <family val="2"/>
      </rPr>
      <t>2</t>
    </r>
    <r>
      <rPr>
        <sz val="10"/>
        <rFont val="Arial"/>
        <family val="2"/>
      </rPr>
      <t xml:space="preserve"> ha</t>
    </r>
    <r>
      <rPr>
        <vertAlign val="superscript"/>
        <sz val="10"/>
        <rFont val="Arial"/>
        <family val="2"/>
      </rPr>
      <t>-1</t>
    </r>
    <r>
      <rPr>
        <sz val="10"/>
        <rFont val="Arial"/>
        <family val="2"/>
      </rPr>
      <t>)</t>
    </r>
  </si>
  <si>
    <r>
      <t>Emissions from turfing (local) (kg CO</t>
    </r>
    <r>
      <rPr>
        <vertAlign val="subscript"/>
        <sz val="10"/>
        <rFont val="Arial"/>
        <family val="2"/>
      </rPr>
      <t>2</t>
    </r>
    <r>
      <rPr>
        <sz val="10"/>
        <rFont val="Arial"/>
        <family val="2"/>
      </rPr>
      <t xml:space="preserve"> ha</t>
    </r>
    <r>
      <rPr>
        <vertAlign val="superscript"/>
        <sz val="10"/>
        <rFont val="Arial"/>
        <family val="2"/>
      </rPr>
      <t>-1</t>
    </r>
    <r>
      <rPr>
        <sz val="10"/>
        <rFont val="Arial"/>
        <family val="2"/>
      </rPr>
      <t>)</t>
    </r>
  </si>
  <si>
    <r>
      <t>Emissions from lime and fertilser treatment (kg CO</t>
    </r>
    <r>
      <rPr>
        <vertAlign val="subscript"/>
        <sz val="10"/>
        <rFont val="Arial"/>
        <family val="2"/>
      </rPr>
      <t>2</t>
    </r>
    <r>
      <rPr>
        <sz val="10"/>
        <rFont val="Arial"/>
        <family val="2"/>
      </rPr>
      <t xml:space="preserve"> ha</t>
    </r>
    <r>
      <rPr>
        <vertAlign val="superscript"/>
        <sz val="10"/>
        <rFont val="Arial"/>
        <family val="2"/>
      </rPr>
      <t>-1</t>
    </r>
    <r>
      <rPr>
        <sz val="10"/>
        <rFont val="Arial"/>
        <family val="2"/>
      </rPr>
      <t>)</t>
    </r>
  </si>
  <si>
    <t>Management interventions</t>
  </si>
  <si>
    <t>Gully/grip (drain) blocking</t>
  </si>
  <si>
    <t>Surface/shallow bunding</t>
  </si>
  <si>
    <t>Direct re-vegetation of bog plants (imported turf)</t>
  </si>
  <si>
    <t>Direct re-vegetation of bog plants (local turf)</t>
  </si>
  <si>
    <t>Indirect re-vegetation of bog plants (lime and fertilization)</t>
  </si>
  <si>
    <t>Peat depth (m)</t>
  </si>
  <si>
    <t>Depth of peat drainage for forestry (m)</t>
  </si>
  <si>
    <t>Emissions from peat smoothing (kg CO2 ha-1)</t>
  </si>
  <si>
    <t>Peat smoothing (including stump flipping)</t>
  </si>
  <si>
    <r>
      <t>Emissions from mulching (kg CO</t>
    </r>
    <r>
      <rPr>
        <vertAlign val="subscript"/>
        <sz val="10"/>
        <rFont val="Arial"/>
        <family val="2"/>
      </rPr>
      <t>2</t>
    </r>
    <r>
      <rPr>
        <sz val="10"/>
        <rFont val="Arial"/>
        <family val="2"/>
      </rPr>
      <t xml:space="preserve"> ha</t>
    </r>
    <r>
      <rPr>
        <vertAlign val="superscript"/>
        <sz val="10"/>
        <rFont val="Arial"/>
        <family val="2"/>
      </rPr>
      <t>-1</t>
    </r>
    <r>
      <rPr>
        <sz val="10"/>
        <rFont val="Arial"/>
        <family val="2"/>
      </rPr>
      <t>)</t>
    </r>
  </si>
  <si>
    <t>Shape parameter for restoration of peatland ecosystem function</t>
  </si>
  <si>
    <t>Time to restoration of peatland ecosystem function (yr)</t>
  </si>
  <si>
    <r>
      <t>Emissions from felling (kg CO</t>
    </r>
    <r>
      <rPr>
        <vertAlign val="subscript"/>
        <sz val="10"/>
        <rFont val="Arial"/>
        <family val="2"/>
      </rPr>
      <t>2</t>
    </r>
    <r>
      <rPr>
        <sz val="10"/>
        <rFont val="Arial"/>
        <family val="2"/>
      </rPr>
      <t xml:space="preserve"> m</t>
    </r>
    <r>
      <rPr>
        <vertAlign val="superscript"/>
        <sz val="10"/>
        <rFont val="Arial"/>
        <family val="2"/>
      </rPr>
      <t>-3</t>
    </r>
    <r>
      <rPr>
        <sz val="10"/>
        <rFont val="Arial"/>
        <family val="2"/>
      </rPr>
      <t>)</t>
    </r>
  </si>
  <si>
    <t>Aqauatic carbon flux</t>
  </si>
  <si>
    <r>
      <t>Reprentative total aquatic carbon flux restored peatland (t CO</t>
    </r>
    <r>
      <rPr>
        <vertAlign val="subscript"/>
        <sz val="10"/>
        <rFont val="Arial"/>
        <family val="2"/>
      </rPr>
      <t>2</t>
    </r>
    <r>
      <rPr>
        <sz val="10"/>
        <rFont val="Arial"/>
        <family val="2"/>
      </rPr>
      <t xml:space="preserve"> ha</t>
    </r>
    <r>
      <rPr>
        <vertAlign val="superscript"/>
        <sz val="10"/>
        <rFont val="Arial"/>
        <family val="2"/>
      </rPr>
      <t>-1</t>
    </r>
    <r>
      <rPr>
        <sz val="10"/>
        <rFont val="Arial"/>
        <family val="2"/>
      </rPr>
      <t xml:space="preserve"> yr</t>
    </r>
    <r>
      <rPr>
        <vertAlign val="superscript"/>
        <sz val="10"/>
        <rFont val="Arial"/>
        <family val="2"/>
      </rPr>
      <t>-1</t>
    </r>
    <r>
      <rPr>
        <sz val="10"/>
        <rFont val="Arial"/>
        <family val="2"/>
      </rPr>
      <t>)</t>
    </r>
  </si>
  <si>
    <t>Aquatic carbon loss to total gaseous loss ratio</t>
  </si>
  <si>
    <t>Emissions factors</t>
  </si>
  <si>
    <r>
      <t>Proportion of aquatic carbon the ends up as atmospheric CO</t>
    </r>
    <r>
      <rPr>
        <vertAlign val="subscript"/>
        <sz val="10"/>
        <rFont val="Arial"/>
        <family val="2"/>
      </rPr>
      <t>2</t>
    </r>
  </si>
  <si>
    <t>Rooting depth</t>
  </si>
  <si>
    <t>Average rooting depth (m)</t>
  </si>
  <si>
    <r>
      <t>Biomass density of the rooting zone (t Biomass m</t>
    </r>
    <r>
      <rPr>
        <vertAlign val="superscript"/>
        <sz val="10"/>
        <rFont val="Arial"/>
        <family val="2"/>
      </rPr>
      <t>-3</t>
    </r>
    <r>
      <rPr>
        <sz val="10"/>
        <rFont val="Arial"/>
        <family val="2"/>
      </rPr>
      <t xml:space="preserve"> soil)</t>
    </r>
  </si>
  <si>
    <t>Var_name</t>
  </si>
  <si>
    <t>Scots_Pine</t>
  </si>
  <si>
    <t>Sitka_Spruce</t>
  </si>
  <si>
    <t>phi_p</t>
  </si>
  <si>
    <t>kP</t>
  </si>
  <si>
    <t>SLA</t>
  </si>
  <si>
    <t>L_long</t>
  </si>
  <si>
    <t>R_long</t>
  </si>
  <si>
    <t>e_max</t>
  </si>
  <si>
    <t>YPP</t>
  </si>
  <si>
    <t>pF</t>
  </si>
  <si>
    <t>N0</t>
  </si>
  <si>
    <t>A0.5</t>
  </si>
  <si>
    <t>Wl_init</t>
  </si>
  <si>
    <t>Age of seedlings on replanting</t>
  </si>
  <si>
    <t>t_seedling_replant</t>
  </si>
  <si>
    <t>acc_temp</t>
  </si>
  <si>
    <t>Environmental growth modifier</t>
  </si>
  <si>
    <t>f_E</t>
  </si>
  <si>
    <t>LAI_u</t>
  </si>
  <si>
    <t>Forestry parameters</t>
  </si>
  <si>
    <t>Rotation length (yr)</t>
  </si>
  <si>
    <t>t_rotation</t>
  </si>
  <si>
    <t>t_harv</t>
  </si>
  <si>
    <t>t_wf</t>
  </si>
  <si>
    <t>t_replant</t>
  </si>
  <si>
    <t>t_replant_guar</t>
  </si>
  <si>
    <t>Type</t>
  </si>
  <si>
    <t>Compartment</t>
  </si>
  <si>
    <t>Var</t>
  </si>
  <si>
    <t>alpha</t>
  </si>
  <si>
    <t>Half-life</t>
  </si>
  <si>
    <t>delta</t>
  </si>
  <si>
    <t>Processed</t>
  </si>
  <si>
    <t>Paper</t>
  </si>
  <si>
    <t>alpha_wpF</t>
  </si>
  <si>
    <t>Panel</t>
  </si>
  <si>
    <t>alpha_wpM</t>
  </si>
  <si>
    <t>Sawn</t>
  </si>
  <si>
    <t>alpha_wpS</t>
  </si>
  <si>
    <t>Offcuts</t>
  </si>
  <si>
    <t>alpha_wpO</t>
  </si>
  <si>
    <t>Unprocessed</t>
  </si>
  <si>
    <t>Foliage</t>
  </si>
  <si>
    <t>alpha_f</t>
  </si>
  <si>
    <t>Stemwood</t>
  </si>
  <si>
    <t>alpha_s</t>
  </si>
  <si>
    <t>Roots</t>
  </si>
  <si>
    <t>alpha_r</t>
  </si>
  <si>
    <t>Branches</t>
  </si>
  <si>
    <t>alpha_b</t>
  </si>
  <si>
    <t>Mulch</t>
  </si>
  <si>
    <t>alpha_m</t>
  </si>
  <si>
    <t>y</t>
  </si>
  <si>
    <t>x</t>
  </si>
  <si>
    <t>a0</t>
  </si>
  <si>
    <t>a1</t>
  </si>
  <si>
    <t>a2</t>
  </si>
  <si>
    <t>a3</t>
  </si>
  <si>
    <t>a4</t>
  </si>
  <si>
    <t>YC</t>
  </si>
  <si>
    <t>NPP_max</t>
  </si>
  <si>
    <t>NPP_max_LCA</t>
  </si>
  <si>
    <t>spp</t>
  </si>
  <si>
    <r>
      <t>MJ m</t>
    </r>
    <r>
      <rPr>
        <vertAlign val="superscript"/>
        <sz val="10"/>
        <rFont val="Arial"/>
        <family val="2"/>
      </rPr>
      <t>-2</t>
    </r>
    <r>
      <rPr>
        <sz val="10"/>
        <rFont val="Arial"/>
        <family val="2"/>
      </rPr>
      <t xml:space="preserve"> yr</t>
    </r>
    <r>
      <rPr>
        <vertAlign val="superscript"/>
        <sz val="10"/>
        <rFont val="Arial"/>
        <family val="2"/>
      </rPr>
      <t>-1</t>
    </r>
  </si>
  <si>
    <r>
      <t>m</t>
    </r>
    <r>
      <rPr>
        <vertAlign val="superscript"/>
        <sz val="10"/>
        <rFont val="Arial"/>
        <family val="2"/>
      </rPr>
      <t>2</t>
    </r>
    <r>
      <rPr>
        <sz val="10"/>
        <rFont val="Arial"/>
        <family val="2"/>
      </rPr>
      <t xml:space="preserve"> kg</t>
    </r>
    <r>
      <rPr>
        <vertAlign val="superscript"/>
        <sz val="10"/>
        <rFont val="Arial"/>
        <family val="2"/>
      </rPr>
      <t>-1</t>
    </r>
    <r>
      <rPr>
        <sz val="10"/>
        <rFont val="Arial"/>
        <family val="2"/>
      </rPr>
      <t xml:space="preserve"> C</t>
    </r>
  </si>
  <si>
    <r>
      <t>kg C MJ</t>
    </r>
    <r>
      <rPr>
        <vertAlign val="superscript"/>
        <sz val="10"/>
        <rFont val="Arial"/>
        <family val="2"/>
      </rPr>
      <t>-1</t>
    </r>
    <r>
      <rPr>
        <sz val="10"/>
        <rFont val="Arial"/>
        <family val="2"/>
      </rPr>
      <t>day</t>
    </r>
    <r>
      <rPr>
        <vertAlign val="superscript"/>
        <sz val="10"/>
        <rFont val="Arial"/>
        <family val="2"/>
      </rPr>
      <t>-1</t>
    </r>
  </si>
  <si>
    <r>
      <t>kg C m</t>
    </r>
    <r>
      <rPr>
        <vertAlign val="superscript"/>
        <sz val="10"/>
        <rFont val="Arial"/>
        <family val="2"/>
      </rPr>
      <t>-2</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</si>
</sst>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
    <numFmt numFmtId="165" formatCode="0.0"/>
    <numFmt numFmtId="166" formatCode="0.00000"/>
  </numFmts>
  <fonts count="18" x14ac:knownFonts="1">
    <font>
      <sz val="10"/>
      <name val="Arial"/>
    </font>
    <font>
      <sz val="10"/>
      <name val="Arial"/>
      <family val="2"/>
    </font>
    <font>
      <sz val="8"/>
      <name val="Arial"/>
      <family val="2"/>
    </font>
    <font>
      <vertAlign val="superscript"/>
      <sz val="10"/>
      <name val="Arial"/>
      <family val="2"/>
    </font>
    <font>
      <b/>
      <sz val="10"/>
      <name val="Arial"/>
      <family val="2"/>
    </font>
    <font>
      <sz val="10"/>
      <name val="Arial"/>
      <family val="2"/>
    </font>
    <font>
      <vertAlign val="subscript"/>
      <sz val="10"/>
      <name val="Arial"/>
      <family val="2"/>
    </font>
    <font>
      <u/>
      <sz val="10"/>
      <name val="Arial"/>
      <family val="2"/>
    </font>
    <font>
      <b/>
      <u/>
      <sz val="10"/>
      <name val="Arial"/>
      <family val="2"/>
    </font>
    <font>
      <strike/>
      <sz val="10"/>
      <name val="Arial"/>
      <family val="2"/>
    </font>
    <font>
      <sz val="8"/>
      <color indexed="81"/>
      <name val="Tahoma"/>
      <family val="2"/>
    </font>
    <font>
      <sz val="6"/>
      <name val="Arial"/>
      <family val="2"/>
    </font>
    <font>
      <sz val="8"/>
      <color indexed="9"/>
      <name val="Arial"/>
      <family val="2"/>
    </font>
    <font>
      <b/>
      <sz val="10"/>
      <color indexed="9"/>
      <name val="Arial"/>
      <family val="2"/>
    </font>
    <font>
      <sz val="10"/>
      <color indexed="9"/>
      <name val="Arial"/>
      <family val="2"/>
    </font>
    <font>
      <b/>
      <sz val="8"/>
      <color indexed="9"/>
      <name val="Arial"/>
      <family val="2"/>
    </font>
    <font>
      <sz val="12"/>
      <name val="Aptos"/>
      <family val="2"/>
    </font>
    <font>
      <sz val="8"/>
      <name val="Aptos"/>
      <family val="2"/>
    </font>
  </fonts>
  <fills count="17">
    <fill>
      <patternFill patternType="none"/>
    </fill>
    <fill>
      <patternFill patternType="gray125"/>
    </fill>
    <fill>
      <patternFill patternType="solid">
        <fgColor indexed="9"/>
        <bgColor indexed="64"/>
      </patternFill>
    </fill>
    <fill>
      <patternFill patternType="solid">
        <fgColor indexed="22"/>
        <bgColor indexed="64"/>
      </patternFill>
    </fill>
    <fill>
      <patternFill patternType="solid">
        <fgColor indexed="11"/>
        <bgColor indexed="64"/>
      </patternFill>
    </fill>
    <fill>
      <patternFill patternType="solid">
        <fgColor indexed="50"/>
        <bgColor indexed="64"/>
      </patternFill>
    </fill>
    <fill>
      <patternFill patternType="solid">
        <fgColor indexed="45"/>
        <bgColor indexed="64"/>
      </patternFill>
    </fill>
    <fill>
      <patternFill patternType="solid">
        <fgColor indexed="55"/>
        <bgColor indexed="64"/>
      </patternFill>
    </fill>
    <fill>
      <patternFill patternType="solid">
        <fgColor indexed="57"/>
        <bgColor indexed="64"/>
      </patternFill>
    </fill>
    <fill>
      <patternFill patternType="solid">
        <fgColor indexed="19"/>
        <bgColor indexed="64"/>
      </patternFill>
    </fill>
    <fill>
      <patternFill patternType="solid">
        <fgColor rgb="FFFF99CC"/>
        <bgColor indexed="64"/>
      </patternFill>
    </fill>
    <fill>
      <patternFill patternType="solid">
        <fgColor rgb="FF00FF00"/>
        <bgColor indexed="64"/>
      </patternFill>
    </fill>
    <fill>
      <patternFill patternType="solid">
        <fgColor rgb="FF99CC00"/>
        <bgColor indexed="64"/>
      </patternFill>
    </fill>
    <fill>
      <patternFill patternType="solid">
        <fgColor rgb="FF808000"/>
        <bgColor indexed="64"/>
      </patternFill>
    </fill>
    <fill>
      <patternFill patternType="solid">
        <fgColor theme="3" tint="0.79998168889431442"/>
        <bgColor indexed="64"/>
      </patternFill>
    </fill>
    <fill>
      <patternFill patternType="solid">
        <fgColor theme="0" tint="-0.249977111117893"/>
        <bgColor indexed="64"/>
      </patternFill>
    </fill>
    <fill>
      <patternFill patternType="solid">
        <fgColor theme="0"/>
        <bgColor indexed="64"/>
      </patternFill>
    </fill>
  </fills>
  <borders count="3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style="thin">
        <color indexed="64"/>
      </right>
      <top/>
      <bottom style="thin">
        <color indexed="64"/>
      </bottom>
      <diagonal/>
    </border>
    <border>
      <left style="medium">
        <color indexed="64"/>
      </left>
      <right/>
      <top/>
      <bottom/>
      <diagonal/>
    </border>
    <border>
      <left style="medium">
        <color indexed="64"/>
      </left>
      <right/>
      <top style="thin">
        <color indexed="64"/>
      </top>
      <bottom/>
      <diagonal/>
    </border>
    <border>
      <left style="medium">
        <color indexed="64"/>
      </left>
      <right/>
      <top/>
      <bottom style="medium">
        <color indexed="64"/>
      </bottom>
      <diagonal/>
    </border>
    <border>
      <left style="medium">
        <color indexed="64"/>
      </left>
      <right/>
      <top style="medium">
        <color indexed="64"/>
      </top>
      <bottom/>
      <diagonal/>
    </border>
    <border>
      <left/>
      <right/>
      <top style="medium">
        <color indexed="64"/>
      </top>
      <bottom/>
      <diagonal/>
    </border>
    <border>
      <left style="thin">
        <color indexed="64"/>
      </left>
      <right style="thin">
        <color indexed="64"/>
      </right>
      <top/>
      <bottom style="medium">
        <color indexed="64"/>
      </bottom>
      <diagonal/>
    </border>
    <border>
      <left style="thin">
        <color indexed="64"/>
      </left>
      <right style="thin">
        <color indexed="64"/>
      </right>
      <top style="medium">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bottom style="thin">
        <color indexed="64"/>
      </bottom>
      <diagonal/>
    </border>
    <border>
      <left/>
      <right style="medium">
        <color indexed="64"/>
      </right>
      <top style="medium">
        <color indexed="64"/>
      </top>
      <bottom/>
      <diagonal/>
    </border>
    <border>
      <left/>
      <right style="medium">
        <color indexed="64"/>
      </right>
      <top/>
      <bottom style="medium">
        <color indexed="64"/>
      </bottom>
      <diagonal/>
    </border>
    <border>
      <left style="thin">
        <color indexed="64"/>
      </left>
      <right/>
      <top style="medium">
        <color indexed="64"/>
      </top>
      <bottom/>
      <diagonal/>
    </border>
    <border>
      <left/>
      <right style="medium">
        <color indexed="64"/>
      </right>
      <top/>
      <bottom/>
      <diagonal/>
    </border>
    <border>
      <left/>
      <right style="thin">
        <color indexed="64"/>
      </right>
      <top style="medium">
        <color indexed="64"/>
      </top>
      <bottom/>
      <diagonal/>
    </border>
    <border>
      <left/>
      <right style="thin">
        <color indexed="64"/>
      </right>
      <top/>
      <bottom style="medium">
        <color indexed="64"/>
      </bottom>
      <diagonal/>
    </border>
    <border>
      <left/>
      <right style="medium">
        <color indexed="64"/>
      </right>
      <top/>
      <bottom style="thin">
        <color indexed="64"/>
      </bottom>
      <diagonal/>
    </border>
    <border>
      <left/>
      <right style="medium">
        <color indexed="64"/>
      </right>
      <top style="thin">
        <color indexed="64"/>
      </top>
      <bottom/>
      <diagonal/>
    </border>
    <border>
      <left style="thin">
        <color indexed="64"/>
      </left>
      <right/>
      <top/>
      <bottom style="medium">
        <color indexed="64"/>
      </bottom>
      <diagonal/>
    </border>
    <border>
      <left/>
      <right/>
      <top/>
      <bottom style="medium">
        <color indexed="64"/>
      </bottom>
      <diagonal/>
    </border>
  </borders>
  <cellStyleXfs count="2">
    <xf numFmtId="0" fontId="0" fillId="0" borderId="0"/>
    <xf numFmtId="0" fontId="1" fillId="0" borderId="0"/>
  </cellStyleXfs>
  <cellXfs count="278">
    <xf numFmtId="0" fontId="0" fillId="0" borderId="0" xfId="0"/>
    <xf numFmtId="0" fontId="0" fillId="2" borderId="0" xfId="0" applyFill="1" applyAlignment="1">
      <alignment vertical="center"/>
    </xf>
    <xf numFmtId="0" fontId="0" fillId="2" borderId="5" xfId="0" applyFill="1" applyBorder="1" applyAlignment="1">
      <alignment vertical="center"/>
    </xf>
    <xf numFmtId="0" fontId="0" fillId="2" borderId="3" xfId="0" applyFill="1" applyBorder="1" applyAlignment="1">
      <alignment vertical="center"/>
    </xf>
    <xf numFmtId="0" fontId="11" fillId="2" borderId="0" xfId="0" applyFont="1" applyFill="1"/>
    <xf numFmtId="0" fontId="0" fillId="2" borderId="6" xfId="0" applyFill="1" applyBorder="1" applyAlignment="1">
      <alignment horizontal="center" vertical="center"/>
    </xf>
    <xf numFmtId="1" fontId="0" fillId="6" borderId="5" xfId="0" applyNumberFormat="1" applyFill="1" applyBorder="1" applyAlignment="1" applyProtection="1">
      <alignment horizontal="center" vertical="center"/>
      <protection locked="0"/>
    </xf>
    <xf numFmtId="2" fontId="0" fillId="6" borderId="5" xfId="0" applyNumberFormat="1" applyFill="1" applyBorder="1" applyAlignment="1" applyProtection="1">
      <alignment horizontal="center" vertical="center"/>
      <protection locked="0"/>
    </xf>
    <xf numFmtId="49" fontId="5" fillId="3" borderId="5" xfId="0" applyNumberFormat="1" applyFont="1" applyFill="1" applyBorder="1" applyAlignment="1" applyProtection="1">
      <alignment horizontal="center" vertical="center" wrapText="1"/>
      <protection locked="0"/>
    </xf>
    <xf numFmtId="49" fontId="9" fillId="3" borderId="5" xfId="0" applyNumberFormat="1" applyFont="1" applyFill="1" applyBorder="1" applyAlignment="1" applyProtection="1">
      <alignment horizontal="center" vertical="center" wrapText="1"/>
      <protection locked="0"/>
    </xf>
    <xf numFmtId="1" fontId="0" fillId="6" borderId="0" xfId="0" applyNumberFormat="1" applyFill="1" applyAlignment="1" applyProtection="1">
      <alignment horizontal="center" vertical="center"/>
      <protection locked="0"/>
    </xf>
    <xf numFmtId="0" fontId="0" fillId="6" borderId="6" xfId="0" applyFill="1" applyBorder="1" applyAlignment="1" applyProtection="1">
      <alignment horizontal="center" vertical="center"/>
      <protection locked="0"/>
    </xf>
    <xf numFmtId="166" fontId="0" fillId="6" borderId="5" xfId="0" applyNumberFormat="1" applyFill="1" applyBorder="1" applyAlignment="1" applyProtection="1">
      <alignment horizontal="center" vertical="center"/>
      <protection locked="0"/>
    </xf>
    <xf numFmtId="1" fontId="0" fillId="8" borderId="7" xfId="0" applyNumberFormat="1" applyFill="1" applyBorder="1" applyAlignment="1" applyProtection="1">
      <alignment horizontal="center" vertical="center"/>
      <protection locked="0"/>
    </xf>
    <xf numFmtId="49" fontId="9" fillId="8" borderId="7" xfId="0" applyNumberFormat="1" applyFont="1" applyFill="1" applyBorder="1" applyAlignment="1" applyProtection="1">
      <alignment horizontal="center" vertical="center" wrapText="1"/>
      <protection locked="0"/>
    </xf>
    <xf numFmtId="0" fontId="0" fillId="5" borderId="5" xfId="0" applyFill="1" applyBorder="1" applyAlignment="1" applyProtection="1">
      <alignment vertical="center"/>
      <protection locked="0"/>
    </xf>
    <xf numFmtId="0" fontId="5" fillId="5" borderId="0" xfId="0" applyFont="1" applyFill="1" applyAlignment="1" applyProtection="1">
      <alignment horizontal="center" vertical="center" wrapText="1"/>
      <protection locked="0"/>
    </xf>
    <xf numFmtId="49" fontId="5" fillId="5" borderId="5" xfId="0" applyNumberFormat="1" applyFont="1" applyFill="1" applyBorder="1" applyAlignment="1" applyProtection="1">
      <alignment horizontal="center" vertical="center" wrapText="1"/>
      <protection locked="0"/>
    </xf>
    <xf numFmtId="1" fontId="0" fillId="5" borderId="7" xfId="0" applyNumberFormat="1" applyFill="1" applyBorder="1" applyAlignment="1" applyProtection="1">
      <alignment horizontal="center" vertical="center"/>
      <protection locked="0"/>
    </xf>
    <xf numFmtId="49" fontId="9" fillId="5" borderId="7" xfId="0" applyNumberFormat="1" applyFont="1" applyFill="1" applyBorder="1" applyAlignment="1" applyProtection="1">
      <alignment horizontal="center" vertical="center" wrapText="1"/>
      <protection locked="0"/>
    </xf>
    <xf numFmtId="0" fontId="0" fillId="9" borderId="5" xfId="0" applyFill="1" applyBorder="1" applyAlignment="1" applyProtection="1">
      <alignment vertical="center"/>
      <protection locked="0"/>
    </xf>
    <xf numFmtId="0" fontId="5" fillId="9" borderId="0" xfId="0" applyFont="1" applyFill="1" applyAlignment="1" applyProtection="1">
      <alignment horizontal="center" vertical="center" wrapText="1"/>
      <protection locked="0"/>
    </xf>
    <xf numFmtId="49" fontId="5" fillId="9" borderId="5" xfId="0" applyNumberFormat="1" applyFont="1" applyFill="1" applyBorder="1" applyAlignment="1" applyProtection="1">
      <alignment horizontal="center" vertical="center" wrapText="1"/>
      <protection locked="0"/>
    </xf>
    <xf numFmtId="1" fontId="0" fillId="9" borderId="7" xfId="0" applyNumberFormat="1" applyFill="1" applyBorder="1" applyAlignment="1" applyProtection="1">
      <alignment horizontal="center" vertical="center"/>
      <protection locked="0"/>
    </xf>
    <xf numFmtId="49" fontId="9" fillId="9" borderId="7" xfId="0" applyNumberFormat="1" applyFont="1" applyFill="1" applyBorder="1" applyAlignment="1" applyProtection="1">
      <alignment horizontal="center" vertical="center" wrapText="1"/>
      <protection locked="0"/>
    </xf>
    <xf numFmtId="0" fontId="0" fillId="4" borderId="5" xfId="0" applyFill="1" applyBorder="1" applyAlignment="1" applyProtection="1">
      <alignment vertical="center"/>
      <protection locked="0"/>
    </xf>
    <xf numFmtId="0" fontId="5" fillId="4" borderId="0" xfId="0" applyFont="1" applyFill="1" applyAlignment="1" applyProtection="1">
      <alignment horizontal="center" vertical="center" wrapText="1"/>
      <protection locked="0"/>
    </xf>
    <xf numFmtId="49" fontId="5" fillId="4" borderId="5" xfId="0" applyNumberFormat="1" applyFont="1" applyFill="1" applyBorder="1" applyAlignment="1" applyProtection="1">
      <alignment horizontal="center" vertical="center" wrapText="1"/>
      <protection locked="0"/>
    </xf>
    <xf numFmtId="1" fontId="0" fillId="4" borderId="7" xfId="0" applyNumberFormat="1" applyFill="1" applyBorder="1" applyAlignment="1" applyProtection="1">
      <alignment horizontal="center" vertical="center"/>
      <protection locked="0"/>
    </xf>
    <xf numFmtId="49" fontId="9" fillId="4" borderId="7" xfId="0" applyNumberFormat="1" applyFont="1" applyFill="1" applyBorder="1" applyAlignment="1" applyProtection="1">
      <alignment horizontal="center" vertical="center" wrapText="1"/>
      <protection locked="0"/>
    </xf>
    <xf numFmtId="0" fontId="5" fillId="2" borderId="13" xfId="0" applyFont="1" applyFill="1" applyBorder="1" applyAlignment="1">
      <alignment vertical="center" wrapText="1"/>
    </xf>
    <xf numFmtId="0" fontId="0" fillId="2" borderId="0" xfId="0" applyFill="1" applyAlignment="1">
      <alignment vertical="center" shrinkToFit="1"/>
    </xf>
    <xf numFmtId="0" fontId="7" fillId="2" borderId="18" xfId="0" applyFont="1" applyFill="1" applyBorder="1" applyAlignment="1">
      <alignment horizontal="center" vertical="center" wrapText="1"/>
    </xf>
    <xf numFmtId="0" fontId="7" fillId="0" borderId="0" xfId="0" applyFont="1" applyAlignment="1">
      <alignment horizontal="center" vertical="center" wrapText="1"/>
    </xf>
    <xf numFmtId="0" fontId="0" fillId="7" borderId="25" xfId="0" applyFill="1" applyBorder="1" applyAlignment="1">
      <alignment vertical="center"/>
    </xf>
    <xf numFmtId="0" fontId="4" fillId="7" borderId="16" xfId="0" applyFont="1" applyFill="1" applyBorder="1" applyAlignment="1">
      <alignment horizontal="center" vertical="center" wrapText="1"/>
    </xf>
    <xf numFmtId="0" fontId="0" fillId="7" borderId="25" xfId="0" applyFill="1" applyBorder="1" applyAlignment="1">
      <alignment horizontal="center" vertical="center"/>
    </xf>
    <xf numFmtId="0" fontId="5" fillId="7" borderId="17" xfId="0" applyFont="1" applyFill="1" applyBorder="1" applyAlignment="1">
      <alignment horizontal="center" vertical="center" wrapText="1"/>
    </xf>
    <xf numFmtId="0" fontId="2" fillId="2" borderId="0" xfId="0" applyFont="1" applyFill="1" applyAlignment="1">
      <alignment vertical="center" shrinkToFit="1"/>
    </xf>
    <xf numFmtId="0" fontId="11" fillId="2" borderId="0" xfId="0" applyFont="1" applyFill="1" applyAlignment="1">
      <alignment horizontal="right" vertical="center" shrinkToFit="1"/>
    </xf>
    <xf numFmtId="0" fontId="11" fillId="2" borderId="0" xfId="0" applyFont="1" applyFill="1" applyAlignment="1">
      <alignment vertical="center"/>
    </xf>
    <xf numFmtId="0" fontId="2" fillId="2" borderId="0" xfId="0" applyFont="1" applyFill="1" applyAlignment="1">
      <alignment shrinkToFit="1"/>
    </xf>
    <xf numFmtId="0" fontId="4" fillId="2" borderId="23" xfId="0" applyFont="1" applyFill="1" applyBorder="1" applyAlignment="1">
      <alignment horizontal="center" vertical="center"/>
    </xf>
    <xf numFmtId="49" fontId="5" fillId="3" borderId="5" xfId="0" applyNumberFormat="1" applyFont="1" applyFill="1" applyBorder="1" applyAlignment="1">
      <alignment horizontal="center" vertical="center" wrapText="1"/>
    </xf>
    <xf numFmtId="49" fontId="5" fillId="3" borderId="26" xfId="0" applyNumberFormat="1" applyFont="1" applyFill="1" applyBorder="1" applyAlignment="1">
      <alignment horizontal="center" vertical="center" wrapText="1"/>
    </xf>
    <xf numFmtId="0" fontId="4" fillId="7" borderId="16" xfId="0" applyFont="1" applyFill="1" applyBorder="1" applyAlignment="1">
      <alignment horizontal="center" vertical="center"/>
    </xf>
    <xf numFmtId="0" fontId="4" fillId="7" borderId="27" xfId="0" applyFont="1" applyFill="1" applyBorder="1" applyAlignment="1">
      <alignment horizontal="center" vertical="center"/>
    </xf>
    <xf numFmtId="0" fontId="7" fillId="2" borderId="6" xfId="0" applyFont="1" applyFill="1" applyBorder="1" applyAlignment="1">
      <alignment vertical="center"/>
    </xf>
    <xf numFmtId="0" fontId="0" fillId="2" borderId="6" xfId="0" applyFill="1" applyBorder="1" applyAlignment="1">
      <alignment vertical="center"/>
    </xf>
    <xf numFmtId="0" fontId="5" fillId="2" borderId="13" xfId="0" applyFont="1" applyFill="1" applyBorder="1" applyAlignment="1">
      <alignment vertical="center"/>
    </xf>
    <xf numFmtId="49" fontId="9" fillId="3" borderId="26" xfId="0" applyNumberFormat="1" applyFont="1" applyFill="1" applyBorder="1" applyAlignment="1">
      <alignment horizontal="center" vertical="center" wrapText="1"/>
    </xf>
    <xf numFmtId="0" fontId="4" fillId="7" borderId="17" xfId="0" applyFont="1" applyFill="1" applyBorder="1" applyAlignment="1">
      <alignment horizontal="center" vertical="center" wrapText="1"/>
    </xf>
    <xf numFmtId="49" fontId="5" fillId="7" borderId="25" xfId="0" applyNumberFormat="1" applyFont="1" applyFill="1" applyBorder="1" applyAlignment="1">
      <alignment horizontal="center" vertical="center" wrapText="1"/>
    </xf>
    <xf numFmtId="49" fontId="5" fillId="7" borderId="23" xfId="0" applyNumberFormat="1" applyFont="1" applyFill="1" applyBorder="1" applyAlignment="1">
      <alignment horizontal="center" vertical="center" wrapText="1"/>
    </xf>
    <xf numFmtId="0" fontId="11" fillId="2" borderId="0" xfId="0" applyFont="1" applyFill="1" applyAlignment="1">
      <alignment horizontal="right" vertical="center" wrapText="1" shrinkToFit="1"/>
    </xf>
    <xf numFmtId="0" fontId="4" fillId="7" borderId="22" xfId="0" applyFont="1" applyFill="1" applyBorder="1" applyAlignment="1">
      <alignment vertical="center" wrapText="1"/>
    </xf>
    <xf numFmtId="0" fontId="4" fillId="7" borderId="8" xfId="0" applyFont="1" applyFill="1" applyBorder="1" applyAlignment="1">
      <alignment horizontal="right" vertical="center" wrapText="1"/>
    </xf>
    <xf numFmtId="1" fontId="4" fillId="7" borderId="4" xfId="0" applyNumberFormat="1" applyFont="1" applyFill="1" applyBorder="1" applyAlignment="1">
      <alignment horizontal="center" vertical="center" wrapText="1"/>
    </xf>
    <xf numFmtId="0" fontId="4" fillId="7" borderId="8" xfId="0" applyFont="1" applyFill="1" applyBorder="1" applyAlignment="1">
      <alignment vertical="center" wrapText="1"/>
    </xf>
    <xf numFmtId="0" fontId="4" fillId="7" borderId="29" xfId="0" applyFont="1" applyFill="1" applyBorder="1" applyAlignment="1">
      <alignment vertical="center" wrapText="1"/>
    </xf>
    <xf numFmtId="0" fontId="13" fillId="8" borderId="14" xfId="0" applyFont="1" applyFill="1" applyBorder="1" applyAlignment="1">
      <alignment horizontal="center" vertical="center"/>
    </xf>
    <xf numFmtId="0" fontId="15" fillId="8" borderId="11" xfId="0" applyFont="1" applyFill="1" applyBorder="1" applyAlignment="1">
      <alignment horizontal="left" vertical="center"/>
    </xf>
    <xf numFmtId="0" fontId="14" fillId="8" borderId="9" xfId="0" applyFont="1" applyFill="1" applyBorder="1" applyAlignment="1">
      <alignment vertical="center"/>
    </xf>
    <xf numFmtId="0" fontId="14" fillId="8" borderId="10" xfId="0" applyFont="1" applyFill="1" applyBorder="1" applyAlignment="1">
      <alignment horizontal="center" vertical="center" wrapText="1"/>
    </xf>
    <xf numFmtId="49" fontId="14" fillId="8" borderId="9" xfId="0" applyNumberFormat="1" applyFont="1" applyFill="1" applyBorder="1" applyAlignment="1">
      <alignment horizontal="center" vertical="center" wrapText="1"/>
    </xf>
    <xf numFmtId="49" fontId="14" fillId="8" borderId="30" xfId="0" applyNumberFormat="1" applyFont="1" applyFill="1" applyBorder="1" applyAlignment="1">
      <alignment horizontal="center" vertical="center" wrapText="1"/>
    </xf>
    <xf numFmtId="49" fontId="9" fillId="8" borderId="26" xfId="0" applyNumberFormat="1" applyFont="1" applyFill="1" applyBorder="1" applyAlignment="1">
      <alignment horizontal="center" vertical="center" wrapText="1"/>
    </xf>
    <xf numFmtId="0" fontId="5" fillId="8" borderId="13" xfId="0" applyFont="1" applyFill="1" applyBorder="1" applyAlignment="1">
      <alignment horizontal="left" vertical="center" wrapText="1"/>
    </xf>
    <xf numFmtId="49" fontId="5" fillId="8" borderId="26" xfId="0" applyNumberFormat="1" applyFont="1" applyFill="1" applyBorder="1" applyAlignment="1">
      <alignment horizontal="center" vertical="center" wrapText="1"/>
    </xf>
    <xf numFmtId="0" fontId="0" fillId="8" borderId="13" xfId="0" applyFill="1" applyBorder="1" applyAlignment="1">
      <alignment vertical="center"/>
    </xf>
    <xf numFmtId="0" fontId="11" fillId="2" borderId="0" xfId="0" applyFont="1" applyFill="1" applyAlignment="1">
      <alignment vertical="center" shrinkToFit="1"/>
    </xf>
    <xf numFmtId="0" fontId="0" fillId="8" borderId="13" xfId="0" applyFill="1" applyBorder="1" applyAlignment="1">
      <alignment horizontal="left" vertical="center" indent="1"/>
    </xf>
    <xf numFmtId="0" fontId="0" fillId="2" borderId="6" xfId="0" applyFill="1" applyBorder="1" applyAlignment="1">
      <alignment horizontal="left" vertical="center" indent="1"/>
    </xf>
    <xf numFmtId="0" fontId="5" fillId="8" borderId="13" xfId="0" applyFont="1" applyFill="1" applyBorder="1" applyAlignment="1">
      <alignment horizontal="left" vertical="center" indent="1"/>
    </xf>
    <xf numFmtId="0" fontId="5" fillId="8" borderId="22" xfId="0" applyFont="1" applyFill="1" applyBorder="1" applyAlignment="1">
      <alignment horizontal="left" vertical="center" indent="1"/>
    </xf>
    <xf numFmtId="0" fontId="5" fillId="8" borderId="12" xfId="0" applyFont="1" applyFill="1" applyBorder="1" applyAlignment="1">
      <alignment horizontal="left" vertical="center" indent="1"/>
    </xf>
    <xf numFmtId="49" fontId="9" fillId="8" borderId="29" xfId="0" applyNumberFormat="1" applyFont="1" applyFill="1" applyBorder="1" applyAlignment="1">
      <alignment horizontal="center" vertical="center" wrapText="1"/>
    </xf>
    <xf numFmtId="0" fontId="4" fillId="5" borderId="13" xfId="0" applyFont="1" applyFill="1" applyBorder="1" applyAlignment="1">
      <alignment horizontal="center" vertical="center"/>
    </xf>
    <xf numFmtId="0" fontId="15" fillId="5" borderId="6" xfId="0" applyFont="1" applyFill="1" applyBorder="1" applyAlignment="1">
      <alignment horizontal="left" vertical="center"/>
    </xf>
    <xf numFmtId="49" fontId="5" fillId="5" borderId="26" xfId="0" applyNumberFormat="1" applyFont="1" applyFill="1" applyBorder="1" applyAlignment="1">
      <alignment horizontal="center" vertical="center" wrapText="1"/>
    </xf>
    <xf numFmtId="49" fontId="9" fillId="5" borderId="26" xfId="0" applyNumberFormat="1" applyFont="1" applyFill="1" applyBorder="1" applyAlignment="1">
      <alignment horizontal="center" vertical="center" wrapText="1"/>
    </xf>
    <xf numFmtId="0" fontId="5" fillId="5" borderId="13" xfId="0" applyFont="1" applyFill="1" applyBorder="1" applyAlignment="1">
      <alignment horizontal="left" vertical="center" wrapText="1"/>
    </xf>
    <xf numFmtId="0" fontId="0" fillId="5" borderId="13" xfId="0" applyFill="1" applyBorder="1" applyAlignment="1">
      <alignment vertical="center"/>
    </xf>
    <xf numFmtId="0" fontId="0" fillId="5" borderId="13" xfId="0" applyFill="1" applyBorder="1" applyAlignment="1">
      <alignment horizontal="left" vertical="center" indent="1"/>
    </xf>
    <xf numFmtId="0" fontId="5" fillId="5" borderId="13" xfId="0" applyFont="1" applyFill="1" applyBorder="1" applyAlignment="1">
      <alignment horizontal="left" vertical="center" indent="1"/>
    </xf>
    <xf numFmtId="0" fontId="5" fillId="5" borderId="13" xfId="0" applyFont="1" applyFill="1" applyBorder="1" applyAlignment="1">
      <alignment horizontal="left" vertical="center" wrapText="1" indent="1"/>
    </xf>
    <xf numFmtId="0" fontId="15" fillId="9" borderId="6" xfId="0" applyFont="1" applyFill="1" applyBorder="1" applyAlignment="1">
      <alignment horizontal="left" vertical="center"/>
    </xf>
    <xf numFmtId="0" fontId="5" fillId="9" borderId="13" xfId="0" applyFont="1" applyFill="1" applyBorder="1" applyAlignment="1">
      <alignment horizontal="left" vertical="center"/>
    </xf>
    <xf numFmtId="49" fontId="9" fillId="9" borderId="26" xfId="0" applyNumberFormat="1" applyFont="1" applyFill="1" applyBorder="1" applyAlignment="1">
      <alignment horizontal="center" vertical="center" wrapText="1"/>
    </xf>
    <xf numFmtId="0" fontId="0" fillId="9" borderId="13" xfId="0" applyFill="1" applyBorder="1" applyAlignment="1">
      <alignment vertical="center"/>
    </xf>
    <xf numFmtId="0" fontId="0" fillId="9" borderId="13" xfId="0" applyFill="1" applyBorder="1" applyAlignment="1">
      <alignment horizontal="left" vertical="center" indent="1"/>
    </xf>
    <xf numFmtId="0" fontId="5" fillId="9" borderId="13" xfId="0" applyFont="1" applyFill="1" applyBorder="1" applyAlignment="1">
      <alignment horizontal="left" vertical="center" indent="1"/>
    </xf>
    <xf numFmtId="0" fontId="5" fillId="9" borderId="13" xfId="0" applyFont="1" applyFill="1" applyBorder="1" applyAlignment="1">
      <alignment horizontal="left" vertical="center" wrapText="1" indent="1"/>
    </xf>
    <xf numFmtId="0" fontId="5" fillId="9" borderId="12" xfId="0" applyFont="1" applyFill="1" applyBorder="1" applyAlignment="1">
      <alignment horizontal="left" vertical="center" indent="1"/>
    </xf>
    <xf numFmtId="0" fontId="15" fillId="4" borderId="6" xfId="0" applyFont="1" applyFill="1" applyBorder="1" applyAlignment="1">
      <alignment horizontal="left" vertical="center"/>
    </xf>
    <xf numFmtId="0" fontId="5" fillId="4" borderId="13" xfId="0" applyFont="1" applyFill="1" applyBorder="1" applyAlignment="1">
      <alignment horizontal="left" vertical="center"/>
    </xf>
    <xf numFmtId="49" fontId="9" fillId="4" borderId="26" xfId="0" applyNumberFormat="1" applyFont="1" applyFill="1" applyBorder="1" applyAlignment="1">
      <alignment horizontal="center" vertical="center" wrapText="1"/>
    </xf>
    <xf numFmtId="0" fontId="0" fillId="4" borderId="13" xfId="0" applyFill="1" applyBorder="1" applyAlignment="1">
      <alignment vertical="center"/>
    </xf>
    <xf numFmtId="0" fontId="0" fillId="4" borderId="13" xfId="0" applyFill="1" applyBorder="1" applyAlignment="1">
      <alignment horizontal="left" vertical="center" indent="1"/>
    </xf>
    <xf numFmtId="0" fontId="5" fillId="4" borderId="13" xfId="0" applyFont="1" applyFill="1" applyBorder="1" applyAlignment="1">
      <alignment horizontal="left" vertical="center" indent="1"/>
    </xf>
    <xf numFmtId="0" fontId="5" fillId="4" borderId="13" xfId="0" applyFont="1" applyFill="1" applyBorder="1" applyAlignment="1">
      <alignment horizontal="left" vertical="center" wrapText="1" indent="1"/>
    </xf>
    <xf numFmtId="0" fontId="5" fillId="4" borderId="12" xfId="0" applyFont="1" applyFill="1" applyBorder="1" applyAlignment="1">
      <alignment horizontal="left" vertical="center" indent="1"/>
    </xf>
    <xf numFmtId="0" fontId="1" fillId="2" borderId="6" xfId="0" applyFont="1" applyFill="1" applyBorder="1" applyAlignment="1">
      <alignment vertical="center"/>
    </xf>
    <xf numFmtId="49" fontId="2" fillId="3" borderId="5" xfId="0" applyNumberFormat="1" applyFont="1" applyFill="1" applyBorder="1" applyAlignment="1" applyProtection="1">
      <alignment horizontal="center" vertical="center" wrapText="1"/>
      <protection locked="0"/>
    </xf>
    <xf numFmtId="0" fontId="1" fillId="2" borderId="2" xfId="0" applyFont="1" applyFill="1" applyBorder="1" applyAlignment="1">
      <alignment horizontal="center" vertical="center"/>
    </xf>
    <xf numFmtId="0" fontId="1" fillId="2" borderId="3" xfId="0" applyFont="1" applyFill="1" applyBorder="1" applyAlignment="1">
      <alignment horizontal="center" vertical="center"/>
    </xf>
    <xf numFmtId="0" fontId="4" fillId="2" borderId="1" xfId="0" applyFont="1" applyFill="1" applyBorder="1" applyAlignment="1">
      <alignment horizontal="center" vertical="center"/>
    </xf>
    <xf numFmtId="0" fontId="4" fillId="2" borderId="21" xfId="0" applyFont="1" applyFill="1" applyBorder="1" applyAlignment="1">
      <alignment horizontal="center" vertical="center"/>
    </xf>
    <xf numFmtId="0" fontId="1" fillId="14" borderId="3" xfId="0" applyFont="1" applyFill="1" applyBorder="1" applyAlignment="1">
      <alignment horizontal="center" vertical="center"/>
    </xf>
    <xf numFmtId="0" fontId="0" fillId="14" borderId="6" xfId="0" applyFill="1" applyBorder="1" applyAlignment="1">
      <alignment horizontal="center" vertical="center"/>
    </xf>
    <xf numFmtId="0" fontId="1" fillId="14" borderId="4" xfId="0" applyFont="1" applyFill="1" applyBorder="1" applyAlignment="1">
      <alignment horizontal="center" vertical="center"/>
    </xf>
    <xf numFmtId="0" fontId="0" fillId="14" borderId="12" xfId="0" applyFill="1" applyBorder="1" applyAlignment="1">
      <alignment horizontal="center" vertical="center"/>
    </xf>
    <xf numFmtId="0" fontId="0" fillId="2" borderId="7" xfId="0" applyFill="1" applyBorder="1" applyAlignment="1">
      <alignment vertical="center"/>
    </xf>
    <xf numFmtId="0" fontId="4" fillId="2" borderId="20" xfId="0" applyFont="1" applyFill="1" applyBorder="1" applyAlignment="1">
      <alignment horizontal="center" vertical="center"/>
    </xf>
    <xf numFmtId="0" fontId="0" fillId="2" borderId="4" xfId="0" applyFill="1" applyBorder="1" applyAlignment="1">
      <alignment vertical="center"/>
    </xf>
    <xf numFmtId="1" fontId="0" fillId="10" borderId="5" xfId="0" applyNumberFormat="1" applyFill="1" applyBorder="1" applyAlignment="1" applyProtection="1">
      <alignment horizontal="center" vertical="center"/>
      <protection locked="0"/>
    </xf>
    <xf numFmtId="49" fontId="2" fillId="15" borderId="5" xfId="0" applyNumberFormat="1" applyFont="1" applyFill="1" applyBorder="1" applyAlignment="1" applyProtection="1">
      <alignment horizontal="center" vertical="center" wrapText="1"/>
      <protection locked="0"/>
    </xf>
    <xf numFmtId="49" fontId="5" fillId="15" borderId="5" xfId="0" applyNumberFormat="1" applyFont="1" applyFill="1" applyBorder="1" applyAlignment="1" applyProtection="1">
      <alignment horizontal="center" vertical="center" wrapText="1"/>
      <protection locked="0"/>
    </xf>
    <xf numFmtId="2" fontId="0" fillId="6" borderId="0" xfId="0" applyNumberFormat="1" applyFill="1" applyAlignment="1" applyProtection="1">
      <alignment horizontal="center" vertical="center"/>
      <protection locked="0"/>
    </xf>
    <xf numFmtId="0" fontId="0" fillId="13" borderId="13" xfId="0" applyFill="1" applyBorder="1" applyAlignment="1">
      <alignment vertical="center"/>
    </xf>
    <xf numFmtId="49" fontId="9" fillId="13" borderId="26" xfId="0" applyNumberFormat="1" applyFont="1" applyFill="1" applyBorder="1" applyAlignment="1">
      <alignment horizontal="center" vertical="center" wrapText="1"/>
    </xf>
    <xf numFmtId="49" fontId="9" fillId="11" borderId="26" xfId="0" applyNumberFormat="1" applyFont="1" applyFill="1" applyBorder="1" applyAlignment="1">
      <alignment horizontal="center" vertical="center" wrapText="1"/>
    </xf>
    <xf numFmtId="0" fontId="0" fillId="11" borderId="13" xfId="0" applyFill="1" applyBorder="1" applyAlignment="1">
      <alignment vertical="center"/>
    </xf>
    <xf numFmtId="49" fontId="9" fillId="12" borderId="26" xfId="0" applyNumberFormat="1" applyFont="1" applyFill="1" applyBorder="1" applyAlignment="1">
      <alignment horizontal="center" vertical="center" wrapText="1"/>
    </xf>
    <xf numFmtId="0" fontId="0" fillId="12" borderId="13" xfId="0" applyFill="1" applyBorder="1" applyAlignment="1">
      <alignment vertical="center"/>
    </xf>
    <xf numFmtId="0" fontId="0" fillId="10" borderId="0" xfId="0" applyFill="1" applyAlignment="1">
      <alignment horizontal="center" vertical="center"/>
    </xf>
    <xf numFmtId="0" fontId="1" fillId="10" borderId="0" xfId="0" applyFont="1" applyFill="1" applyAlignment="1">
      <alignment horizontal="center" vertical="center"/>
    </xf>
    <xf numFmtId="0" fontId="1" fillId="2" borderId="6" xfId="0" applyFont="1" applyFill="1" applyBorder="1" applyAlignment="1">
      <alignment horizontal="left" vertical="center" indent="1"/>
    </xf>
    <xf numFmtId="0" fontId="7" fillId="5" borderId="13" xfId="0" applyFont="1" applyFill="1" applyBorder="1" applyAlignment="1">
      <alignment vertical="center"/>
    </xf>
    <xf numFmtId="0" fontId="7" fillId="9" borderId="13" xfId="0" applyFont="1" applyFill="1" applyBorder="1" applyAlignment="1">
      <alignment vertical="center"/>
    </xf>
    <xf numFmtId="0" fontId="7" fillId="4" borderId="13" xfId="0" applyFont="1" applyFill="1" applyBorder="1" applyAlignment="1">
      <alignment vertical="center"/>
    </xf>
    <xf numFmtId="0" fontId="7" fillId="5" borderId="0" xfId="0" applyFont="1" applyFill="1" applyAlignment="1">
      <alignment vertical="center"/>
    </xf>
    <xf numFmtId="0" fontId="0" fillId="2" borderId="26" xfId="0" applyFill="1" applyBorder="1" applyAlignment="1">
      <alignment vertical="center"/>
    </xf>
    <xf numFmtId="0" fontId="5" fillId="5" borderId="6" xfId="0" applyFont="1" applyFill="1" applyBorder="1" applyAlignment="1">
      <alignment horizontal="left" vertical="center" indent="1"/>
    </xf>
    <xf numFmtId="0" fontId="5" fillId="9" borderId="14" xfId="0" applyFont="1" applyFill="1" applyBorder="1" applyAlignment="1">
      <alignment horizontal="left" vertical="center"/>
    </xf>
    <xf numFmtId="0" fontId="15" fillId="9" borderId="11" xfId="0" applyFont="1" applyFill="1" applyBorder="1" applyAlignment="1">
      <alignment horizontal="left" vertical="center"/>
    </xf>
    <xf numFmtId="49" fontId="5" fillId="12" borderId="26" xfId="0" applyNumberFormat="1" applyFont="1" applyFill="1" applyBorder="1" applyAlignment="1">
      <alignment horizontal="center" vertical="center" wrapText="1"/>
    </xf>
    <xf numFmtId="49" fontId="14" fillId="12" borderId="29" xfId="0" applyNumberFormat="1" applyFont="1" applyFill="1" applyBorder="1" applyAlignment="1">
      <alignment horizontal="center" vertical="center" wrapText="1"/>
    </xf>
    <xf numFmtId="0" fontId="4" fillId="12" borderId="0" xfId="0" applyFont="1" applyFill="1" applyAlignment="1">
      <alignment horizontal="center" vertical="center"/>
    </xf>
    <xf numFmtId="0" fontId="13" fillId="12" borderId="13" xfId="0" applyFont="1" applyFill="1" applyBorder="1" applyAlignment="1">
      <alignment horizontal="center" vertical="center"/>
    </xf>
    <xf numFmtId="49" fontId="5" fillId="13" borderId="26" xfId="0" applyNumberFormat="1" applyFont="1" applyFill="1" applyBorder="1" applyAlignment="1">
      <alignment horizontal="center" vertical="center" wrapText="1"/>
    </xf>
    <xf numFmtId="49" fontId="14" fillId="13" borderId="29" xfId="0" applyNumberFormat="1" applyFont="1" applyFill="1" applyBorder="1" applyAlignment="1">
      <alignment horizontal="center" vertical="center" wrapText="1"/>
    </xf>
    <xf numFmtId="0" fontId="13" fillId="13" borderId="22" xfId="0" applyFont="1" applyFill="1" applyBorder="1" applyAlignment="1">
      <alignment horizontal="center" vertical="center"/>
    </xf>
    <xf numFmtId="0" fontId="4" fillId="13" borderId="13" xfId="0" applyFont="1" applyFill="1" applyBorder="1" applyAlignment="1">
      <alignment horizontal="center" vertical="center"/>
    </xf>
    <xf numFmtId="49" fontId="5" fillId="11" borderId="26" xfId="0" applyNumberFormat="1" applyFont="1" applyFill="1" applyBorder="1" applyAlignment="1">
      <alignment horizontal="center" vertical="center" wrapText="1"/>
    </xf>
    <xf numFmtId="49" fontId="14" fillId="11" borderId="29" xfId="0" applyNumberFormat="1" applyFont="1" applyFill="1" applyBorder="1" applyAlignment="1">
      <alignment horizontal="center" vertical="center" wrapText="1"/>
    </xf>
    <xf numFmtId="0" fontId="4" fillId="11" borderId="13" xfId="0" applyFont="1" applyFill="1" applyBorder="1" applyAlignment="1">
      <alignment horizontal="center" vertical="center"/>
    </xf>
    <xf numFmtId="0" fontId="13" fillId="11" borderId="22" xfId="0" applyFont="1" applyFill="1" applyBorder="1" applyAlignment="1">
      <alignment horizontal="center" vertical="center"/>
    </xf>
    <xf numFmtId="0" fontId="0" fillId="13" borderId="26" xfId="0" applyFill="1" applyBorder="1" applyAlignment="1">
      <alignment vertical="center"/>
    </xf>
    <xf numFmtId="0" fontId="0" fillId="13" borderId="0" xfId="0" applyFill="1" applyAlignment="1">
      <alignment vertical="center"/>
    </xf>
    <xf numFmtId="0" fontId="7" fillId="8" borderId="13" xfId="0" applyFont="1" applyFill="1" applyBorder="1" applyAlignment="1">
      <alignment vertical="center"/>
    </xf>
    <xf numFmtId="0" fontId="0" fillId="8" borderId="13" xfId="0" applyFill="1" applyBorder="1" applyAlignment="1">
      <alignment horizontal="left" vertical="center" wrapText="1" indent="1"/>
    </xf>
    <xf numFmtId="49" fontId="9" fillId="8" borderId="26" xfId="0" applyNumberFormat="1" applyFont="1" applyFill="1" applyBorder="1" applyAlignment="1">
      <alignment horizontal="left" vertical="center" wrapText="1" indent="1"/>
    </xf>
    <xf numFmtId="0" fontId="1" fillId="2" borderId="0" xfId="0" applyFont="1" applyFill="1" applyAlignment="1">
      <alignment vertical="center" shrinkToFit="1"/>
    </xf>
    <xf numFmtId="0" fontId="0" fillId="6" borderId="0" xfId="0" applyFill="1" applyAlignment="1" applyProtection="1">
      <alignment horizontal="center" vertical="center"/>
      <protection locked="0"/>
    </xf>
    <xf numFmtId="1" fontId="0" fillId="6" borderId="6" xfId="0" applyNumberFormat="1" applyFill="1" applyBorder="1" applyAlignment="1" applyProtection="1">
      <alignment horizontal="center" vertical="center"/>
      <protection locked="0"/>
    </xf>
    <xf numFmtId="0" fontId="0" fillId="6" borderId="3" xfId="0" applyFill="1" applyBorder="1" applyAlignment="1" applyProtection="1">
      <alignment horizontal="center" vertical="center"/>
      <protection locked="0"/>
    </xf>
    <xf numFmtId="1" fontId="0" fillId="6" borderId="3" xfId="0" applyNumberFormat="1" applyFill="1" applyBorder="1" applyAlignment="1" applyProtection="1">
      <alignment horizontal="center" vertical="center"/>
      <protection locked="0"/>
    </xf>
    <xf numFmtId="2" fontId="2" fillId="3" borderId="5" xfId="0" applyNumberFormat="1" applyFont="1" applyFill="1" applyBorder="1" applyAlignment="1" applyProtection="1">
      <alignment horizontal="center" vertical="center" wrapText="1"/>
      <protection locked="0"/>
    </xf>
    <xf numFmtId="2" fontId="5" fillId="3" borderId="5" xfId="0" applyNumberFormat="1" applyFont="1" applyFill="1" applyBorder="1" applyAlignment="1" applyProtection="1">
      <alignment horizontal="center" vertical="center" wrapText="1"/>
      <protection locked="0"/>
    </xf>
    <xf numFmtId="0" fontId="4" fillId="12" borderId="13" xfId="0" applyFont="1" applyFill="1" applyBorder="1" applyAlignment="1">
      <alignment horizontal="center" vertical="center"/>
    </xf>
    <xf numFmtId="0" fontId="1" fillId="2" borderId="6" xfId="0" applyFont="1" applyFill="1" applyBorder="1" applyAlignment="1">
      <alignment horizontal="left" vertical="center" wrapText="1" indent="1"/>
    </xf>
    <xf numFmtId="0" fontId="0" fillId="2" borderId="2" xfId="0" applyFill="1" applyBorder="1" applyAlignment="1">
      <alignment vertical="center"/>
    </xf>
    <xf numFmtId="49" fontId="5" fillId="3" borderId="18" xfId="0" applyNumberFormat="1" applyFont="1" applyFill="1" applyBorder="1" applyAlignment="1">
      <alignment horizontal="center" vertical="center" wrapText="1"/>
    </xf>
    <xf numFmtId="1" fontId="4" fillId="7" borderId="12" xfId="0" applyNumberFormat="1" applyFont="1" applyFill="1" applyBorder="1" applyAlignment="1">
      <alignment horizontal="center" vertical="center" wrapText="1"/>
    </xf>
    <xf numFmtId="49" fontId="2" fillId="3" borderId="3" xfId="0" applyNumberFormat="1" applyFont="1" applyFill="1" applyBorder="1" applyAlignment="1" applyProtection="1">
      <alignment horizontal="center" vertical="center" wrapText="1"/>
      <protection locked="0"/>
    </xf>
    <xf numFmtId="49" fontId="2" fillId="7" borderId="19" xfId="0" applyNumberFormat="1" applyFont="1" applyFill="1" applyBorder="1" applyAlignment="1">
      <alignment horizontal="center" vertical="center" wrapText="1"/>
    </xf>
    <xf numFmtId="0" fontId="4" fillId="7" borderId="4" xfId="0" applyFont="1" applyFill="1" applyBorder="1" applyAlignment="1">
      <alignment vertical="center" wrapText="1"/>
    </xf>
    <xf numFmtId="49" fontId="12" fillId="8" borderId="2" xfId="0" applyNumberFormat="1" applyFont="1" applyFill="1" applyBorder="1" applyAlignment="1">
      <alignment horizontal="center" vertical="center" wrapText="1"/>
    </xf>
    <xf numFmtId="1" fontId="2" fillId="3" borderId="3" xfId="0" applyNumberFormat="1" applyFont="1" applyFill="1" applyBorder="1" applyAlignment="1" applyProtection="1">
      <alignment horizontal="center" vertical="center" wrapText="1"/>
      <protection locked="0"/>
    </xf>
    <xf numFmtId="166" fontId="0" fillId="6" borderId="0" xfId="0" applyNumberFormat="1" applyFill="1" applyAlignment="1" applyProtection="1">
      <alignment horizontal="center" vertical="center"/>
      <protection locked="0"/>
    </xf>
    <xf numFmtId="49" fontId="5" fillId="3" borderId="3" xfId="0" applyNumberFormat="1" applyFont="1" applyFill="1" applyBorder="1" applyAlignment="1" applyProtection="1">
      <alignment horizontal="center" vertical="center" wrapText="1"/>
      <protection locked="0"/>
    </xf>
    <xf numFmtId="1" fontId="0" fillId="8" borderId="8" xfId="0" applyNumberFormat="1" applyFill="1" applyBorder="1" applyAlignment="1" applyProtection="1">
      <alignment horizontal="center" vertical="center"/>
      <protection locked="0"/>
    </xf>
    <xf numFmtId="49" fontId="2" fillId="8" borderId="4" xfId="0" applyNumberFormat="1" applyFont="1" applyFill="1" applyBorder="1" applyAlignment="1" applyProtection="1">
      <alignment horizontal="center" vertical="center" wrapText="1"/>
      <protection locked="0"/>
    </xf>
    <xf numFmtId="49" fontId="2" fillId="5" borderId="3" xfId="0" applyNumberFormat="1" applyFont="1" applyFill="1" applyBorder="1" applyAlignment="1" applyProtection="1">
      <alignment horizontal="center" vertical="center" wrapText="1"/>
      <protection locked="0"/>
    </xf>
    <xf numFmtId="1" fontId="0" fillId="5" borderId="8" xfId="0" applyNumberFormat="1" applyFill="1" applyBorder="1" applyAlignment="1" applyProtection="1">
      <alignment horizontal="center" vertical="center"/>
      <protection locked="0"/>
    </xf>
    <xf numFmtId="49" fontId="2" fillId="5" borderId="4" xfId="0" applyNumberFormat="1" applyFont="1" applyFill="1" applyBorder="1" applyAlignment="1" applyProtection="1">
      <alignment horizontal="center" vertical="center" wrapText="1"/>
      <protection locked="0"/>
    </xf>
    <xf numFmtId="49" fontId="2" fillId="9" borderId="3" xfId="0" applyNumberFormat="1" applyFont="1" applyFill="1" applyBorder="1" applyAlignment="1" applyProtection="1">
      <alignment horizontal="center" vertical="center" wrapText="1"/>
      <protection locked="0"/>
    </xf>
    <xf numFmtId="1" fontId="0" fillId="9" borderId="8" xfId="0" applyNumberFormat="1" applyFill="1" applyBorder="1" applyAlignment="1" applyProtection="1">
      <alignment horizontal="center" vertical="center"/>
      <protection locked="0"/>
    </xf>
    <xf numFmtId="49" fontId="2" fillId="9" borderId="4" xfId="0" applyNumberFormat="1" applyFont="1" applyFill="1" applyBorder="1" applyAlignment="1" applyProtection="1">
      <alignment horizontal="center" vertical="center" wrapText="1"/>
      <protection locked="0"/>
    </xf>
    <xf numFmtId="49" fontId="2" fillId="4" borderId="3" xfId="0" applyNumberFormat="1" applyFont="1" applyFill="1" applyBorder="1" applyAlignment="1" applyProtection="1">
      <alignment horizontal="center" vertical="center" wrapText="1"/>
      <protection locked="0"/>
    </xf>
    <xf numFmtId="1" fontId="0" fillId="10" borderId="0" xfId="0" applyNumberFormat="1" applyFill="1" applyAlignment="1" applyProtection="1">
      <alignment horizontal="center" vertical="center"/>
      <protection locked="0"/>
    </xf>
    <xf numFmtId="49" fontId="2" fillId="15" borderId="3" xfId="0" applyNumberFormat="1" applyFont="1" applyFill="1" applyBorder="1" applyAlignment="1" applyProtection="1">
      <alignment horizontal="center" vertical="center" wrapText="1"/>
      <protection locked="0"/>
    </xf>
    <xf numFmtId="1" fontId="0" fillId="4" borderId="8" xfId="0" applyNumberFormat="1" applyFill="1" applyBorder="1" applyAlignment="1" applyProtection="1">
      <alignment horizontal="center" vertical="center"/>
      <protection locked="0"/>
    </xf>
    <xf numFmtId="49" fontId="2" fillId="4" borderId="4" xfId="0" applyNumberFormat="1" applyFont="1" applyFill="1" applyBorder="1" applyAlignment="1" applyProtection="1">
      <alignment horizontal="center" vertical="center" wrapText="1"/>
      <protection locked="0"/>
    </xf>
    <xf numFmtId="49" fontId="5" fillId="3" borderId="3" xfId="0" applyNumberFormat="1" applyFont="1" applyFill="1" applyBorder="1" applyAlignment="1">
      <alignment horizontal="center" vertical="center" wrapText="1"/>
    </xf>
    <xf numFmtId="49" fontId="5" fillId="7" borderId="19" xfId="0" applyNumberFormat="1" applyFont="1" applyFill="1" applyBorder="1" applyAlignment="1">
      <alignment horizontal="center" vertical="center" wrapText="1"/>
    </xf>
    <xf numFmtId="49" fontId="14" fillId="8" borderId="2" xfId="0" applyNumberFormat="1" applyFont="1" applyFill="1" applyBorder="1" applyAlignment="1">
      <alignment horizontal="center" vertical="center" wrapText="1"/>
    </xf>
    <xf numFmtId="1" fontId="5" fillId="3" borderId="3" xfId="0" applyNumberFormat="1" applyFont="1" applyFill="1" applyBorder="1" applyAlignment="1" applyProtection="1">
      <alignment horizontal="center" vertical="center" wrapText="1"/>
      <protection locked="0"/>
    </xf>
    <xf numFmtId="49" fontId="5" fillId="8" borderId="4" xfId="0" applyNumberFormat="1" applyFont="1" applyFill="1" applyBorder="1" applyAlignment="1" applyProtection="1">
      <alignment horizontal="center" vertical="center" wrapText="1"/>
      <protection locked="0"/>
    </xf>
    <xf numFmtId="49" fontId="5" fillId="5" borderId="3" xfId="0" applyNumberFormat="1" applyFont="1" applyFill="1" applyBorder="1" applyAlignment="1" applyProtection="1">
      <alignment horizontal="center" vertical="center" wrapText="1"/>
      <protection locked="0"/>
    </xf>
    <xf numFmtId="49" fontId="5" fillId="5" borderId="4" xfId="0" applyNumberFormat="1" applyFont="1" applyFill="1" applyBorder="1" applyAlignment="1" applyProtection="1">
      <alignment horizontal="center" vertical="center" wrapText="1"/>
      <protection locked="0"/>
    </xf>
    <xf numFmtId="49" fontId="5" fillId="9" borderId="3" xfId="0" applyNumberFormat="1" applyFont="1" applyFill="1" applyBorder="1" applyAlignment="1" applyProtection="1">
      <alignment horizontal="center" vertical="center" wrapText="1"/>
      <protection locked="0"/>
    </xf>
    <xf numFmtId="49" fontId="5" fillId="9" borderId="4" xfId="0" applyNumberFormat="1" applyFont="1" applyFill="1" applyBorder="1" applyAlignment="1" applyProtection="1">
      <alignment horizontal="center" vertical="center" wrapText="1"/>
      <protection locked="0"/>
    </xf>
    <xf numFmtId="49" fontId="5" fillId="4" borderId="3" xfId="0" applyNumberFormat="1" applyFont="1" applyFill="1" applyBorder="1" applyAlignment="1" applyProtection="1">
      <alignment horizontal="center" vertical="center" wrapText="1"/>
      <protection locked="0"/>
    </xf>
    <xf numFmtId="49" fontId="5" fillId="4" borderId="4" xfId="0" applyNumberFormat="1" applyFont="1" applyFill="1" applyBorder="1" applyAlignment="1" applyProtection="1">
      <alignment horizontal="center" vertical="center" wrapText="1"/>
      <protection locked="0"/>
    </xf>
    <xf numFmtId="2" fontId="2" fillId="3" borderId="3" xfId="0" applyNumberFormat="1" applyFont="1" applyFill="1" applyBorder="1" applyAlignment="1" applyProtection="1">
      <alignment horizontal="center" vertical="center" wrapText="1"/>
      <protection locked="0"/>
    </xf>
    <xf numFmtId="2" fontId="5" fillId="3" borderId="3" xfId="0" applyNumberFormat="1" applyFont="1" applyFill="1" applyBorder="1" applyAlignment="1" applyProtection="1">
      <alignment horizontal="center" vertical="center" wrapText="1"/>
      <protection locked="0"/>
    </xf>
    <xf numFmtId="2" fontId="0" fillId="6" borderId="3" xfId="0" applyNumberFormat="1" applyFill="1" applyBorder="1" applyAlignment="1" applyProtection="1">
      <alignment horizontal="center" vertical="center"/>
      <protection locked="0"/>
    </xf>
    <xf numFmtId="2" fontId="0" fillId="6" borderId="6" xfId="0" applyNumberFormat="1" applyFill="1" applyBorder="1" applyAlignment="1" applyProtection="1">
      <alignment horizontal="center" vertical="center"/>
      <protection locked="0"/>
    </xf>
    <xf numFmtId="0" fontId="1" fillId="2" borderId="6" xfId="0" applyFont="1" applyFill="1" applyBorder="1" applyAlignment="1">
      <alignment vertical="center" wrapText="1"/>
    </xf>
    <xf numFmtId="0" fontId="4" fillId="7" borderId="13" xfId="0" applyFont="1" applyFill="1" applyBorder="1" applyAlignment="1">
      <alignment horizontal="center" vertical="center"/>
    </xf>
    <xf numFmtId="49" fontId="5" fillId="7" borderId="26" xfId="0" applyNumberFormat="1" applyFont="1" applyFill="1" applyBorder="1" applyAlignment="1">
      <alignment horizontal="center" vertical="center" wrapText="1"/>
    </xf>
    <xf numFmtId="0" fontId="5" fillId="2" borderId="15" xfId="0" applyFont="1" applyFill="1" applyBorder="1" applyAlignment="1">
      <alignment vertical="center" wrapText="1"/>
    </xf>
    <xf numFmtId="0" fontId="5" fillId="7" borderId="19" xfId="0" applyFont="1" applyFill="1" applyBorder="1" applyAlignment="1">
      <alignment horizontal="center" vertical="center" wrapText="1"/>
    </xf>
    <xf numFmtId="0" fontId="5" fillId="7" borderId="25" xfId="0" applyFont="1" applyFill="1" applyBorder="1" applyAlignment="1">
      <alignment horizontal="center" vertical="center" wrapText="1"/>
    </xf>
    <xf numFmtId="49" fontId="9" fillId="3" borderId="24" xfId="0" applyNumberFormat="1" applyFont="1" applyFill="1" applyBorder="1" applyAlignment="1">
      <alignment horizontal="center" vertical="center" wrapText="1"/>
    </xf>
    <xf numFmtId="164" fontId="2" fillId="3" borderId="3" xfId="0" applyNumberFormat="1" applyFont="1" applyFill="1" applyBorder="1" applyAlignment="1" applyProtection="1">
      <alignment horizontal="center" vertical="center" wrapText="1"/>
      <protection locked="0"/>
    </xf>
    <xf numFmtId="164" fontId="0" fillId="6" borderId="5" xfId="0" applyNumberFormat="1" applyFill="1" applyBorder="1" applyAlignment="1" applyProtection="1">
      <alignment horizontal="center" vertical="center"/>
      <protection locked="0"/>
    </xf>
    <xf numFmtId="164" fontId="5" fillId="3" borderId="3" xfId="0" applyNumberFormat="1" applyFont="1" applyFill="1" applyBorder="1" applyAlignment="1" applyProtection="1">
      <alignment horizontal="center" vertical="center" wrapText="1"/>
      <protection locked="0"/>
    </xf>
    <xf numFmtId="164" fontId="9" fillId="3" borderId="5" xfId="0" applyNumberFormat="1" applyFont="1" applyFill="1" applyBorder="1" applyAlignment="1" applyProtection="1">
      <alignment horizontal="center" vertical="center" wrapText="1"/>
      <protection locked="0"/>
    </xf>
    <xf numFmtId="164" fontId="0" fillId="6" borderId="3" xfId="0" applyNumberFormat="1" applyFill="1" applyBorder="1" applyAlignment="1" applyProtection="1">
      <alignment horizontal="center" vertical="center"/>
      <protection locked="0"/>
    </xf>
    <xf numFmtId="164" fontId="2" fillId="3" borderId="5" xfId="0" applyNumberFormat="1" applyFont="1" applyFill="1" applyBorder="1" applyAlignment="1" applyProtection="1">
      <alignment horizontal="center" vertical="center" wrapText="1"/>
      <protection locked="0"/>
    </xf>
    <xf numFmtId="164" fontId="5" fillId="3" borderId="5" xfId="0" applyNumberFormat="1" applyFont="1" applyFill="1" applyBorder="1" applyAlignment="1" applyProtection="1">
      <alignment horizontal="center" vertical="center" wrapText="1"/>
      <protection locked="0"/>
    </xf>
    <xf numFmtId="49" fontId="1" fillId="3" borderId="3" xfId="0" applyNumberFormat="1" applyFont="1" applyFill="1" applyBorder="1" applyAlignment="1" applyProtection="1">
      <alignment horizontal="center" vertical="center" wrapText="1"/>
      <protection locked="0"/>
    </xf>
    <xf numFmtId="0" fontId="0" fillId="2" borderId="6" xfId="0" applyFill="1" applyBorder="1" applyAlignment="1" applyProtection="1">
      <alignment vertical="center"/>
      <protection locked="0"/>
    </xf>
    <xf numFmtId="0" fontId="1" fillId="2" borderId="28" xfId="0" applyFont="1" applyFill="1" applyBorder="1" applyAlignment="1">
      <alignment vertical="center"/>
    </xf>
    <xf numFmtId="0" fontId="0" fillId="7" borderId="19" xfId="0" applyFill="1" applyBorder="1" applyAlignment="1">
      <alignment vertical="center"/>
    </xf>
    <xf numFmtId="164" fontId="9" fillId="3" borderId="26" xfId="0" applyNumberFormat="1" applyFont="1" applyFill="1" applyBorder="1" applyAlignment="1" applyProtection="1">
      <alignment horizontal="center" vertical="center" wrapText="1"/>
      <protection locked="0"/>
    </xf>
    <xf numFmtId="0" fontId="1" fillId="0" borderId="0" xfId="0" applyFont="1"/>
    <xf numFmtId="11" fontId="0" fillId="0" borderId="0" xfId="0" applyNumberFormat="1"/>
    <xf numFmtId="0" fontId="0" fillId="16" borderId="0" xfId="0" applyFill="1" applyAlignment="1">
      <alignment vertical="center"/>
    </xf>
    <xf numFmtId="0" fontId="2" fillId="16" borderId="0" xfId="0" applyFont="1" applyFill="1" applyAlignment="1">
      <alignment vertical="center"/>
    </xf>
    <xf numFmtId="0" fontId="5" fillId="16" borderId="0" xfId="0" applyFont="1" applyFill="1" applyAlignment="1">
      <alignment vertical="center"/>
    </xf>
    <xf numFmtId="0" fontId="8" fillId="16" borderId="0" xfId="0" applyFont="1" applyFill="1" applyAlignment="1">
      <alignment vertical="center" wrapText="1"/>
    </xf>
    <xf numFmtId="0" fontId="2" fillId="16" borderId="0" xfId="0" applyFont="1" applyFill="1" applyAlignment="1">
      <alignment vertical="center" wrapText="1"/>
    </xf>
    <xf numFmtId="0" fontId="0" fillId="16" borderId="0" xfId="0" applyFill="1" applyAlignment="1">
      <alignment horizontal="right" vertical="center" wrapText="1"/>
    </xf>
    <xf numFmtId="0" fontId="5" fillId="16" borderId="0" xfId="0" applyFont="1" applyFill="1" applyAlignment="1">
      <alignment horizontal="left" vertical="center" indent="1"/>
    </xf>
    <xf numFmtId="0" fontId="0" fillId="13" borderId="15" xfId="0" applyFill="1" applyBorder="1" applyAlignment="1">
      <alignment vertical="center"/>
    </xf>
    <xf numFmtId="0" fontId="5" fillId="9" borderId="28" xfId="0" applyFont="1" applyFill="1" applyBorder="1" applyAlignment="1">
      <alignment horizontal="left" vertical="center" indent="1"/>
    </xf>
    <xf numFmtId="1" fontId="0" fillId="9" borderId="31" xfId="0" applyNumberFormat="1" applyFill="1" applyBorder="1" applyAlignment="1">
      <alignment horizontal="center" vertical="center"/>
    </xf>
    <xf numFmtId="49" fontId="2" fillId="9" borderId="18" xfId="0" applyNumberFormat="1" applyFont="1" applyFill="1" applyBorder="1" applyAlignment="1">
      <alignment horizontal="center" vertical="center" wrapText="1"/>
    </xf>
    <xf numFmtId="1" fontId="0" fillId="9" borderId="32" xfId="0" applyNumberFormat="1" applyFill="1" applyBorder="1" applyAlignment="1">
      <alignment horizontal="center" vertical="center"/>
    </xf>
    <xf numFmtId="49" fontId="5" fillId="9" borderId="31" xfId="0" applyNumberFormat="1" applyFont="1" applyFill="1" applyBorder="1" applyAlignment="1">
      <alignment horizontal="center" vertical="center" wrapText="1"/>
    </xf>
    <xf numFmtId="1" fontId="0" fillId="9" borderId="18" xfId="0" applyNumberFormat="1" applyFill="1" applyBorder="1" applyAlignment="1">
      <alignment horizontal="center" vertical="center"/>
    </xf>
    <xf numFmtId="49" fontId="9" fillId="9" borderId="31" xfId="0" applyNumberFormat="1" applyFont="1" applyFill="1" applyBorder="1" applyAlignment="1">
      <alignment horizontal="center" vertical="center" wrapText="1"/>
    </xf>
    <xf numFmtId="0" fontId="0" fillId="13" borderId="24" xfId="0" applyFill="1" applyBorder="1" applyAlignment="1">
      <alignment vertical="center"/>
    </xf>
    <xf numFmtId="0" fontId="1" fillId="2" borderId="6" xfId="0" applyFont="1" applyFill="1" applyBorder="1" applyAlignment="1">
      <alignment horizontal="left" vertical="center" wrapText="1"/>
    </xf>
    <xf numFmtId="0" fontId="5" fillId="6" borderId="3" xfId="0" applyFont="1" applyFill="1" applyBorder="1" applyAlignment="1" applyProtection="1">
      <alignment horizontal="center" vertical="center" wrapText="1"/>
      <protection locked="0"/>
    </xf>
    <xf numFmtId="0" fontId="5" fillId="6" borderId="0" xfId="0" applyFont="1" applyFill="1" applyAlignment="1" applyProtection="1">
      <alignment horizontal="center" vertical="center" wrapText="1"/>
      <protection locked="0"/>
    </xf>
    <xf numFmtId="1" fontId="0" fillId="6" borderId="5" xfId="0" applyNumberFormat="1" applyFill="1" applyBorder="1" applyAlignment="1">
      <alignment horizontal="center" vertical="center"/>
    </xf>
    <xf numFmtId="49" fontId="2" fillId="3" borderId="3" xfId="0" applyNumberFormat="1" applyFont="1" applyFill="1" applyBorder="1" applyAlignment="1">
      <alignment horizontal="center" vertical="center" wrapText="1"/>
    </xf>
    <xf numFmtId="1" fontId="0" fillId="6" borderId="0" xfId="0" applyNumberFormat="1" applyFill="1" applyAlignment="1">
      <alignment horizontal="center" vertical="center"/>
    </xf>
    <xf numFmtId="49" fontId="9" fillId="3" borderId="5" xfId="0" applyNumberFormat="1" applyFont="1" applyFill="1" applyBorder="1" applyAlignment="1">
      <alignment horizontal="center" vertical="center" wrapText="1"/>
    </xf>
    <xf numFmtId="0" fontId="0" fillId="2" borderId="6" xfId="0" applyFill="1" applyBorder="1" applyAlignment="1">
      <alignment horizontal="left" vertical="center" wrapText="1" indent="1"/>
    </xf>
    <xf numFmtId="165" fontId="0" fillId="6" borderId="5" xfId="0" applyNumberFormat="1" applyFill="1" applyBorder="1" applyAlignment="1" applyProtection="1">
      <alignment horizontal="center" vertical="center"/>
      <protection locked="0"/>
    </xf>
    <xf numFmtId="165" fontId="0" fillId="6" borderId="0" xfId="0" applyNumberFormat="1" applyFill="1" applyAlignment="1" applyProtection="1">
      <alignment horizontal="center" vertical="center"/>
      <protection locked="0"/>
    </xf>
    <xf numFmtId="49" fontId="9" fillId="3" borderId="5" xfId="0" applyNumberFormat="1" applyFont="1" applyFill="1" applyBorder="1" applyAlignment="1" applyProtection="1">
      <alignment horizontal="left" vertical="center" wrapText="1" indent="1"/>
      <protection locked="0"/>
    </xf>
    <xf numFmtId="0" fontId="1" fillId="2" borderId="0" xfId="0" applyFont="1" applyFill="1" applyAlignment="1">
      <alignment horizontal="left" vertical="center" wrapText="1"/>
    </xf>
    <xf numFmtId="0" fontId="4" fillId="0" borderId="0" xfId="0" applyFont="1" applyAlignment="1">
      <alignment horizontal="center" vertical="center" wrapText="1"/>
    </xf>
    <xf numFmtId="0" fontId="4" fillId="0" borderId="0" xfId="0" applyFont="1" applyAlignment="1">
      <alignment horizontal="left" vertical="top" wrapText="1"/>
    </xf>
    <xf numFmtId="0" fontId="1" fillId="0" borderId="0" xfId="0" applyFont="1" applyAlignment="1">
      <alignment horizontal="center" vertical="top"/>
    </xf>
    <xf numFmtId="0" fontId="1" fillId="0" borderId="0" xfId="0" applyFont="1" applyAlignment="1">
      <alignment vertical="top"/>
    </xf>
    <xf numFmtId="0" fontId="1" fillId="0" borderId="0" xfId="0" applyFont="1" applyAlignment="1">
      <alignment vertical="top" wrapText="1"/>
    </xf>
    <xf numFmtId="1" fontId="1" fillId="0" borderId="0" xfId="0" applyNumberFormat="1" applyFont="1" applyAlignment="1">
      <alignment horizontal="center" vertical="top"/>
    </xf>
    <xf numFmtId="0" fontId="1" fillId="0" borderId="0" xfId="0" quotePrefix="1" applyFont="1" applyAlignment="1">
      <alignment vertical="top"/>
    </xf>
    <xf numFmtId="166" fontId="1" fillId="0" borderId="0" xfId="0" applyNumberFormat="1" applyFont="1" applyAlignment="1">
      <alignment horizontal="center" vertical="top"/>
    </xf>
    <xf numFmtId="2" fontId="1" fillId="0" borderId="0" xfId="0" applyNumberFormat="1" applyFont="1" applyAlignment="1">
      <alignment horizontal="center" vertical="top"/>
    </xf>
    <xf numFmtId="2" fontId="1" fillId="0" borderId="0" xfId="0" applyNumberFormat="1" applyFont="1" applyAlignment="1">
      <alignment vertical="top"/>
    </xf>
    <xf numFmtId="0" fontId="4" fillId="0" borderId="0" xfId="0" applyFont="1" applyAlignment="1">
      <alignment vertical="top" wrapText="1"/>
    </xf>
    <xf numFmtId="0" fontId="1" fillId="0" borderId="0" xfId="0" applyFont="1" applyAlignment="1">
      <alignment horizontal="left" vertical="top"/>
    </xf>
    <xf numFmtId="0" fontId="1" fillId="0" borderId="3" xfId="0" applyFont="1" applyBorder="1" applyAlignment="1">
      <alignment horizontal="left" vertical="center" wrapText="1"/>
    </xf>
    <xf numFmtId="0" fontId="4" fillId="0" borderId="0" xfId="0" applyFont="1" applyAlignment="1">
      <alignment horizontal="center" vertical="center"/>
    </xf>
    <xf numFmtId="0" fontId="4" fillId="0" borderId="0" xfId="0" applyFont="1" applyAlignment="1">
      <alignment horizontal="center"/>
    </xf>
    <xf numFmtId="0" fontId="16" fillId="16" borderId="0" xfId="0" applyFont="1" applyFill="1"/>
    <xf numFmtId="0" fontId="17" fillId="16" borderId="0" xfId="0" applyFont="1" applyFill="1" applyAlignment="1">
      <alignment vertical="center"/>
    </xf>
    <xf numFmtId="0" fontId="4" fillId="2" borderId="16" xfId="0" applyFont="1" applyFill="1" applyBorder="1" applyAlignment="1">
      <alignment horizontal="center" vertical="center"/>
    </xf>
    <xf numFmtId="0" fontId="0" fillId="0" borderId="15" xfId="0" applyBorder="1" applyAlignment="1">
      <alignment horizontal="center" vertical="center"/>
    </xf>
    <xf numFmtId="0" fontId="4" fillId="2" borderId="27" xfId="0" applyFont="1" applyFill="1" applyBorder="1" applyAlignment="1">
      <alignment horizontal="center" vertical="center"/>
    </xf>
    <xf numFmtId="0" fontId="0" fillId="0" borderId="28" xfId="0" applyBorder="1" applyAlignment="1">
      <alignment horizontal="center" vertical="center"/>
    </xf>
    <xf numFmtId="0" fontId="4" fillId="2" borderId="25" xfId="0" applyFont="1" applyFill="1" applyBorder="1" applyAlignment="1">
      <alignment horizontal="center" vertical="top" wrapText="1"/>
    </xf>
    <xf numFmtId="0" fontId="4" fillId="2" borderId="17" xfId="0" applyFont="1" applyFill="1" applyBorder="1" applyAlignment="1">
      <alignment horizontal="center" vertical="top" wrapText="1"/>
    </xf>
    <xf numFmtId="0" fontId="4" fillId="2" borderId="25" xfId="0" applyFont="1" applyFill="1" applyBorder="1" applyAlignment="1">
      <alignment horizontal="center" vertical="center"/>
    </xf>
    <xf numFmtId="0" fontId="4" fillId="2" borderId="17" xfId="0" applyFont="1" applyFill="1" applyBorder="1" applyAlignment="1">
      <alignment horizontal="center" vertical="center"/>
    </xf>
    <xf numFmtId="0" fontId="5" fillId="16" borderId="0" xfId="0" applyFont="1" applyFill="1" applyAlignment="1">
      <alignment horizontal="right" vertical="center" wrapText="1"/>
    </xf>
    <xf numFmtId="0" fontId="0" fillId="16" borderId="0" xfId="0" applyFill="1" applyAlignment="1">
      <alignment horizontal="right" vertical="center" wrapText="1"/>
    </xf>
    <xf numFmtId="0" fontId="2" fillId="16" borderId="0" xfId="0" applyFont="1" applyFill="1" applyAlignment="1">
      <alignment horizontal="left" vertical="center" wrapText="1"/>
    </xf>
    <xf numFmtId="0" fontId="2" fillId="16" borderId="0" xfId="0" applyFont="1" applyFill="1" applyAlignment="1">
      <alignment horizontal="left" vertical="top" wrapText="1"/>
    </xf>
  </cellXfs>
  <cellStyles count="2">
    <cellStyle name="Normal" xfId="0" builtinId="0"/>
    <cellStyle name="Normal 2" xfId="1" xr:uid="{00000000-0005-0000-0000-000002000000}"/>
  </cellStyles>
  <dxfs count="0"/>
  <tableStyles count="0" defaultTableStyle="TableStyleMedium9" defaultPivotStyle="PivotStyleLight16"/>
  <colors>
    <mruColors>
      <color rgb="FFCCFFCC"/>
      <color rgb="FF808000"/>
      <color rgb="FF00FF00"/>
      <color rgb="FF99CC00"/>
      <color rgb="FFFF99CC"/>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GB"/>
              <a:t>Restoration trajectories</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lotArea>
      <c:layout/>
      <c:scatterChart>
        <c:scatterStyle val="smoothMarker"/>
        <c:varyColors val="0"/>
        <c:ser>
          <c:idx val="0"/>
          <c:order val="0"/>
          <c:tx>
            <c:v>n1</c:v>
          </c:tx>
          <c:spPr>
            <a:ln w="9525" cap="rnd">
              <a:solidFill>
                <a:schemeClr val="accent1"/>
              </a:solidFill>
              <a:round/>
            </a:ln>
            <a:effectLst>
              <a:outerShdw blurRad="40000" dist="23000" dir="5400000" rotWithShape="0">
                <a:srgbClr val="000000">
                  <a:alpha val="35000"/>
                </a:srgbClr>
              </a:outerShdw>
            </a:effectLst>
          </c:spPr>
          <c:marker>
            <c:symbol val="none"/>
          </c:marker>
          <c:xVal>
            <c:numRef>
              <c:f>'Forestry input data'!$Y$46:$Y$92</c:f>
              <c:numCache>
                <c:formatCode>General</c:formatCode>
                <c:ptCount val="47"/>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numCache>
            </c:numRef>
          </c:xVal>
          <c:yVal>
            <c:numRef>
              <c:f>'Forestry input data'!$Z$46:$Z$92</c:f>
              <c:numCache>
                <c:formatCode>General</c:formatCode>
                <c:ptCount val="47"/>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numCache>
            </c:numRef>
          </c:yVal>
          <c:smooth val="1"/>
          <c:extLst>
            <c:ext xmlns:c16="http://schemas.microsoft.com/office/drawing/2014/chart" uri="{C3380CC4-5D6E-409C-BE32-E72D297353CC}">
              <c16:uniqueId val="{00000000-B598-4868-AD0F-FF4786B8D38D}"/>
            </c:ext>
          </c:extLst>
        </c:ser>
        <c:ser>
          <c:idx val="1"/>
          <c:order val="1"/>
          <c:tx>
            <c:v>n2</c:v>
          </c:tx>
          <c:spPr>
            <a:ln w="9525" cap="rnd">
              <a:solidFill>
                <a:schemeClr val="accent2"/>
              </a:solidFill>
              <a:round/>
            </a:ln>
            <a:effectLst>
              <a:outerShdw blurRad="40000" dist="23000" dir="5400000" rotWithShape="0">
                <a:srgbClr val="000000">
                  <a:alpha val="35000"/>
                </a:srgbClr>
              </a:outerShdw>
            </a:effectLst>
          </c:spPr>
          <c:marker>
            <c:symbol val="none"/>
          </c:marker>
          <c:xVal>
            <c:numRef>
              <c:f>'Forestry input data'!$Y$46:$Y$92</c:f>
              <c:numCache>
                <c:formatCode>General</c:formatCode>
                <c:ptCount val="47"/>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numCache>
            </c:numRef>
          </c:xVal>
          <c:yVal>
            <c:numRef>
              <c:f>'Forestry input data'!$AA$46:$AA$92</c:f>
              <c:numCache>
                <c:formatCode>General</c:formatCode>
                <c:ptCount val="47"/>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numCache>
            </c:numRef>
          </c:yVal>
          <c:smooth val="1"/>
          <c:extLst>
            <c:ext xmlns:c16="http://schemas.microsoft.com/office/drawing/2014/chart" uri="{C3380CC4-5D6E-409C-BE32-E72D297353CC}">
              <c16:uniqueId val="{00000001-B598-4868-AD0F-FF4786B8D38D}"/>
            </c:ext>
          </c:extLst>
        </c:ser>
        <c:ser>
          <c:idx val="2"/>
          <c:order val="2"/>
          <c:tx>
            <c:v>n3</c:v>
          </c:tx>
          <c:spPr>
            <a:ln w="9525" cap="rnd">
              <a:solidFill>
                <a:schemeClr val="accent3"/>
              </a:solidFill>
              <a:round/>
            </a:ln>
            <a:effectLst>
              <a:outerShdw blurRad="40000" dist="23000" dir="5400000" rotWithShape="0">
                <a:srgbClr val="000000">
                  <a:alpha val="35000"/>
                </a:srgbClr>
              </a:outerShdw>
            </a:effectLst>
          </c:spPr>
          <c:marker>
            <c:symbol val="none"/>
          </c:marker>
          <c:xVal>
            <c:numRef>
              <c:f>'Forestry input data'!$Y$46:$Y$92</c:f>
              <c:numCache>
                <c:formatCode>General</c:formatCode>
                <c:ptCount val="47"/>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numCache>
            </c:numRef>
          </c:xVal>
          <c:yVal>
            <c:numRef>
              <c:f>'Forestry input data'!$AB$46:$AB$92</c:f>
              <c:numCache>
                <c:formatCode>General</c:formatCode>
                <c:ptCount val="47"/>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numCache>
            </c:numRef>
          </c:yVal>
          <c:smooth val="1"/>
          <c:extLst>
            <c:ext xmlns:c16="http://schemas.microsoft.com/office/drawing/2014/chart" uri="{C3380CC4-5D6E-409C-BE32-E72D297353CC}">
              <c16:uniqueId val="{00000002-B598-4868-AD0F-FF4786B8D38D}"/>
            </c:ext>
          </c:extLst>
        </c:ser>
        <c:dLbls>
          <c:showLegendKey val="0"/>
          <c:showVal val="0"/>
          <c:showCatName val="0"/>
          <c:showSerName val="0"/>
          <c:showPercent val="0"/>
          <c:showBubbleSize val="0"/>
        </c:dLbls>
        <c:axId val="226900384"/>
        <c:axId val="226919104"/>
      </c:scatterChart>
      <c:valAx>
        <c:axId val="226900384"/>
        <c:scaling>
          <c:orientation val="minMax"/>
        </c:scaling>
        <c:delete val="0"/>
        <c:axPos val="b"/>
        <c:majorGridlines>
          <c:spPr>
            <a:ln w="9525" cap="flat" cmpd="sng" algn="ctr">
              <a:solidFill>
                <a:schemeClr val="tx2">
                  <a:lumMod val="15000"/>
                  <a:lumOff val="85000"/>
                </a:schemeClr>
              </a:solidFill>
              <a:round/>
            </a:ln>
            <a:effectLst/>
          </c:spPr>
        </c:majorGridlines>
        <c:title>
          <c:tx>
            <c:rich>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GB" sz="1050"/>
                  <a:t>Time since restoration (yrs)</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226919104"/>
        <c:crosses val="autoZero"/>
        <c:crossBetween val="midCat"/>
      </c:valAx>
      <c:valAx>
        <c:axId val="226919104"/>
        <c:scaling>
          <c:orientation val="minMax"/>
        </c:scaling>
        <c:delete val="0"/>
        <c:axPos val="l"/>
        <c:majorGridlines>
          <c:spPr>
            <a:ln w="9525" cap="flat" cmpd="sng" algn="ctr">
              <a:solidFill>
                <a:schemeClr val="tx2">
                  <a:lumMod val="15000"/>
                  <a:lumOff val="85000"/>
                </a:schemeClr>
              </a:solidFill>
              <a:round/>
            </a:ln>
            <a:effectLst/>
          </c:spPr>
        </c:majorGridlines>
        <c:title>
          <c:tx>
            <c:rich>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GB" sz="1050"/>
                  <a:t>Proportional</a:t>
                </a:r>
                <a:r>
                  <a:rPr lang="en-GB"/>
                  <a:t> ecosystem function</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General" sourceLinked="1"/>
        <c:majorTickMark val="none"/>
        <c:minorTickMark val="none"/>
        <c:tickLblPos val="nextTo"/>
        <c:spPr>
          <a:noFill/>
          <a:ln>
            <a:solidFill>
              <a:schemeClr val="tx2">
                <a:lumMod val="40000"/>
                <a:lumOff val="60000"/>
              </a:schemeClr>
            </a:solid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226900384"/>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2">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9525" cap="rnd">
        <a:solidFill>
          <a:schemeClr val="phClr"/>
        </a:solidFill>
        <a:round/>
      </a:ln>
    </cs:spPr>
  </cs:dataPointLine>
  <cs:dataPointMarker>
    <cs:lnRef idx="0">
      <cs:styleClr val="auto"/>
    </cs:lnRef>
    <cs:fillRef idx="3">
      <cs:styleClr val="auto"/>
    </cs:fillRef>
    <cs:effectRef idx="2"/>
    <cs:fontRef idx="minor">
      <a:schemeClr val="tx2"/>
    </cs:fontRef>
    <cs:spPr>
      <a:ln w="9525">
        <a:solidFill>
          <a:schemeClr val="phClr"/>
        </a:solidFill>
        <a:round/>
      </a:ln>
    </cs:spPr>
  </cs:dataPointMarker>
  <cs:dataPointMarkerLayout symbol="circle" size="5"/>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9525" cap="rnd">
        <a:solidFill>
          <a:schemeClr val="phClr"/>
        </a:solidFill>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spPr>
      <a:ln>
        <a:solidFill>
          <a:schemeClr val="tx2">
            <a:lumMod val="40000"/>
            <a:lumOff val="60000"/>
          </a:schemeClr>
        </a:solidFill>
      </a:ln>
    </cs:spPr>
    <cs:defRPr sz="900" kern="1200"/>
  </cs:valueAxis>
  <cs:wall>
    <cs:lnRef idx="0"/>
    <cs:fillRef idx="0"/>
    <cs:effectRef idx="0"/>
    <cs:fontRef idx="minor">
      <a:schemeClr val="tx2"/>
    </cs:fontRef>
  </cs:wall>
</cs:chartStyle>
</file>

<file path=xl/ctrlProps/ctrlProp1.xml><?xml version="1.0" encoding="utf-8"?>
<formControlPr xmlns="http://schemas.microsoft.com/office/spreadsheetml/2009/9/main" objectType="Drop" dropLines="2" dropStyle="combo" dx="22" fmlaLink="$D$26" fmlaRange="$L$38:$L$39" sel="2" val="0"/>
</file>

<file path=xl/ctrlProps/ctrlProp2.xml><?xml version="1.0" encoding="utf-8"?>
<formControlPr xmlns="http://schemas.microsoft.com/office/spreadsheetml/2009/9/main" objectType="Drop" dropLines="2" dropStyle="combo" dx="22" fmlaLink="D26" fmlaRange="$L$38:$L$39" sel="2" val="0"/>
</file>

<file path=xl/ctrlProps/ctrlProp3.xml><?xml version="1.0" encoding="utf-8"?>
<formControlPr xmlns="http://schemas.microsoft.com/office/spreadsheetml/2009/9/main" objectType="Drop" dropLines="2" dropStyle="combo" dx="22" fmlaLink="D26" fmlaRange="$L$38:$L$39" sel="2" val="0"/>
</file>

<file path=xl/ctrlProps/ctrlProp4.xml><?xml version="1.0" encoding="utf-8"?>
<formControlPr xmlns="http://schemas.microsoft.com/office/spreadsheetml/2009/9/main" objectType="Drop" dropLines="2" dropStyle="combo" dx="22" fmlaLink="$D$61" fmlaRange="$L$38:$L$39" sel="2" val="0"/>
</file>

<file path=xl/ctrlProps/ctrlProp5.xml><?xml version="1.0" encoding="utf-8"?>
<formControlPr xmlns="http://schemas.microsoft.com/office/spreadsheetml/2009/9/main" objectType="Drop" dropLines="2" dropStyle="combo" dx="22" fmlaLink="D61" fmlaRange="$L$38:$L$39" sel="2" val="0"/>
</file>

<file path=xl/ctrlProps/ctrlProp6.xml><?xml version="1.0" encoding="utf-8"?>
<formControlPr xmlns="http://schemas.microsoft.com/office/spreadsheetml/2009/9/main" objectType="Drop" dropLines="2" dropStyle="combo" dx="22" fmlaLink="D61" fmlaRange="$L$38:$L$39" sel="2" val="0"/>
</file>

<file path=xl/ctrlProps/ctrlProp7.xml><?xml version="1.0" encoding="utf-8"?>
<formControlPr xmlns="http://schemas.microsoft.com/office/spreadsheetml/2009/9/main" objectType="Drop" dropLines="2" dropStyle="combo" dx="22" fmlaLink="$D$26" fmlaRange="$L$38:$L$40" sel="2" val="0"/>
</file>

<file path=xl/ctrlProps/ctrlProp8.xml><?xml version="1.0" encoding="utf-8"?>
<formControlPr xmlns="http://schemas.microsoft.com/office/spreadsheetml/2009/9/main" objectType="Drop" dropLines="2" dropStyle="combo" dx="22" fmlaLink="D26" fmlaRange="$L$38:$L$40" sel="2" val="0"/>
</file>

<file path=xl/ctrlProps/ctrlProp9.xml><?xml version="1.0" encoding="utf-8"?>
<formControlPr xmlns="http://schemas.microsoft.com/office/spreadsheetml/2009/9/main" objectType="Drop" dropLines="2" dropStyle="combo" dx="22" fmlaLink="D26" fmlaRange="$L$38:$L$40" sel="2" val="0"/>
</file>

<file path=xl/ctrlProps/ctrlProp10.xml><?xml version="1.0" encoding="utf-8"?>
<formControlPr xmlns="http://schemas.microsoft.com/office/spreadsheetml/2009/9/main" objectType="Drop" dropLines="2" dropStyle="combo" dx="22" fmlaLink="$D$96" fmlaRange="$L$38:$L$39" sel="0" val="0"/>
</file>

<file path=xl/ctrlProps/ctrlProp11.xml><?xml version="1.0" encoding="utf-8"?>
<formControlPr xmlns="http://schemas.microsoft.com/office/spreadsheetml/2009/9/main" objectType="Drop" dropLines="2" dropStyle="combo" dx="22" fmlaLink="D96" fmlaRange="$L$38:$L$39" sel="0" val="0"/>
</file>

<file path=xl/ctrlProps/ctrlProp12.xml><?xml version="1.0" encoding="utf-8"?>
<formControlPr xmlns="http://schemas.microsoft.com/office/spreadsheetml/2009/9/main" objectType="Drop" dropLines="2" dropStyle="combo" dx="22" fmlaLink="D96" fmlaRange="$L$38:$L$39" sel="0" val="0"/>
</file>

<file path=xl/ctrlProps/ctrlProp13.xml><?xml version="1.0" encoding="utf-8"?>
<formControlPr xmlns="http://schemas.microsoft.com/office/spreadsheetml/2009/9/main" objectType="Drop" dropLines="2" dropStyle="combo" dx="22" fmlaLink="$D$26" fmlaRange="$L$38:$L$40" sel="2" val="0"/>
</file>

<file path=xl/ctrlProps/ctrlProp14.xml><?xml version="1.0" encoding="utf-8"?>
<formControlPr xmlns="http://schemas.microsoft.com/office/spreadsheetml/2009/9/main" objectType="Drop" dropLines="2" dropStyle="combo" dx="22" fmlaLink="D26" fmlaRange="$L$38:$L$40" sel="2" val="0"/>
</file>

<file path=xl/ctrlProps/ctrlProp15.xml><?xml version="1.0" encoding="utf-8"?>
<formControlPr xmlns="http://schemas.microsoft.com/office/spreadsheetml/2009/9/main" objectType="Drop" dropLines="2" dropStyle="combo" dx="22" fmlaLink="D26" fmlaRange="$L$38:$L$40" sel="2" val="0"/>
</file>

<file path=xl/ctrlProps/ctrlProp16.xml><?xml version="1.0" encoding="utf-8"?>
<formControlPr xmlns="http://schemas.microsoft.com/office/spreadsheetml/2009/9/main" objectType="Drop" dropLines="2" dropStyle="combo" dx="22" fmlaLink="$D$131" fmlaRange="$L$38:$L$39" sel="0" val="0"/>
</file>

<file path=xl/ctrlProps/ctrlProp17.xml><?xml version="1.0" encoding="utf-8"?>
<formControlPr xmlns="http://schemas.microsoft.com/office/spreadsheetml/2009/9/main" objectType="Drop" dropLines="2" dropStyle="combo" dx="22" fmlaLink="D131" fmlaRange="$L$38:$L$39" sel="0" val="0"/>
</file>

<file path=xl/ctrlProps/ctrlProp18.xml><?xml version="1.0" encoding="utf-8"?>
<formControlPr xmlns="http://schemas.microsoft.com/office/spreadsheetml/2009/9/main" objectType="Drop" dropLines="2" dropStyle="combo" dx="22" fmlaLink="D131" fmlaRange="$L$38:$L$39" sel="0" val="0"/>
</file>

<file path=xl/ctrlProps/ctrlProp19.xml><?xml version="1.0" encoding="utf-8"?>
<formControlPr xmlns="http://schemas.microsoft.com/office/spreadsheetml/2009/9/main" objectType="Drop" dropLines="2" dropStyle="combo" dx="22" fmlaLink="$D$26" fmlaRange="$L$38:$L$40" sel="2" val="0"/>
</file>

<file path=xl/ctrlProps/ctrlProp20.xml><?xml version="1.0" encoding="utf-8"?>
<formControlPr xmlns="http://schemas.microsoft.com/office/spreadsheetml/2009/9/main" objectType="Drop" dropLines="2" dropStyle="combo" dx="22" fmlaLink="D26" fmlaRange="$L$38:$L$40" sel="2" val="0"/>
</file>

<file path=xl/ctrlProps/ctrlProp21.xml><?xml version="1.0" encoding="utf-8"?>
<formControlPr xmlns="http://schemas.microsoft.com/office/spreadsheetml/2009/9/main" objectType="Drop" dropLines="2" dropStyle="combo" dx="22" fmlaLink="D26" fmlaRange="$L$38:$L$40" sel="2" val="0"/>
</file>

<file path=xl/ctrlProps/ctrlProp22.xml><?xml version="1.0" encoding="utf-8"?>
<formControlPr xmlns="http://schemas.microsoft.com/office/spreadsheetml/2009/9/main" objectType="Drop" dropLines="2" dropStyle="combo" dx="22" fmlaLink="$D$166" fmlaRange="$L$38:$L$39" sel="0" val="0"/>
</file>

<file path=xl/ctrlProps/ctrlProp23.xml><?xml version="1.0" encoding="utf-8"?>
<formControlPr xmlns="http://schemas.microsoft.com/office/spreadsheetml/2009/9/main" objectType="Drop" dropLines="2" dropStyle="combo" dx="22" fmlaLink="D166" fmlaRange="$L$38:$L$39" sel="0" val="0"/>
</file>

<file path=xl/ctrlProps/ctrlProp24.xml><?xml version="1.0" encoding="utf-8"?>
<formControlPr xmlns="http://schemas.microsoft.com/office/spreadsheetml/2009/9/main" objectType="Drop" dropLines="2" dropStyle="combo" dx="22" fmlaLink="D166" fmlaRange="$L$38:$L$39" sel="0" val="0"/>
</file>

<file path=xl/ctrlProps/ctrlProp25.xml><?xml version="1.0" encoding="utf-8"?>
<formControlPr xmlns="http://schemas.microsoft.com/office/spreadsheetml/2009/9/main" objectType="Drop" dropLines="2" dropStyle="combo" dx="22" fmlaRange="$L$47:$L$48" noThreeD="1" sel="2" val="0"/>
</file>

<file path=xl/ctrlProps/ctrlProp26.xml><?xml version="1.0" encoding="utf-8"?>
<formControlPr xmlns="http://schemas.microsoft.com/office/spreadsheetml/2009/9/main" objectType="Drop" dropLines="2" dropStyle="combo" dx="22" fmlaLink="$D$31" fmlaRange="$L$47:$L$48" noThreeD="1" sel="2" val="0"/>
</file>

<file path=xl/ctrlProps/ctrlProp27.xml><?xml version="1.0" encoding="utf-8"?>
<formControlPr xmlns="http://schemas.microsoft.com/office/spreadsheetml/2009/9/main" objectType="Drop" dropLines="2" dropStyle="combo" dx="22" fmlaLink="$D$31" fmlaRange="$L$47:$L$48" noThreeD="1" sel="2" val="0"/>
</file>

<file path=xl/ctrlProps/ctrlProp28.xml><?xml version="1.0" encoding="utf-8"?>
<formControlPr xmlns="http://schemas.microsoft.com/office/spreadsheetml/2009/9/main" objectType="Drop" dropLines="2" dropStyle="combo" dx="22" fmlaLink="$D$31" fmlaRange="$L$47:$L$48" noThreeD="1" sel="2" val="0"/>
</file>

<file path=xl/ctrlProps/ctrlProp29.xml><?xml version="1.0" encoding="utf-8"?>
<formControlPr xmlns="http://schemas.microsoft.com/office/spreadsheetml/2009/9/main" objectType="Drop" dropLines="2" dropStyle="combo" dx="22" fmlaRange="$L$47:$L$48" noThreeD="1" sel="2" val="0"/>
</file>

<file path=xl/ctrlProps/ctrlProp30.xml><?xml version="1.0" encoding="utf-8"?>
<formControlPr xmlns="http://schemas.microsoft.com/office/spreadsheetml/2009/9/main" objectType="Drop" dropLines="2" dropStyle="combo" dx="22" fmlaLink="$D$66" fmlaRange="$L$47:$L$48" noThreeD="1" sel="2" val="0"/>
</file>

<file path=xl/ctrlProps/ctrlProp31.xml><?xml version="1.0" encoding="utf-8"?>
<formControlPr xmlns="http://schemas.microsoft.com/office/spreadsheetml/2009/9/main" objectType="Drop" dropLines="2" dropStyle="combo" dx="22" fmlaLink="$D$66" fmlaRange="$L$47:$L$48" noThreeD="1" sel="2" val="0"/>
</file>

<file path=xl/ctrlProps/ctrlProp32.xml><?xml version="1.0" encoding="utf-8"?>
<formControlPr xmlns="http://schemas.microsoft.com/office/spreadsheetml/2009/9/main" objectType="Drop" dropLines="2" dropStyle="combo" dx="22" fmlaLink="$D$66" fmlaRange="$L$47:$L$48" noThreeD="1" sel="2" val="0"/>
</file>

<file path=xl/ctrlProps/ctrlProp33.xml><?xml version="1.0" encoding="utf-8"?>
<formControlPr xmlns="http://schemas.microsoft.com/office/spreadsheetml/2009/9/main" objectType="Drop" dropLines="2" dropStyle="combo" dx="22" fmlaRange="$L$47:$L$48" noThreeD="1" sel="2" val="0"/>
</file>

<file path=xl/ctrlProps/ctrlProp34.xml><?xml version="1.0" encoding="utf-8"?>
<formControlPr xmlns="http://schemas.microsoft.com/office/spreadsheetml/2009/9/main" objectType="Drop" dropLines="2" dropStyle="combo" dx="22" fmlaLink="$D$101" fmlaRange="$L$47:$L$48" noThreeD="1" sel="1" val="0"/>
</file>

<file path=xl/ctrlProps/ctrlProp35.xml><?xml version="1.0" encoding="utf-8"?>
<formControlPr xmlns="http://schemas.microsoft.com/office/spreadsheetml/2009/9/main" objectType="Drop" dropLines="2" dropStyle="combo" dx="22" fmlaLink="$D$101" fmlaRange="$L$47:$L$48" noThreeD="1" sel="1" val="0"/>
</file>

<file path=xl/ctrlProps/ctrlProp36.xml><?xml version="1.0" encoding="utf-8"?>
<formControlPr xmlns="http://schemas.microsoft.com/office/spreadsheetml/2009/9/main" objectType="Drop" dropLines="2" dropStyle="combo" dx="22" fmlaLink="$D$101" fmlaRange="$L$47:$L$48" noThreeD="1" sel="1" val="0"/>
</file>

<file path=xl/ctrlProps/ctrlProp37.xml><?xml version="1.0" encoding="utf-8"?>
<formControlPr xmlns="http://schemas.microsoft.com/office/spreadsheetml/2009/9/main" objectType="Drop" dropLines="2" dropStyle="combo" dx="22" fmlaRange="$L$47:$L$48" noThreeD="1" sel="2" val="0"/>
</file>

<file path=xl/ctrlProps/ctrlProp38.xml><?xml version="1.0" encoding="utf-8"?>
<formControlPr xmlns="http://schemas.microsoft.com/office/spreadsheetml/2009/9/main" objectType="Drop" dropLines="2" dropStyle="combo" dx="22" fmlaLink="$D$136" fmlaRange="$L$47:$L$48" noThreeD="1" sel="1" val="0"/>
</file>

<file path=xl/ctrlProps/ctrlProp39.xml><?xml version="1.0" encoding="utf-8"?>
<formControlPr xmlns="http://schemas.microsoft.com/office/spreadsheetml/2009/9/main" objectType="Drop" dropLines="2" dropStyle="combo" dx="22" fmlaLink="$D$136" fmlaRange="$L$47:$L$48" noThreeD="1" sel="1" val="0"/>
</file>

<file path=xl/ctrlProps/ctrlProp40.xml><?xml version="1.0" encoding="utf-8"?>
<formControlPr xmlns="http://schemas.microsoft.com/office/spreadsheetml/2009/9/main" objectType="Drop" dropLines="2" dropStyle="combo" dx="22" fmlaLink="$D$136" fmlaRange="$L$47:$L$48" noThreeD="1" sel="1" val="0"/>
</file>

<file path=xl/ctrlProps/ctrlProp41.xml><?xml version="1.0" encoding="utf-8"?>
<formControlPr xmlns="http://schemas.microsoft.com/office/spreadsheetml/2009/9/main" objectType="Drop" dropLines="2" dropStyle="combo" dx="22" fmlaRange="$L$47:$L$48" noThreeD="1" sel="2" val="0"/>
</file>

<file path=xl/ctrlProps/ctrlProp42.xml><?xml version="1.0" encoding="utf-8"?>
<formControlPr xmlns="http://schemas.microsoft.com/office/spreadsheetml/2009/9/main" objectType="Drop" dropLines="2" dropStyle="combo" dx="22" fmlaLink="$D$171" fmlaRange="$L$47:$L$48" noThreeD="1" sel="1" val="0"/>
</file>

<file path=xl/ctrlProps/ctrlProp43.xml><?xml version="1.0" encoding="utf-8"?>
<formControlPr xmlns="http://schemas.microsoft.com/office/spreadsheetml/2009/9/main" objectType="Drop" dropLines="2" dropStyle="combo" dx="22" fmlaLink="$D$171" fmlaRange="$L$47:$L$48" noThreeD="1" sel="1" val="0"/>
</file>

<file path=xl/ctrlProps/ctrlProp44.xml><?xml version="1.0" encoding="utf-8"?>
<formControlPr xmlns="http://schemas.microsoft.com/office/spreadsheetml/2009/9/main" objectType="Drop" dropLines="2" dropStyle="combo" dx="22" fmlaLink="$D$171" fmlaRange="$L$47:$L$48" noThreeD="1" sel="1" val="0"/>
</file>

<file path=xl/ctrlProps/ctrlProp45.xml><?xml version="1.0" encoding="utf-8"?>
<formControlPr xmlns="http://schemas.microsoft.com/office/spreadsheetml/2009/9/main" objectType="Drop" dropLines="2" dropStyle="combo" dx="22" fmlaLink="$D$31" fmlaRange="$L$47:$L$48" noThreeD="1" sel="2" val="0"/>
</file>

<file path=xl/ctrlProps/ctrlProp46.xml><?xml version="1.0" encoding="utf-8"?>
<formControlPr xmlns="http://schemas.microsoft.com/office/spreadsheetml/2009/9/main" objectType="Drop" dropLines="2" dropStyle="combo" dx="22" fmlaLink="$D$33" fmlaRange="$L$47:$L$48" noThreeD="1" sel="1" val="0"/>
</file>

<file path=xl/ctrlProps/ctrlProp47.xml><?xml version="1.0" encoding="utf-8"?>
<formControlPr xmlns="http://schemas.microsoft.com/office/spreadsheetml/2009/9/main" objectType="Drop" dropLines="2" dropStyle="combo" dx="22" fmlaLink="$D$33" fmlaRange="$L$47:$L$48" noThreeD="1" sel="1" val="0"/>
</file>

<file path=xl/ctrlProps/ctrlProp48.xml><?xml version="1.0" encoding="utf-8"?>
<formControlPr xmlns="http://schemas.microsoft.com/office/spreadsheetml/2009/9/main" objectType="Drop" dropLines="2" dropStyle="combo" dx="22" fmlaLink="$D$33" fmlaRange="$L$47:$L$48" noThreeD="1" sel="1" val="0"/>
</file>

<file path=xl/ctrlProps/ctrlProp49.xml><?xml version="1.0" encoding="utf-8"?>
<formControlPr xmlns="http://schemas.microsoft.com/office/spreadsheetml/2009/9/main" objectType="Drop" dropLines="2" dropStyle="combo" dx="22" fmlaRange="$L$47:$L$48" noThreeD="1" sel="2" val="0"/>
</file>

<file path=xl/ctrlProps/ctrlProp50.xml><?xml version="1.0" encoding="utf-8"?>
<formControlPr xmlns="http://schemas.microsoft.com/office/spreadsheetml/2009/9/main" objectType="Drop" dropLines="2" dropStyle="combo" dx="22" fmlaLink="$D$68" fmlaRange="$L$47:$L$48" noThreeD="1" sel="1" val="0"/>
</file>

<file path=xl/ctrlProps/ctrlProp51.xml><?xml version="1.0" encoding="utf-8"?>
<formControlPr xmlns="http://schemas.microsoft.com/office/spreadsheetml/2009/9/main" objectType="Drop" dropLines="2" dropStyle="combo" dx="22" fmlaLink="$D$68" fmlaRange="$L$47:$L$48" noThreeD="1" sel="1" val="0"/>
</file>

<file path=xl/ctrlProps/ctrlProp52.xml><?xml version="1.0" encoding="utf-8"?>
<formControlPr xmlns="http://schemas.microsoft.com/office/spreadsheetml/2009/9/main" objectType="Drop" dropLines="2" dropStyle="combo" dx="22" fmlaLink="$D$68" fmlaRange="$L$47:$L$48" noThreeD="1" sel="1" val="0"/>
</file>

<file path=xl/ctrlProps/ctrlProp53.xml><?xml version="1.0" encoding="utf-8"?>
<formControlPr xmlns="http://schemas.microsoft.com/office/spreadsheetml/2009/9/main" objectType="Drop" dropLines="2" dropStyle="combo" dx="22" fmlaRange="$L$47:$L$48" noThreeD="1" sel="2" val="0"/>
</file>

<file path=xl/ctrlProps/ctrlProp54.xml><?xml version="1.0" encoding="utf-8"?>
<formControlPr xmlns="http://schemas.microsoft.com/office/spreadsheetml/2009/9/main" objectType="Drop" dropLines="2" dropStyle="combo" dx="22" fmlaLink="$D$103" fmlaRange="$L$47:$L$48" noThreeD="1" sel="1" val="0"/>
</file>

<file path=xl/ctrlProps/ctrlProp55.xml><?xml version="1.0" encoding="utf-8"?>
<formControlPr xmlns="http://schemas.microsoft.com/office/spreadsheetml/2009/9/main" objectType="Drop" dropLines="2" dropStyle="combo" dx="22" fmlaLink="$D$103" fmlaRange="$L$47:$L$48" noThreeD="1" sel="1" val="0"/>
</file>

<file path=xl/ctrlProps/ctrlProp56.xml><?xml version="1.0" encoding="utf-8"?>
<formControlPr xmlns="http://schemas.microsoft.com/office/spreadsheetml/2009/9/main" objectType="Drop" dropLines="2" dropStyle="combo" dx="22" fmlaLink="$D$103" fmlaRange="$L$47:$L$48" noThreeD="1" sel="1" val="0"/>
</file>

<file path=xl/ctrlProps/ctrlProp57.xml><?xml version="1.0" encoding="utf-8"?>
<formControlPr xmlns="http://schemas.microsoft.com/office/spreadsheetml/2009/9/main" objectType="Drop" dropLines="2" dropStyle="combo" dx="22" fmlaRange="$L$47:$L$48" noThreeD="1" sel="2" val="0"/>
</file>

<file path=xl/ctrlProps/ctrlProp58.xml><?xml version="1.0" encoding="utf-8"?>
<formControlPr xmlns="http://schemas.microsoft.com/office/spreadsheetml/2009/9/main" objectType="Drop" dropLines="2" dropStyle="combo" dx="22" fmlaLink="$D$138" fmlaRange="$L$47:$L$48" noThreeD="1" sel="1" val="0"/>
</file>

<file path=xl/ctrlProps/ctrlProp59.xml><?xml version="1.0" encoding="utf-8"?>
<formControlPr xmlns="http://schemas.microsoft.com/office/spreadsheetml/2009/9/main" objectType="Drop" dropLines="2" dropStyle="combo" dx="22" fmlaLink="$D$138" fmlaRange="$L$47:$L$48" noThreeD="1" sel="1" val="0"/>
</file>

<file path=xl/ctrlProps/ctrlProp60.xml><?xml version="1.0" encoding="utf-8"?>
<formControlPr xmlns="http://schemas.microsoft.com/office/spreadsheetml/2009/9/main" objectType="Drop" dropLines="2" dropStyle="combo" dx="22" fmlaLink="$D$138" fmlaRange="$L$47:$L$48" noThreeD="1" sel="1" val="0"/>
</file>

<file path=xl/ctrlProps/ctrlProp61.xml><?xml version="1.0" encoding="utf-8"?>
<formControlPr xmlns="http://schemas.microsoft.com/office/spreadsheetml/2009/9/main" objectType="Drop" dropLines="2" dropStyle="combo" dx="22" fmlaLink="#REF!" fmlaRange="$L$47:$L$48" noThreeD="1" sel="0" val="0"/>
</file>

<file path=xl/ctrlProps/ctrlProp62.xml><?xml version="1.0" encoding="utf-8"?>
<formControlPr xmlns="http://schemas.microsoft.com/office/spreadsheetml/2009/9/main" objectType="Drop" dropLines="2" dropStyle="combo" dx="22" fmlaLink="#REF!" fmlaRange="$L$47:$L$48" noThreeD="1" sel="0" val="0"/>
</file>

<file path=xl/ctrlProps/ctrlProp63.xml><?xml version="1.0" encoding="utf-8"?>
<formControlPr xmlns="http://schemas.microsoft.com/office/spreadsheetml/2009/9/main" objectType="Drop" dropLines="2" dropStyle="combo" dx="22" fmlaLink="#REF!" fmlaRange="$L$47:$L$48" noThreeD="1" sel="0" val="0"/>
</file>

<file path=xl/ctrlProps/ctrlProp64.xml><?xml version="1.0" encoding="utf-8"?>
<formControlPr xmlns="http://schemas.microsoft.com/office/spreadsheetml/2009/9/main" objectType="Drop" dropLines="2" dropStyle="combo" dx="22" fmlaLink="$D$173" fmlaRange="$L$47:$L$48" noThreeD="1" sel="1" val="0"/>
</file>

<file path=xl/ctrlProps/ctrlProp65.xml><?xml version="1.0" encoding="utf-8"?>
<formControlPr xmlns="http://schemas.microsoft.com/office/spreadsheetml/2009/9/main" objectType="Drop" dropLines="2" dropStyle="combo" dx="22" fmlaLink="$D$173" fmlaRange="$L$47:$L$48" noThreeD="1" sel="1" val="0"/>
</file>

<file path=xl/ctrlProps/ctrlProp66.xml><?xml version="1.0" encoding="utf-8"?>
<formControlPr xmlns="http://schemas.microsoft.com/office/spreadsheetml/2009/9/main" objectType="Drop" dropLines="2" dropStyle="combo" dx="22" fmlaLink="$D$173" fmlaRange="$L$47:$L$48" noThreeD="1" sel="1" val="0"/>
</file>

<file path=xl/ctrlProps/ctrlProp67.xml><?xml version="1.0" encoding="utf-8"?>
<formControlPr xmlns="http://schemas.microsoft.com/office/spreadsheetml/2009/9/main" objectType="Drop" dropLines="2" dropStyle="combo" dx="22" fmlaLink="$D$37" fmlaRange="$L$47:$L$48" noThreeD="1" sel="2" val="0"/>
</file>

<file path=xl/ctrlProps/ctrlProp68.xml><?xml version="1.0" encoding="utf-8"?>
<formControlPr xmlns="http://schemas.microsoft.com/office/spreadsheetml/2009/9/main" objectType="Drop" dropLines="2" dropStyle="combo" dx="22" fmlaLink="$D$37" fmlaRange="$L$47:$L$48" noThreeD="1" sel="2" val="0"/>
</file>

<file path=xl/ctrlProps/ctrlProp69.xml><?xml version="1.0" encoding="utf-8"?>
<formControlPr xmlns="http://schemas.microsoft.com/office/spreadsheetml/2009/9/main" objectType="Drop" dropLines="2" dropStyle="combo" dx="22" fmlaLink="$D$37" fmlaRange="$L$47:$L$48" noThreeD="1" sel="2" val="0"/>
</file>

<file path=xl/ctrlProps/ctrlProp70.xml><?xml version="1.0" encoding="utf-8"?>
<formControlPr xmlns="http://schemas.microsoft.com/office/spreadsheetml/2009/9/main" objectType="Drop" dropLines="2" dropStyle="combo" dx="22" fmlaLink="$D$72" fmlaRange="$L$47:$L$48" noThreeD="1" sel="1" val="0"/>
</file>

<file path=xl/ctrlProps/ctrlProp71.xml><?xml version="1.0" encoding="utf-8"?>
<formControlPr xmlns="http://schemas.microsoft.com/office/spreadsheetml/2009/9/main" objectType="Drop" dropLines="2" dropStyle="combo" dx="22" fmlaLink="$D$72" fmlaRange="$L$47:$L$48" noThreeD="1" sel="1" val="0"/>
</file>

<file path=xl/ctrlProps/ctrlProp72.xml><?xml version="1.0" encoding="utf-8"?>
<formControlPr xmlns="http://schemas.microsoft.com/office/spreadsheetml/2009/9/main" objectType="Drop" dropLines="2" dropStyle="combo" dx="22" fmlaLink="$D$72" fmlaRange="$L$47:$L$48" noThreeD="1" sel="1" val="0"/>
</file>

<file path=xl/ctrlProps/ctrlProp73.xml><?xml version="1.0" encoding="utf-8"?>
<formControlPr xmlns="http://schemas.microsoft.com/office/spreadsheetml/2009/9/main" objectType="Drop" dropLines="2" dropStyle="combo" dx="22" fmlaLink="$D$107" fmlaRange="$L$47:$L$48" noThreeD="1" sel="1" val="0"/>
</file>

<file path=xl/ctrlProps/ctrlProp74.xml><?xml version="1.0" encoding="utf-8"?>
<formControlPr xmlns="http://schemas.microsoft.com/office/spreadsheetml/2009/9/main" objectType="Drop" dropLines="2" dropStyle="combo" dx="22" fmlaLink="$D$107" fmlaRange="$L$47:$L$48" noThreeD="1" sel="1" val="0"/>
</file>

<file path=xl/ctrlProps/ctrlProp75.xml><?xml version="1.0" encoding="utf-8"?>
<formControlPr xmlns="http://schemas.microsoft.com/office/spreadsheetml/2009/9/main" objectType="Drop" dropLines="2" dropStyle="combo" dx="22" fmlaLink="$D$107" fmlaRange="$L$47:$L$48" noThreeD="1" sel="1" val="0"/>
</file>

<file path=xl/ctrlProps/ctrlProp76.xml><?xml version="1.0" encoding="utf-8"?>
<formControlPr xmlns="http://schemas.microsoft.com/office/spreadsheetml/2009/9/main" objectType="Drop" dropLines="2" dropStyle="combo" dx="22" fmlaLink="$D$142" fmlaRange="$L$47:$L$48" noThreeD="1" sel="2" val="0"/>
</file>

<file path=xl/ctrlProps/ctrlProp77.xml><?xml version="1.0" encoding="utf-8"?>
<formControlPr xmlns="http://schemas.microsoft.com/office/spreadsheetml/2009/9/main" objectType="Drop" dropLines="2" dropStyle="combo" dx="22" fmlaLink="$D$142" fmlaRange="$L$47:$L$48" noThreeD="1" sel="2" val="0"/>
</file>

<file path=xl/ctrlProps/ctrlProp78.xml><?xml version="1.0" encoding="utf-8"?>
<formControlPr xmlns="http://schemas.microsoft.com/office/spreadsheetml/2009/9/main" objectType="Drop" dropLines="2" dropStyle="combo" dx="22" fmlaLink="$D$142" fmlaRange="$L$47:$L$48" noThreeD="1" sel="2" val="0"/>
</file>

<file path=xl/ctrlProps/ctrlProp79.xml><?xml version="1.0" encoding="utf-8"?>
<formControlPr xmlns="http://schemas.microsoft.com/office/spreadsheetml/2009/9/main" objectType="Drop" dropLines="2" dropStyle="combo" dx="22" fmlaLink="$D$177" fmlaRange="$L$47:$L$48" noThreeD="1" sel="2" val="0"/>
</file>

<file path=xl/ctrlProps/ctrlProp80.xml><?xml version="1.0" encoding="utf-8"?>
<formControlPr xmlns="http://schemas.microsoft.com/office/spreadsheetml/2009/9/main" objectType="Drop" dropLines="2" dropStyle="combo" dx="22" fmlaLink="$D$177" fmlaRange="$L$47:$L$48" noThreeD="1" sel="2" val="0"/>
</file>

<file path=xl/ctrlProps/ctrlProp81.xml><?xml version="1.0" encoding="utf-8"?>
<formControlPr xmlns="http://schemas.microsoft.com/office/spreadsheetml/2009/9/main" objectType="Drop" dropLines="2" dropStyle="combo" dx="22" fmlaLink="$D$177" fmlaRange="$L$47:$L$48" noThreeD="1" sel="2" val="0"/>
</file>

<file path=xl/ctrlProps/ctrlProp82.xml><?xml version="1.0" encoding="utf-8"?>
<formControlPr xmlns="http://schemas.microsoft.com/office/spreadsheetml/2009/9/main" objectType="Drop" dropLines="2" dropStyle="combo" dx="22" fmlaLink="$D$52" fmlaRange="$L$47:$L$48" noThreeD="1" sel="1" val="0"/>
</file>

<file path=xl/ctrlProps/ctrlProp83.xml><?xml version="1.0" encoding="utf-8"?>
<formControlPr xmlns="http://schemas.microsoft.com/office/spreadsheetml/2009/9/main" objectType="Drop" dropLines="2" dropStyle="combo" dx="22" fmlaLink="$D$52" fmlaRange="$L$47:$L$48" noThreeD="1" sel="1" val="0"/>
</file>

<file path=xl/ctrlProps/ctrlProp84.xml><?xml version="1.0" encoding="utf-8"?>
<formControlPr xmlns="http://schemas.microsoft.com/office/spreadsheetml/2009/9/main" objectType="Drop" dropLines="2" dropStyle="combo" dx="22" fmlaLink="$D$52" fmlaRange="$L$47:$L$48" noThreeD="1" sel="1" val="0"/>
</file>

<file path=xl/ctrlProps/ctrlProp85.xml><?xml version="1.0" encoding="utf-8"?>
<formControlPr xmlns="http://schemas.microsoft.com/office/spreadsheetml/2009/9/main" objectType="Drop" dropLines="2" dropStyle="combo" dx="22" fmlaLink="$D$53" fmlaRange="$L$47:$L$48" noThreeD="1" sel="1" val="0"/>
</file>

<file path=xl/ctrlProps/ctrlProp86.xml><?xml version="1.0" encoding="utf-8"?>
<formControlPr xmlns="http://schemas.microsoft.com/office/spreadsheetml/2009/9/main" objectType="Drop" dropLines="2" dropStyle="combo" dx="22" fmlaLink="$D$53" fmlaRange="$L$47:$L$48" noThreeD="1" sel="1" val="0"/>
</file>

<file path=xl/ctrlProps/ctrlProp87.xml><?xml version="1.0" encoding="utf-8"?>
<formControlPr xmlns="http://schemas.microsoft.com/office/spreadsheetml/2009/9/main" objectType="Drop" dropLines="2" dropStyle="combo" dx="22" fmlaLink="$D$53" fmlaRange="$L$47:$L$48" noThreeD="1" sel="1" val="0"/>
</file>

<file path=xl/ctrlProps/ctrlProp88.xml><?xml version="1.0" encoding="utf-8"?>
<formControlPr xmlns="http://schemas.microsoft.com/office/spreadsheetml/2009/9/main" objectType="Drop" dropLines="2" dropStyle="combo" dx="22" fmlaLink="$D$55" fmlaRange="$L$47:$L$48" noThreeD="1" sel="2" val="0"/>
</file>

<file path=xl/ctrlProps/ctrlProp89.xml><?xml version="1.0" encoding="utf-8"?>
<formControlPr xmlns="http://schemas.microsoft.com/office/spreadsheetml/2009/9/main" objectType="Drop" dropLines="2" dropStyle="combo" dx="22" fmlaLink="$D$55" fmlaRange="$L$47:$L$48" noThreeD="1" sel="2" val="0"/>
</file>

<file path=xl/ctrlProps/ctrlProp90.xml><?xml version="1.0" encoding="utf-8"?>
<formControlPr xmlns="http://schemas.microsoft.com/office/spreadsheetml/2009/9/main" objectType="Drop" dropLines="2" dropStyle="combo" dx="22" fmlaLink="$D$55" fmlaRange="$L$47:$L$48" noThreeD="1" sel="2" val="0"/>
</file>

<file path=xl/ctrlProps/ctrlProp91.xml><?xml version="1.0" encoding="utf-8"?>
<formControlPr xmlns="http://schemas.microsoft.com/office/spreadsheetml/2009/9/main" objectType="Drop" dropLines="2" dropStyle="combo" dx="22" fmlaLink="$D$56" fmlaRange="$L$47:$L$48" noThreeD="1" sel="2" val="0"/>
</file>

<file path=xl/ctrlProps/ctrlProp92.xml><?xml version="1.0" encoding="utf-8"?>
<formControlPr xmlns="http://schemas.microsoft.com/office/spreadsheetml/2009/9/main" objectType="Drop" dropLines="2" dropStyle="combo" dx="22" fmlaLink="$D$56" fmlaRange="$L$47:$L$48" noThreeD="1" sel="2" val="0"/>
</file>

<file path=xl/ctrlProps/ctrlProp93.xml><?xml version="1.0" encoding="utf-8"?>
<formControlPr xmlns="http://schemas.microsoft.com/office/spreadsheetml/2009/9/main" objectType="Drop" dropLines="2" dropStyle="combo" dx="22" fmlaLink="$D$56" fmlaRange="$L$47:$L$48" noThreeD="1" sel="2" val="0"/>
</file>

<file path=xl/ctrlProps/ctrlProp94.xml><?xml version="1.0" encoding="utf-8"?>
<formControlPr xmlns="http://schemas.microsoft.com/office/spreadsheetml/2009/9/main" objectType="Drop" dropLines="2" dropStyle="combo" dx="22" fmlaLink="$D$57" fmlaRange="$L$47:$L$48" noThreeD="1" sel="2" val="0"/>
</file>

<file path=xl/ctrlProps/ctrlProp95.xml><?xml version="1.0" encoding="utf-8"?>
<formControlPr xmlns="http://schemas.microsoft.com/office/spreadsheetml/2009/9/main" objectType="Drop" dropLines="2" dropStyle="combo" dx="22" fmlaLink="$D$57" fmlaRange="$L$47:$L$48" noThreeD="1" sel="2" val="0"/>
</file>

<file path=xl/ctrlProps/ctrlProp96.xml><?xml version="1.0" encoding="utf-8"?>
<formControlPr xmlns="http://schemas.microsoft.com/office/spreadsheetml/2009/9/main" objectType="Drop" dropLines="2" dropStyle="combo" dx="22" fmlaLink="$D$57" fmlaRange="$L$47:$L$48" noThreeD="1" sel="2" val="0"/>
</file>

<file path=xl/ctrlProps/ctrlProp97.xml><?xml version="1.0" encoding="utf-8"?>
<formControlPr xmlns="http://schemas.microsoft.com/office/spreadsheetml/2009/9/main" objectType="Drop" dropLines="2" dropStyle="combo" dx="22" fmlaLink="$D$87" fmlaRange="$L$47:$L$48" noThreeD="1" sel="1" val="0"/>
</file>

<file path=xl/ctrlProps/ctrlProp98.xml><?xml version="1.0" encoding="utf-8"?>
<formControlPr xmlns="http://schemas.microsoft.com/office/spreadsheetml/2009/9/main" objectType="Drop" dropLines="2" dropStyle="combo" dx="22" fmlaLink="$D$87" fmlaRange="$L$47:$L$48" noThreeD="1" sel="1" val="0"/>
</file>

<file path=xl/ctrlProps/ctrlProp99.xml><?xml version="1.0" encoding="utf-8"?>
<formControlPr xmlns="http://schemas.microsoft.com/office/spreadsheetml/2009/9/main" objectType="Drop" dropLines="2" dropStyle="combo" dx="22" fmlaLink="$D$87" fmlaRange="$L$47:$L$48" noThreeD="1" sel="1" val="0"/>
</file>

<file path=xl/ctrlProps/ctrlProp100.xml><?xml version="1.0" encoding="utf-8"?>
<formControlPr xmlns="http://schemas.microsoft.com/office/spreadsheetml/2009/9/main" objectType="Drop" dropLines="2" dropStyle="combo" dx="22" fmlaLink="$D$88" fmlaRange="$L$47:$L$48" noThreeD="1" sel="1" val="0"/>
</file>

<file path=xl/ctrlProps/ctrlProp101.xml><?xml version="1.0" encoding="utf-8"?>
<formControlPr xmlns="http://schemas.microsoft.com/office/spreadsheetml/2009/9/main" objectType="Drop" dropLines="2" dropStyle="combo" dx="22" fmlaLink="$D$88" fmlaRange="$L$47:$L$48" noThreeD="1" sel="1" val="0"/>
</file>

<file path=xl/ctrlProps/ctrlProp102.xml><?xml version="1.0" encoding="utf-8"?>
<formControlPr xmlns="http://schemas.microsoft.com/office/spreadsheetml/2009/9/main" objectType="Drop" dropLines="2" dropStyle="combo" dx="22" fmlaLink="$D$88" fmlaRange="$L$47:$L$48" noThreeD="1" sel="1" val="0"/>
</file>

<file path=xl/ctrlProps/ctrlProp103.xml><?xml version="1.0" encoding="utf-8"?>
<formControlPr xmlns="http://schemas.microsoft.com/office/spreadsheetml/2009/9/main" objectType="Drop" dropLines="2" dropStyle="combo" dx="22" fmlaLink="$D$90" fmlaRange="$L$47:$L$48" noThreeD="1" sel="2" val="0"/>
</file>

<file path=xl/ctrlProps/ctrlProp104.xml><?xml version="1.0" encoding="utf-8"?>
<formControlPr xmlns="http://schemas.microsoft.com/office/spreadsheetml/2009/9/main" objectType="Drop" dropLines="2" dropStyle="combo" dx="22" fmlaLink="$D$90" fmlaRange="$L$47:$L$48" noThreeD="1" sel="2" val="0"/>
</file>

<file path=xl/ctrlProps/ctrlProp105.xml><?xml version="1.0" encoding="utf-8"?>
<formControlPr xmlns="http://schemas.microsoft.com/office/spreadsheetml/2009/9/main" objectType="Drop" dropLines="2" dropStyle="combo" dx="22" fmlaLink="$D$90" fmlaRange="$L$47:$L$48" noThreeD="1" sel="2" val="0"/>
</file>

<file path=xl/ctrlProps/ctrlProp106.xml><?xml version="1.0" encoding="utf-8"?>
<formControlPr xmlns="http://schemas.microsoft.com/office/spreadsheetml/2009/9/main" objectType="Drop" dropLines="2" dropStyle="combo" dx="22" fmlaLink="$D$91" fmlaRange="$L$47:$L$48" noThreeD="1" sel="2" val="0"/>
</file>

<file path=xl/ctrlProps/ctrlProp107.xml><?xml version="1.0" encoding="utf-8"?>
<formControlPr xmlns="http://schemas.microsoft.com/office/spreadsheetml/2009/9/main" objectType="Drop" dropLines="2" dropStyle="combo" dx="22" fmlaLink="$D$91" fmlaRange="$L$47:$L$48" noThreeD="1" sel="2" val="0"/>
</file>

<file path=xl/ctrlProps/ctrlProp108.xml><?xml version="1.0" encoding="utf-8"?>
<formControlPr xmlns="http://schemas.microsoft.com/office/spreadsheetml/2009/9/main" objectType="Drop" dropLines="2" dropStyle="combo" dx="22" fmlaLink="$D$91" fmlaRange="$L$47:$L$48" noThreeD="1" sel="2" val="0"/>
</file>

<file path=xl/ctrlProps/ctrlProp109.xml><?xml version="1.0" encoding="utf-8"?>
<formControlPr xmlns="http://schemas.microsoft.com/office/spreadsheetml/2009/9/main" objectType="Drop" dropLines="2" dropStyle="combo" dx="22" fmlaLink="$D$92" fmlaRange="$L$47:$L$48" noThreeD="1" sel="2" val="0"/>
</file>

<file path=xl/ctrlProps/ctrlProp110.xml><?xml version="1.0" encoding="utf-8"?>
<formControlPr xmlns="http://schemas.microsoft.com/office/spreadsheetml/2009/9/main" objectType="Drop" dropLines="2" dropStyle="combo" dx="22" fmlaLink="$D$92" fmlaRange="$L$47:$L$48" noThreeD="1" sel="2" val="0"/>
</file>

<file path=xl/ctrlProps/ctrlProp111.xml><?xml version="1.0" encoding="utf-8"?>
<formControlPr xmlns="http://schemas.microsoft.com/office/spreadsheetml/2009/9/main" objectType="Drop" dropLines="2" dropStyle="combo" dx="22" fmlaLink="$D$92" fmlaRange="$L$47:$L$48" noThreeD="1" sel="2" val="0"/>
</file>

<file path=xl/ctrlProps/ctrlProp112.xml><?xml version="1.0" encoding="utf-8"?>
<formControlPr xmlns="http://schemas.microsoft.com/office/spreadsheetml/2009/9/main" objectType="Drop" dropLines="2" dropStyle="combo" dx="22" fmlaLink="$D$122" fmlaRange="$L$47:$L$48" noThreeD="1" sel="2" val="0"/>
</file>

<file path=xl/ctrlProps/ctrlProp113.xml><?xml version="1.0" encoding="utf-8"?>
<formControlPr xmlns="http://schemas.microsoft.com/office/spreadsheetml/2009/9/main" objectType="Drop" dropLines="2" dropStyle="combo" dx="22" fmlaLink="$D$122" fmlaRange="$L$47:$L$48" noThreeD="1" sel="2" val="0"/>
</file>

<file path=xl/ctrlProps/ctrlProp114.xml><?xml version="1.0" encoding="utf-8"?>
<formControlPr xmlns="http://schemas.microsoft.com/office/spreadsheetml/2009/9/main" objectType="Drop" dropLines="2" dropStyle="combo" dx="22" fmlaLink="$D$122" fmlaRange="$L$47:$L$48" noThreeD="1" sel="2" val="0"/>
</file>

<file path=xl/ctrlProps/ctrlProp115.xml><?xml version="1.0" encoding="utf-8"?>
<formControlPr xmlns="http://schemas.microsoft.com/office/spreadsheetml/2009/9/main" objectType="Drop" dropLines="2" dropStyle="combo" dx="22" fmlaLink="$D$123" fmlaRange="$L$47:$L$48" noThreeD="1" sel="2" val="0"/>
</file>

<file path=xl/ctrlProps/ctrlProp116.xml><?xml version="1.0" encoding="utf-8"?>
<formControlPr xmlns="http://schemas.microsoft.com/office/spreadsheetml/2009/9/main" objectType="Drop" dropLines="2" dropStyle="combo" dx="22" fmlaLink="$D$123" fmlaRange="$L$47:$L$48" noThreeD="1" sel="2" val="0"/>
</file>

<file path=xl/ctrlProps/ctrlProp117.xml><?xml version="1.0" encoding="utf-8"?>
<formControlPr xmlns="http://schemas.microsoft.com/office/spreadsheetml/2009/9/main" objectType="Drop" dropLines="2" dropStyle="combo" dx="22" fmlaLink="$D$123" fmlaRange="$L$47:$L$48" noThreeD="1" sel="2" val="0"/>
</file>

<file path=xl/ctrlProps/ctrlProp118.xml><?xml version="1.0" encoding="utf-8"?>
<formControlPr xmlns="http://schemas.microsoft.com/office/spreadsheetml/2009/9/main" objectType="Drop" dropLines="2" dropStyle="combo" dx="22" fmlaLink="$D$125" fmlaRange="$L$47:$L$48" noThreeD="1" sel="2" val="0"/>
</file>

<file path=xl/ctrlProps/ctrlProp119.xml><?xml version="1.0" encoding="utf-8"?>
<formControlPr xmlns="http://schemas.microsoft.com/office/spreadsheetml/2009/9/main" objectType="Drop" dropLines="2" dropStyle="combo" dx="22" fmlaLink="$D$125" fmlaRange="$L$47:$L$48" noThreeD="1" sel="2" val="0"/>
</file>

<file path=xl/ctrlProps/ctrlProp120.xml><?xml version="1.0" encoding="utf-8"?>
<formControlPr xmlns="http://schemas.microsoft.com/office/spreadsheetml/2009/9/main" objectType="Drop" dropLines="2" dropStyle="combo" dx="22" fmlaLink="$D$125" fmlaRange="$L$47:$L$48" noThreeD="1" sel="2" val="0"/>
</file>

<file path=xl/ctrlProps/ctrlProp121.xml><?xml version="1.0" encoding="utf-8"?>
<formControlPr xmlns="http://schemas.microsoft.com/office/spreadsheetml/2009/9/main" objectType="Drop" dropLines="2" dropStyle="combo" dx="22" fmlaLink="$D$126" fmlaRange="$L$47:$L$48" noThreeD="1" sel="2" val="0"/>
</file>

<file path=xl/ctrlProps/ctrlProp122.xml><?xml version="1.0" encoding="utf-8"?>
<formControlPr xmlns="http://schemas.microsoft.com/office/spreadsheetml/2009/9/main" objectType="Drop" dropLines="2" dropStyle="combo" dx="22" fmlaLink="$D$126" fmlaRange="$L$47:$L$48" noThreeD="1" sel="2" val="0"/>
</file>

<file path=xl/ctrlProps/ctrlProp123.xml><?xml version="1.0" encoding="utf-8"?>
<formControlPr xmlns="http://schemas.microsoft.com/office/spreadsheetml/2009/9/main" objectType="Drop" dropLines="2" dropStyle="combo" dx="22" fmlaLink="$D$126" fmlaRange="$L$47:$L$48" noThreeD="1" sel="2" val="0"/>
</file>

<file path=xl/ctrlProps/ctrlProp124.xml><?xml version="1.0" encoding="utf-8"?>
<formControlPr xmlns="http://schemas.microsoft.com/office/spreadsheetml/2009/9/main" objectType="Drop" dropLines="2" dropStyle="combo" dx="22" fmlaLink="$D$127" fmlaRange="$L$47:$L$48" noThreeD="1" sel="2" val="0"/>
</file>

<file path=xl/ctrlProps/ctrlProp125.xml><?xml version="1.0" encoding="utf-8"?>
<formControlPr xmlns="http://schemas.microsoft.com/office/spreadsheetml/2009/9/main" objectType="Drop" dropLines="2" dropStyle="combo" dx="22" fmlaLink="$D$127" fmlaRange="$L$47:$L$48" noThreeD="1" sel="2" val="0"/>
</file>

<file path=xl/ctrlProps/ctrlProp126.xml><?xml version="1.0" encoding="utf-8"?>
<formControlPr xmlns="http://schemas.microsoft.com/office/spreadsheetml/2009/9/main" objectType="Drop" dropLines="2" dropStyle="combo" dx="22" fmlaLink="$D$127" fmlaRange="$L$47:$L$48" noThreeD="1" sel="2" val="0"/>
</file>

<file path=xl/ctrlProps/ctrlProp127.xml><?xml version="1.0" encoding="utf-8"?>
<formControlPr xmlns="http://schemas.microsoft.com/office/spreadsheetml/2009/9/main" objectType="Drop" dropLines="2" dropStyle="combo" dx="22" fmlaLink="$D$157" fmlaRange="$L$47:$L$48" noThreeD="1" sel="2" val="0"/>
</file>

<file path=xl/ctrlProps/ctrlProp128.xml><?xml version="1.0" encoding="utf-8"?>
<formControlPr xmlns="http://schemas.microsoft.com/office/spreadsheetml/2009/9/main" objectType="Drop" dropLines="2" dropStyle="combo" dx="22" fmlaLink="$D$157" fmlaRange="$L$47:$L$48" noThreeD="1" sel="2" val="0"/>
</file>

<file path=xl/ctrlProps/ctrlProp129.xml><?xml version="1.0" encoding="utf-8"?>
<formControlPr xmlns="http://schemas.microsoft.com/office/spreadsheetml/2009/9/main" objectType="Drop" dropLines="2" dropStyle="combo" dx="22" fmlaLink="$D$157" fmlaRange="$L$47:$L$48" noThreeD="1" sel="2" val="0"/>
</file>

<file path=xl/ctrlProps/ctrlProp130.xml><?xml version="1.0" encoding="utf-8"?>
<formControlPr xmlns="http://schemas.microsoft.com/office/spreadsheetml/2009/9/main" objectType="Drop" dropLines="2" dropStyle="combo" dx="22" fmlaLink="$D$158" fmlaRange="$L$47:$L$48" noThreeD="1" sel="2" val="0"/>
</file>

<file path=xl/ctrlProps/ctrlProp131.xml><?xml version="1.0" encoding="utf-8"?>
<formControlPr xmlns="http://schemas.microsoft.com/office/spreadsheetml/2009/9/main" objectType="Drop" dropLines="2" dropStyle="combo" dx="22" fmlaLink="$D$158" fmlaRange="$L$47:$L$48" noThreeD="1" sel="2" val="0"/>
</file>

<file path=xl/ctrlProps/ctrlProp132.xml><?xml version="1.0" encoding="utf-8"?>
<formControlPr xmlns="http://schemas.microsoft.com/office/spreadsheetml/2009/9/main" objectType="Drop" dropLines="2" dropStyle="combo" dx="22" fmlaLink="$D$158" fmlaRange="$L$47:$L$48" noThreeD="1" sel="2" val="0"/>
</file>

<file path=xl/ctrlProps/ctrlProp133.xml><?xml version="1.0" encoding="utf-8"?>
<formControlPr xmlns="http://schemas.microsoft.com/office/spreadsheetml/2009/9/main" objectType="Drop" dropLines="2" dropStyle="combo" dx="22" fmlaLink="$D$160" fmlaRange="$L$47:$L$48" noThreeD="1" sel="2" val="0"/>
</file>

<file path=xl/ctrlProps/ctrlProp134.xml><?xml version="1.0" encoding="utf-8"?>
<formControlPr xmlns="http://schemas.microsoft.com/office/spreadsheetml/2009/9/main" objectType="Drop" dropLines="2" dropStyle="combo" dx="22" fmlaLink="$D$160" fmlaRange="$L$47:$L$48" noThreeD="1" sel="2" val="0"/>
</file>

<file path=xl/ctrlProps/ctrlProp135.xml><?xml version="1.0" encoding="utf-8"?>
<formControlPr xmlns="http://schemas.microsoft.com/office/spreadsheetml/2009/9/main" objectType="Drop" dropLines="2" dropStyle="combo" dx="22" fmlaLink="$D$160" fmlaRange="$L$47:$L$48" noThreeD="1" sel="2" val="0"/>
</file>

<file path=xl/ctrlProps/ctrlProp136.xml><?xml version="1.0" encoding="utf-8"?>
<formControlPr xmlns="http://schemas.microsoft.com/office/spreadsheetml/2009/9/main" objectType="Drop" dropLines="2" dropStyle="combo" dx="22" fmlaLink="$D$161" fmlaRange="$L$47:$L$48" noThreeD="1" sel="2" val="0"/>
</file>

<file path=xl/ctrlProps/ctrlProp137.xml><?xml version="1.0" encoding="utf-8"?>
<formControlPr xmlns="http://schemas.microsoft.com/office/spreadsheetml/2009/9/main" objectType="Drop" dropLines="2" dropStyle="combo" dx="22" fmlaLink="$D$161" fmlaRange="$L$47:$L$48" noThreeD="1" sel="2" val="0"/>
</file>

<file path=xl/ctrlProps/ctrlProp138.xml><?xml version="1.0" encoding="utf-8"?>
<formControlPr xmlns="http://schemas.microsoft.com/office/spreadsheetml/2009/9/main" objectType="Drop" dropLines="2" dropStyle="combo" dx="22" fmlaLink="$D$161" fmlaRange="$L$47:$L$48" noThreeD="1" sel="2" val="0"/>
</file>

<file path=xl/ctrlProps/ctrlProp139.xml><?xml version="1.0" encoding="utf-8"?>
<formControlPr xmlns="http://schemas.microsoft.com/office/spreadsheetml/2009/9/main" objectType="Drop" dropLines="2" dropStyle="combo" dx="22" fmlaLink="$D$162" fmlaRange="$L$47:$L$48" noThreeD="1" sel="2" val="0"/>
</file>

<file path=xl/ctrlProps/ctrlProp140.xml><?xml version="1.0" encoding="utf-8"?>
<formControlPr xmlns="http://schemas.microsoft.com/office/spreadsheetml/2009/9/main" objectType="Drop" dropLines="2" dropStyle="combo" dx="22" fmlaLink="$D$162" fmlaRange="$L$47:$L$48" noThreeD="1" sel="2" val="0"/>
</file>

<file path=xl/ctrlProps/ctrlProp141.xml><?xml version="1.0" encoding="utf-8"?>
<formControlPr xmlns="http://schemas.microsoft.com/office/spreadsheetml/2009/9/main" objectType="Drop" dropLines="2" dropStyle="combo" dx="22" fmlaLink="$D$162" fmlaRange="$L$47:$L$48" noThreeD="1" sel="2" val="0"/>
</file>

<file path=xl/ctrlProps/ctrlProp142.xml><?xml version="1.0" encoding="utf-8"?>
<formControlPr xmlns="http://schemas.microsoft.com/office/spreadsheetml/2009/9/main" objectType="Drop" dropLines="2" dropStyle="combo" dx="22" fmlaLink="$D$192" fmlaRange="$L$47:$L$48" noThreeD="1" sel="2" val="0"/>
</file>

<file path=xl/ctrlProps/ctrlProp143.xml><?xml version="1.0" encoding="utf-8"?>
<formControlPr xmlns="http://schemas.microsoft.com/office/spreadsheetml/2009/9/main" objectType="Drop" dropLines="2" dropStyle="combo" dx="22" fmlaLink="$D$192" fmlaRange="$L$47:$L$48" noThreeD="1" sel="2" val="0"/>
</file>

<file path=xl/ctrlProps/ctrlProp144.xml><?xml version="1.0" encoding="utf-8"?>
<formControlPr xmlns="http://schemas.microsoft.com/office/spreadsheetml/2009/9/main" objectType="Drop" dropLines="2" dropStyle="combo" dx="22" fmlaLink="$D$192" fmlaRange="$L$47:$L$48" noThreeD="1" sel="2" val="0"/>
</file>

<file path=xl/ctrlProps/ctrlProp145.xml><?xml version="1.0" encoding="utf-8"?>
<formControlPr xmlns="http://schemas.microsoft.com/office/spreadsheetml/2009/9/main" objectType="Drop" dropLines="2" dropStyle="combo" dx="22" fmlaLink="$D$193" fmlaRange="$L$47:$L$48" noThreeD="1" sel="2" val="0"/>
</file>

<file path=xl/ctrlProps/ctrlProp146.xml><?xml version="1.0" encoding="utf-8"?>
<formControlPr xmlns="http://schemas.microsoft.com/office/spreadsheetml/2009/9/main" objectType="Drop" dropLines="2" dropStyle="combo" dx="22" fmlaLink="$D$193" fmlaRange="$L$47:$L$48" noThreeD="1" sel="2" val="0"/>
</file>

<file path=xl/ctrlProps/ctrlProp147.xml><?xml version="1.0" encoding="utf-8"?>
<formControlPr xmlns="http://schemas.microsoft.com/office/spreadsheetml/2009/9/main" objectType="Drop" dropLines="2" dropStyle="combo" dx="22" fmlaLink="$D$193" fmlaRange="$L$47:$L$48" noThreeD="1" sel="2" val="0"/>
</file>

<file path=xl/ctrlProps/ctrlProp148.xml><?xml version="1.0" encoding="utf-8"?>
<formControlPr xmlns="http://schemas.microsoft.com/office/spreadsheetml/2009/9/main" objectType="Drop" dropLines="2" dropStyle="combo" dx="22" fmlaLink="$D$195" fmlaRange="$L$47:$L$48" noThreeD="1" sel="2" val="0"/>
</file>

<file path=xl/ctrlProps/ctrlProp149.xml><?xml version="1.0" encoding="utf-8"?>
<formControlPr xmlns="http://schemas.microsoft.com/office/spreadsheetml/2009/9/main" objectType="Drop" dropLines="2" dropStyle="combo" dx="22" fmlaLink="$D$195" fmlaRange="$L$47:$L$48" noThreeD="1" sel="2" val="0"/>
</file>

<file path=xl/ctrlProps/ctrlProp150.xml><?xml version="1.0" encoding="utf-8"?>
<formControlPr xmlns="http://schemas.microsoft.com/office/spreadsheetml/2009/9/main" objectType="Drop" dropLines="2" dropStyle="combo" dx="22" fmlaLink="$D$195" fmlaRange="$L$47:$L$48" noThreeD="1" sel="2" val="0"/>
</file>

<file path=xl/ctrlProps/ctrlProp151.xml><?xml version="1.0" encoding="utf-8"?>
<formControlPr xmlns="http://schemas.microsoft.com/office/spreadsheetml/2009/9/main" objectType="Drop" dropLines="2" dropStyle="combo" dx="22" fmlaLink="$D$196" fmlaRange="$L$47:$L$48" noThreeD="1" sel="2" val="0"/>
</file>

<file path=xl/ctrlProps/ctrlProp152.xml><?xml version="1.0" encoding="utf-8"?>
<formControlPr xmlns="http://schemas.microsoft.com/office/spreadsheetml/2009/9/main" objectType="Drop" dropLines="2" dropStyle="combo" dx="22" fmlaLink="$D$196" fmlaRange="$L$47:$L$48" noThreeD="1" sel="2" val="0"/>
</file>

<file path=xl/ctrlProps/ctrlProp153.xml><?xml version="1.0" encoding="utf-8"?>
<formControlPr xmlns="http://schemas.microsoft.com/office/spreadsheetml/2009/9/main" objectType="Drop" dropLines="2" dropStyle="combo" dx="22" fmlaLink="$D$196" fmlaRange="$L$47:$L$48" noThreeD="1" sel="2" val="0"/>
</file>

<file path=xl/ctrlProps/ctrlProp154.xml><?xml version="1.0" encoding="utf-8"?>
<formControlPr xmlns="http://schemas.microsoft.com/office/spreadsheetml/2009/9/main" objectType="Drop" dropLines="2" dropStyle="combo" dx="22" fmlaLink="$D$197" fmlaRange="$L$47:$L$48" noThreeD="1" sel="2" val="0"/>
</file>

<file path=xl/ctrlProps/ctrlProp155.xml><?xml version="1.0" encoding="utf-8"?>
<formControlPr xmlns="http://schemas.microsoft.com/office/spreadsheetml/2009/9/main" objectType="Drop" dropLines="2" dropStyle="combo" dx="22" fmlaLink="$D$197" fmlaRange="$L$47:$L$48" noThreeD="1" sel="2" val="0"/>
</file>

<file path=xl/ctrlProps/ctrlProp156.xml><?xml version="1.0" encoding="utf-8"?>
<formControlPr xmlns="http://schemas.microsoft.com/office/spreadsheetml/2009/9/main" objectType="Drop" dropLines="2" dropStyle="combo" dx="22" fmlaLink="$D$197" fmlaRange="$L$47:$L$48" noThreeD="1" sel="2" val="0"/>
</file>

<file path=xl/ctrlProps/ctrlProp157.xml><?xml version="1.0" encoding="utf-8"?>
<formControlPr xmlns="http://schemas.microsoft.com/office/spreadsheetml/2009/9/main" objectType="Drop" dropLines="2" dropStyle="combo" dx="22" fmlaLink="$D$52" fmlaRange="$L$47:$L$48" noThreeD="1" sel="1" val="0"/>
</file>

<file path=xl/ctrlProps/ctrlProp158.xml><?xml version="1.0" encoding="utf-8"?>
<formControlPr xmlns="http://schemas.microsoft.com/office/spreadsheetml/2009/9/main" objectType="Drop" dropLines="2" dropStyle="combo" dx="22" fmlaLink="$D$52" fmlaRange="$L$47:$L$48" noThreeD="1" sel="1" val="0"/>
</file>

<file path=xl/ctrlProps/ctrlProp159.xml><?xml version="1.0" encoding="utf-8"?>
<formControlPr xmlns="http://schemas.microsoft.com/office/spreadsheetml/2009/9/main" objectType="Drop" dropLines="2" dropStyle="combo" dx="22" fmlaLink="$D$54" fmlaRange="$L$47:$L$48" noThreeD="1" sel="1" val="0"/>
</file>

<file path=xl/ctrlProps/ctrlProp160.xml><?xml version="1.0" encoding="utf-8"?>
<formControlPr xmlns="http://schemas.microsoft.com/office/spreadsheetml/2009/9/main" objectType="Drop" dropLines="2" dropStyle="combo" dx="22" fmlaLink="$D$54" fmlaRange="$L$47:$L$48" noThreeD="1" sel="1" val="0"/>
</file>

<file path=xl/ctrlProps/ctrlProp161.xml><?xml version="1.0" encoding="utf-8"?>
<formControlPr xmlns="http://schemas.microsoft.com/office/spreadsheetml/2009/9/main" objectType="Drop" dropLines="2" dropStyle="combo" dx="22" fmlaLink="$D$54" fmlaRange="$L$47:$L$48" noThreeD="1" sel="1" val="0"/>
</file>

<file path=xl/ctrlProps/ctrlProp162.xml><?xml version="1.0" encoding="utf-8"?>
<formControlPr xmlns="http://schemas.microsoft.com/office/spreadsheetml/2009/9/main" objectType="Drop" dropLines="2" dropStyle="combo" dx="22" fmlaLink="$D$88" fmlaRange="$L$47:$L$48" noThreeD="1" sel="1" val="0"/>
</file>

<file path=xl/ctrlProps/ctrlProp163.xml><?xml version="1.0" encoding="utf-8"?>
<formControlPr xmlns="http://schemas.microsoft.com/office/spreadsheetml/2009/9/main" objectType="Drop" dropLines="2" dropStyle="combo" dx="22" fmlaLink="$D$88" fmlaRange="$L$47:$L$48" noThreeD="1" sel="1" val="0"/>
</file>

<file path=xl/ctrlProps/ctrlProp164.xml><?xml version="1.0" encoding="utf-8"?>
<formControlPr xmlns="http://schemas.microsoft.com/office/spreadsheetml/2009/9/main" objectType="Drop" dropLines="2" dropStyle="combo" dx="22" fmlaLink="$D$88" fmlaRange="$L$47:$L$48" noThreeD="1" sel="1" val="0"/>
</file>

<file path=xl/ctrlProps/ctrlProp165.xml><?xml version="1.0" encoding="utf-8"?>
<formControlPr xmlns="http://schemas.microsoft.com/office/spreadsheetml/2009/9/main" objectType="Drop" dropLines="2" dropStyle="combo" dx="22" fmlaLink="$D$89" fmlaRange="$L$47:$L$48" noThreeD="1" sel="1" val="0"/>
</file>

<file path=xl/ctrlProps/ctrlProp166.xml><?xml version="1.0" encoding="utf-8"?>
<formControlPr xmlns="http://schemas.microsoft.com/office/spreadsheetml/2009/9/main" objectType="Drop" dropLines="2" dropStyle="combo" dx="22" fmlaLink="$D$89" fmlaRange="$L$47:$L$48" noThreeD="1" sel="1" val="0"/>
</file>

<file path=xl/ctrlProps/ctrlProp167.xml><?xml version="1.0" encoding="utf-8"?>
<formControlPr xmlns="http://schemas.microsoft.com/office/spreadsheetml/2009/9/main" objectType="Drop" dropLines="2" dropStyle="combo" dx="22" fmlaLink="$D$89" fmlaRange="$L$47:$L$48" noThreeD="1" sel="1" val="0"/>
</file>

<file path=xl/ctrlProps/ctrlProp168.xml><?xml version="1.0" encoding="utf-8"?>
<formControlPr xmlns="http://schemas.microsoft.com/office/spreadsheetml/2009/9/main" objectType="Drop" dropLines="2" dropStyle="combo" dx="22" fmlaLink="$D$88" fmlaRange="$L$47:$L$48" noThreeD="1" sel="1" val="0"/>
</file>

<file path=xl/ctrlProps/ctrlProp169.xml><?xml version="1.0" encoding="utf-8"?>
<formControlPr xmlns="http://schemas.microsoft.com/office/spreadsheetml/2009/9/main" objectType="Drop" dropLines="2" dropStyle="combo" dx="22" fmlaLink="$D$88" fmlaRange="$L$47:$L$48" noThreeD="1" sel="1" val="0"/>
</file>

<file path=xl/ctrlProps/ctrlProp170.xml><?xml version="1.0" encoding="utf-8"?>
<formControlPr xmlns="http://schemas.microsoft.com/office/spreadsheetml/2009/9/main" objectType="Drop" dropLines="2" dropStyle="combo" dx="22" fmlaLink="$D$88" fmlaRange="$L$47:$L$48" noThreeD="1" sel="1" val="0"/>
</file>

<file path=xl/ctrlProps/ctrlProp171.xml><?xml version="1.0" encoding="utf-8"?>
<formControlPr xmlns="http://schemas.microsoft.com/office/spreadsheetml/2009/9/main" objectType="Drop" dropLines="2" dropStyle="combo" dx="22" fmlaLink="$D$87" fmlaRange="$L$47:$L$48" noThreeD="1" sel="1" val="0"/>
</file>

<file path=xl/ctrlProps/ctrlProp172.xml><?xml version="1.0" encoding="utf-8"?>
<formControlPr xmlns="http://schemas.microsoft.com/office/spreadsheetml/2009/9/main" objectType="Drop" dropLines="2" dropStyle="combo" dx="22" fmlaLink="$D$87" fmlaRange="$L$47:$L$48" noThreeD="1" sel="1" val="0"/>
</file>

<file path=xl/ctrlProps/ctrlProp173.xml><?xml version="1.0" encoding="utf-8"?>
<formControlPr xmlns="http://schemas.microsoft.com/office/spreadsheetml/2009/9/main" objectType="Drop" dropLines="2" dropStyle="combo" dx="22" fmlaLink="$D$87" fmlaRange="$L$47:$L$48" noThreeD="1" sel="1" val="0"/>
</file>

<file path=xl/ctrlProps/ctrlProp174.xml><?xml version="1.0" encoding="utf-8"?>
<formControlPr xmlns="http://schemas.microsoft.com/office/spreadsheetml/2009/9/main" objectType="Drop" dropLines="2" dropStyle="combo" dx="22" fmlaLink="$D$124" fmlaRange="$L$47:$L$48" noThreeD="1" sel="2" val="0"/>
</file>

<file path=xl/ctrlProps/ctrlProp175.xml><?xml version="1.0" encoding="utf-8"?>
<formControlPr xmlns="http://schemas.microsoft.com/office/spreadsheetml/2009/9/main" objectType="Drop" dropLines="2" dropStyle="combo" dx="22" fmlaLink="$D$124" fmlaRange="$L$47:$L$48" noThreeD="1" sel="2" val="0"/>
</file>

<file path=xl/ctrlProps/ctrlProp176.xml><?xml version="1.0" encoding="utf-8"?>
<formControlPr xmlns="http://schemas.microsoft.com/office/spreadsheetml/2009/9/main" objectType="Drop" dropLines="2" dropStyle="combo" dx="22" fmlaLink="$D$124" fmlaRange="$L$47:$L$48" noThreeD="1" sel="2" val="0"/>
</file>

<file path=xl/ctrlProps/ctrlProp177.xml><?xml version="1.0" encoding="utf-8"?>
<formControlPr xmlns="http://schemas.microsoft.com/office/spreadsheetml/2009/9/main" objectType="Drop" dropLines="2" dropStyle="combo" dx="22" fmlaLink="$D$157" fmlaRange="$L$47:$L$48" noThreeD="1" sel="2" val="0"/>
</file>

<file path=xl/ctrlProps/ctrlProp178.xml><?xml version="1.0" encoding="utf-8"?>
<formControlPr xmlns="http://schemas.microsoft.com/office/spreadsheetml/2009/9/main" objectType="Drop" dropLines="2" dropStyle="combo" dx="22" fmlaLink="$D$157" fmlaRange="$L$47:$L$48" noThreeD="1" sel="2" val="0"/>
</file>

<file path=xl/ctrlProps/ctrlProp179.xml><?xml version="1.0" encoding="utf-8"?>
<formControlPr xmlns="http://schemas.microsoft.com/office/spreadsheetml/2009/9/main" objectType="Drop" dropLines="2" dropStyle="combo" dx="22" fmlaLink="$D$157" fmlaRange="$L$47:$L$48" noThreeD="1" sel="2" val="0"/>
</file>

<file path=xl/ctrlProps/ctrlProp180.xml><?xml version="1.0" encoding="utf-8"?>
<formControlPr xmlns="http://schemas.microsoft.com/office/spreadsheetml/2009/9/main" objectType="Drop" dropLines="2" dropStyle="combo" dx="22" fmlaLink="$D$159" fmlaRange="$L$47:$L$48" noThreeD="1" sel="2" val="0"/>
</file>

<file path=xl/ctrlProps/ctrlProp181.xml><?xml version="1.0" encoding="utf-8"?>
<formControlPr xmlns="http://schemas.microsoft.com/office/spreadsheetml/2009/9/main" objectType="Drop" dropLines="2" dropStyle="combo" dx="22" fmlaLink="$D$159" fmlaRange="$L$47:$L$48" noThreeD="1" sel="2" val="0"/>
</file>

<file path=xl/ctrlProps/ctrlProp182.xml><?xml version="1.0" encoding="utf-8"?>
<formControlPr xmlns="http://schemas.microsoft.com/office/spreadsheetml/2009/9/main" objectType="Drop" dropLines="2" dropStyle="combo" dx="22" fmlaLink="$D$159" fmlaRange="$L$47:$L$48" noThreeD="1" sel="2" val="0"/>
</file>

<file path=xl/ctrlProps/ctrlProp183.xml><?xml version="1.0" encoding="utf-8"?>
<formControlPr xmlns="http://schemas.microsoft.com/office/spreadsheetml/2009/9/main" objectType="Drop" dropLines="2" dropStyle="combo" dx="22" fmlaLink="$D$192" fmlaRange="$L$47:$L$48" noThreeD="1" sel="2" val="0"/>
</file>

<file path=xl/ctrlProps/ctrlProp184.xml><?xml version="1.0" encoding="utf-8"?>
<formControlPr xmlns="http://schemas.microsoft.com/office/spreadsheetml/2009/9/main" objectType="Drop" dropLines="2" dropStyle="combo" dx="22" fmlaLink="$D$192" fmlaRange="$L$47:$L$48" noThreeD="1" sel="2" val="0"/>
</file>

<file path=xl/ctrlProps/ctrlProp185.xml><?xml version="1.0" encoding="utf-8"?>
<formControlPr xmlns="http://schemas.microsoft.com/office/spreadsheetml/2009/9/main" objectType="Drop" dropLines="2" dropStyle="combo" dx="22" fmlaLink="$D$194" fmlaRange="$L$47:$L$48" noThreeD="1" sel="2" val="0"/>
</file>

<file path=xl/ctrlProps/ctrlProp186.xml><?xml version="1.0" encoding="utf-8"?>
<formControlPr xmlns="http://schemas.microsoft.com/office/spreadsheetml/2009/9/main" objectType="Drop" dropLines="2" dropStyle="combo" dx="22" fmlaLink="$D$194" fmlaRange="$L$47:$L$48" noThreeD="1" sel="2" val="0"/>
</file>

<file path=xl/ctrlProps/ctrlProp187.xml><?xml version="1.0" encoding="utf-8"?>
<formControlPr xmlns="http://schemas.microsoft.com/office/spreadsheetml/2009/9/main" objectType="Drop" dropLines="2" dropStyle="combo" dx="22" fmlaLink="$D$194" fmlaRange="$L$47:$L$48" noThreeD="1" sel="2" val="0"/>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3</xdr:col>
      <xdr:colOff>876300</xdr:colOff>
      <xdr:row>2</xdr:row>
      <xdr:rowOff>438150</xdr:rowOff>
    </xdr:from>
    <xdr:to>
      <xdr:col>3</xdr:col>
      <xdr:colOff>876300</xdr:colOff>
      <xdr:row>3</xdr:row>
      <xdr:rowOff>0</xdr:rowOff>
    </xdr:to>
    <xdr:sp macro="" textlink="">
      <xdr:nvSpPr>
        <xdr:cNvPr id="3501506" name="Line 107">
          <a:extLst>
            <a:ext uri="{FF2B5EF4-FFF2-40B4-BE49-F238E27FC236}">
              <a16:creationId xmlns:a16="http://schemas.microsoft.com/office/drawing/2014/main" id="{00000000-0008-0000-0300-0000C26D3500}"/>
            </a:ext>
          </a:extLst>
        </xdr:cNvPr>
        <xdr:cNvSpPr>
          <a:spLocks noChangeShapeType="1"/>
        </xdr:cNvSpPr>
      </xdr:nvSpPr>
      <xdr:spPr bwMode="auto">
        <a:xfrm flipH="1">
          <a:off x="4819650" y="2171700"/>
          <a:ext cx="0" cy="219075"/>
        </a:xfrm>
        <a:prstGeom prst="line">
          <a:avLst/>
        </a:prstGeom>
        <a:noFill/>
        <a:ln w="9525">
          <a:solidFill>
            <a:srgbClr val="000000"/>
          </a:solidFill>
          <a:round/>
          <a:headEnd/>
          <a:tailEnd type="triangle" w="med" len="med"/>
        </a:ln>
      </xdr:spPr>
    </xdr:sp>
    <xdr:clientData/>
  </xdr:twoCellAnchor>
  <xdr:twoCellAnchor>
    <xdr:from>
      <xdr:col>5</xdr:col>
      <xdr:colOff>866775</xdr:colOff>
      <xdr:row>2</xdr:row>
      <xdr:rowOff>438150</xdr:rowOff>
    </xdr:from>
    <xdr:to>
      <xdr:col>5</xdr:col>
      <xdr:colOff>866775</xdr:colOff>
      <xdr:row>3</xdr:row>
      <xdr:rowOff>0</xdr:rowOff>
    </xdr:to>
    <xdr:sp macro="" textlink="">
      <xdr:nvSpPr>
        <xdr:cNvPr id="3501507" name="Line 107">
          <a:extLst>
            <a:ext uri="{FF2B5EF4-FFF2-40B4-BE49-F238E27FC236}">
              <a16:creationId xmlns:a16="http://schemas.microsoft.com/office/drawing/2014/main" id="{00000000-0008-0000-0300-0000C36D3500}"/>
            </a:ext>
          </a:extLst>
        </xdr:cNvPr>
        <xdr:cNvSpPr>
          <a:spLocks noChangeShapeType="1"/>
        </xdr:cNvSpPr>
      </xdr:nvSpPr>
      <xdr:spPr bwMode="auto">
        <a:xfrm flipH="1">
          <a:off x="6981825" y="2171700"/>
          <a:ext cx="0" cy="219075"/>
        </a:xfrm>
        <a:prstGeom prst="line">
          <a:avLst/>
        </a:prstGeom>
        <a:noFill/>
        <a:ln w="9525">
          <a:solidFill>
            <a:srgbClr val="000000"/>
          </a:solidFill>
          <a:round/>
          <a:headEnd/>
          <a:tailEnd type="triangle" w="med" len="med"/>
        </a:ln>
      </xdr:spPr>
    </xdr:sp>
    <xdr:clientData/>
  </xdr:twoCellAnchor>
  <xdr:twoCellAnchor>
    <xdr:from>
      <xdr:col>7</xdr:col>
      <xdr:colOff>857250</xdr:colOff>
      <xdr:row>2</xdr:row>
      <xdr:rowOff>438150</xdr:rowOff>
    </xdr:from>
    <xdr:to>
      <xdr:col>7</xdr:col>
      <xdr:colOff>857250</xdr:colOff>
      <xdr:row>3</xdr:row>
      <xdr:rowOff>0</xdr:rowOff>
    </xdr:to>
    <xdr:sp macro="" textlink="">
      <xdr:nvSpPr>
        <xdr:cNvPr id="3501508" name="Line 107">
          <a:extLst>
            <a:ext uri="{FF2B5EF4-FFF2-40B4-BE49-F238E27FC236}">
              <a16:creationId xmlns:a16="http://schemas.microsoft.com/office/drawing/2014/main" id="{00000000-0008-0000-0300-0000C46D3500}"/>
            </a:ext>
          </a:extLst>
        </xdr:cNvPr>
        <xdr:cNvSpPr>
          <a:spLocks noChangeShapeType="1"/>
        </xdr:cNvSpPr>
      </xdr:nvSpPr>
      <xdr:spPr bwMode="auto">
        <a:xfrm flipH="1">
          <a:off x="9144000" y="2171700"/>
          <a:ext cx="0" cy="219075"/>
        </a:xfrm>
        <a:prstGeom prst="line">
          <a:avLst/>
        </a:prstGeom>
        <a:noFill/>
        <a:ln w="9525">
          <a:solidFill>
            <a:srgbClr val="000000"/>
          </a:solidFill>
          <a:round/>
          <a:headEnd/>
          <a:tailEnd type="triangle" w="med" len="med"/>
        </a:ln>
      </xdr:spPr>
    </xdr:sp>
    <xdr:clientData/>
  </xdr:twoCellAnchor>
  <xdr:twoCellAnchor>
    <xdr:from>
      <xdr:col>7</xdr:col>
      <xdr:colOff>1057274</xdr:colOff>
      <xdr:row>43</xdr:row>
      <xdr:rowOff>9525</xdr:rowOff>
    </xdr:from>
    <xdr:to>
      <xdr:col>10</xdr:col>
      <xdr:colOff>228600</xdr:colOff>
      <xdr:row>43</xdr:row>
      <xdr:rowOff>76199</xdr:rowOff>
    </xdr:to>
    <xdr:sp macro="" textlink="">
      <xdr:nvSpPr>
        <xdr:cNvPr id="3501510" name="Line 114">
          <a:extLst>
            <a:ext uri="{FF2B5EF4-FFF2-40B4-BE49-F238E27FC236}">
              <a16:creationId xmlns:a16="http://schemas.microsoft.com/office/drawing/2014/main" id="{00000000-0008-0000-0300-0000C66D3500}"/>
            </a:ext>
          </a:extLst>
        </xdr:cNvPr>
        <xdr:cNvSpPr>
          <a:spLocks noChangeShapeType="1"/>
        </xdr:cNvSpPr>
      </xdr:nvSpPr>
      <xdr:spPr bwMode="auto">
        <a:xfrm flipH="1">
          <a:off x="9782174" y="9344025"/>
          <a:ext cx="1562101" cy="66674"/>
        </a:xfrm>
        <a:prstGeom prst="line">
          <a:avLst/>
        </a:prstGeom>
        <a:noFill/>
        <a:ln w="9525">
          <a:solidFill>
            <a:srgbClr val="000000"/>
          </a:solidFill>
          <a:round/>
          <a:headEnd/>
          <a:tailEnd type="triangle" w="med" len="med"/>
        </a:ln>
      </xdr:spPr>
    </xdr:sp>
    <xdr:clientData/>
  </xdr:twoCellAnchor>
  <xdr:twoCellAnchor>
    <xdr:from>
      <xdr:col>7</xdr:col>
      <xdr:colOff>1162050</xdr:colOff>
      <xdr:row>3</xdr:row>
      <xdr:rowOff>0</xdr:rowOff>
    </xdr:from>
    <xdr:to>
      <xdr:col>10</xdr:col>
      <xdr:colOff>180975</xdr:colOff>
      <xdr:row>6</xdr:row>
      <xdr:rowOff>76200</xdr:rowOff>
    </xdr:to>
    <xdr:sp macro="" textlink="">
      <xdr:nvSpPr>
        <xdr:cNvPr id="3501511" name="Line 114">
          <a:extLst>
            <a:ext uri="{FF2B5EF4-FFF2-40B4-BE49-F238E27FC236}">
              <a16:creationId xmlns:a16="http://schemas.microsoft.com/office/drawing/2014/main" id="{00000000-0008-0000-0300-0000C76D3500}"/>
            </a:ext>
          </a:extLst>
        </xdr:cNvPr>
        <xdr:cNvSpPr>
          <a:spLocks noChangeShapeType="1"/>
        </xdr:cNvSpPr>
      </xdr:nvSpPr>
      <xdr:spPr bwMode="auto">
        <a:xfrm flipH="1">
          <a:off x="9448800" y="3057525"/>
          <a:ext cx="1304925" cy="1257300"/>
        </a:xfrm>
        <a:prstGeom prst="line">
          <a:avLst/>
        </a:prstGeom>
        <a:noFill/>
        <a:ln w="9525">
          <a:solidFill>
            <a:srgbClr val="000000"/>
          </a:solidFill>
          <a:round/>
          <a:headEnd/>
          <a:tailEnd type="triangle" w="med" len="med"/>
        </a:ln>
      </xdr:spPr>
    </xdr:sp>
    <xdr:clientData/>
  </xdr:twoCellAnchor>
  <xdr:twoCellAnchor>
    <xdr:from>
      <xdr:col>10</xdr:col>
      <xdr:colOff>209736</xdr:colOff>
      <xdr:row>25</xdr:row>
      <xdr:rowOff>40527</xdr:rowOff>
    </xdr:from>
    <xdr:to>
      <xdr:col>18</xdr:col>
      <xdr:colOff>57336</xdr:colOff>
      <xdr:row>27</xdr:row>
      <xdr:rowOff>9524</xdr:rowOff>
    </xdr:to>
    <xdr:sp macro="" textlink="">
      <xdr:nvSpPr>
        <xdr:cNvPr id="994320" name="Rectangle 137">
          <a:extLst>
            <a:ext uri="{FF2B5EF4-FFF2-40B4-BE49-F238E27FC236}">
              <a16:creationId xmlns:a16="http://schemas.microsoft.com/office/drawing/2014/main" id="{00000000-0008-0000-0300-0000102C0F00}"/>
            </a:ext>
          </a:extLst>
        </xdr:cNvPr>
        <xdr:cNvSpPr>
          <a:spLocks noChangeArrowheads="1"/>
        </xdr:cNvSpPr>
      </xdr:nvSpPr>
      <xdr:spPr bwMode="auto">
        <a:xfrm>
          <a:off x="11325411" y="4964952"/>
          <a:ext cx="4419600" cy="483347"/>
        </a:xfrm>
        <a:prstGeom prst="rect">
          <a:avLst/>
        </a:prstGeom>
        <a:solidFill>
          <a:srgbClr val="CCFFCC"/>
        </a:solidFill>
        <a:ln w="9525">
          <a:solidFill>
            <a:srgbClr val="000000"/>
          </a:solidFill>
          <a:miter lim="800000"/>
          <a:headEnd/>
          <a:tailEnd/>
        </a:ln>
      </xdr:spPr>
      <xdr:txBody>
        <a:bodyPr vertOverflow="clip" wrap="square" lIns="27432" tIns="22860" rIns="0" bIns="0" anchor="t" upright="1"/>
        <a:lstStyle/>
        <a:p>
          <a:pPr algn="l" rtl="0">
            <a:defRPr sz="1000"/>
          </a:pPr>
          <a:r>
            <a:rPr lang="en-GB" sz="800" b="0" i="0" u="none" strike="noStrike" baseline="0">
              <a:solidFill>
                <a:srgbClr val="000000"/>
              </a:solidFill>
              <a:latin typeface="Arial"/>
              <a:cs typeface="Arial"/>
            </a:rPr>
            <a:t>Note: </a:t>
          </a:r>
          <a:r>
            <a:rPr lang="en-GB" sz="800" b="0" i="0" u="sng" strike="noStrike" baseline="0">
              <a:solidFill>
                <a:srgbClr val="000000"/>
              </a:solidFill>
              <a:latin typeface="Arial"/>
              <a:cs typeface="Arial"/>
            </a:rPr>
            <a:t>Species</a:t>
          </a:r>
          <a:r>
            <a:rPr lang="en-GB" sz="800" b="0" i="0" u="none" strike="noStrike" baseline="0">
              <a:solidFill>
                <a:srgbClr val="000000"/>
              </a:solidFill>
              <a:latin typeface="Arial"/>
              <a:cs typeface="Arial"/>
            </a:rPr>
            <a:t> </a:t>
          </a:r>
        </a:p>
        <a:p>
          <a:pPr algn="l" rtl="0">
            <a:defRPr sz="1000"/>
          </a:pPr>
          <a:r>
            <a:rPr lang="en-GB" sz="800" b="0" i="0" u="none" strike="noStrike" baseline="0">
              <a:solidFill>
                <a:srgbClr val="000000"/>
              </a:solidFill>
              <a:latin typeface="Arial"/>
              <a:cs typeface="Arial"/>
            </a:rPr>
            <a:t>So far only Scots pine and Sitka spruce included. </a:t>
          </a:r>
        </a:p>
      </xdr:txBody>
    </xdr:sp>
    <xdr:clientData/>
  </xdr:twoCellAnchor>
  <xdr:twoCellAnchor>
    <xdr:from>
      <xdr:col>7</xdr:col>
      <xdr:colOff>1390649</xdr:colOff>
      <xdr:row>25</xdr:row>
      <xdr:rowOff>104775</xdr:rowOff>
    </xdr:from>
    <xdr:to>
      <xdr:col>10</xdr:col>
      <xdr:colOff>209550</xdr:colOff>
      <xdr:row>26</xdr:row>
      <xdr:rowOff>9525</xdr:rowOff>
    </xdr:to>
    <xdr:sp macro="" textlink="">
      <xdr:nvSpPr>
        <xdr:cNvPr id="3501513" name="Line 114">
          <a:extLst>
            <a:ext uri="{FF2B5EF4-FFF2-40B4-BE49-F238E27FC236}">
              <a16:creationId xmlns:a16="http://schemas.microsoft.com/office/drawing/2014/main" id="{00000000-0008-0000-0300-0000C96D3500}"/>
            </a:ext>
          </a:extLst>
        </xdr:cNvPr>
        <xdr:cNvSpPr>
          <a:spLocks noChangeShapeType="1"/>
        </xdr:cNvSpPr>
      </xdr:nvSpPr>
      <xdr:spPr bwMode="auto">
        <a:xfrm flipH="1" flipV="1">
          <a:off x="10115549" y="5029200"/>
          <a:ext cx="1209676" cy="161925"/>
        </a:xfrm>
        <a:prstGeom prst="line">
          <a:avLst/>
        </a:prstGeom>
        <a:noFill/>
        <a:ln w="9525">
          <a:solidFill>
            <a:srgbClr val="000000"/>
          </a:solidFill>
          <a:round/>
          <a:headEnd/>
          <a:tailEnd type="triangle" w="med" len="med"/>
        </a:ln>
      </xdr:spPr>
    </xdr:sp>
    <xdr:clientData/>
  </xdr:twoCellAnchor>
  <xdr:twoCellAnchor>
    <xdr:from>
      <xdr:col>7</xdr:col>
      <xdr:colOff>1095375</xdr:colOff>
      <xdr:row>3</xdr:row>
      <xdr:rowOff>0</xdr:rowOff>
    </xdr:from>
    <xdr:to>
      <xdr:col>10</xdr:col>
      <xdr:colOff>190500</xdr:colOff>
      <xdr:row>5</xdr:row>
      <xdr:rowOff>85725</xdr:rowOff>
    </xdr:to>
    <xdr:sp macro="" textlink="">
      <xdr:nvSpPr>
        <xdr:cNvPr id="3501519" name="Line 114">
          <a:extLst>
            <a:ext uri="{FF2B5EF4-FFF2-40B4-BE49-F238E27FC236}">
              <a16:creationId xmlns:a16="http://schemas.microsoft.com/office/drawing/2014/main" id="{00000000-0008-0000-0300-0000CF6D3500}"/>
            </a:ext>
          </a:extLst>
        </xdr:cNvPr>
        <xdr:cNvSpPr>
          <a:spLocks noChangeShapeType="1"/>
        </xdr:cNvSpPr>
      </xdr:nvSpPr>
      <xdr:spPr bwMode="auto">
        <a:xfrm flipH="1">
          <a:off x="9382125" y="2552700"/>
          <a:ext cx="1381125" cy="1571625"/>
        </a:xfrm>
        <a:prstGeom prst="line">
          <a:avLst/>
        </a:prstGeom>
        <a:noFill/>
        <a:ln w="9525">
          <a:solidFill>
            <a:srgbClr val="000000"/>
          </a:solidFill>
          <a:round/>
          <a:headEnd/>
          <a:tailEnd type="triangle" w="med" len="med"/>
        </a:ln>
      </xdr:spPr>
    </xdr:sp>
    <xdr:clientData/>
  </xdr:twoCellAnchor>
  <xdr:twoCellAnchor>
    <xdr:from>
      <xdr:col>10</xdr:col>
      <xdr:colOff>228599</xdr:colOff>
      <xdr:row>38</xdr:row>
      <xdr:rowOff>82550</xdr:rowOff>
    </xdr:from>
    <xdr:to>
      <xdr:col>18</xdr:col>
      <xdr:colOff>66674</xdr:colOff>
      <xdr:row>40</xdr:row>
      <xdr:rowOff>63500</xdr:rowOff>
    </xdr:to>
    <xdr:sp macro="" textlink="">
      <xdr:nvSpPr>
        <xdr:cNvPr id="37" name="Rectangle 137">
          <a:extLst>
            <a:ext uri="{FF2B5EF4-FFF2-40B4-BE49-F238E27FC236}">
              <a16:creationId xmlns:a16="http://schemas.microsoft.com/office/drawing/2014/main" id="{00000000-0008-0000-0300-000025000000}"/>
            </a:ext>
          </a:extLst>
        </xdr:cNvPr>
        <xdr:cNvSpPr>
          <a:spLocks noChangeArrowheads="1"/>
        </xdr:cNvSpPr>
      </xdr:nvSpPr>
      <xdr:spPr bwMode="auto">
        <a:xfrm>
          <a:off x="11344274" y="8340725"/>
          <a:ext cx="4410075" cy="476250"/>
        </a:xfrm>
        <a:prstGeom prst="rect">
          <a:avLst/>
        </a:prstGeom>
        <a:solidFill>
          <a:srgbClr val="CCFFCC"/>
        </a:solidFill>
        <a:ln w="9525">
          <a:solidFill>
            <a:srgbClr val="000000"/>
          </a:solidFill>
          <a:miter lim="800000"/>
          <a:headEnd/>
          <a:tailEnd/>
        </a:ln>
      </xdr:spPr>
      <xdr:txBody>
        <a:bodyPr vertOverflow="clip" wrap="square" lIns="27432" tIns="22860" rIns="0" bIns="0" anchor="t" upright="1"/>
        <a:lstStyle/>
        <a:p>
          <a:pPr algn="l" rtl="0">
            <a:defRPr sz="1000"/>
          </a:pPr>
          <a:r>
            <a:rPr lang="en-GB" sz="800" b="0" i="0" u="none" strike="noStrike" baseline="0">
              <a:solidFill>
                <a:srgbClr val="000000"/>
              </a:solidFill>
              <a:latin typeface="Arial"/>
              <a:cs typeface="Arial"/>
            </a:rPr>
            <a:t>Note: </a:t>
          </a:r>
          <a:r>
            <a:rPr lang="en-GB" sz="800" b="0" i="0" u="sng" strike="noStrike" baseline="0">
              <a:solidFill>
                <a:srgbClr val="000000"/>
              </a:solidFill>
              <a:latin typeface="Arial"/>
              <a:cs typeface="Arial"/>
            </a:rPr>
            <a:t>Value of felled forestry</a:t>
          </a:r>
          <a:r>
            <a:rPr lang="en-GB" sz="800" b="0" i="0" u="none" strike="noStrike" baseline="0">
              <a:solidFill>
                <a:srgbClr val="000000"/>
              </a:solidFill>
              <a:latin typeface="Arial"/>
              <a:cs typeface="Arial"/>
            </a:rPr>
            <a:t> Values available in Mason et al., 2009.</a:t>
          </a:r>
        </a:p>
      </xdr:txBody>
    </xdr:sp>
    <xdr:clientData/>
  </xdr:twoCellAnchor>
  <xdr:twoCellAnchor>
    <xdr:from>
      <xdr:col>7</xdr:col>
      <xdr:colOff>1155699</xdr:colOff>
      <xdr:row>39</xdr:row>
      <xdr:rowOff>95250</xdr:rowOff>
    </xdr:from>
    <xdr:to>
      <xdr:col>10</xdr:col>
      <xdr:colOff>247650</xdr:colOff>
      <xdr:row>42</xdr:row>
      <xdr:rowOff>101600</xdr:rowOff>
    </xdr:to>
    <xdr:sp macro="" textlink="">
      <xdr:nvSpPr>
        <xdr:cNvPr id="3501521" name="Line 114">
          <a:extLst>
            <a:ext uri="{FF2B5EF4-FFF2-40B4-BE49-F238E27FC236}">
              <a16:creationId xmlns:a16="http://schemas.microsoft.com/office/drawing/2014/main" id="{00000000-0008-0000-0300-0000D16D3500}"/>
            </a:ext>
          </a:extLst>
        </xdr:cNvPr>
        <xdr:cNvSpPr>
          <a:spLocks noChangeShapeType="1"/>
        </xdr:cNvSpPr>
      </xdr:nvSpPr>
      <xdr:spPr bwMode="auto">
        <a:xfrm flipH="1">
          <a:off x="9880599" y="8601075"/>
          <a:ext cx="1482726" cy="654050"/>
        </a:xfrm>
        <a:prstGeom prst="line">
          <a:avLst/>
        </a:prstGeom>
        <a:noFill/>
        <a:ln w="9525">
          <a:solidFill>
            <a:srgbClr val="000000"/>
          </a:solidFill>
          <a:round/>
          <a:headEnd/>
          <a:tailEnd type="triangle" w="med" len="med"/>
        </a:ln>
      </xdr:spPr>
    </xdr:sp>
    <xdr:clientData/>
  </xdr:twoCellAnchor>
  <xdr:twoCellAnchor>
    <xdr:from>
      <xdr:col>10</xdr:col>
      <xdr:colOff>225425</xdr:colOff>
      <xdr:row>40</xdr:row>
      <xdr:rowOff>142874</xdr:rowOff>
    </xdr:from>
    <xdr:to>
      <xdr:col>18</xdr:col>
      <xdr:colOff>73025</xdr:colOff>
      <xdr:row>45</xdr:row>
      <xdr:rowOff>183216</xdr:rowOff>
    </xdr:to>
    <xdr:sp macro="" textlink="">
      <xdr:nvSpPr>
        <xdr:cNvPr id="28" name="Rectangle 148">
          <a:extLst>
            <a:ext uri="{FF2B5EF4-FFF2-40B4-BE49-F238E27FC236}">
              <a16:creationId xmlns:a16="http://schemas.microsoft.com/office/drawing/2014/main" id="{00000000-0008-0000-0300-00001C000000}"/>
            </a:ext>
          </a:extLst>
        </xdr:cNvPr>
        <xdr:cNvSpPr>
          <a:spLocks noChangeArrowheads="1"/>
        </xdr:cNvSpPr>
      </xdr:nvSpPr>
      <xdr:spPr bwMode="auto">
        <a:xfrm>
          <a:off x="11341100" y="8896349"/>
          <a:ext cx="4419600" cy="945217"/>
        </a:xfrm>
        <a:prstGeom prst="rect">
          <a:avLst/>
        </a:prstGeom>
        <a:solidFill>
          <a:srgbClr val="CCFFCC"/>
        </a:solidFill>
        <a:ln w="9525">
          <a:solidFill>
            <a:srgbClr val="000000"/>
          </a:solidFill>
          <a:miter lim="800000"/>
          <a:headEnd/>
          <a:tailEnd/>
        </a:ln>
      </xdr:spPr>
      <xdr:txBody>
        <a:bodyPr vertOverflow="clip" wrap="square" lIns="27432" tIns="22860" rIns="0" bIns="0" anchor="t" upright="1"/>
        <a:lstStyle/>
        <a:p>
          <a:pPr algn="l" rtl="0">
            <a:defRPr sz="1000"/>
          </a:pPr>
          <a:r>
            <a:rPr lang="en-GB" sz="800" b="0" i="0" strike="noStrike">
              <a:solidFill>
                <a:srgbClr val="000000"/>
              </a:solidFill>
              <a:latin typeface="Arial"/>
              <a:cs typeface="Arial"/>
            </a:rPr>
            <a:t>Note: </a:t>
          </a:r>
          <a:r>
            <a:rPr lang="en-GB" sz="800" b="0" i="0" u="sng" strike="noStrike">
              <a:solidFill>
                <a:srgbClr val="000000"/>
              </a:solidFill>
              <a:latin typeface="Arial"/>
              <a:cs typeface="Arial"/>
            </a:rPr>
            <a:t>Carbon : Biomass ratio of felled forestry</a:t>
          </a:r>
          <a:r>
            <a:rPr lang="en-GB" sz="800" b="0" i="0" u="none" strike="noStrike">
              <a:solidFill>
                <a:srgbClr val="000000"/>
              </a:solidFill>
              <a:latin typeface="Arial"/>
              <a:cs typeface="Arial"/>
            </a:rPr>
            <a:t> </a:t>
          </a:r>
          <a:r>
            <a:rPr lang="en-GB" sz="1000">
              <a:latin typeface="+mn-lt"/>
              <a:ea typeface="+mn-ea"/>
              <a:cs typeface="+mn-cs"/>
            </a:rPr>
            <a:t>Wood biomass can be converted to dry weight using wood density based values from Lavers (1983) with a subsequent assumption that C:dry matter ratio is 50% (Matthews 1993). For simplicity an integrated factor, the ‘wood density to biomass factor’ taken from Mason et al (2009) can be used.</a:t>
          </a:r>
        </a:p>
        <a:p>
          <a:pPr algn="l" rtl="0">
            <a:defRPr sz="1000"/>
          </a:pPr>
          <a:r>
            <a:rPr lang="en-GB" sz="1000" b="0" i="0" strike="noStrike">
              <a:solidFill>
                <a:srgbClr val="000000"/>
              </a:solidFill>
              <a:latin typeface="+mn-lt"/>
              <a:ea typeface="+mn-ea"/>
              <a:cs typeface="+mn-cs"/>
            </a:rPr>
            <a:t>Value = 0.5</a:t>
          </a:r>
          <a:endParaRPr lang="en-GB" sz="800" b="0" i="0" strike="noStrike">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393700</xdr:colOff>
          <xdr:row>25</xdr:row>
          <xdr:rowOff>0</xdr:rowOff>
        </xdr:from>
        <xdr:to>
          <xdr:col>3</xdr:col>
          <xdr:colOff>1085850</xdr:colOff>
          <xdr:row>25</xdr:row>
          <xdr:rowOff>152400</xdr:rowOff>
        </xdr:to>
        <xdr:sp macro="" textlink="">
          <xdr:nvSpPr>
            <xdr:cNvPr id="765990" name="Drop Down 38" hidden="1">
              <a:extLst>
                <a:ext uri="{63B3BB69-23CF-44E3-9099-C40C66FF867C}">
                  <a14:compatExt spid="_x0000_s765990"/>
                </a:ext>
                <a:ext uri="{FF2B5EF4-FFF2-40B4-BE49-F238E27FC236}">
                  <a16:creationId xmlns:a16="http://schemas.microsoft.com/office/drawing/2014/main" id="{00000000-0008-0000-0000-000026B00B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393700</xdr:colOff>
          <xdr:row>25</xdr:row>
          <xdr:rowOff>0</xdr:rowOff>
        </xdr:from>
        <xdr:to>
          <xdr:col>5</xdr:col>
          <xdr:colOff>1085850</xdr:colOff>
          <xdr:row>25</xdr:row>
          <xdr:rowOff>152400</xdr:rowOff>
        </xdr:to>
        <xdr:sp macro="" textlink="">
          <xdr:nvSpPr>
            <xdr:cNvPr id="766962" name="Drop Down 1010" hidden="1">
              <a:extLst>
                <a:ext uri="{63B3BB69-23CF-44E3-9099-C40C66FF867C}">
                  <a14:compatExt spid="_x0000_s766962"/>
                </a:ext>
                <a:ext uri="{FF2B5EF4-FFF2-40B4-BE49-F238E27FC236}">
                  <a16:creationId xmlns:a16="http://schemas.microsoft.com/office/drawing/2014/main" id="{00000000-0008-0000-0000-0000F2B30B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393700</xdr:colOff>
          <xdr:row>25</xdr:row>
          <xdr:rowOff>0</xdr:rowOff>
        </xdr:from>
        <xdr:to>
          <xdr:col>7</xdr:col>
          <xdr:colOff>1085850</xdr:colOff>
          <xdr:row>25</xdr:row>
          <xdr:rowOff>152400</xdr:rowOff>
        </xdr:to>
        <xdr:sp macro="" textlink="">
          <xdr:nvSpPr>
            <xdr:cNvPr id="766963" name="Drop Down 1011" hidden="1">
              <a:extLst>
                <a:ext uri="{63B3BB69-23CF-44E3-9099-C40C66FF867C}">
                  <a14:compatExt spid="_x0000_s766963"/>
                </a:ext>
                <a:ext uri="{FF2B5EF4-FFF2-40B4-BE49-F238E27FC236}">
                  <a16:creationId xmlns:a16="http://schemas.microsoft.com/office/drawing/2014/main" id="{00000000-0008-0000-0000-0000F3B30B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393700</xdr:colOff>
          <xdr:row>60</xdr:row>
          <xdr:rowOff>0</xdr:rowOff>
        </xdr:from>
        <xdr:to>
          <xdr:col>3</xdr:col>
          <xdr:colOff>1085850</xdr:colOff>
          <xdr:row>60</xdr:row>
          <xdr:rowOff>152400</xdr:rowOff>
        </xdr:to>
        <xdr:sp macro="" textlink="">
          <xdr:nvSpPr>
            <xdr:cNvPr id="2606487" name="Drop Down 3479" hidden="1">
              <a:extLst>
                <a:ext uri="{63B3BB69-23CF-44E3-9099-C40C66FF867C}">
                  <a14:compatExt spid="_x0000_s2606487"/>
                </a:ext>
                <a:ext uri="{FF2B5EF4-FFF2-40B4-BE49-F238E27FC236}">
                  <a16:creationId xmlns:a16="http://schemas.microsoft.com/office/drawing/2014/main" id="{00000000-0008-0000-0000-000097C52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393700</xdr:colOff>
          <xdr:row>60</xdr:row>
          <xdr:rowOff>0</xdr:rowOff>
        </xdr:from>
        <xdr:to>
          <xdr:col>5</xdr:col>
          <xdr:colOff>1085850</xdr:colOff>
          <xdr:row>60</xdr:row>
          <xdr:rowOff>152400</xdr:rowOff>
        </xdr:to>
        <xdr:sp macro="" textlink="">
          <xdr:nvSpPr>
            <xdr:cNvPr id="2606492" name="Drop Down 3484" hidden="1">
              <a:extLst>
                <a:ext uri="{63B3BB69-23CF-44E3-9099-C40C66FF867C}">
                  <a14:compatExt spid="_x0000_s2606492"/>
                </a:ext>
                <a:ext uri="{FF2B5EF4-FFF2-40B4-BE49-F238E27FC236}">
                  <a16:creationId xmlns:a16="http://schemas.microsoft.com/office/drawing/2014/main" id="{00000000-0008-0000-0000-00009CC52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393700</xdr:colOff>
          <xdr:row>60</xdr:row>
          <xdr:rowOff>0</xdr:rowOff>
        </xdr:from>
        <xdr:to>
          <xdr:col>7</xdr:col>
          <xdr:colOff>1085850</xdr:colOff>
          <xdr:row>60</xdr:row>
          <xdr:rowOff>152400</xdr:rowOff>
        </xdr:to>
        <xdr:sp macro="" textlink="">
          <xdr:nvSpPr>
            <xdr:cNvPr id="2606493" name="Drop Down 3485" hidden="1">
              <a:extLst>
                <a:ext uri="{63B3BB69-23CF-44E3-9099-C40C66FF867C}">
                  <a14:compatExt spid="_x0000_s2606493"/>
                </a:ext>
                <a:ext uri="{FF2B5EF4-FFF2-40B4-BE49-F238E27FC236}">
                  <a16:creationId xmlns:a16="http://schemas.microsoft.com/office/drawing/2014/main" id="{00000000-0008-0000-0000-00009DC52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393700</xdr:colOff>
          <xdr:row>95</xdr:row>
          <xdr:rowOff>0</xdr:rowOff>
        </xdr:from>
        <xdr:to>
          <xdr:col>3</xdr:col>
          <xdr:colOff>1085850</xdr:colOff>
          <xdr:row>95</xdr:row>
          <xdr:rowOff>152400</xdr:rowOff>
        </xdr:to>
        <xdr:sp macro="" textlink="">
          <xdr:nvSpPr>
            <xdr:cNvPr id="2606499" name="Drop Down 3491" hidden="1">
              <a:extLst>
                <a:ext uri="{63B3BB69-23CF-44E3-9099-C40C66FF867C}">
                  <a14:compatExt spid="_x0000_s2606499"/>
                </a:ext>
                <a:ext uri="{FF2B5EF4-FFF2-40B4-BE49-F238E27FC236}">
                  <a16:creationId xmlns:a16="http://schemas.microsoft.com/office/drawing/2014/main" id="{00000000-0008-0000-0000-0000A3C52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393700</xdr:colOff>
          <xdr:row>95</xdr:row>
          <xdr:rowOff>0</xdr:rowOff>
        </xdr:from>
        <xdr:to>
          <xdr:col>5</xdr:col>
          <xdr:colOff>1085850</xdr:colOff>
          <xdr:row>95</xdr:row>
          <xdr:rowOff>152400</xdr:rowOff>
        </xdr:to>
        <xdr:sp macro="" textlink="">
          <xdr:nvSpPr>
            <xdr:cNvPr id="2606504" name="Drop Down 3496" hidden="1">
              <a:extLst>
                <a:ext uri="{63B3BB69-23CF-44E3-9099-C40C66FF867C}">
                  <a14:compatExt spid="_x0000_s2606504"/>
                </a:ext>
                <a:ext uri="{FF2B5EF4-FFF2-40B4-BE49-F238E27FC236}">
                  <a16:creationId xmlns:a16="http://schemas.microsoft.com/office/drawing/2014/main" id="{00000000-0008-0000-0000-0000A8C52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393700</xdr:colOff>
          <xdr:row>95</xdr:row>
          <xdr:rowOff>0</xdr:rowOff>
        </xdr:from>
        <xdr:to>
          <xdr:col>7</xdr:col>
          <xdr:colOff>1085850</xdr:colOff>
          <xdr:row>95</xdr:row>
          <xdr:rowOff>152400</xdr:rowOff>
        </xdr:to>
        <xdr:sp macro="" textlink="">
          <xdr:nvSpPr>
            <xdr:cNvPr id="2606505" name="Drop Down 3497" hidden="1">
              <a:extLst>
                <a:ext uri="{63B3BB69-23CF-44E3-9099-C40C66FF867C}">
                  <a14:compatExt spid="_x0000_s2606505"/>
                </a:ext>
                <a:ext uri="{FF2B5EF4-FFF2-40B4-BE49-F238E27FC236}">
                  <a16:creationId xmlns:a16="http://schemas.microsoft.com/office/drawing/2014/main" id="{00000000-0008-0000-0000-0000A9C52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393700</xdr:colOff>
          <xdr:row>95</xdr:row>
          <xdr:rowOff>0</xdr:rowOff>
        </xdr:from>
        <xdr:to>
          <xdr:col>3</xdr:col>
          <xdr:colOff>1085850</xdr:colOff>
          <xdr:row>95</xdr:row>
          <xdr:rowOff>152400</xdr:rowOff>
        </xdr:to>
        <xdr:sp macro="" textlink="">
          <xdr:nvSpPr>
            <xdr:cNvPr id="2606511" name="Drop Down 3503" hidden="1">
              <a:extLst>
                <a:ext uri="{63B3BB69-23CF-44E3-9099-C40C66FF867C}">
                  <a14:compatExt spid="_x0000_s2606511"/>
                </a:ext>
                <a:ext uri="{FF2B5EF4-FFF2-40B4-BE49-F238E27FC236}">
                  <a16:creationId xmlns:a16="http://schemas.microsoft.com/office/drawing/2014/main" id="{00000000-0008-0000-0000-0000AFC52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393700</xdr:colOff>
          <xdr:row>95</xdr:row>
          <xdr:rowOff>0</xdr:rowOff>
        </xdr:from>
        <xdr:to>
          <xdr:col>5</xdr:col>
          <xdr:colOff>1085850</xdr:colOff>
          <xdr:row>95</xdr:row>
          <xdr:rowOff>152400</xdr:rowOff>
        </xdr:to>
        <xdr:sp macro="" textlink="">
          <xdr:nvSpPr>
            <xdr:cNvPr id="2606516" name="Drop Down 3508" hidden="1">
              <a:extLst>
                <a:ext uri="{63B3BB69-23CF-44E3-9099-C40C66FF867C}">
                  <a14:compatExt spid="_x0000_s2606516"/>
                </a:ext>
                <a:ext uri="{FF2B5EF4-FFF2-40B4-BE49-F238E27FC236}">
                  <a16:creationId xmlns:a16="http://schemas.microsoft.com/office/drawing/2014/main" id="{00000000-0008-0000-0000-0000B4C52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393700</xdr:colOff>
          <xdr:row>95</xdr:row>
          <xdr:rowOff>0</xdr:rowOff>
        </xdr:from>
        <xdr:to>
          <xdr:col>7</xdr:col>
          <xdr:colOff>1085850</xdr:colOff>
          <xdr:row>95</xdr:row>
          <xdr:rowOff>152400</xdr:rowOff>
        </xdr:to>
        <xdr:sp macro="" textlink="">
          <xdr:nvSpPr>
            <xdr:cNvPr id="2606517" name="Drop Down 3509" hidden="1">
              <a:extLst>
                <a:ext uri="{63B3BB69-23CF-44E3-9099-C40C66FF867C}">
                  <a14:compatExt spid="_x0000_s2606517"/>
                </a:ext>
                <a:ext uri="{FF2B5EF4-FFF2-40B4-BE49-F238E27FC236}">
                  <a16:creationId xmlns:a16="http://schemas.microsoft.com/office/drawing/2014/main" id="{00000000-0008-0000-0000-0000B5C52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393700</xdr:colOff>
          <xdr:row>130</xdr:row>
          <xdr:rowOff>0</xdr:rowOff>
        </xdr:from>
        <xdr:to>
          <xdr:col>3</xdr:col>
          <xdr:colOff>1085850</xdr:colOff>
          <xdr:row>130</xdr:row>
          <xdr:rowOff>152400</xdr:rowOff>
        </xdr:to>
        <xdr:sp macro="" textlink="">
          <xdr:nvSpPr>
            <xdr:cNvPr id="2606523" name="Drop Down 3515" hidden="1">
              <a:extLst>
                <a:ext uri="{63B3BB69-23CF-44E3-9099-C40C66FF867C}">
                  <a14:compatExt spid="_x0000_s2606523"/>
                </a:ext>
                <a:ext uri="{FF2B5EF4-FFF2-40B4-BE49-F238E27FC236}">
                  <a16:creationId xmlns:a16="http://schemas.microsoft.com/office/drawing/2014/main" id="{00000000-0008-0000-0000-0000BBC52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393700</xdr:colOff>
          <xdr:row>130</xdr:row>
          <xdr:rowOff>0</xdr:rowOff>
        </xdr:from>
        <xdr:to>
          <xdr:col>5</xdr:col>
          <xdr:colOff>1085850</xdr:colOff>
          <xdr:row>130</xdr:row>
          <xdr:rowOff>152400</xdr:rowOff>
        </xdr:to>
        <xdr:sp macro="" textlink="">
          <xdr:nvSpPr>
            <xdr:cNvPr id="2606528" name="Drop Down 3520" hidden="1">
              <a:extLst>
                <a:ext uri="{63B3BB69-23CF-44E3-9099-C40C66FF867C}">
                  <a14:compatExt spid="_x0000_s2606528"/>
                </a:ext>
                <a:ext uri="{FF2B5EF4-FFF2-40B4-BE49-F238E27FC236}">
                  <a16:creationId xmlns:a16="http://schemas.microsoft.com/office/drawing/2014/main" id="{00000000-0008-0000-0000-0000C0C52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393700</xdr:colOff>
          <xdr:row>130</xdr:row>
          <xdr:rowOff>0</xdr:rowOff>
        </xdr:from>
        <xdr:to>
          <xdr:col>7</xdr:col>
          <xdr:colOff>1085850</xdr:colOff>
          <xdr:row>130</xdr:row>
          <xdr:rowOff>152400</xdr:rowOff>
        </xdr:to>
        <xdr:sp macro="" textlink="">
          <xdr:nvSpPr>
            <xdr:cNvPr id="2606529" name="Drop Down 3521" hidden="1">
              <a:extLst>
                <a:ext uri="{63B3BB69-23CF-44E3-9099-C40C66FF867C}">
                  <a14:compatExt spid="_x0000_s2606529"/>
                </a:ext>
                <a:ext uri="{FF2B5EF4-FFF2-40B4-BE49-F238E27FC236}">
                  <a16:creationId xmlns:a16="http://schemas.microsoft.com/office/drawing/2014/main" id="{00000000-0008-0000-0000-0000C1C52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393700</xdr:colOff>
          <xdr:row>130</xdr:row>
          <xdr:rowOff>0</xdr:rowOff>
        </xdr:from>
        <xdr:to>
          <xdr:col>3</xdr:col>
          <xdr:colOff>1085850</xdr:colOff>
          <xdr:row>130</xdr:row>
          <xdr:rowOff>152400</xdr:rowOff>
        </xdr:to>
        <xdr:sp macro="" textlink="">
          <xdr:nvSpPr>
            <xdr:cNvPr id="2606535" name="Drop Down 3527" hidden="1">
              <a:extLst>
                <a:ext uri="{63B3BB69-23CF-44E3-9099-C40C66FF867C}">
                  <a14:compatExt spid="_x0000_s2606535"/>
                </a:ext>
                <a:ext uri="{FF2B5EF4-FFF2-40B4-BE49-F238E27FC236}">
                  <a16:creationId xmlns:a16="http://schemas.microsoft.com/office/drawing/2014/main" id="{00000000-0008-0000-0000-0000C7C52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393700</xdr:colOff>
          <xdr:row>130</xdr:row>
          <xdr:rowOff>0</xdr:rowOff>
        </xdr:from>
        <xdr:to>
          <xdr:col>5</xdr:col>
          <xdr:colOff>1085850</xdr:colOff>
          <xdr:row>130</xdr:row>
          <xdr:rowOff>152400</xdr:rowOff>
        </xdr:to>
        <xdr:sp macro="" textlink="">
          <xdr:nvSpPr>
            <xdr:cNvPr id="2606540" name="Drop Down 3532" hidden="1">
              <a:extLst>
                <a:ext uri="{63B3BB69-23CF-44E3-9099-C40C66FF867C}">
                  <a14:compatExt spid="_x0000_s2606540"/>
                </a:ext>
                <a:ext uri="{FF2B5EF4-FFF2-40B4-BE49-F238E27FC236}">
                  <a16:creationId xmlns:a16="http://schemas.microsoft.com/office/drawing/2014/main" id="{00000000-0008-0000-0000-0000CCC52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393700</xdr:colOff>
          <xdr:row>130</xdr:row>
          <xdr:rowOff>0</xdr:rowOff>
        </xdr:from>
        <xdr:to>
          <xdr:col>7</xdr:col>
          <xdr:colOff>1085850</xdr:colOff>
          <xdr:row>130</xdr:row>
          <xdr:rowOff>152400</xdr:rowOff>
        </xdr:to>
        <xdr:sp macro="" textlink="">
          <xdr:nvSpPr>
            <xdr:cNvPr id="2606541" name="Drop Down 3533" hidden="1">
              <a:extLst>
                <a:ext uri="{63B3BB69-23CF-44E3-9099-C40C66FF867C}">
                  <a14:compatExt spid="_x0000_s2606541"/>
                </a:ext>
                <a:ext uri="{FF2B5EF4-FFF2-40B4-BE49-F238E27FC236}">
                  <a16:creationId xmlns:a16="http://schemas.microsoft.com/office/drawing/2014/main" id="{00000000-0008-0000-0000-0000CDC52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393700</xdr:colOff>
          <xdr:row>165</xdr:row>
          <xdr:rowOff>0</xdr:rowOff>
        </xdr:from>
        <xdr:to>
          <xdr:col>3</xdr:col>
          <xdr:colOff>1085850</xdr:colOff>
          <xdr:row>165</xdr:row>
          <xdr:rowOff>152400</xdr:rowOff>
        </xdr:to>
        <xdr:sp macro="" textlink="">
          <xdr:nvSpPr>
            <xdr:cNvPr id="2606547" name="Drop Down 3539" hidden="1">
              <a:extLst>
                <a:ext uri="{63B3BB69-23CF-44E3-9099-C40C66FF867C}">
                  <a14:compatExt spid="_x0000_s2606547"/>
                </a:ext>
                <a:ext uri="{FF2B5EF4-FFF2-40B4-BE49-F238E27FC236}">
                  <a16:creationId xmlns:a16="http://schemas.microsoft.com/office/drawing/2014/main" id="{00000000-0008-0000-0000-0000D3C52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393700</xdr:colOff>
          <xdr:row>165</xdr:row>
          <xdr:rowOff>0</xdr:rowOff>
        </xdr:from>
        <xdr:to>
          <xdr:col>5</xdr:col>
          <xdr:colOff>1085850</xdr:colOff>
          <xdr:row>165</xdr:row>
          <xdr:rowOff>152400</xdr:rowOff>
        </xdr:to>
        <xdr:sp macro="" textlink="">
          <xdr:nvSpPr>
            <xdr:cNvPr id="2606552" name="Drop Down 3544" hidden="1">
              <a:extLst>
                <a:ext uri="{63B3BB69-23CF-44E3-9099-C40C66FF867C}">
                  <a14:compatExt spid="_x0000_s2606552"/>
                </a:ext>
                <a:ext uri="{FF2B5EF4-FFF2-40B4-BE49-F238E27FC236}">
                  <a16:creationId xmlns:a16="http://schemas.microsoft.com/office/drawing/2014/main" id="{00000000-0008-0000-0000-0000D8C52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393700</xdr:colOff>
          <xdr:row>165</xdr:row>
          <xdr:rowOff>0</xdr:rowOff>
        </xdr:from>
        <xdr:to>
          <xdr:col>7</xdr:col>
          <xdr:colOff>1085850</xdr:colOff>
          <xdr:row>165</xdr:row>
          <xdr:rowOff>152400</xdr:rowOff>
        </xdr:to>
        <xdr:sp macro="" textlink="">
          <xdr:nvSpPr>
            <xdr:cNvPr id="2606553" name="Drop Down 3545" hidden="1">
              <a:extLst>
                <a:ext uri="{63B3BB69-23CF-44E3-9099-C40C66FF867C}">
                  <a14:compatExt spid="_x0000_s2606553"/>
                </a:ext>
                <a:ext uri="{FF2B5EF4-FFF2-40B4-BE49-F238E27FC236}">
                  <a16:creationId xmlns:a16="http://schemas.microsoft.com/office/drawing/2014/main" id="{00000000-0008-0000-0000-0000D9C52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393700</xdr:colOff>
          <xdr:row>165</xdr:row>
          <xdr:rowOff>0</xdr:rowOff>
        </xdr:from>
        <xdr:to>
          <xdr:col>3</xdr:col>
          <xdr:colOff>1085850</xdr:colOff>
          <xdr:row>165</xdr:row>
          <xdr:rowOff>152400</xdr:rowOff>
        </xdr:to>
        <xdr:sp macro="" textlink="">
          <xdr:nvSpPr>
            <xdr:cNvPr id="2606559" name="Drop Down 3551" hidden="1">
              <a:extLst>
                <a:ext uri="{63B3BB69-23CF-44E3-9099-C40C66FF867C}">
                  <a14:compatExt spid="_x0000_s2606559"/>
                </a:ext>
                <a:ext uri="{FF2B5EF4-FFF2-40B4-BE49-F238E27FC236}">
                  <a16:creationId xmlns:a16="http://schemas.microsoft.com/office/drawing/2014/main" id="{00000000-0008-0000-0000-0000DFC52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393700</xdr:colOff>
          <xdr:row>165</xdr:row>
          <xdr:rowOff>0</xdr:rowOff>
        </xdr:from>
        <xdr:to>
          <xdr:col>5</xdr:col>
          <xdr:colOff>1085850</xdr:colOff>
          <xdr:row>165</xdr:row>
          <xdr:rowOff>152400</xdr:rowOff>
        </xdr:to>
        <xdr:sp macro="" textlink="">
          <xdr:nvSpPr>
            <xdr:cNvPr id="2606564" name="Drop Down 3556" hidden="1">
              <a:extLst>
                <a:ext uri="{63B3BB69-23CF-44E3-9099-C40C66FF867C}">
                  <a14:compatExt spid="_x0000_s2606564"/>
                </a:ext>
                <a:ext uri="{FF2B5EF4-FFF2-40B4-BE49-F238E27FC236}">
                  <a16:creationId xmlns:a16="http://schemas.microsoft.com/office/drawing/2014/main" id="{00000000-0008-0000-0000-0000E4C52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393700</xdr:colOff>
          <xdr:row>165</xdr:row>
          <xdr:rowOff>0</xdr:rowOff>
        </xdr:from>
        <xdr:to>
          <xdr:col>7</xdr:col>
          <xdr:colOff>1085850</xdr:colOff>
          <xdr:row>165</xdr:row>
          <xdr:rowOff>152400</xdr:rowOff>
        </xdr:to>
        <xdr:sp macro="" textlink="">
          <xdr:nvSpPr>
            <xdr:cNvPr id="2606565" name="Drop Down 3557" hidden="1">
              <a:extLst>
                <a:ext uri="{63B3BB69-23CF-44E3-9099-C40C66FF867C}">
                  <a14:compatExt spid="_x0000_s2606565"/>
                </a:ext>
                <a:ext uri="{FF2B5EF4-FFF2-40B4-BE49-F238E27FC236}">
                  <a16:creationId xmlns:a16="http://schemas.microsoft.com/office/drawing/2014/main" id="{00000000-0008-0000-0000-0000E5C52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400050</xdr:colOff>
          <xdr:row>30</xdr:row>
          <xdr:rowOff>0</xdr:rowOff>
        </xdr:from>
        <xdr:to>
          <xdr:col>3</xdr:col>
          <xdr:colOff>1085850</xdr:colOff>
          <xdr:row>30</xdr:row>
          <xdr:rowOff>152400</xdr:rowOff>
        </xdr:to>
        <xdr:sp macro="" textlink="">
          <xdr:nvSpPr>
            <xdr:cNvPr id="2606587" name="Drop Down 3579" hidden="1">
              <a:extLst>
                <a:ext uri="{63B3BB69-23CF-44E3-9099-C40C66FF867C}">
                  <a14:compatExt spid="_x0000_s2606587"/>
                </a:ext>
                <a:ext uri="{FF2B5EF4-FFF2-40B4-BE49-F238E27FC236}">
                  <a16:creationId xmlns:a16="http://schemas.microsoft.com/office/drawing/2014/main" id="{00000000-0008-0000-0000-0000FBC52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400050</xdr:colOff>
          <xdr:row>30</xdr:row>
          <xdr:rowOff>0</xdr:rowOff>
        </xdr:from>
        <xdr:to>
          <xdr:col>3</xdr:col>
          <xdr:colOff>1085850</xdr:colOff>
          <xdr:row>30</xdr:row>
          <xdr:rowOff>152400</xdr:rowOff>
        </xdr:to>
        <xdr:sp macro="" textlink="">
          <xdr:nvSpPr>
            <xdr:cNvPr id="2606588" name="Drop Down 3580" hidden="1">
              <a:extLst>
                <a:ext uri="{63B3BB69-23CF-44E3-9099-C40C66FF867C}">
                  <a14:compatExt spid="_x0000_s2606588"/>
                </a:ext>
                <a:ext uri="{FF2B5EF4-FFF2-40B4-BE49-F238E27FC236}">
                  <a16:creationId xmlns:a16="http://schemas.microsoft.com/office/drawing/2014/main" id="{00000000-0008-0000-0000-0000FCC52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393700</xdr:colOff>
          <xdr:row>30</xdr:row>
          <xdr:rowOff>12700</xdr:rowOff>
        </xdr:from>
        <xdr:to>
          <xdr:col>5</xdr:col>
          <xdr:colOff>1085850</xdr:colOff>
          <xdr:row>31</xdr:row>
          <xdr:rowOff>0</xdr:rowOff>
        </xdr:to>
        <xdr:sp macro="" textlink="">
          <xdr:nvSpPr>
            <xdr:cNvPr id="2606593" name="Drop Down 3585" hidden="1">
              <a:extLst>
                <a:ext uri="{63B3BB69-23CF-44E3-9099-C40C66FF867C}">
                  <a14:compatExt spid="_x0000_s2606593"/>
                </a:ext>
                <a:ext uri="{FF2B5EF4-FFF2-40B4-BE49-F238E27FC236}">
                  <a16:creationId xmlns:a16="http://schemas.microsoft.com/office/drawing/2014/main" id="{00000000-0008-0000-0000-000001C62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393700</xdr:colOff>
          <xdr:row>30</xdr:row>
          <xdr:rowOff>12700</xdr:rowOff>
        </xdr:from>
        <xdr:to>
          <xdr:col>7</xdr:col>
          <xdr:colOff>1085850</xdr:colOff>
          <xdr:row>31</xdr:row>
          <xdr:rowOff>0</xdr:rowOff>
        </xdr:to>
        <xdr:sp macro="" textlink="">
          <xdr:nvSpPr>
            <xdr:cNvPr id="2606594" name="Drop Down 3586" hidden="1">
              <a:extLst>
                <a:ext uri="{63B3BB69-23CF-44E3-9099-C40C66FF867C}">
                  <a14:compatExt spid="_x0000_s2606594"/>
                </a:ext>
                <a:ext uri="{FF2B5EF4-FFF2-40B4-BE49-F238E27FC236}">
                  <a16:creationId xmlns:a16="http://schemas.microsoft.com/office/drawing/2014/main" id="{00000000-0008-0000-0000-000002C62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400050</xdr:colOff>
          <xdr:row>65</xdr:row>
          <xdr:rowOff>0</xdr:rowOff>
        </xdr:from>
        <xdr:to>
          <xdr:col>3</xdr:col>
          <xdr:colOff>1085850</xdr:colOff>
          <xdr:row>65</xdr:row>
          <xdr:rowOff>152400</xdr:rowOff>
        </xdr:to>
        <xdr:sp macro="" textlink="">
          <xdr:nvSpPr>
            <xdr:cNvPr id="2606596" name="Drop Down 3588" hidden="1">
              <a:extLst>
                <a:ext uri="{63B3BB69-23CF-44E3-9099-C40C66FF867C}">
                  <a14:compatExt spid="_x0000_s2606596"/>
                </a:ext>
                <a:ext uri="{FF2B5EF4-FFF2-40B4-BE49-F238E27FC236}">
                  <a16:creationId xmlns:a16="http://schemas.microsoft.com/office/drawing/2014/main" id="{00000000-0008-0000-0000-000004C62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400050</xdr:colOff>
          <xdr:row>65</xdr:row>
          <xdr:rowOff>0</xdr:rowOff>
        </xdr:from>
        <xdr:to>
          <xdr:col>3</xdr:col>
          <xdr:colOff>1085850</xdr:colOff>
          <xdr:row>65</xdr:row>
          <xdr:rowOff>152400</xdr:rowOff>
        </xdr:to>
        <xdr:sp macro="" textlink="">
          <xdr:nvSpPr>
            <xdr:cNvPr id="2606597" name="Drop Down 3589" hidden="1">
              <a:extLst>
                <a:ext uri="{63B3BB69-23CF-44E3-9099-C40C66FF867C}">
                  <a14:compatExt spid="_x0000_s2606597"/>
                </a:ext>
                <a:ext uri="{FF2B5EF4-FFF2-40B4-BE49-F238E27FC236}">
                  <a16:creationId xmlns:a16="http://schemas.microsoft.com/office/drawing/2014/main" id="{00000000-0008-0000-0000-000005C62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387350</xdr:colOff>
          <xdr:row>65</xdr:row>
          <xdr:rowOff>12700</xdr:rowOff>
        </xdr:from>
        <xdr:to>
          <xdr:col>5</xdr:col>
          <xdr:colOff>1085850</xdr:colOff>
          <xdr:row>66</xdr:row>
          <xdr:rowOff>82550</xdr:rowOff>
        </xdr:to>
        <xdr:sp macro="" textlink="">
          <xdr:nvSpPr>
            <xdr:cNvPr id="2606598" name="Drop Down 3590" hidden="1">
              <a:extLst>
                <a:ext uri="{63B3BB69-23CF-44E3-9099-C40C66FF867C}">
                  <a14:compatExt spid="_x0000_s2606598"/>
                </a:ext>
                <a:ext uri="{FF2B5EF4-FFF2-40B4-BE49-F238E27FC236}">
                  <a16:creationId xmlns:a16="http://schemas.microsoft.com/office/drawing/2014/main" id="{00000000-0008-0000-0000-000006C62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393700</xdr:colOff>
          <xdr:row>65</xdr:row>
          <xdr:rowOff>12700</xdr:rowOff>
        </xdr:from>
        <xdr:to>
          <xdr:col>7</xdr:col>
          <xdr:colOff>1085850</xdr:colOff>
          <xdr:row>66</xdr:row>
          <xdr:rowOff>82550</xdr:rowOff>
        </xdr:to>
        <xdr:sp macro="" textlink="">
          <xdr:nvSpPr>
            <xdr:cNvPr id="2606599" name="Drop Down 3591" hidden="1">
              <a:extLst>
                <a:ext uri="{63B3BB69-23CF-44E3-9099-C40C66FF867C}">
                  <a14:compatExt spid="_x0000_s2606599"/>
                </a:ext>
                <a:ext uri="{FF2B5EF4-FFF2-40B4-BE49-F238E27FC236}">
                  <a16:creationId xmlns:a16="http://schemas.microsoft.com/office/drawing/2014/main" id="{00000000-0008-0000-0000-000007C62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400050</xdr:colOff>
          <xdr:row>100</xdr:row>
          <xdr:rowOff>0</xdr:rowOff>
        </xdr:from>
        <xdr:to>
          <xdr:col>3</xdr:col>
          <xdr:colOff>1085850</xdr:colOff>
          <xdr:row>101</xdr:row>
          <xdr:rowOff>101600</xdr:rowOff>
        </xdr:to>
        <xdr:sp macro="" textlink="">
          <xdr:nvSpPr>
            <xdr:cNvPr id="2606601" name="Drop Down 3593" hidden="1">
              <a:extLst>
                <a:ext uri="{63B3BB69-23CF-44E3-9099-C40C66FF867C}">
                  <a14:compatExt spid="_x0000_s2606601"/>
                </a:ext>
                <a:ext uri="{FF2B5EF4-FFF2-40B4-BE49-F238E27FC236}">
                  <a16:creationId xmlns:a16="http://schemas.microsoft.com/office/drawing/2014/main" id="{00000000-0008-0000-0000-000009C62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400050</xdr:colOff>
          <xdr:row>100</xdr:row>
          <xdr:rowOff>0</xdr:rowOff>
        </xdr:from>
        <xdr:to>
          <xdr:col>3</xdr:col>
          <xdr:colOff>1085850</xdr:colOff>
          <xdr:row>101</xdr:row>
          <xdr:rowOff>101600</xdr:rowOff>
        </xdr:to>
        <xdr:sp macro="" textlink="">
          <xdr:nvSpPr>
            <xdr:cNvPr id="2606602" name="Drop Down 3594" hidden="1">
              <a:extLst>
                <a:ext uri="{63B3BB69-23CF-44E3-9099-C40C66FF867C}">
                  <a14:compatExt spid="_x0000_s2606602"/>
                </a:ext>
                <a:ext uri="{FF2B5EF4-FFF2-40B4-BE49-F238E27FC236}">
                  <a16:creationId xmlns:a16="http://schemas.microsoft.com/office/drawing/2014/main" id="{00000000-0008-0000-0000-00000AC62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387350</xdr:colOff>
          <xdr:row>100</xdr:row>
          <xdr:rowOff>12700</xdr:rowOff>
        </xdr:from>
        <xdr:to>
          <xdr:col>5</xdr:col>
          <xdr:colOff>1085850</xdr:colOff>
          <xdr:row>101</xdr:row>
          <xdr:rowOff>101600</xdr:rowOff>
        </xdr:to>
        <xdr:sp macro="" textlink="">
          <xdr:nvSpPr>
            <xdr:cNvPr id="2606603" name="Drop Down 3595" hidden="1">
              <a:extLst>
                <a:ext uri="{63B3BB69-23CF-44E3-9099-C40C66FF867C}">
                  <a14:compatExt spid="_x0000_s2606603"/>
                </a:ext>
                <a:ext uri="{FF2B5EF4-FFF2-40B4-BE49-F238E27FC236}">
                  <a16:creationId xmlns:a16="http://schemas.microsoft.com/office/drawing/2014/main" id="{00000000-0008-0000-0000-00000BC62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393700</xdr:colOff>
          <xdr:row>100</xdr:row>
          <xdr:rowOff>12700</xdr:rowOff>
        </xdr:from>
        <xdr:to>
          <xdr:col>7</xdr:col>
          <xdr:colOff>1085850</xdr:colOff>
          <xdr:row>101</xdr:row>
          <xdr:rowOff>101600</xdr:rowOff>
        </xdr:to>
        <xdr:sp macro="" textlink="">
          <xdr:nvSpPr>
            <xdr:cNvPr id="2606604" name="Drop Down 3596" hidden="1">
              <a:extLst>
                <a:ext uri="{63B3BB69-23CF-44E3-9099-C40C66FF867C}">
                  <a14:compatExt spid="_x0000_s2606604"/>
                </a:ext>
                <a:ext uri="{FF2B5EF4-FFF2-40B4-BE49-F238E27FC236}">
                  <a16:creationId xmlns:a16="http://schemas.microsoft.com/office/drawing/2014/main" id="{00000000-0008-0000-0000-00000CC62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400050</xdr:colOff>
          <xdr:row>135</xdr:row>
          <xdr:rowOff>0</xdr:rowOff>
        </xdr:from>
        <xdr:to>
          <xdr:col>3</xdr:col>
          <xdr:colOff>1085850</xdr:colOff>
          <xdr:row>136</xdr:row>
          <xdr:rowOff>101600</xdr:rowOff>
        </xdr:to>
        <xdr:sp macro="" textlink="">
          <xdr:nvSpPr>
            <xdr:cNvPr id="2606605" name="Drop Down 3597" hidden="1">
              <a:extLst>
                <a:ext uri="{63B3BB69-23CF-44E3-9099-C40C66FF867C}">
                  <a14:compatExt spid="_x0000_s2606605"/>
                </a:ext>
                <a:ext uri="{FF2B5EF4-FFF2-40B4-BE49-F238E27FC236}">
                  <a16:creationId xmlns:a16="http://schemas.microsoft.com/office/drawing/2014/main" id="{00000000-0008-0000-0000-00000DC62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400050</xdr:colOff>
          <xdr:row>135</xdr:row>
          <xdr:rowOff>0</xdr:rowOff>
        </xdr:from>
        <xdr:to>
          <xdr:col>3</xdr:col>
          <xdr:colOff>1085850</xdr:colOff>
          <xdr:row>136</xdr:row>
          <xdr:rowOff>101600</xdr:rowOff>
        </xdr:to>
        <xdr:sp macro="" textlink="">
          <xdr:nvSpPr>
            <xdr:cNvPr id="2606606" name="Drop Down 3598" hidden="1">
              <a:extLst>
                <a:ext uri="{63B3BB69-23CF-44E3-9099-C40C66FF867C}">
                  <a14:compatExt spid="_x0000_s2606606"/>
                </a:ext>
                <a:ext uri="{FF2B5EF4-FFF2-40B4-BE49-F238E27FC236}">
                  <a16:creationId xmlns:a16="http://schemas.microsoft.com/office/drawing/2014/main" id="{00000000-0008-0000-0000-00000EC62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387350</xdr:colOff>
          <xdr:row>135</xdr:row>
          <xdr:rowOff>12700</xdr:rowOff>
        </xdr:from>
        <xdr:to>
          <xdr:col>5</xdr:col>
          <xdr:colOff>1085850</xdr:colOff>
          <xdr:row>136</xdr:row>
          <xdr:rowOff>101600</xdr:rowOff>
        </xdr:to>
        <xdr:sp macro="" textlink="">
          <xdr:nvSpPr>
            <xdr:cNvPr id="2606607" name="Drop Down 3599" hidden="1">
              <a:extLst>
                <a:ext uri="{63B3BB69-23CF-44E3-9099-C40C66FF867C}">
                  <a14:compatExt spid="_x0000_s2606607"/>
                </a:ext>
                <a:ext uri="{FF2B5EF4-FFF2-40B4-BE49-F238E27FC236}">
                  <a16:creationId xmlns:a16="http://schemas.microsoft.com/office/drawing/2014/main" id="{00000000-0008-0000-0000-00000FC62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393700</xdr:colOff>
          <xdr:row>135</xdr:row>
          <xdr:rowOff>12700</xdr:rowOff>
        </xdr:from>
        <xdr:to>
          <xdr:col>7</xdr:col>
          <xdr:colOff>1085850</xdr:colOff>
          <xdr:row>136</xdr:row>
          <xdr:rowOff>101600</xdr:rowOff>
        </xdr:to>
        <xdr:sp macro="" textlink="">
          <xdr:nvSpPr>
            <xdr:cNvPr id="2606608" name="Drop Down 3600" hidden="1">
              <a:extLst>
                <a:ext uri="{63B3BB69-23CF-44E3-9099-C40C66FF867C}">
                  <a14:compatExt spid="_x0000_s2606608"/>
                </a:ext>
                <a:ext uri="{FF2B5EF4-FFF2-40B4-BE49-F238E27FC236}">
                  <a16:creationId xmlns:a16="http://schemas.microsoft.com/office/drawing/2014/main" id="{00000000-0008-0000-0000-000010C62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400050</xdr:colOff>
          <xdr:row>170</xdr:row>
          <xdr:rowOff>0</xdr:rowOff>
        </xdr:from>
        <xdr:to>
          <xdr:col>3</xdr:col>
          <xdr:colOff>1085850</xdr:colOff>
          <xdr:row>171</xdr:row>
          <xdr:rowOff>114300</xdr:rowOff>
        </xdr:to>
        <xdr:sp macro="" textlink="">
          <xdr:nvSpPr>
            <xdr:cNvPr id="2606609" name="Drop Down 3601" hidden="1">
              <a:extLst>
                <a:ext uri="{63B3BB69-23CF-44E3-9099-C40C66FF867C}">
                  <a14:compatExt spid="_x0000_s2606609"/>
                </a:ext>
                <a:ext uri="{FF2B5EF4-FFF2-40B4-BE49-F238E27FC236}">
                  <a16:creationId xmlns:a16="http://schemas.microsoft.com/office/drawing/2014/main" id="{00000000-0008-0000-0000-000011C62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400050</xdr:colOff>
          <xdr:row>170</xdr:row>
          <xdr:rowOff>0</xdr:rowOff>
        </xdr:from>
        <xdr:to>
          <xdr:col>3</xdr:col>
          <xdr:colOff>1085850</xdr:colOff>
          <xdr:row>171</xdr:row>
          <xdr:rowOff>114300</xdr:rowOff>
        </xdr:to>
        <xdr:sp macro="" textlink="">
          <xdr:nvSpPr>
            <xdr:cNvPr id="2606610" name="Drop Down 3602" hidden="1">
              <a:extLst>
                <a:ext uri="{63B3BB69-23CF-44E3-9099-C40C66FF867C}">
                  <a14:compatExt spid="_x0000_s2606610"/>
                </a:ext>
                <a:ext uri="{FF2B5EF4-FFF2-40B4-BE49-F238E27FC236}">
                  <a16:creationId xmlns:a16="http://schemas.microsoft.com/office/drawing/2014/main" id="{00000000-0008-0000-0000-000012C62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387350</xdr:colOff>
          <xdr:row>170</xdr:row>
          <xdr:rowOff>12700</xdr:rowOff>
        </xdr:from>
        <xdr:to>
          <xdr:col>5</xdr:col>
          <xdr:colOff>1085850</xdr:colOff>
          <xdr:row>171</xdr:row>
          <xdr:rowOff>114300</xdr:rowOff>
        </xdr:to>
        <xdr:sp macro="" textlink="">
          <xdr:nvSpPr>
            <xdr:cNvPr id="2606611" name="Drop Down 3603" hidden="1">
              <a:extLst>
                <a:ext uri="{63B3BB69-23CF-44E3-9099-C40C66FF867C}">
                  <a14:compatExt spid="_x0000_s2606611"/>
                </a:ext>
                <a:ext uri="{FF2B5EF4-FFF2-40B4-BE49-F238E27FC236}">
                  <a16:creationId xmlns:a16="http://schemas.microsoft.com/office/drawing/2014/main" id="{00000000-0008-0000-0000-000013C62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393700</xdr:colOff>
          <xdr:row>170</xdr:row>
          <xdr:rowOff>12700</xdr:rowOff>
        </xdr:from>
        <xdr:to>
          <xdr:col>7</xdr:col>
          <xdr:colOff>1085850</xdr:colOff>
          <xdr:row>171</xdr:row>
          <xdr:rowOff>114300</xdr:rowOff>
        </xdr:to>
        <xdr:sp macro="" textlink="">
          <xdr:nvSpPr>
            <xdr:cNvPr id="2606612" name="Drop Down 3604" hidden="1">
              <a:extLst>
                <a:ext uri="{63B3BB69-23CF-44E3-9099-C40C66FF867C}">
                  <a14:compatExt spid="_x0000_s2606612"/>
                </a:ext>
                <a:ext uri="{FF2B5EF4-FFF2-40B4-BE49-F238E27FC236}">
                  <a16:creationId xmlns:a16="http://schemas.microsoft.com/office/drawing/2014/main" id="{00000000-0008-0000-0000-000014C62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393700</xdr:colOff>
          <xdr:row>30</xdr:row>
          <xdr:rowOff>12700</xdr:rowOff>
        </xdr:from>
        <xdr:to>
          <xdr:col>5</xdr:col>
          <xdr:colOff>1085850</xdr:colOff>
          <xdr:row>31</xdr:row>
          <xdr:rowOff>0</xdr:rowOff>
        </xdr:to>
        <xdr:sp macro="" textlink="">
          <xdr:nvSpPr>
            <xdr:cNvPr id="2606613" name="Drop Down 3605" hidden="1">
              <a:extLst>
                <a:ext uri="{63B3BB69-23CF-44E3-9099-C40C66FF867C}">
                  <a14:compatExt spid="_x0000_s2606613"/>
                </a:ext>
                <a:ext uri="{FF2B5EF4-FFF2-40B4-BE49-F238E27FC236}">
                  <a16:creationId xmlns:a16="http://schemas.microsoft.com/office/drawing/2014/main" id="{00000000-0008-0000-0000-000015C62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400050</xdr:colOff>
          <xdr:row>32</xdr:row>
          <xdr:rowOff>0</xdr:rowOff>
        </xdr:from>
        <xdr:to>
          <xdr:col>3</xdr:col>
          <xdr:colOff>1085850</xdr:colOff>
          <xdr:row>32</xdr:row>
          <xdr:rowOff>152400</xdr:rowOff>
        </xdr:to>
        <xdr:sp macro="" textlink="">
          <xdr:nvSpPr>
            <xdr:cNvPr id="2606614" name="Drop Down 3606" hidden="1">
              <a:extLst>
                <a:ext uri="{63B3BB69-23CF-44E3-9099-C40C66FF867C}">
                  <a14:compatExt spid="_x0000_s2606614"/>
                </a:ext>
                <a:ext uri="{FF2B5EF4-FFF2-40B4-BE49-F238E27FC236}">
                  <a16:creationId xmlns:a16="http://schemas.microsoft.com/office/drawing/2014/main" id="{00000000-0008-0000-0000-000016C62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393700</xdr:colOff>
          <xdr:row>32</xdr:row>
          <xdr:rowOff>12700</xdr:rowOff>
        </xdr:from>
        <xdr:to>
          <xdr:col>5</xdr:col>
          <xdr:colOff>1085850</xdr:colOff>
          <xdr:row>32</xdr:row>
          <xdr:rowOff>171450</xdr:rowOff>
        </xdr:to>
        <xdr:sp macro="" textlink="">
          <xdr:nvSpPr>
            <xdr:cNvPr id="2606615" name="Drop Down 3607" hidden="1">
              <a:extLst>
                <a:ext uri="{63B3BB69-23CF-44E3-9099-C40C66FF867C}">
                  <a14:compatExt spid="_x0000_s2606615"/>
                </a:ext>
                <a:ext uri="{FF2B5EF4-FFF2-40B4-BE49-F238E27FC236}">
                  <a16:creationId xmlns:a16="http://schemas.microsoft.com/office/drawing/2014/main" id="{00000000-0008-0000-0000-000017C62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387350</xdr:colOff>
          <xdr:row>32</xdr:row>
          <xdr:rowOff>12700</xdr:rowOff>
        </xdr:from>
        <xdr:to>
          <xdr:col>7</xdr:col>
          <xdr:colOff>1085850</xdr:colOff>
          <xdr:row>32</xdr:row>
          <xdr:rowOff>171450</xdr:rowOff>
        </xdr:to>
        <xdr:sp macro="" textlink="">
          <xdr:nvSpPr>
            <xdr:cNvPr id="2606616" name="Drop Down 3608" hidden="1">
              <a:extLst>
                <a:ext uri="{63B3BB69-23CF-44E3-9099-C40C66FF867C}">
                  <a14:compatExt spid="_x0000_s2606616"/>
                </a:ext>
                <a:ext uri="{FF2B5EF4-FFF2-40B4-BE49-F238E27FC236}">
                  <a16:creationId xmlns:a16="http://schemas.microsoft.com/office/drawing/2014/main" id="{00000000-0008-0000-0000-000018C62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400050</xdr:colOff>
          <xdr:row>67</xdr:row>
          <xdr:rowOff>0</xdr:rowOff>
        </xdr:from>
        <xdr:to>
          <xdr:col>3</xdr:col>
          <xdr:colOff>1085850</xdr:colOff>
          <xdr:row>67</xdr:row>
          <xdr:rowOff>158750</xdr:rowOff>
        </xdr:to>
        <xdr:sp macro="" textlink="">
          <xdr:nvSpPr>
            <xdr:cNvPr id="2606617" name="Drop Down 3609" hidden="1">
              <a:extLst>
                <a:ext uri="{63B3BB69-23CF-44E3-9099-C40C66FF867C}">
                  <a14:compatExt spid="_x0000_s2606617"/>
                </a:ext>
                <a:ext uri="{FF2B5EF4-FFF2-40B4-BE49-F238E27FC236}">
                  <a16:creationId xmlns:a16="http://schemas.microsoft.com/office/drawing/2014/main" id="{00000000-0008-0000-0000-000019C62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400050</xdr:colOff>
          <xdr:row>67</xdr:row>
          <xdr:rowOff>0</xdr:rowOff>
        </xdr:from>
        <xdr:to>
          <xdr:col>3</xdr:col>
          <xdr:colOff>1085850</xdr:colOff>
          <xdr:row>67</xdr:row>
          <xdr:rowOff>158750</xdr:rowOff>
        </xdr:to>
        <xdr:sp macro="" textlink="">
          <xdr:nvSpPr>
            <xdr:cNvPr id="2606618" name="Drop Down 3610" hidden="1">
              <a:extLst>
                <a:ext uri="{63B3BB69-23CF-44E3-9099-C40C66FF867C}">
                  <a14:compatExt spid="_x0000_s2606618"/>
                </a:ext>
                <a:ext uri="{FF2B5EF4-FFF2-40B4-BE49-F238E27FC236}">
                  <a16:creationId xmlns:a16="http://schemas.microsoft.com/office/drawing/2014/main" id="{00000000-0008-0000-0000-00001AC62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387350</xdr:colOff>
          <xdr:row>67</xdr:row>
          <xdr:rowOff>12700</xdr:rowOff>
        </xdr:from>
        <xdr:to>
          <xdr:col>5</xdr:col>
          <xdr:colOff>1085850</xdr:colOff>
          <xdr:row>68</xdr:row>
          <xdr:rowOff>0</xdr:rowOff>
        </xdr:to>
        <xdr:sp macro="" textlink="">
          <xdr:nvSpPr>
            <xdr:cNvPr id="2606619" name="Drop Down 3611" hidden="1">
              <a:extLst>
                <a:ext uri="{63B3BB69-23CF-44E3-9099-C40C66FF867C}">
                  <a14:compatExt spid="_x0000_s2606619"/>
                </a:ext>
                <a:ext uri="{FF2B5EF4-FFF2-40B4-BE49-F238E27FC236}">
                  <a16:creationId xmlns:a16="http://schemas.microsoft.com/office/drawing/2014/main" id="{00000000-0008-0000-0000-00001BC62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393700</xdr:colOff>
          <xdr:row>67</xdr:row>
          <xdr:rowOff>12700</xdr:rowOff>
        </xdr:from>
        <xdr:to>
          <xdr:col>7</xdr:col>
          <xdr:colOff>1085850</xdr:colOff>
          <xdr:row>68</xdr:row>
          <xdr:rowOff>0</xdr:rowOff>
        </xdr:to>
        <xdr:sp macro="" textlink="">
          <xdr:nvSpPr>
            <xdr:cNvPr id="2606620" name="Drop Down 3612" hidden="1">
              <a:extLst>
                <a:ext uri="{63B3BB69-23CF-44E3-9099-C40C66FF867C}">
                  <a14:compatExt spid="_x0000_s2606620"/>
                </a:ext>
                <a:ext uri="{FF2B5EF4-FFF2-40B4-BE49-F238E27FC236}">
                  <a16:creationId xmlns:a16="http://schemas.microsoft.com/office/drawing/2014/main" id="{00000000-0008-0000-0000-00001CC62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400050</xdr:colOff>
          <xdr:row>102</xdr:row>
          <xdr:rowOff>0</xdr:rowOff>
        </xdr:from>
        <xdr:to>
          <xdr:col>3</xdr:col>
          <xdr:colOff>1085850</xdr:colOff>
          <xdr:row>102</xdr:row>
          <xdr:rowOff>152400</xdr:rowOff>
        </xdr:to>
        <xdr:sp macro="" textlink="">
          <xdr:nvSpPr>
            <xdr:cNvPr id="2606621" name="Drop Down 3613" hidden="1">
              <a:extLst>
                <a:ext uri="{63B3BB69-23CF-44E3-9099-C40C66FF867C}">
                  <a14:compatExt spid="_x0000_s2606621"/>
                </a:ext>
                <a:ext uri="{FF2B5EF4-FFF2-40B4-BE49-F238E27FC236}">
                  <a16:creationId xmlns:a16="http://schemas.microsoft.com/office/drawing/2014/main" id="{00000000-0008-0000-0000-00001DC62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400050</xdr:colOff>
          <xdr:row>102</xdr:row>
          <xdr:rowOff>0</xdr:rowOff>
        </xdr:from>
        <xdr:to>
          <xdr:col>3</xdr:col>
          <xdr:colOff>1085850</xdr:colOff>
          <xdr:row>102</xdr:row>
          <xdr:rowOff>152400</xdr:rowOff>
        </xdr:to>
        <xdr:sp macro="" textlink="">
          <xdr:nvSpPr>
            <xdr:cNvPr id="2606622" name="Drop Down 3614" hidden="1">
              <a:extLst>
                <a:ext uri="{63B3BB69-23CF-44E3-9099-C40C66FF867C}">
                  <a14:compatExt spid="_x0000_s2606622"/>
                </a:ext>
                <a:ext uri="{FF2B5EF4-FFF2-40B4-BE49-F238E27FC236}">
                  <a16:creationId xmlns:a16="http://schemas.microsoft.com/office/drawing/2014/main" id="{00000000-0008-0000-0000-00001EC62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387350</xdr:colOff>
          <xdr:row>102</xdr:row>
          <xdr:rowOff>12700</xdr:rowOff>
        </xdr:from>
        <xdr:to>
          <xdr:col>5</xdr:col>
          <xdr:colOff>1085850</xdr:colOff>
          <xdr:row>103</xdr:row>
          <xdr:rowOff>6350</xdr:rowOff>
        </xdr:to>
        <xdr:sp macro="" textlink="">
          <xdr:nvSpPr>
            <xdr:cNvPr id="2606623" name="Drop Down 3615" hidden="1">
              <a:extLst>
                <a:ext uri="{63B3BB69-23CF-44E3-9099-C40C66FF867C}">
                  <a14:compatExt spid="_x0000_s2606623"/>
                </a:ext>
                <a:ext uri="{FF2B5EF4-FFF2-40B4-BE49-F238E27FC236}">
                  <a16:creationId xmlns:a16="http://schemas.microsoft.com/office/drawing/2014/main" id="{00000000-0008-0000-0000-00001FC62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393700</xdr:colOff>
          <xdr:row>102</xdr:row>
          <xdr:rowOff>12700</xdr:rowOff>
        </xdr:from>
        <xdr:to>
          <xdr:col>7</xdr:col>
          <xdr:colOff>1085850</xdr:colOff>
          <xdr:row>103</xdr:row>
          <xdr:rowOff>6350</xdr:rowOff>
        </xdr:to>
        <xdr:sp macro="" textlink="">
          <xdr:nvSpPr>
            <xdr:cNvPr id="2606624" name="Drop Down 3616" hidden="1">
              <a:extLst>
                <a:ext uri="{63B3BB69-23CF-44E3-9099-C40C66FF867C}">
                  <a14:compatExt spid="_x0000_s2606624"/>
                </a:ext>
                <a:ext uri="{FF2B5EF4-FFF2-40B4-BE49-F238E27FC236}">
                  <a16:creationId xmlns:a16="http://schemas.microsoft.com/office/drawing/2014/main" id="{00000000-0008-0000-0000-000020C62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400050</xdr:colOff>
          <xdr:row>137</xdr:row>
          <xdr:rowOff>0</xdr:rowOff>
        </xdr:from>
        <xdr:to>
          <xdr:col>3</xdr:col>
          <xdr:colOff>1085850</xdr:colOff>
          <xdr:row>137</xdr:row>
          <xdr:rowOff>152400</xdr:rowOff>
        </xdr:to>
        <xdr:sp macro="" textlink="">
          <xdr:nvSpPr>
            <xdr:cNvPr id="2606627" name="Drop Down 3619" hidden="1">
              <a:extLst>
                <a:ext uri="{63B3BB69-23CF-44E3-9099-C40C66FF867C}">
                  <a14:compatExt spid="_x0000_s2606627"/>
                </a:ext>
                <a:ext uri="{FF2B5EF4-FFF2-40B4-BE49-F238E27FC236}">
                  <a16:creationId xmlns:a16="http://schemas.microsoft.com/office/drawing/2014/main" id="{00000000-0008-0000-0000-000023C62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400050</xdr:colOff>
          <xdr:row>137</xdr:row>
          <xdr:rowOff>0</xdr:rowOff>
        </xdr:from>
        <xdr:to>
          <xdr:col>3</xdr:col>
          <xdr:colOff>1085850</xdr:colOff>
          <xdr:row>137</xdr:row>
          <xdr:rowOff>152400</xdr:rowOff>
        </xdr:to>
        <xdr:sp macro="" textlink="">
          <xdr:nvSpPr>
            <xdr:cNvPr id="2606628" name="Drop Down 3620" hidden="1">
              <a:extLst>
                <a:ext uri="{63B3BB69-23CF-44E3-9099-C40C66FF867C}">
                  <a14:compatExt spid="_x0000_s2606628"/>
                </a:ext>
                <a:ext uri="{FF2B5EF4-FFF2-40B4-BE49-F238E27FC236}">
                  <a16:creationId xmlns:a16="http://schemas.microsoft.com/office/drawing/2014/main" id="{00000000-0008-0000-0000-000024C62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387350</xdr:colOff>
          <xdr:row>137</xdr:row>
          <xdr:rowOff>12700</xdr:rowOff>
        </xdr:from>
        <xdr:to>
          <xdr:col>5</xdr:col>
          <xdr:colOff>1085850</xdr:colOff>
          <xdr:row>138</xdr:row>
          <xdr:rowOff>6350</xdr:rowOff>
        </xdr:to>
        <xdr:sp macro="" textlink="">
          <xdr:nvSpPr>
            <xdr:cNvPr id="2606629" name="Drop Down 3621" hidden="1">
              <a:extLst>
                <a:ext uri="{63B3BB69-23CF-44E3-9099-C40C66FF867C}">
                  <a14:compatExt spid="_x0000_s2606629"/>
                </a:ext>
                <a:ext uri="{FF2B5EF4-FFF2-40B4-BE49-F238E27FC236}">
                  <a16:creationId xmlns:a16="http://schemas.microsoft.com/office/drawing/2014/main" id="{00000000-0008-0000-0000-000025C62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393700</xdr:colOff>
          <xdr:row>137</xdr:row>
          <xdr:rowOff>12700</xdr:rowOff>
        </xdr:from>
        <xdr:to>
          <xdr:col>7</xdr:col>
          <xdr:colOff>1085850</xdr:colOff>
          <xdr:row>138</xdr:row>
          <xdr:rowOff>6350</xdr:rowOff>
        </xdr:to>
        <xdr:sp macro="" textlink="">
          <xdr:nvSpPr>
            <xdr:cNvPr id="2606630" name="Drop Down 3622" hidden="1">
              <a:extLst>
                <a:ext uri="{63B3BB69-23CF-44E3-9099-C40C66FF867C}">
                  <a14:compatExt spid="_x0000_s2606630"/>
                </a:ext>
                <a:ext uri="{FF2B5EF4-FFF2-40B4-BE49-F238E27FC236}">
                  <a16:creationId xmlns:a16="http://schemas.microsoft.com/office/drawing/2014/main" id="{00000000-0008-0000-0000-000026C62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400050</xdr:colOff>
          <xdr:row>172</xdr:row>
          <xdr:rowOff>0</xdr:rowOff>
        </xdr:from>
        <xdr:to>
          <xdr:col>3</xdr:col>
          <xdr:colOff>1085850</xdr:colOff>
          <xdr:row>172</xdr:row>
          <xdr:rowOff>152400</xdr:rowOff>
        </xdr:to>
        <xdr:sp macro="" textlink="">
          <xdr:nvSpPr>
            <xdr:cNvPr id="2606632" name="Drop Down 3624" hidden="1">
              <a:extLst>
                <a:ext uri="{63B3BB69-23CF-44E3-9099-C40C66FF867C}">
                  <a14:compatExt spid="_x0000_s2606632"/>
                </a:ext>
                <a:ext uri="{FF2B5EF4-FFF2-40B4-BE49-F238E27FC236}">
                  <a16:creationId xmlns:a16="http://schemas.microsoft.com/office/drawing/2014/main" id="{00000000-0008-0000-0000-000028C62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393700</xdr:colOff>
          <xdr:row>172</xdr:row>
          <xdr:rowOff>12700</xdr:rowOff>
        </xdr:from>
        <xdr:to>
          <xdr:col>5</xdr:col>
          <xdr:colOff>1085850</xdr:colOff>
          <xdr:row>172</xdr:row>
          <xdr:rowOff>171450</xdr:rowOff>
        </xdr:to>
        <xdr:sp macro="" textlink="">
          <xdr:nvSpPr>
            <xdr:cNvPr id="2606633" name="Drop Down 3625" hidden="1">
              <a:extLst>
                <a:ext uri="{63B3BB69-23CF-44E3-9099-C40C66FF867C}">
                  <a14:compatExt spid="_x0000_s2606633"/>
                </a:ext>
                <a:ext uri="{FF2B5EF4-FFF2-40B4-BE49-F238E27FC236}">
                  <a16:creationId xmlns:a16="http://schemas.microsoft.com/office/drawing/2014/main" id="{00000000-0008-0000-0000-000029C62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393700</xdr:colOff>
          <xdr:row>172</xdr:row>
          <xdr:rowOff>12700</xdr:rowOff>
        </xdr:from>
        <xdr:to>
          <xdr:col>7</xdr:col>
          <xdr:colOff>1085850</xdr:colOff>
          <xdr:row>172</xdr:row>
          <xdr:rowOff>171450</xdr:rowOff>
        </xdr:to>
        <xdr:sp macro="" textlink="">
          <xdr:nvSpPr>
            <xdr:cNvPr id="2606634" name="Drop Down 3626" hidden="1">
              <a:extLst>
                <a:ext uri="{63B3BB69-23CF-44E3-9099-C40C66FF867C}">
                  <a14:compatExt spid="_x0000_s2606634"/>
                </a:ext>
                <a:ext uri="{FF2B5EF4-FFF2-40B4-BE49-F238E27FC236}">
                  <a16:creationId xmlns:a16="http://schemas.microsoft.com/office/drawing/2014/main" id="{00000000-0008-0000-0000-00002AC62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400050</xdr:colOff>
          <xdr:row>172</xdr:row>
          <xdr:rowOff>0</xdr:rowOff>
        </xdr:from>
        <xdr:to>
          <xdr:col>3</xdr:col>
          <xdr:colOff>1085850</xdr:colOff>
          <xdr:row>172</xdr:row>
          <xdr:rowOff>152400</xdr:rowOff>
        </xdr:to>
        <xdr:sp macro="" textlink="">
          <xdr:nvSpPr>
            <xdr:cNvPr id="2606635" name="Drop Down 3627" hidden="1">
              <a:extLst>
                <a:ext uri="{63B3BB69-23CF-44E3-9099-C40C66FF867C}">
                  <a14:compatExt spid="_x0000_s2606635"/>
                </a:ext>
                <a:ext uri="{FF2B5EF4-FFF2-40B4-BE49-F238E27FC236}">
                  <a16:creationId xmlns:a16="http://schemas.microsoft.com/office/drawing/2014/main" id="{00000000-0008-0000-0000-00002BC62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393700</xdr:colOff>
          <xdr:row>172</xdr:row>
          <xdr:rowOff>12700</xdr:rowOff>
        </xdr:from>
        <xdr:to>
          <xdr:col>5</xdr:col>
          <xdr:colOff>1085850</xdr:colOff>
          <xdr:row>172</xdr:row>
          <xdr:rowOff>171450</xdr:rowOff>
        </xdr:to>
        <xdr:sp macro="" textlink="">
          <xdr:nvSpPr>
            <xdr:cNvPr id="2606636" name="Drop Down 3628" hidden="1">
              <a:extLst>
                <a:ext uri="{63B3BB69-23CF-44E3-9099-C40C66FF867C}">
                  <a14:compatExt spid="_x0000_s2606636"/>
                </a:ext>
                <a:ext uri="{FF2B5EF4-FFF2-40B4-BE49-F238E27FC236}">
                  <a16:creationId xmlns:a16="http://schemas.microsoft.com/office/drawing/2014/main" id="{00000000-0008-0000-0000-00002CC62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393700</xdr:colOff>
          <xdr:row>172</xdr:row>
          <xdr:rowOff>12700</xdr:rowOff>
        </xdr:from>
        <xdr:to>
          <xdr:col>7</xdr:col>
          <xdr:colOff>1085850</xdr:colOff>
          <xdr:row>172</xdr:row>
          <xdr:rowOff>171450</xdr:rowOff>
        </xdr:to>
        <xdr:sp macro="" textlink="">
          <xdr:nvSpPr>
            <xdr:cNvPr id="2606637" name="Drop Down 3629" hidden="1">
              <a:extLst>
                <a:ext uri="{63B3BB69-23CF-44E3-9099-C40C66FF867C}">
                  <a14:compatExt spid="_x0000_s2606637"/>
                </a:ext>
                <a:ext uri="{FF2B5EF4-FFF2-40B4-BE49-F238E27FC236}">
                  <a16:creationId xmlns:a16="http://schemas.microsoft.com/office/drawing/2014/main" id="{00000000-0008-0000-0000-00002DC62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twoCellAnchor>
    <xdr:from>
      <xdr:col>10</xdr:col>
      <xdr:colOff>208534</xdr:colOff>
      <xdr:row>45</xdr:row>
      <xdr:rowOff>266886</xdr:rowOff>
    </xdr:from>
    <xdr:to>
      <xdr:col>18</xdr:col>
      <xdr:colOff>171264</xdr:colOff>
      <xdr:row>50</xdr:row>
      <xdr:rowOff>104774</xdr:rowOff>
    </xdr:to>
    <xdr:sp macro="" textlink="">
      <xdr:nvSpPr>
        <xdr:cNvPr id="2" name="Rectangle 64">
          <a:extLst>
            <a:ext uri="{FF2B5EF4-FFF2-40B4-BE49-F238E27FC236}">
              <a16:creationId xmlns:a16="http://schemas.microsoft.com/office/drawing/2014/main" id="{77DE6D2D-6515-450D-B6F2-8F0D9B40F625}"/>
            </a:ext>
          </a:extLst>
        </xdr:cNvPr>
        <xdr:cNvSpPr>
          <a:spLocks noChangeArrowheads="1"/>
        </xdr:cNvSpPr>
      </xdr:nvSpPr>
      <xdr:spPr bwMode="auto">
        <a:xfrm>
          <a:off x="11324209" y="9925236"/>
          <a:ext cx="4534730" cy="780863"/>
        </a:xfrm>
        <a:prstGeom prst="rect">
          <a:avLst/>
        </a:prstGeom>
        <a:solidFill>
          <a:srgbClr val="CCFFCC"/>
        </a:solidFill>
        <a:ln w="9525">
          <a:solidFill>
            <a:srgbClr val="000000"/>
          </a:solidFill>
          <a:miter lim="800000"/>
          <a:headEnd/>
          <a:tailEnd/>
        </a:ln>
      </xdr:spPr>
      <xdr:txBody>
        <a:bodyPr vertOverflow="clip" wrap="square" lIns="27432" tIns="22860" rIns="0" bIns="0" anchor="t" upright="1"/>
        <a:lstStyle/>
        <a:p>
          <a:pPr marL="0" marR="0" indent="0" algn="l" defTabSz="914400" rtl="0" eaLnBrk="1" fontAlgn="auto" latinLnBrk="0" hangingPunct="1">
            <a:lnSpc>
              <a:spcPct val="100000"/>
            </a:lnSpc>
            <a:spcBef>
              <a:spcPts val="0"/>
            </a:spcBef>
            <a:spcAft>
              <a:spcPts val="0"/>
            </a:spcAft>
            <a:buClrTx/>
            <a:buSzTx/>
            <a:buFontTx/>
            <a:buNone/>
            <a:tabLst/>
            <a:defRPr sz="1000"/>
          </a:pPr>
          <a:r>
            <a:rPr lang="en-GB" sz="800" b="0" i="0" strike="noStrike">
              <a:solidFill>
                <a:srgbClr val="000000"/>
              </a:solidFill>
              <a:latin typeface="Arial" pitchFamily="34" charset="0"/>
              <a:cs typeface="Arial" pitchFamily="34" charset="0"/>
            </a:rPr>
            <a:t>Note: </a:t>
          </a:r>
          <a:r>
            <a:rPr lang="en-GB" sz="800" b="0" i="0" u="sng" strike="noStrike">
              <a:solidFill>
                <a:srgbClr val="000000"/>
              </a:solidFill>
              <a:latin typeface="Arial" pitchFamily="34" charset="0"/>
              <a:cs typeface="Arial" pitchFamily="34" charset="0"/>
            </a:rPr>
            <a:t>Restoration trajectory shape parameter.</a:t>
          </a:r>
          <a:r>
            <a:rPr lang="en-GB" sz="800" b="0" i="0" u="none" strike="noStrike">
              <a:solidFill>
                <a:srgbClr val="000000"/>
              </a:solidFill>
              <a:latin typeface="Arial" pitchFamily="34" charset="0"/>
              <a:cs typeface="Arial" pitchFamily="34" charset="0"/>
            </a:rPr>
            <a:t> Users must input an estimate for the shape paramaeter</a:t>
          </a:r>
          <a:r>
            <a:rPr lang="en-GB" sz="800" b="0" i="0" u="none" strike="noStrike" baseline="0">
              <a:solidFill>
                <a:srgbClr val="000000"/>
              </a:solidFill>
              <a:latin typeface="Arial" pitchFamily="34" charset="0"/>
              <a:cs typeface="Arial" pitchFamily="34" charset="0"/>
            </a:rPr>
            <a:t> defining the trajectory of restoration. For examples of how this parameter impacts the dynamics see the plot 'Restoration trajectories' (right). In this examples, pre- and post-restoration rates are set to 0 and 1 and the restoration time is set to the Expected value for microbial community function. To further explore the impact of the parameter, update the values of n1, n2 and n3 in the table (right).</a:t>
          </a:r>
          <a:endParaRPr lang="en-GB" sz="800" b="0" i="0" strike="noStrike">
            <a:solidFill>
              <a:srgbClr val="000000"/>
            </a:solidFill>
            <a:latin typeface="Arial"/>
            <a:cs typeface="Arial"/>
          </a:endParaRPr>
        </a:p>
      </xdr:txBody>
    </xdr:sp>
    <xdr:clientData/>
  </xdr:twoCellAnchor>
  <xdr:twoCellAnchor>
    <xdr:from>
      <xdr:col>7</xdr:col>
      <xdr:colOff>1114236</xdr:colOff>
      <xdr:row>47</xdr:row>
      <xdr:rowOff>67235</xdr:rowOff>
    </xdr:from>
    <xdr:to>
      <xdr:col>10</xdr:col>
      <xdr:colOff>219074</xdr:colOff>
      <xdr:row>48</xdr:row>
      <xdr:rowOff>28574</xdr:rowOff>
    </xdr:to>
    <xdr:sp macro="" textlink="">
      <xdr:nvSpPr>
        <xdr:cNvPr id="3" name="Line 121">
          <a:extLst>
            <a:ext uri="{FF2B5EF4-FFF2-40B4-BE49-F238E27FC236}">
              <a16:creationId xmlns:a16="http://schemas.microsoft.com/office/drawing/2014/main" id="{4111FBE0-6C0A-4E3E-8CAD-242AF0F6726F}"/>
            </a:ext>
          </a:extLst>
        </xdr:cNvPr>
        <xdr:cNvSpPr>
          <a:spLocks noChangeShapeType="1"/>
        </xdr:cNvSpPr>
      </xdr:nvSpPr>
      <xdr:spPr bwMode="auto">
        <a:xfrm flipH="1" flipV="1">
          <a:off x="9839136" y="10192310"/>
          <a:ext cx="1495613" cy="113739"/>
        </a:xfrm>
        <a:prstGeom prst="line">
          <a:avLst/>
        </a:prstGeom>
        <a:noFill/>
        <a:ln w="9525">
          <a:solidFill>
            <a:srgbClr val="000000"/>
          </a:solidFill>
          <a:round/>
          <a:headEnd/>
          <a:tailEnd type="triangle" w="med" len="med"/>
        </a:ln>
      </xdr:spPr>
    </xdr:sp>
    <xdr:clientData/>
  </xdr:twoCellAnchor>
  <xdr:twoCellAnchor>
    <xdr:from>
      <xdr:col>19</xdr:col>
      <xdr:colOff>415389</xdr:colOff>
      <xdr:row>25</xdr:row>
      <xdr:rowOff>104029</xdr:rowOff>
    </xdr:from>
    <xdr:to>
      <xdr:col>28</xdr:col>
      <xdr:colOff>353733</xdr:colOff>
      <xdr:row>42</xdr:row>
      <xdr:rowOff>0</xdr:rowOff>
    </xdr:to>
    <xdr:graphicFrame macro="">
      <xdr:nvGraphicFramePr>
        <xdr:cNvPr id="5" name="Chart 4">
          <a:extLst>
            <a:ext uri="{FF2B5EF4-FFF2-40B4-BE49-F238E27FC236}">
              <a16:creationId xmlns:a16="http://schemas.microsoft.com/office/drawing/2014/main" id="{B66BB024-CA9C-A580-903E-4AAD3A3406B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mc:AlternateContent xmlns:mc="http://schemas.openxmlformats.org/markup-compatibility/2006">
    <mc:Choice xmlns:a14="http://schemas.microsoft.com/office/drawing/2010/main" Requires="a14">
      <xdr:twoCellAnchor editAs="oneCell">
        <xdr:from>
          <xdr:col>3</xdr:col>
          <xdr:colOff>400050</xdr:colOff>
          <xdr:row>36</xdr:row>
          <xdr:rowOff>0</xdr:rowOff>
        </xdr:from>
        <xdr:to>
          <xdr:col>3</xdr:col>
          <xdr:colOff>1085850</xdr:colOff>
          <xdr:row>36</xdr:row>
          <xdr:rowOff>152400</xdr:rowOff>
        </xdr:to>
        <xdr:sp macro="" textlink="">
          <xdr:nvSpPr>
            <xdr:cNvPr id="2606638" name="Drop Down 3630" hidden="1">
              <a:extLst>
                <a:ext uri="{63B3BB69-23CF-44E3-9099-C40C66FF867C}">
                  <a14:compatExt spid="_x0000_s2606638"/>
                </a:ext>
                <a:ext uri="{FF2B5EF4-FFF2-40B4-BE49-F238E27FC236}">
                  <a16:creationId xmlns:a16="http://schemas.microsoft.com/office/drawing/2014/main" id="{00000000-0008-0000-0000-00002EC62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400050</xdr:colOff>
          <xdr:row>36</xdr:row>
          <xdr:rowOff>0</xdr:rowOff>
        </xdr:from>
        <xdr:to>
          <xdr:col>5</xdr:col>
          <xdr:colOff>1085850</xdr:colOff>
          <xdr:row>36</xdr:row>
          <xdr:rowOff>152400</xdr:rowOff>
        </xdr:to>
        <xdr:sp macro="" textlink="">
          <xdr:nvSpPr>
            <xdr:cNvPr id="2606639" name="Drop Down 3631" hidden="1">
              <a:extLst>
                <a:ext uri="{63B3BB69-23CF-44E3-9099-C40C66FF867C}">
                  <a14:compatExt spid="_x0000_s2606639"/>
                </a:ext>
                <a:ext uri="{FF2B5EF4-FFF2-40B4-BE49-F238E27FC236}">
                  <a16:creationId xmlns:a16="http://schemas.microsoft.com/office/drawing/2014/main" id="{00000000-0008-0000-0000-00002FC62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400050</xdr:colOff>
          <xdr:row>36</xdr:row>
          <xdr:rowOff>0</xdr:rowOff>
        </xdr:from>
        <xdr:to>
          <xdr:col>7</xdr:col>
          <xdr:colOff>1085850</xdr:colOff>
          <xdr:row>36</xdr:row>
          <xdr:rowOff>152400</xdr:rowOff>
        </xdr:to>
        <xdr:sp macro="" textlink="">
          <xdr:nvSpPr>
            <xdr:cNvPr id="2606640" name="Drop Down 3632" hidden="1">
              <a:extLst>
                <a:ext uri="{63B3BB69-23CF-44E3-9099-C40C66FF867C}">
                  <a14:compatExt spid="_x0000_s2606640"/>
                </a:ext>
                <a:ext uri="{FF2B5EF4-FFF2-40B4-BE49-F238E27FC236}">
                  <a16:creationId xmlns:a16="http://schemas.microsoft.com/office/drawing/2014/main" id="{00000000-0008-0000-0000-000030C62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400050</xdr:colOff>
          <xdr:row>71</xdr:row>
          <xdr:rowOff>0</xdr:rowOff>
        </xdr:from>
        <xdr:to>
          <xdr:col>3</xdr:col>
          <xdr:colOff>1085850</xdr:colOff>
          <xdr:row>71</xdr:row>
          <xdr:rowOff>158750</xdr:rowOff>
        </xdr:to>
        <xdr:sp macro="" textlink="">
          <xdr:nvSpPr>
            <xdr:cNvPr id="2606641" name="Drop Down 3633" hidden="1">
              <a:extLst>
                <a:ext uri="{63B3BB69-23CF-44E3-9099-C40C66FF867C}">
                  <a14:compatExt spid="_x0000_s2606641"/>
                </a:ext>
                <a:ext uri="{FF2B5EF4-FFF2-40B4-BE49-F238E27FC236}">
                  <a16:creationId xmlns:a16="http://schemas.microsoft.com/office/drawing/2014/main" id="{00000000-0008-0000-0000-000031C62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400050</xdr:colOff>
          <xdr:row>71</xdr:row>
          <xdr:rowOff>0</xdr:rowOff>
        </xdr:from>
        <xdr:to>
          <xdr:col>5</xdr:col>
          <xdr:colOff>1085850</xdr:colOff>
          <xdr:row>71</xdr:row>
          <xdr:rowOff>158750</xdr:rowOff>
        </xdr:to>
        <xdr:sp macro="" textlink="">
          <xdr:nvSpPr>
            <xdr:cNvPr id="2606642" name="Drop Down 3634" hidden="1">
              <a:extLst>
                <a:ext uri="{63B3BB69-23CF-44E3-9099-C40C66FF867C}">
                  <a14:compatExt spid="_x0000_s2606642"/>
                </a:ext>
                <a:ext uri="{FF2B5EF4-FFF2-40B4-BE49-F238E27FC236}">
                  <a16:creationId xmlns:a16="http://schemas.microsoft.com/office/drawing/2014/main" id="{00000000-0008-0000-0000-000032C62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400050</xdr:colOff>
          <xdr:row>71</xdr:row>
          <xdr:rowOff>0</xdr:rowOff>
        </xdr:from>
        <xdr:to>
          <xdr:col>7</xdr:col>
          <xdr:colOff>1085850</xdr:colOff>
          <xdr:row>71</xdr:row>
          <xdr:rowOff>158750</xdr:rowOff>
        </xdr:to>
        <xdr:sp macro="" textlink="">
          <xdr:nvSpPr>
            <xdr:cNvPr id="2606643" name="Drop Down 3635" hidden="1">
              <a:extLst>
                <a:ext uri="{63B3BB69-23CF-44E3-9099-C40C66FF867C}">
                  <a14:compatExt spid="_x0000_s2606643"/>
                </a:ext>
                <a:ext uri="{FF2B5EF4-FFF2-40B4-BE49-F238E27FC236}">
                  <a16:creationId xmlns:a16="http://schemas.microsoft.com/office/drawing/2014/main" id="{00000000-0008-0000-0000-000033C62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400050</xdr:colOff>
          <xdr:row>106</xdr:row>
          <xdr:rowOff>0</xdr:rowOff>
        </xdr:from>
        <xdr:to>
          <xdr:col>3</xdr:col>
          <xdr:colOff>1085850</xdr:colOff>
          <xdr:row>106</xdr:row>
          <xdr:rowOff>152400</xdr:rowOff>
        </xdr:to>
        <xdr:sp macro="" textlink="">
          <xdr:nvSpPr>
            <xdr:cNvPr id="2606644" name="Drop Down 3636" hidden="1">
              <a:extLst>
                <a:ext uri="{63B3BB69-23CF-44E3-9099-C40C66FF867C}">
                  <a14:compatExt spid="_x0000_s2606644"/>
                </a:ext>
                <a:ext uri="{FF2B5EF4-FFF2-40B4-BE49-F238E27FC236}">
                  <a16:creationId xmlns:a16="http://schemas.microsoft.com/office/drawing/2014/main" id="{00000000-0008-0000-0000-000034C62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400050</xdr:colOff>
          <xdr:row>106</xdr:row>
          <xdr:rowOff>0</xdr:rowOff>
        </xdr:from>
        <xdr:to>
          <xdr:col>5</xdr:col>
          <xdr:colOff>1085850</xdr:colOff>
          <xdr:row>106</xdr:row>
          <xdr:rowOff>152400</xdr:rowOff>
        </xdr:to>
        <xdr:sp macro="" textlink="">
          <xdr:nvSpPr>
            <xdr:cNvPr id="2606645" name="Drop Down 3637" hidden="1">
              <a:extLst>
                <a:ext uri="{63B3BB69-23CF-44E3-9099-C40C66FF867C}">
                  <a14:compatExt spid="_x0000_s2606645"/>
                </a:ext>
                <a:ext uri="{FF2B5EF4-FFF2-40B4-BE49-F238E27FC236}">
                  <a16:creationId xmlns:a16="http://schemas.microsoft.com/office/drawing/2014/main" id="{00000000-0008-0000-0000-000035C62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400050</xdr:colOff>
          <xdr:row>106</xdr:row>
          <xdr:rowOff>0</xdr:rowOff>
        </xdr:from>
        <xdr:to>
          <xdr:col>7</xdr:col>
          <xdr:colOff>1085850</xdr:colOff>
          <xdr:row>106</xdr:row>
          <xdr:rowOff>152400</xdr:rowOff>
        </xdr:to>
        <xdr:sp macro="" textlink="">
          <xdr:nvSpPr>
            <xdr:cNvPr id="2606646" name="Drop Down 3638" hidden="1">
              <a:extLst>
                <a:ext uri="{63B3BB69-23CF-44E3-9099-C40C66FF867C}">
                  <a14:compatExt spid="_x0000_s2606646"/>
                </a:ext>
                <a:ext uri="{FF2B5EF4-FFF2-40B4-BE49-F238E27FC236}">
                  <a16:creationId xmlns:a16="http://schemas.microsoft.com/office/drawing/2014/main" id="{00000000-0008-0000-0000-000036C62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400050</xdr:colOff>
          <xdr:row>141</xdr:row>
          <xdr:rowOff>0</xdr:rowOff>
        </xdr:from>
        <xdr:to>
          <xdr:col>3</xdr:col>
          <xdr:colOff>1085850</xdr:colOff>
          <xdr:row>142</xdr:row>
          <xdr:rowOff>0</xdr:rowOff>
        </xdr:to>
        <xdr:sp macro="" textlink="">
          <xdr:nvSpPr>
            <xdr:cNvPr id="2606647" name="Drop Down 3639" hidden="1">
              <a:extLst>
                <a:ext uri="{63B3BB69-23CF-44E3-9099-C40C66FF867C}">
                  <a14:compatExt spid="_x0000_s2606647"/>
                </a:ext>
                <a:ext uri="{FF2B5EF4-FFF2-40B4-BE49-F238E27FC236}">
                  <a16:creationId xmlns:a16="http://schemas.microsoft.com/office/drawing/2014/main" id="{00000000-0008-0000-0000-000037C62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400050</xdr:colOff>
          <xdr:row>141</xdr:row>
          <xdr:rowOff>0</xdr:rowOff>
        </xdr:from>
        <xdr:to>
          <xdr:col>5</xdr:col>
          <xdr:colOff>1085850</xdr:colOff>
          <xdr:row>142</xdr:row>
          <xdr:rowOff>0</xdr:rowOff>
        </xdr:to>
        <xdr:sp macro="" textlink="">
          <xdr:nvSpPr>
            <xdr:cNvPr id="2606648" name="Drop Down 3640" hidden="1">
              <a:extLst>
                <a:ext uri="{63B3BB69-23CF-44E3-9099-C40C66FF867C}">
                  <a14:compatExt spid="_x0000_s2606648"/>
                </a:ext>
                <a:ext uri="{FF2B5EF4-FFF2-40B4-BE49-F238E27FC236}">
                  <a16:creationId xmlns:a16="http://schemas.microsoft.com/office/drawing/2014/main" id="{00000000-0008-0000-0000-000038C62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400050</xdr:colOff>
          <xdr:row>141</xdr:row>
          <xdr:rowOff>0</xdr:rowOff>
        </xdr:from>
        <xdr:to>
          <xdr:col>7</xdr:col>
          <xdr:colOff>1085850</xdr:colOff>
          <xdr:row>142</xdr:row>
          <xdr:rowOff>0</xdr:rowOff>
        </xdr:to>
        <xdr:sp macro="" textlink="">
          <xdr:nvSpPr>
            <xdr:cNvPr id="2606649" name="Drop Down 3641" hidden="1">
              <a:extLst>
                <a:ext uri="{63B3BB69-23CF-44E3-9099-C40C66FF867C}">
                  <a14:compatExt spid="_x0000_s2606649"/>
                </a:ext>
                <a:ext uri="{FF2B5EF4-FFF2-40B4-BE49-F238E27FC236}">
                  <a16:creationId xmlns:a16="http://schemas.microsoft.com/office/drawing/2014/main" id="{00000000-0008-0000-0000-000039C62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400050</xdr:colOff>
          <xdr:row>176</xdr:row>
          <xdr:rowOff>0</xdr:rowOff>
        </xdr:from>
        <xdr:to>
          <xdr:col>3</xdr:col>
          <xdr:colOff>1085850</xdr:colOff>
          <xdr:row>176</xdr:row>
          <xdr:rowOff>152400</xdr:rowOff>
        </xdr:to>
        <xdr:sp macro="" textlink="">
          <xdr:nvSpPr>
            <xdr:cNvPr id="2606650" name="Drop Down 3642" hidden="1">
              <a:extLst>
                <a:ext uri="{63B3BB69-23CF-44E3-9099-C40C66FF867C}">
                  <a14:compatExt spid="_x0000_s2606650"/>
                </a:ext>
                <a:ext uri="{FF2B5EF4-FFF2-40B4-BE49-F238E27FC236}">
                  <a16:creationId xmlns:a16="http://schemas.microsoft.com/office/drawing/2014/main" id="{00000000-0008-0000-0000-00003AC62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400050</xdr:colOff>
          <xdr:row>176</xdr:row>
          <xdr:rowOff>19050</xdr:rowOff>
        </xdr:from>
        <xdr:to>
          <xdr:col>5</xdr:col>
          <xdr:colOff>1085850</xdr:colOff>
          <xdr:row>176</xdr:row>
          <xdr:rowOff>171450</xdr:rowOff>
        </xdr:to>
        <xdr:sp macro="" textlink="">
          <xdr:nvSpPr>
            <xdr:cNvPr id="2606651" name="Drop Down 3643" hidden="1">
              <a:extLst>
                <a:ext uri="{63B3BB69-23CF-44E3-9099-C40C66FF867C}">
                  <a14:compatExt spid="_x0000_s2606651"/>
                </a:ext>
                <a:ext uri="{FF2B5EF4-FFF2-40B4-BE49-F238E27FC236}">
                  <a16:creationId xmlns:a16="http://schemas.microsoft.com/office/drawing/2014/main" id="{00000000-0008-0000-0000-00003BC62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400050</xdr:colOff>
          <xdr:row>176</xdr:row>
          <xdr:rowOff>0</xdr:rowOff>
        </xdr:from>
        <xdr:to>
          <xdr:col>7</xdr:col>
          <xdr:colOff>1085850</xdr:colOff>
          <xdr:row>176</xdr:row>
          <xdr:rowOff>152400</xdr:rowOff>
        </xdr:to>
        <xdr:sp macro="" textlink="">
          <xdr:nvSpPr>
            <xdr:cNvPr id="2606652" name="Drop Down 3644" hidden="1">
              <a:extLst>
                <a:ext uri="{63B3BB69-23CF-44E3-9099-C40C66FF867C}">
                  <a14:compatExt spid="_x0000_s2606652"/>
                </a:ext>
                <a:ext uri="{FF2B5EF4-FFF2-40B4-BE49-F238E27FC236}">
                  <a16:creationId xmlns:a16="http://schemas.microsoft.com/office/drawing/2014/main" id="{00000000-0008-0000-0000-00003CC62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twoCellAnchor>
    <xdr:from>
      <xdr:col>7</xdr:col>
      <xdr:colOff>1228725</xdr:colOff>
      <xdr:row>4</xdr:row>
      <xdr:rowOff>84138</xdr:rowOff>
    </xdr:from>
    <xdr:to>
      <xdr:col>10</xdr:col>
      <xdr:colOff>219075</xdr:colOff>
      <xdr:row>7</xdr:row>
      <xdr:rowOff>66675</xdr:rowOff>
    </xdr:to>
    <xdr:cxnSp macro="">
      <xdr:nvCxnSpPr>
        <xdr:cNvPr id="7" name="Straight Arrow Connector 6">
          <a:extLst>
            <a:ext uri="{FF2B5EF4-FFF2-40B4-BE49-F238E27FC236}">
              <a16:creationId xmlns:a16="http://schemas.microsoft.com/office/drawing/2014/main" id="{11838DB6-ED63-0632-7F75-C166D01E1A44}"/>
            </a:ext>
          </a:extLst>
        </xdr:cNvPr>
        <xdr:cNvCxnSpPr>
          <a:cxnSpLocks/>
          <a:stCxn id="29" idx="1"/>
        </xdr:cNvCxnSpPr>
      </xdr:nvCxnSpPr>
      <xdr:spPr>
        <a:xfrm flipH="1">
          <a:off x="9953625" y="1055688"/>
          <a:ext cx="1381125" cy="582612"/>
        </a:xfrm>
        <a:prstGeom prst="straightConnector1">
          <a:avLst/>
        </a:prstGeom>
        <a:ln>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219075</xdr:colOff>
      <xdr:row>6</xdr:row>
      <xdr:rowOff>48541</xdr:rowOff>
    </xdr:from>
    <xdr:to>
      <xdr:col>18</xdr:col>
      <xdr:colOff>53975</xdr:colOff>
      <xdr:row>9</xdr:row>
      <xdr:rowOff>113239</xdr:rowOff>
    </xdr:to>
    <xdr:sp macro="" textlink="">
      <xdr:nvSpPr>
        <xdr:cNvPr id="8" name="Rectangle 143">
          <a:extLst>
            <a:ext uri="{FF2B5EF4-FFF2-40B4-BE49-F238E27FC236}">
              <a16:creationId xmlns:a16="http://schemas.microsoft.com/office/drawing/2014/main" id="{119882D7-333E-4DF9-BC8C-9FEE7233E0E2}"/>
            </a:ext>
          </a:extLst>
        </xdr:cNvPr>
        <xdr:cNvSpPr>
          <a:spLocks noChangeArrowheads="1"/>
        </xdr:cNvSpPr>
      </xdr:nvSpPr>
      <xdr:spPr bwMode="auto">
        <a:xfrm>
          <a:off x="11287125" y="3972841"/>
          <a:ext cx="4406900" cy="664773"/>
        </a:xfrm>
        <a:prstGeom prst="rect">
          <a:avLst/>
        </a:prstGeom>
        <a:solidFill>
          <a:srgbClr val="CCFFCC"/>
        </a:solidFill>
        <a:ln w="9525">
          <a:solidFill>
            <a:srgbClr val="000000"/>
          </a:solidFill>
          <a:miter lim="800000"/>
          <a:headEnd/>
          <a:tailEnd/>
        </a:ln>
      </xdr:spPr>
      <xdr:txBody>
        <a:bodyPr vertOverflow="clip" wrap="square" lIns="27432" tIns="22860" rIns="0" bIns="0" anchor="t" upright="1"/>
        <a:lstStyle/>
        <a:p>
          <a:pPr rtl="0"/>
          <a:r>
            <a:rPr lang="en-GB" sz="800" b="0" i="0" baseline="0">
              <a:latin typeface="Arial" pitchFamily="34" charset="0"/>
              <a:ea typeface="+mn-ea"/>
              <a:cs typeface="Arial" pitchFamily="34" charset="0"/>
            </a:rPr>
            <a:t>Note: </a:t>
          </a:r>
          <a:r>
            <a:rPr lang="en-GB" sz="800" b="0" i="0" u="sng" baseline="0">
              <a:latin typeface="Arial" pitchFamily="34" charset="0"/>
              <a:ea typeface="+mn-ea"/>
              <a:cs typeface="Arial" pitchFamily="34" charset="0"/>
            </a:rPr>
            <a:t>Emissions associated with restoration practices</a:t>
          </a:r>
          <a:r>
            <a:rPr lang="en-GB" sz="800" b="0" i="0" baseline="0">
              <a:latin typeface="Arial" pitchFamily="34" charset="0"/>
              <a:ea typeface="+mn-ea"/>
              <a:cs typeface="Arial" pitchFamily="34" charset="0"/>
            </a:rPr>
            <a:t>. </a:t>
          </a:r>
          <a:endParaRPr lang="en-GB" sz="800">
            <a:latin typeface="Arial" pitchFamily="34" charset="0"/>
            <a:cs typeface="Arial" pitchFamily="34" charset="0"/>
          </a:endParaRPr>
        </a:p>
        <a:p>
          <a:pPr rtl="0"/>
          <a:r>
            <a:rPr lang="en-GB" sz="800" b="0" i="0" baseline="0">
              <a:latin typeface="Arial" pitchFamily="34" charset="0"/>
              <a:ea typeface="+mn-ea"/>
              <a:cs typeface="Arial" pitchFamily="34" charset="0"/>
            </a:rPr>
            <a:t>These figures are taken from Brennand et al. (2025) Evaluating the carbon costs of UK blanket peatland restoration. The number of peat dams and bunds per hectare are taken from a speciic restoration project (Holcombe Moor restoration project in South Lancashire) which is assumed to be representative</a:t>
          </a:r>
        </a:p>
        <a:p>
          <a:pPr rtl="0"/>
          <a:endParaRPr lang="en-GB" sz="800">
            <a:latin typeface="Arial" pitchFamily="34" charset="0"/>
            <a:ea typeface="+mn-ea"/>
            <a:cs typeface="Arial" pitchFamily="34" charset="0"/>
          </a:endParaRPr>
        </a:p>
      </xdr:txBody>
    </xdr:sp>
    <xdr:clientData/>
  </xdr:twoCellAnchor>
  <xdr:twoCellAnchor>
    <xdr:from>
      <xdr:col>7</xdr:col>
      <xdr:colOff>1276350</xdr:colOff>
      <xdr:row>7</xdr:row>
      <xdr:rowOff>179315</xdr:rowOff>
    </xdr:from>
    <xdr:to>
      <xdr:col>10</xdr:col>
      <xdr:colOff>215900</xdr:colOff>
      <xdr:row>8</xdr:row>
      <xdr:rowOff>76200</xdr:rowOff>
    </xdr:to>
    <xdr:cxnSp macro="">
      <xdr:nvCxnSpPr>
        <xdr:cNvPr id="10" name="Straight Arrow Connector 9">
          <a:extLst>
            <a:ext uri="{FF2B5EF4-FFF2-40B4-BE49-F238E27FC236}">
              <a16:creationId xmlns:a16="http://schemas.microsoft.com/office/drawing/2014/main" id="{AEE4CBB6-08E4-DD92-8916-ED4E26F9555F}"/>
            </a:ext>
          </a:extLst>
        </xdr:cNvPr>
        <xdr:cNvCxnSpPr>
          <a:stCxn id="8" idx="1"/>
        </xdr:cNvCxnSpPr>
      </xdr:nvCxnSpPr>
      <xdr:spPr>
        <a:xfrm flipH="1">
          <a:off x="9953625" y="4303640"/>
          <a:ext cx="1330325" cy="96910"/>
        </a:xfrm>
        <a:prstGeom prst="straightConnector1">
          <a:avLst/>
        </a:prstGeom>
        <a:ln>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1288912</xdr:colOff>
      <xdr:row>7</xdr:row>
      <xdr:rowOff>179315</xdr:rowOff>
    </xdr:from>
    <xdr:to>
      <xdr:col>10</xdr:col>
      <xdr:colOff>215900</xdr:colOff>
      <xdr:row>9</xdr:row>
      <xdr:rowOff>87934</xdr:rowOff>
    </xdr:to>
    <xdr:cxnSp macro="">
      <xdr:nvCxnSpPr>
        <xdr:cNvPr id="11" name="Straight Arrow Connector 10">
          <a:extLst>
            <a:ext uri="{FF2B5EF4-FFF2-40B4-BE49-F238E27FC236}">
              <a16:creationId xmlns:a16="http://schemas.microsoft.com/office/drawing/2014/main" id="{C2F9464E-D8DF-4938-8574-3F6200FB4F8D}"/>
            </a:ext>
          </a:extLst>
        </xdr:cNvPr>
        <xdr:cNvCxnSpPr>
          <a:stCxn id="8" idx="1"/>
        </xdr:cNvCxnSpPr>
      </xdr:nvCxnSpPr>
      <xdr:spPr>
        <a:xfrm flipH="1">
          <a:off x="9966187" y="4303640"/>
          <a:ext cx="1317763" cy="308669"/>
        </a:xfrm>
        <a:prstGeom prst="straightConnector1">
          <a:avLst/>
        </a:prstGeom>
        <a:ln>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1303544</xdr:colOff>
      <xdr:row>7</xdr:row>
      <xdr:rowOff>179315</xdr:rowOff>
    </xdr:from>
    <xdr:to>
      <xdr:col>10</xdr:col>
      <xdr:colOff>215900</xdr:colOff>
      <xdr:row>11</xdr:row>
      <xdr:rowOff>115956</xdr:rowOff>
    </xdr:to>
    <xdr:cxnSp macro="">
      <xdr:nvCxnSpPr>
        <xdr:cNvPr id="13" name="Straight Arrow Connector 12">
          <a:extLst>
            <a:ext uri="{FF2B5EF4-FFF2-40B4-BE49-F238E27FC236}">
              <a16:creationId xmlns:a16="http://schemas.microsoft.com/office/drawing/2014/main" id="{0C59A666-06A7-4DBE-A902-753FC96C08A4}"/>
            </a:ext>
          </a:extLst>
        </xdr:cNvPr>
        <xdr:cNvCxnSpPr>
          <a:stCxn id="8" idx="1"/>
        </xdr:cNvCxnSpPr>
      </xdr:nvCxnSpPr>
      <xdr:spPr>
        <a:xfrm flipH="1">
          <a:off x="9980819" y="4303640"/>
          <a:ext cx="1303131" cy="698641"/>
        </a:xfrm>
        <a:prstGeom prst="straightConnector1">
          <a:avLst/>
        </a:prstGeom>
        <a:ln>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1303544</xdr:colOff>
      <xdr:row>7</xdr:row>
      <xdr:rowOff>179315</xdr:rowOff>
    </xdr:from>
    <xdr:to>
      <xdr:col>10</xdr:col>
      <xdr:colOff>215900</xdr:colOff>
      <xdr:row>12</xdr:row>
      <xdr:rowOff>132522</xdr:rowOff>
    </xdr:to>
    <xdr:cxnSp macro="">
      <xdr:nvCxnSpPr>
        <xdr:cNvPr id="15" name="Straight Arrow Connector 14">
          <a:extLst>
            <a:ext uri="{FF2B5EF4-FFF2-40B4-BE49-F238E27FC236}">
              <a16:creationId xmlns:a16="http://schemas.microsoft.com/office/drawing/2014/main" id="{9BA5750B-4089-487F-890E-511207EFEE60}"/>
            </a:ext>
          </a:extLst>
        </xdr:cNvPr>
        <xdr:cNvCxnSpPr>
          <a:stCxn id="8" idx="1"/>
        </xdr:cNvCxnSpPr>
      </xdr:nvCxnSpPr>
      <xdr:spPr>
        <a:xfrm flipH="1">
          <a:off x="9980819" y="4303640"/>
          <a:ext cx="1303131" cy="915232"/>
        </a:xfrm>
        <a:prstGeom prst="straightConnector1">
          <a:avLst/>
        </a:prstGeom>
        <a:ln>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1305477</xdr:colOff>
      <xdr:row>7</xdr:row>
      <xdr:rowOff>179315</xdr:rowOff>
    </xdr:from>
    <xdr:to>
      <xdr:col>10</xdr:col>
      <xdr:colOff>215900</xdr:colOff>
      <xdr:row>13</xdr:row>
      <xdr:rowOff>104499</xdr:rowOff>
    </xdr:to>
    <xdr:cxnSp macro="">
      <xdr:nvCxnSpPr>
        <xdr:cNvPr id="17" name="Straight Arrow Connector 16">
          <a:extLst>
            <a:ext uri="{FF2B5EF4-FFF2-40B4-BE49-F238E27FC236}">
              <a16:creationId xmlns:a16="http://schemas.microsoft.com/office/drawing/2014/main" id="{31CE6C33-C8F3-419C-B703-BEBA715E7BAE}"/>
            </a:ext>
          </a:extLst>
        </xdr:cNvPr>
        <xdr:cNvCxnSpPr>
          <a:stCxn id="8" idx="1"/>
        </xdr:cNvCxnSpPr>
      </xdr:nvCxnSpPr>
      <xdr:spPr>
        <a:xfrm flipH="1">
          <a:off x="9982752" y="4303640"/>
          <a:ext cx="1301198" cy="1087234"/>
        </a:xfrm>
        <a:prstGeom prst="straightConnector1">
          <a:avLst/>
        </a:prstGeom>
        <a:ln>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mc:AlternateContent xmlns:mc="http://schemas.openxmlformats.org/markup-compatibility/2006">
    <mc:Choice xmlns:a14="http://schemas.microsoft.com/office/drawing/2010/main" Requires="a14">
      <xdr:twoCellAnchor editAs="oneCell">
        <xdr:from>
          <xdr:col>3</xdr:col>
          <xdr:colOff>400050</xdr:colOff>
          <xdr:row>51</xdr:row>
          <xdr:rowOff>0</xdr:rowOff>
        </xdr:from>
        <xdr:to>
          <xdr:col>3</xdr:col>
          <xdr:colOff>1085850</xdr:colOff>
          <xdr:row>52</xdr:row>
          <xdr:rowOff>0</xdr:rowOff>
        </xdr:to>
        <xdr:sp macro="" textlink="">
          <xdr:nvSpPr>
            <xdr:cNvPr id="2606654" name="Drop Down 3646" hidden="1">
              <a:extLst>
                <a:ext uri="{63B3BB69-23CF-44E3-9099-C40C66FF867C}">
                  <a14:compatExt spid="_x0000_s2606654"/>
                </a:ext>
                <a:ext uri="{FF2B5EF4-FFF2-40B4-BE49-F238E27FC236}">
                  <a16:creationId xmlns:a16="http://schemas.microsoft.com/office/drawing/2014/main" id="{00000000-0008-0000-0000-00003EC62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393700</xdr:colOff>
          <xdr:row>51</xdr:row>
          <xdr:rowOff>12700</xdr:rowOff>
        </xdr:from>
        <xdr:to>
          <xdr:col>5</xdr:col>
          <xdr:colOff>1085850</xdr:colOff>
          <xdr:row>52</xdr:row>
          <xdr:rowOff>6350</xdr:rowOff>
        </xdr:to>
        <xdr:sp macro="" textlink="">
          <xdr:nvSpPr>
            <xdr:cNvPr id="2606655" name="Drop Down 3647" hidden="1">
              <a:extLst>
                <a:ext uri="{63B3BB69-23CF-44E3-9099-C40C66FF867C}">
                  <a14:compatExt spid="_x0000_s2606655"/>
                </a:ext>
                <a:ext uri="{FF2B5EF4-FFF2-40B4-BE49-F238E27FC236}">
                  <a16:creationId xmlns:a16="http://schemas.microsoft.com/office/drawing/2014/main" id="{00000000-0008-0000-0000-00003FC62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393700</xdr:colOff>
          <xdr:row>51</xdr:row>
          <xdr:rowOff>6350</xdr:rowOff>
        </xdr:from>
        <xdr:to>
          <xdr:col>7</xdr:col>
          <xdr:colOff>1085850</xdr:colOff>
          <xdr:row>52</xdr:row>
          <xdr:rowOff>6350</xdr:rowOff>
        </xdr:to>
        <xdr:sp macro="" textlink="">
          <xdr:nvSpPr>
            <xdr:cNvPr id="2606656" name="Drop Down 3648" hidden="1">
              <a:extLst>
                <a:ext uri="{63B3BB69-23CF-44E3-9099-C40C66FF867C}">
                  <a14:compatExt spid="_x0000_s2606656"/>
                </a:ext>
                <a:ext uri="{FF2B5EF4-FFF2-40B4-BE49-F238E27FC236}">
                  <a16:creationId xmlns:a16="http://schemas.microsoft.com/office/drawing/2014/main" id="{00000000-0008-0000-0000-000040C62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406400</xdr:colOff>
          <xdr:row>52</xdr:row>
          <xdr:rowOff>0</xdr:rowOff>
        </xdr:from>
        <xdr:to>
          <xdr:col>3</xdr:col>
          <xdr:colOff>1092200</xdr:colOff>
          <xdr:row>53</xdr:row>
          <xdr:rowOff>0</xdr:rowOff>
        </xdr:to>
        <xdr:sp macro="" textlink="">
          <xdr:nvSpPr>
            <xdr:cNvPr id="2606657" name="Drop Down 3649" hidden="1">
              <a:extLst>
                <a:ext uri="{63B3BB69-23CF-44E3-9099-C40C66FF867C}">
                  <a14:compatExt spid="_x0000_s2606657"/>
                </a:ext>
                <a:ext uri="{FF2B5EF4-FFF2-40B4-BE49-F238E27FC236}">
                  <a16:creationId xmlns:a16="http://schemas.microsoft.com/office/drawing/2014/main" id="{00000000-0008-0000-0000-000041C62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393700</xdr:colOff>
          <xdr:row>52</xdr:row>
          <xdr:rowOff>12700</xdr:rowOff>
        </xdr:from>
        <xdr:to>
          <xdr:col>5</xdr:col>
          <xdr:colOff>1085850</xdr:colOff>
          <xdr:row>53</xdr:row>
          <xdr:rowOff>6350</xdr:rowOff>
        </xdr:to>
        <xdr:sp macro="" textlink="">
          <xdr:nvSpPr>
            <xdr:cNvPr id="2606658" name="Drop Down 3650" hidden="1">
              <a:extLst>
                <a:ext uri="{63B3BB69-23CF-44E3-9099-C40C66FF867C}">
                  <a14:compatExt spid="_x0000_s2606658"/>
                </a:ext>
                <a:ext uri="{FF2B5EF4-FFF2-40B4-BE49-F238E27FC236}">
                  <a16:creationId xmlns:a16="http://schemas.microsoft.com/office/drawing/2014/main" id="{00000000-0008-0000-0000-000042C62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393700</xdr:colOff>
          <xdr:row>52</xdr:row>
          <xdr:rowOff>12700</xdr:rowOff>
        </xdr:from>
        <xdr:to>
          <xdr:col>7</xdr:col>
          <xdr:colOff>1085850</xdr:colOff>
          <xdr:row>53</xdr:row>
          <xdr:rowOff>6350</xdr:rowOff>
        </xdr:to>
        <xdr:sp macro="" textlink="">
          <xdr:nvSpPr>
            <xdr:cNvPr id="2606659" name="Drop Down 3651" hidden="1">
              <a:extLst>
                <a:ext uri="{63B3BB69-23CF-44E3-9099-C40C66FF867C}">
                  <a14:compatExt spid="_x0000_s2606659"/>
                </a:ext>
                <a:ext uri="{FF2B5EF4-FFF2-40B4-BE49-F238E27FC236}">
                  <a16:creationId xmlns:a16="http://schemas.microsoft.com/office/drawing/2014/main" id="{00000000-0008-0000-0000-000043C62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400050</xdr:colOff>
          <xdr:row>54</xdr:row>
          <xdr:rowOff>0</xdr:rowOff>
        </xdr:from>
        <xdr:to>
          <xdr:col>3</xdr:col>
          <xdr:colOff>1085850</xdr:colOff>
          <xdr:row>55</xdr:row>
          <xdr:rowOff>0</xdr:rowOff>
        </xdr:to>
        <xdr:sp macro="" textlink="">
          <xdr:nvSpPr>
            <xdr:cNvPr id="2606660" name="Drop Down 3652" hidden="1">
              <a:extLst>
                <a:ext uri="{63B3BB69-23CF-44E3-9099-C40C66FF867C}">
                  <a14:compatExt spid="_x0000_s2606660"/>
                </a:ext>
                <a:ext uri="{FF2B5EF4-FFF2-40B4-BE49-F238E27FC236}">
                  <a16:creationId xmlns:a16="http://schemas.microsoft.com/office/drawing/2014/main" id="{00000000-0008-0000-0000-000044C62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393700</xdr:colOff>
          <xdr:row>54</xdr:row>
          <xdr:rowOff>12700</xdr:rowOff>
        </xdr:from>
        <xdr:to>
          <xdr:col>5</xdr:col>
          <xdr:colOff>1085850</xdr:colOff>
          <xdr:row>55</xdr:row>
          <xdr:rowOff>6350</xdr:rowOff>
        </xdr:to>
        <xdr:sp macro="" textlink="">
          <xdr:nvSpPr>
            <xdr:cNvPr id="2606661" name="Drop Down 3653" hidden="1">
              <a:extLst>
                <a:ext uri="{63B3BB69-23CF-44E3-9099-C40C66FF867C}">
                  <a14:compatExt spid="_x0000_s2606661"/>
                </a:ext>
                <a:ext uri="{FF2B5EF4-FFF2-40B4-BE49-F238E27FC236}">
                  <a16:creationId xmlns:a16="http://schemas.microsoft.com/office/drawing/2014/main" id="{00000000-0008-0000-0000-000045C62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393700</xdr:colOff>
          <xdr:row>54</xdr:row>
          <xdr:rowOff>12700</xdr:rowOff>
        </xdr:from>
        <xdr:to>
          <xdr:col>7</xdr:col>
          <xdr:colOff>1085850</xdr:colOff>
          <xdr:row>55</xdr:row>
          <xdr:rowOff>6350</xdr:rowOff>
        </xdr:to>
        <xdr:sp macro="" textlink="">
          <xdr:nvSpPr>
            <xdr:cNvPr id="2606662" name="Drop Down 3654" hidden="1">
              <a:extLst>
                <a:ext uri="{63B3BB69-23CF-44E3-9099-C40C66FF867C}">
                  <a14:compatExt spid="_x0000_s2606662"/>
                </a:ext>
                <a:ext uri="{FF2B5EF4-FFF2-40B4-BE49-F238E27FC236}">
                  <a16:creationId xmlns:a16="http://schemas.microsoft.com/office/drawing/2014/main" id="{00000000-0008-0000-0000-000046C62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400050</xdr:colOff>
          <xdr:row>55</xdr:row>
          <xdr:rowOff>0</xdr:rowOff>
        </xdr:from>
        <xdr:to>
          <xdr:col>3</xdr:col>
          <xdr:colOff>1085850</xdr:colOff>
          <xdr:row>56</xdr:row>
          <xdr:rowOff>0</xdr:rowOff>
        </xdr:to>
        <xdr:sp macro="" textlink="">
          <xdr:nvSpPr>
            <xdr:cNvPr id="2606663" name="Drop Down 3655" hidden="1">
              <a:extLst>
                <a:ext uri="{63B3BB69-23CF-44E3-9099-C40C66FF867C}">
                  <a14:compatExt spid="_x0000_s2606663"/>
                </a:ext>
                <a:ext uri="{FF2B5EF4-FFF2-40B4-BE49-F238E27FC236}">
                  <a16:creationId xmlns:a16="http://schemas.microsoft.com/office/drawing/2014/main" id="{00000000-0008-0000-0000-000047C62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393700</xdr:colOff>
          <xdr:row>55</xdr:row>
          <xdr:rowOff>12700</xdr:rowOff>
        </xdr:from>
        <xdr:to>
          <xdr:col>5</xdr:col>
          <xdr:colOff>1085850</xdr:colOff>
          <xdr:row>56</xdr:row>
          <xdr:rowOff>6350</xdr:rowOff>
        </xdr:to>
        <xdr:sp macro="" textlink="">
          <xdr:nvSpPr>
            <xdr:cNvPr id="2606664" name="Drop Down 3656" hidden="1">
              <a:extLst>
                <a:ext uri="{63B3BB69-23CF-44E3-9099-C40C66FF867C}">
                  <a14:compatExt spid="_x0000_s2606664"/>
                </a:ext>
                <a:ext uri="{FF2B5EF4-FFF2-40B4-BE49-F238E27FC236}">
                  <a16:creationId xmlns:a16="http://schemas.microsoft.com/office/drawing/2014/main" id="{00000000-0008-0000-0000-000048C62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393700</xdr:colOff>
          <xdr:row>55</xdr:row>
          <xdr:rowOff>12700</xdr:rowOff>
        </xdr:from>
        <xdr:to>
          <xdr:col>7</xdr:col>
          <xdr:colOff>1085850</xdr:colOff>
          <xdr:row>56</xdr:row>
          <xdr:rowOff>6350</xdr:rowOff>
        </xdr:to>
        <xdr:sp macro="" textlink="">
          <xdr:nvSpPr>
            <xdr:cNvPr id="2606665" name="Drop Down 3657" hidden="1">
              <a:extLst>
                <a:ext uri="{63B3BB69-23CF-44E3-9099-C40C66FF867C}">
                  <a14:compatExt spid="_x0000_s2606665"/>
                </a:ext>
                <a:ext uri="{FF2B5EF4-FFF2-40B4-BE49-F238E27FC236}">
                  <a16:creationId xmlns:a16="http://schemas.microsoft.com/office/drawing/2014/main" id="{00000000-0008-0000-0000-000049C62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400050</xdr:colOff>
          <xdr:row>56</xdr:row>
          <xdr:rowOff>0</xdr:rowOff>
        </xdr:from>
        <xdr:to>
          <xdr:col>3</xdr:col>
          <xdr:colOff>1085850</xdr:colOff>
          <xdr:row>57</xdr:row>
          <xdr:rowOff>0</xdr:rowOff>
        </xdr:to>
        <xdr:sp macro="" textlink="">
          <xdr:nvSpPr>
            <xdr:cNvPr id="2606666" name="Drop Down 3658" hidden="1">
              <a:extLst>
                <a:ext uri="{63B3BB69-23CF-44E3-9099-C40C66FF867C}">
                  <a14:compatExt spid="_x0000_s2606666"/>
                </a:ext>
                <a:ext uri="{FF2B5EF4-FFF2-40B4-BE49-F238E27FC236}">
                  <a16:creationId xmlns:a16="http://schemas.microsoft.com/office/drawing/2014/main" id="{00000000-0008-0000-0000-00004AC62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393700</xdr:colOff>
          <xdr:row>56</xdr:row>
          <xdr:rowOff>12700</xdr:rowOff>
        </xdr:from>
        <xdr:to>
          <xdr:col>5</xdr:col>
          <xdr:colOff>1085850</xdr:colOff>
          <xdr:row>57</xdr:row>
          <xdr:rowOff>6350</xdr:rowOff>
        </xdr:to>
        <xdr:sp macro="" textlink="">
          <xdr:nvSpPr>
            <xdr:cNvPr id="2606667" name="Drop Down 3659" hidden="1">
              <a:extLst>
                <a:ext uri="{63B3BB69-23CF-44E3-9099-C40C66FF867C}">
                  <a14:compatExt spid="_x0000_s2606667"/>
                </a:ext>
                <a:ext uri="{FF2B5EF4-FFF2-40B4-BE49-F238E27FC236}">
                  <a16:creationId xmlns:a16="http://schemas.microsoft.com/office/drawing/2014/main" id="{00000000-0008-0000-0000-00004BC62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393700</xdr:colOff>
          <xdr:row>56</xdr:row>
          <xdr:rowOff>12700</xdr:rowOff>
        </xdr:from>
        <xdr:to>
          <xdr:col>7</xdr:col>
          <xdr:colOff>1085850</xdr:colOff>
          <xdr:row>57</xdr:row>
          <xdr:rowOff>6350</xdr:rowOff>
        </xdr:to>
        <xdr:sp macro="" textlink="">
          <xdr:nvSpPr>
            <xdr:cNvPr id="2606668" name="Drop Down 3660" hidden="1">
              <a:extLst>
                <a:ext uri="{63B3BB69-23CF-44E3-9099-C40C66FF867C}">
                  <a14:compatExt spid="_x0000_s2606668"/>
                </a:ext>
                <a:ext uri="{FF2B5EF4-FFF2-40B4-BE49-F238E27FC236}">
                  <a16:creationId xmlns:a16="http://schemas.microsoft.com/office/drawing/2014/main" id="{00000000-0008-0000-0000-00004CC62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400050</xdr:colOff>
          <xdr:row>86</xdr:row>
          <xdr:rowOff>0</xdr:rowOff>
        </xdr:from>
        <xdr:to>
          <xdr:col>3</xdr:col>
          <xdr:colOff>1085850</xdr:colOff>
          <xdr:row>86</xdr:row>
          <xdr:rowOff>158750</xdr:rowOff>
        </xdr:to>
        <xdr:sp macro="" textlink="">
          <xdr:nvSpPr>
            <xdr:cNvPr id="2606669" name="Drop Down 3661" hidden="1">
              <a:extLst>
                <a:ext uri="{63B3BB69-23CF-44E3-9099-C40C66FF867C}">
                  <a14:compatExt spid="_x0000_s2606669"/>
                </a:ext>
                <a:ext uri="{FF2B5EF4-FFF2-40B4-BE49-F238E27FC236}">
                  <a16:creationId xmlns:a16="http://schemas.microsoft.com/office/drawing/2014/main" id="{00000000-0008-0000-0000-00004DC62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393700</xdr:colOff>
          <xdr:row>86</xdr:row>
          <xdr:rowOff>12700</xdr:rowOff>
        </xdr:from>
        <xdr:to>
          <xdr:col>5</xdr:col>
          <xdr:colOff>1085850</xdr:colOff>
          <xdr:row>87</xdr:row>
          <xdr:rowOff>6350</xdr:rowOff>
        </xdr:to>
        <xdr:sp macro="" textlink="">
          <xdr:nvSpPr>
            <xdr:cNvPr id="2606670" name="Drop Down 3662" hidden="1">
              <a:extLst>
                <a:ext uri="{63B3BB69-23CF-44E3-9099-C40C66FF867C}">
                  <a14:compatExt spid="_x0000_s2606670"/>
                </a:ext>
                <a:ext uri="{FF2B5EF4-FFF2-40B4-BE49-F238E27FC236}">
                  <a16:creationId xmlns:a16="http://schemas.microsoft.com/office/drawing/2014/main" id="{00000000-0008-0000-0000-00004EC62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393700</xdr:colOff>
          <xdr:row>86</xdr:row>
          <xdr:rowOff>6350</xdr:rowOff>
        </xdr:from>
        <xdr:to>
          <xdr:col>7</xdr:col>
          <xdr:colOff>1085850</xdr:colOff>
          <xdr:row>87</xdr:row>
          <xdr:rowOff>6350</xdr:rowOff>
        </xdr:to>
        <xdr:sp macro="" textlink="">
          <xdr:nvSpPr>
            <xdr:cNvPr id="2606671" name="Drop Down 3663" hidden="1">
              <a:extLst>
                <a:ext uri="{63B3BB69-23CF-44E3-9099-C40C66FF867C}">
                  <a14:compatExt spid="_x0000_s2606671"/>
                </a:ext>
                <a:ext uri="{FF2B5EF4-FFF2-40B4-BE49-F238E27FC236}">
                  <a16:creationId xmlns:a16="http://schemas.microsoft.com/office/drawing/2014/main" id="{00000000-0008-0000-0000-00004FC62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400050</xdr:colOff>
          <xdr:row>87</xdr:row>
          <xdr:rowOff>0</xdr:rowOff>
        </xdr:from>
        <xdr:to>
          <xdr:col>3</xdr:col>
          <xdr:colOff>1085850</xdr:colOff>
          <xdr:row>88</xdr:row>
          <xdr:rowOff>0</xdr:rowOff>
        </xdr:to>
        <xdr:sp macro="" textlink="">
          <xdr:nvSpPr>
            <xdr:cNvPr id="2606684" name="Drop Down 3676" hidden="1">
              <a:extLst>
                <a:ext uri="{63B3BB69-23CF-44E3-9099-C40C66FF867C}">
                  <a14:compatExt spid="_x0000_s2606684"/>
                </a:ext>
                <a:ext uri="{FF2B5EF4-FFF2-40B4-BE49-F238E27FC236}">
                  <a16:creationId xmlns:a16="http://schemas.microsoft.com/office/drawing/2014/main" id="{00000000-0008-0000-0000-00005CC62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393700</xdr:colOff>
          <xdr:row>87</xdr:row>
          <xdr:rowOff>12700</xdr:rowOff>
        </xdr:from>
        <xdr:to>
          <xdr:col>5</xdr:col>
          <xdr:colOff>1085850</xdr:colOff>
          <xdr:row>88</xdr:row>
          <xdr:rowOff>19050</xdr:rowOff>
        </xdr:to>
        <xdr:sp macro="" textlink="">
          <xdr:nvSpPr>
            <xdr:cNvPr id="2606685" name="Drop Down 3677" hidden="1">
              <a:extLst>
                <a:ext uri="{63B3BB69-23CF-44E3-9099-C40C66FF867C}">
                  <a14:compatExt spid="_x0000_s2606685"/>
                </a:ext>
                <a:ext uri="{FF2B5EF4-FFF2-40B4-BE49-F238E27FC236}">
                  <a16:creationId xmlns:a16="http://schemas.microsoft.com/office/drawing/2014/main" id="{00000000-0008-0000-0000-00005DC62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393700</xdr:colOff>
          <xdr:row>87</xdr:row>
          <xdr:rowOff>6350</xdr:rowOff>
        </xdr:from>
        <xdr:to>
          <xdr:col>7</xdr:col>
          <xdr:colOff>1085850</xdr:colOff>
          <xdr:row>88</xdr:row>
          <xdr:rowOff>19050</xdr:rowOff>
        </xdr:to>
        <xdr:sp macro="" textlink="">
          <xdr:nvSpPr>
            <xdr:cNvPr id="2606686" name="Drop Down 3678" hidden="1">
              <a:extLst>
                <a:ext uri="{63B3BB69-23CF-44E3-9099-C40C66FF867C}">
                  <a14:compatExt spid="_x0000_s2606686"/>
                </a:ext>
                <a:ext uri="{FF2B5EF4-FFF2-40B4-BE49-F238E27FC236}">
                  <a16:creationId xmlns:a16="http://schemas.microsoft.com/office/drawing/2014/main" id="{00000000-0008-0000-0000-00005EC62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400050</xdr:colOff>
          <xdr:row>89</xdr:row>
          <xdr:rowOff>0</xdr:rowOff>
        </xdr:from>
        <xdr:to>
          <xdr:col>3</xdr:col>
          <xdr:colOff>1085850</xdr:colOff>
          <xdr:row>90</xdr:row>
          <xdr:rowOff>0</xdr:rowOff>
        </xdr:to>
        <xdr:sp macro="" textlink="">
          <xdr:nvSpPr>
            <xdr:cNvPr id="2606687" name="Drop Down 3679" hidden="1">
              <a:extLst>
                <a:ext uri="{63B3BB69-23CF-44E3-9099-C40C66FF867C}">
                  <a14:compatExt spid="_x0000_s2606687"/>
                </a:ext>
                <a:ext uri="{FF2B5EF4-FFF2-40B4-BE49-F238E27FC236}">
                  <a16:creationId xmlns:a16="http://schemas.microsoft.com/office/drawing/2014/main" id="{00000000-0008-0000-0000-00005FC62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393700</xdr:colOff>
          <xdr:row>89</xdr:row>
          <xdr:rowOff>12700</xdr:rowOff>
        </xdr:from>
        <xdr:to>
          <xdr:col>5</xdr:col>
          <xdr:colOff>1085850</xdr:colOff>
          <xdr:row>90</xdr:row>
          <xdr:rowOff>19050</xdr:rowOff>
        </xdr:to>
        <xdr:sp macro="" textlink="">
          <xdr:nvSpPr>
            <xdr:cNvPr id="2606688" name="Drop Down 3680" hidden="1">
              <a:extLst>
                <a:ext uri="{63B3BB69-23CF-44E3-9099-C40C66FF867C}">
                  <a14:compatExt spid="_x0000_s2606688"/>
                </a:ext>
                <a:ext uri="{FF2B5EF4-FFF2-40B4-BE49-F238E27FC236}">
                  <a16:creationId xmlns:a16="http://schemas.microsoft.com/office/drawing/2014/main" id="{00000000-0008-0000-0000-000060C62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393700</xdr:colOff>
          <xdr:row>89</xdr:row>
          <xdr:rowOff>6350</xdr:rowOff>
        </xdr:from>
        <xdr:to>
          <xdr:col>7</xdr:col>
          <xdr:colOff>1085850</xdr:colOff>
          <xdr:row>90</xdr:row>
          <xdr:rowOff>19050</xdr:rowOff>
        </xdr:to>
        <xdr:sp macro="" textlink="">
          <xdr:nvSpPr>
            <xdr:cNvPr id="2606689" name="Drop Down 3681" hidden="1">
              <a:extLst>
                <a:ext uri="{63B3BB69-23CF-44E3-9099-C40C66FF867C}">
                  <a14:compatExt spid="_x0000_s2606689"/>
                </a:ext>
                <a:ext uri="{FF2B5EF4-FFF2-40B4-BE49-F238E27FC236}">
                  <a16:creationId xmlns:a16="http://schemas.microsoft.com/office/drawing/2014/main" id="{00000000-0008-0000-0000-000061C62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400050</xdr:colOff>
          <xdr:row>90</xdr:row>
          <xdr:rowOff>0</xdr:rowOff>
        </xdr:from>
        <xdr:to>
          <xdr:col>3</xdr:col>
          <xdr:colOff>1085850</xdr:colOff>
          <xdr:row>91</xdr:row>
          <xdr:rowOff>0</xdr:rowOff>
        </xdr:to>
        <xdr:sp macro="" textlink="">
          <xdr:nvSpPr>
            <xdr:cNvPr id="2606690" name="Drop Down 3682" hidden="1">
              <a:extLst>
                <a:ext uri="{63B3BB69-23CF-44E3-9099-C40C66FF867C}">
                  <a14:compatExt spid="_x0000_s2606690"/>
                </a:ext>
                <a:ext uri="{FF2B5EF4-FFF2-40B4-BE49-F238E27FC236}">
                  <a16:creationId xmlns:a16="http://schemas.microsoft.com/office/drawing/2014/main" id="{00000000-0008-0000-0000-000062C62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393700</xdr:colOff>
          <xdr:row>90</xdr:row>
          <xdr:rowOff>12700</xdr:rowOff>
        </xdr:from>
        <xdr:to>
          <xdr:col>5</xdr:col>
          <xdr:colOff>1085850</xdr:colOff>
          <xdr:row>91</xdr:row>
          <xdr:rowOff>19050</xdr:rowOff>
        </xdr:to>
        <xdr:sp macro="" textlink="">
          <xdr:nvSpPr>
            <xdr:cNvPr id="2606691" name="Drop Down 3683" hidden="1">
              <a:extLst>
                <a:ext uri="{63B3BB69-23CF-44E3-9099-C40C66FF867C}">
                  <a14:compatExt spid="_x0000_s2606691"/>
                </a:ext>
                <a:ext uri="{FF2B5EF4-FFF2-40B4-BE49-F238E27FC236}">
                  <a16:creationId xmlns:a16="http://schemas.microsoft.com/office/drawing/2014/main" id="{00000000-0008-0000-0000-000063C62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393700</xdr:colOff>
          <xdr:row>90</xdr:row>
          <xdr:rowOff>6350</xdr:rowOff>
        </xdr:from>
        <xdr:to>
          <xdr:col>7</xdr:col>
          <xdr:colOff>1085850</xdr:colOff>
          <xdr:row>91</xdr:row>
          <xdr:rowOff>19050</xdr:rowOff>
        </xdr:to>
        <xdr:sp macro="" textlink="">
          <xdr:nvSpPr>
            <xdr:cNvPr id="2606692" name="Drop Down 3684" hidden="1">
              <a:extLst>
                <a:ext uri="{63B3BB69-23CF-44E3-9099-C40C66FF867C}">
                  <a14:compatExt spid="_x0000_s2606692"/>
                </a:ext>
                <a:ext uri="{FF2B5EF4-FFF2-40B4-BE49-F238E27FC236}">
                  <a16:creationId xmlns:a16="http://schemas.microsoft.com/office/drawing/2014/main" id="{00000000-0008-0000-0000-000064C62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400050</xdr:colOff>
          <xdr:row>91</xdr:row>
          <xdr:rowOff>0</xdr:rowOff>
        </xdr:from>
        <xdr:to>
          <xdr:col>3</xdr:col>
          <xdr:colOff>1085850</xdr:colOff>
          <xdr:row>92</xdr:row>
          <xdr:rowOff>0</xdr:rowOff>
        </xdr:to>
        <xdr:sp macro="" textlink="">
          <xdr:nvSpPr>
            <xdr:cNvPr id="2606693" name="Drop Down 3685" hidden="1">
              <a:extLst>
                <a:ext uri="{63B3BB69-23CF-44E3-9099-C40C66FF867C}">
                  <a14:compatExt spid="_x0000_s2606693"/>
                </a:ext>
                <a:ext uri="{FF2B5EF4-FFF2-40B4-BE49-F238E27FC236}">
                  <a16:creationId xmlns:a16="http://schemas.microsoft.com/office/drawing/2014/main" id="{00000000-0008-0000-0000-000065C62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393700</xdr:colOff>
          <xdr:row>91</xdr:row>
          <xdr:rowOff>12700</xdr:rowOff>
        </xdr:from>
        <xdr:to>
          <xdr:col>5</xdr:col>
          <xdr:colOff>1085850</xdr:colOff>
          <xdr:row>92</xdr:row>
          <xdr:rowOff>19050</xdr:rowOff>
        </xdr:to>
        <xdr:sp macro="" textlink="">
          <xdr:nvSpPr>
            <xdr:cNvPr id="2606694" name="Drop Down 3686" hidden="1">
              <a:extLst>
                <a:ext uri="{63B3BB69-23CF-44E3-9099-C40C66FF867C}">
                  <a14:compatExt spid="_x0000_s2606694"/>
                </a:ext>
                <a:ext uri="{FF2B5EF4-FFF2-40B4-BE49-F238E27FC236}">
                  <a16:creationId xmlns:a16="http://schemas.microsoft.com/office/drawing/2014/main" id="{00000000-0008-0000-0000-000066C62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393700</xdr:colOff>
          <xdr:row>91</xdr:row>
          <xdr:rowOff>6350</xdr:rowOff>
        </xdr:from>
        <xdr:to>
          <xdr:col>7</xdr:col>
          <xdr:colOff>1085850</xdr:colOff>
          <xdr:row>92</xdr:row>
          <xdr:rowOff>19050</xdr:rowOff>
        </xdr:to>
        <xdr:sp macro="" textlink="">
          <xdr:nvSpPr>
            <xdr:cNvPr id="2606695" name="Drop Down 3687" hidden="1">
              <a:extLst>
                <a:ext uri="{63B3BB69-23CF-44E3-9099-C40C66FF867C}">
                  <a14:compatExt spid="_x0000_s2606695"/>
                </a:ext>
                <a:ext uri="{FF2B5EF4-FFF2-40B4-BE49-F238E27FC236}">
                  <a16:creationId xmlns:a16="http://schemas.microsoft.com/office/drawing/2014/main" id="{00000000-0008-0000-0000-000067C62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400050</xdr:colOff>
          <xdr:row>121</xdr:row>
          <xdr:rowOff>0</xdr:rowOff>
        </xdr:from>
        <xdr:to>
          <xdr:col>3</xdr:col>
          <xdr:colOff>1085850</xdr:colOff>
          <xdr:row>121</xdr:row>
          <xdr:rowOff>158750</xdr:rowOff>
        </xdr:to>
        <xdr:sp macro="" textlink="">
          <xdr:nvSpPr>
            <xdr:cNvPr id="2606696" name="Drop Down 3688" hidden="1">
              <a:extLst>
                <a:ext uri="{63B3BB69-23CF-44E3-9099-C40C66FF867C}">
                  <a14:compatExt spid="_x0000_s2606696"/>
                </a:ext>
                <a:ext uri="{FF2B5EF4-FFF2-40B4-BE49-F238E27FC236}">
                  <a16:creationId xmlns:a16="http://schemas.microsoft.com/office/drawing/2014/main" id="{00000000-0008-0000-0000-000068C62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393700</xdr:colOff>
          <xdr:row>121</xdr:row>
          <xdr:rowOff>12700</xdr:rowOff>
        </xdr:from>
        <xdr:to>
          <xdr:col>5</xdr:col>
          <xdr:colOff>1085850</xdr:colOff>
          <xdr:row>121</xdr:row>
          <xdr:rowOff>190500</xdr:rowOff>
        </xdr:to>
        <xdr:sp macro="" textlink="">
          <xdr:nvSpPr>
            <xdr:cNvPr id="2606697" name="Drop Down 3689" hidden="1">
              <a:extLst>
                <a:ext uri="{63B3BB69-23CF-44E3-9099-C40C66FF867C}">
                  <a14:compatExt spid="_x0000_s2606697"/>
                </a:ext>
                <a:ext uri="{FF2B5EF4-FFF2-40B4-BE49-F238E27FC236}">
                  <a16:creationId xmlns:a16="http://schemas.microsoft.com/office/drawing/2014/main" id="{00000000-0008-0000-0000-000069C62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393700</xdr:colOff>
          <xdr:row>121</xdr:row>
          <xdr:rowOff>6350</xdr:rowOff>
        </xdr:from>
        <xdr:to>
          <xdr:col>7</xdr:col>
          <xdr:colOff>1085850</xdr:colOff>
          <xdr:row>121</xdr:row>
          <xdr:rowOff>190500</xdr:rowOff>
        </xdr:to>
        <xdr:sp macro="" textlink="">
          <xdr:nvSpPr>
            <xdr:cNvPr id="2606698" name="Drop Down 3690" hidden="1">
              <a:extLst>
                <a:ext uri="{63B3BB69-23CF-44E3-9099-C40C66FF867C}">
                  <a14:compatExt spid="_x0000_s2606698"/>
                </a:ext>
                <a:ext uri="{FF2B5EF4-FFF2-40B4-BE49-F238E27FC236}">
                  <a16:creationId xmlns:a16="http://schemas.microsoft.com/office/drawing/2014/main" id="{00000000-0008-0000-0000-00006AC62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400050</xdr:colOff>
          <xdr:row>122</xdr:row>
          <xdr:rowOff>0</xdr:rowOff>
        </xdr:from>
        <xdr:to>
          <xdr:col>3</xdr:col>
          <xdr:colOff>1085850</xdr:colOff>
          <xdr:row>123</xdr:row>
          <xdr:rowOff>6350</xdr:rowOff>
        </xdr:to>
        <xdr:sp macro="" textlink="">
          <xdr:nvSpPr>
            <xdr:cNvPr id="2606699" name="Drop Down 3691" hidden="1">
              <a:extLst>
                <a:ext uri="{63B3BB69-23CF-44E3-9099-C40C66FF867C}">
                  <a14:compatExt spid="_x0000_s2606699"/>
                </a:ext>
                <a:ext uri="{FF2B5EF4-FFF2-40B4-BE49-F238E27FC236}">
                  <a16:creationId xmlns:a16="http://schemas.microsoft.com/office/drawing/2014/main" id="{00000000-0008-0000-0000-00006BC62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393700</xdr:colOff>
          <xdr:row>122</xdr:row>
          <xdr:rowOff>12700</xdr:rowOff>
        </xdr:from>
        <xdr:to>
          <xdr:col>5</xdr:col>
          <xdr:colOff>1085850</xdr:colOff>
          <xdr:row>123</xdr:row>
          <xdr:rowOff>25400</xdr:rowOff>
        </xdr:to>
        <xdr:sp macro="" textlink="">
          <xdr:nvSpPr>
            <xdr:cNvPr id="2606700" name="Drop Down 3692" hidden="1">
              <a:extLst>
                <a:ext uri="{63B3BB69-23CF-44E3-9099-C40C66FF867C}">
                  <a14:compatExt spid="_x0000_s2606700"/>
                </a:ext>
                <a:ext uri="{FF2B5EF4-FFF2-40B4-BE49-F238E27FC236}">
                  <a16:creationId xmlns:a16="http://schemas.microsoft.com/office/drawing/2014/main" id="{00000000-0008-0000-0000-00006CC62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393700</xdr:colOff>
          <xdr:row>122</xdr:row>
          <xdr:rowOff>6350</xdr:rowOff>
        </xdr:from>
        <xdr:to>
          <xdr:col>7</xdr:col>
          <xdr:colOff>1085850</xdr:colOff>
          <xdr:row>123</xdr:row>
          <xdr:rowOff>25400</xdr:rowOff>
        </xdr:to>
        <xdr:sp macro="" textlink="">
          <xdr:nvSpPr>
            <xdr:cNvPr id="2606701" name="Drop Down 3693" hidden="1">
              <a:extLst>
                <a:ext uri="{63B3BB69-23CF-44E3-9099-C40C66FF867C}">
                  <a14:compatExt spid="_x0000_s2606701"/>
                </a:ext>
                <a:ext uri="{FF2B5EF4-FFF2-40B4-BE49-F238E27FC236}">
                  <a16:creationId xmlns:a16="http://schemas.microsoft.com/office/drawing/2014/main" id="{00000000-0008-0000-0000-00006DC62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400050</xdr:colOff>
          <xdr:row>124</xdr:row>
          <xdr:rowOff>0</xdr:rowOff>
        </xdr:from>
        <xdr:to>
          <xdr:col>3</xdr:col>
          <xdr:colOff>1085850</xdr:colOff>
          <xdr:row>124</xdr:row>
          <xdr:rowOff>158750</xdr:rowOff>
        </xdr:to>
        <xdr:sp macro="" textlink="">
          <xdr:nvSpPr>
            <xdr:cNvPr id="2606702" name="Drop Down 3694" hidden="1">
              <a:extLst>
                <a:ext uri="{63B3BB69-23CF-44E3-9099-C40C66FF867C}">
                  <a14:compatExt spid="_x0000_s2606702"/>
                </a:ext>
                <a:ext uri="{FF2B5EF4-FFF2-40B4-BE49-F238E27FC236}">
                  <a16:creationId xmlns:a16="http://schemas.microsoft.com/office/drawing/2014/main" id="{00000000-0008-0000-0000-00006EC62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393700</xdr:colOff>
          <xdr:row>124</xdr:row>
          <xdr:rowOff>12700</xdr:rowOff>
        </xdr:from>
        <xdr:to>
          <xdr:col>5</xdr:col>
          <xdr:colOff>1085850</xdr:colOff>
          <xdr:row>124</xdr:row>
          <xdr:rowOff>190500</xdr:rowOff>
        </xdr:to>
        <xdr:sp macro="" textlink="">
          <xdr:nvSpPr>
            <xdr:cNvPr id="2606703" name="Drop Down 3695" hidden="1">
              <a:extLst>
                <a:ext uri="{63B3BB69-23CF-44E3-9099-C40C66FF867C}">
                  <a14:compatExt spid="_x0000_s2606703"/>
                </a:ext>
                <a:ext uri="{FF2B5EF4-FFF2-40B4-BE49-F238E27FC236}">
                  <a16:creationId xmlns:a16="http://schemas.microsoft.com/office/drawing/2014/main" id="{00000000-0008-0000-0000-00006FC62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393700</xdr:colOff>
          <xdr:row>124</xdr:row>
          <xdr:rowOff>6350</xdr:rowOff>
        </xdr:from>
        <xdr:to>
          <xdr:col>7</xdr:col>
          <xdr:colOff>1085850</xdr:colOff>
          <xdr:row>124</xdr:row>
          <xdr:rowOff>190500</xdr:rowOff>
        </xdr:to>
        <xdr:sp macro="" textlink="">
          <xdr:nvSpPr>
            <xdr:cNvPr id="2606704" name="Drop Down 3696" hidden="1">
              <a:extLst>
                <a:ext uri="{63B3BB69-23CF-44E3-9099-C40C66FF867C}">
                  <a14:compatExt spid="_x0000_s2606704"/>
                </a:ext>
                <a:ext uri="{FF2B5EF4-FFF2-40B4-BE49-F238E27FC236}">
                  <a16:creationId xmlns:a16="http://schemas.microsoft.com/office/drawing/2014/main" id="{00000000-0008-0000-0000-000070C62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400050</xdr:colOff>
          <xdr:row>125</xdr:row>
          <xdr:rowOff>0</xdr:rowOff>
        </xdr:from>
        <xdr:to>
          <xdr:col>3</xdr:col>
          <xdr:colOff>1085850</xdr:colOff>
          <xdr:row>125</xdr:row>
          <xdr:rowOff>158750</xdr:rowOff>
        </xdr:to>
        <xdr:sp macro="" textlink="">
          <xdr:nvSpPr>
            <xdr:cNvPr id="2606705" name="Drop Down 3697" hidden="1">
              <a:extLst>
                <a:ext uri="{63B3BB69-23CF-44E3-9099-C40C66FF867C}">
                  <a14:compatExt spid="_x0000_s2606705"/>
                </a:ext>
                <a:ext uri="{FF2B5EF4-FFF2-40B4-BE49-F238E27FC236}">
                  <a16:creationId xmlns:a16="http://schemas.microsoft.com/office/drawing/2014/main" id="{00000000-0008-0000-0000-000071C62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393700</xdr:colOff>
          <xdr:row>125</xdr:row>
          <xdr:rowOff>12700</xdr:rowOff>
        </xdr:from>
        <xdr:to>
          <xdr:col>5</xdr:col>
          <xdr:colOff>1085850</xdr:colOff>
          <xdr:row>125</xdr:row>
          <xdr:rowOff>177800</xdr:rowOff>
        </xdr:to>
        <xdr:sp macro="" textlink="">
          <xdr:nvSpPr>
            <xdr:cNvPr id="2606706" name="Drop Down 3698" hidden="1">
              <a:extLst>
                <a:ext uri="{63B3BB69-23CF-44E3-9099-C40C66FF867C}">
                  <a14:compatExt spid="_x0000_s2606706"/>
                </a:ext>
                <a:ext uri="{FF2B5EF4-FFF2-40B4-BE49-F238E27FC236}">
                  <a16:creationId xmlns:a16="http://schemas.microsoft.com/office/drawing/2014/main" id="{00000000-0008-0000-0000-000072C62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393700</xdr:colOff>
          <xdr:row>125</xdr:row>
          <xdr:rowOff>6350</xdr:rowOff>
        </xdr:from>
        <xdr:to>
          <xdr:col>7</xdr:col>
          <xdr:colOff>1085850</xdr:colOff>
          <xdr:row>125</xdr:row>
          <xdr:rowOff>177800</xdr:rowOff>
        </xdr:to>
        <xdr:sp macro="" textlink="">
          <xdr:nvSpPr>
            <xdr:cNvPr id="2606707" name="Drop Down 3699" hidden="1">
              <a:extLst>
                <a:ext uri="{63B3BB69-23CF-44E3-9099-C40C66FF867C}">
                  <a14:compatExt spid="_x0000_s2606707"/>
                </a:ext>
                <a:ext uri="{FF2B5EF4-FFF2-40B4-BE49-F238E27FC236}">
                  <a16:creationId xmlns:a16="http://schemas.microsoft.com/office/drawing/2014/main" id="{00000000-0008-0000-0000-000073C62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400050</xdr:colOff>
          <xdr:row>126</xdr:row>
          <xdr:rowOff>0</xdr:rowOff>
        </xdr:from>
        <xdr:to>
          <xdr:col>3</xdr:col>
          <xdr:colOff>1085850</xdr:colOff>
          <xdr:row>126</xdr:row>
          <xdr:rowOff>158750</xdr:rowOff>
        </xdr:to>
        <xdr:sp macro="" textlink="">
          <xdr:nvSpPr>
            <xdr:cNvPr id="2606708" name="Drop Down 3700" hidden="1">
              <a:extLst>
                <a:ext uri="{63B3BB69-23CF-44E3-9099-C40C66FF867C}">
                  <a14:compatExt spid="_x0000_s2606708"/>
                </a:ext>
                <a:ext uri="{FF2B5EF4-FFF2-40B4-BE49-F238E27FC236}">
                  <a16:creationId xmlns:a16="http://schemas.microsoft.com/office/drawing/2014/main" id="{00000000-0008-0000-0000-000074C62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393700</xdr:colOff>
          <xdr:row>126</xdr:row>
          <xdr:rowOff>12700</xdr:rowOff>
        </xdr:from>
        <xdr:to>
          <xdr:col>5</xdr:col>
          <xdr:colOff>1085850</xdr:colOff>
          <xdr:row>126</xdr:row>
          <xdr:rowOff>177800</xdr:rowOff>
        </xdr:to>
        <xdr:sp macro="" textlink="">
          <xdr:nvSpPr>
            <xdr:cNvPr id="2606709" name="Drop Down 3701" hidden="1">
              <a:extLst>
                <a:ext uri="{63B3BB69-23CF-44E3-9099-C40C66FF867C}">
                  <a14:compatExt spid="_x0000_s2606709"/>
                </a:ext>
                <a:ext uri="{FF2B5EF4-FFF2-40B4-BE49-F238E27FC236}">
                  <a16:creationId xmlns:a16="http://schemas.microsoft.com/office/drawing/2014/main" id="{00000000-0008-0000-0000-000075C62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393700</xdr:colOff>
          <xdr:row>126</xdr:row>
          <xdr:rowOff>6350</xdr:rowOff>
        </xdr:from>
        <xdr:to>
          <xdr:col>7</xdr:col>
          <xdr:colOff>1085850</xdr:colOff>
          <xdr:row>126</xdr:row>
          <xdr:rowOff>177800</xdr:rowOff>
        </xdr:to>
        <xdr:sp macro="" textlink="">
          <xdr:nvSpPr>
            <xdr:cNvPr id="2606710" name="Drop Down 3702" hidden="1">
              <a:extLst>
                <a:ext uri="{63B3BB69-23CF-44E3-9099-C40C66FF867C}">
                  <a14:compatExt spid="_x0000_s2606710"/>
                </a:ext>
                <a:ext uri="{FF2B5EF4-FFF2-40B4-BE49-F238E27FC236}">
                  <a16:creationId xmlns:a16="http://schemas.microsoft.com/office/drawing/2014/main" id="{00000000-0008-0000-0000-000076C62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400050</xdr:colOff>
          <xdr:row>156</xdr:row>
          <xdr:rowOff>0</xdr:rowOff>
        </xdr:from>
        <xdr:to>
          <xdr:col>3</xdr:col>
          <xdr:colOff>1085850</xdr:colOff>
          <xdr:row>157</xdr:row>
          <xdr:rowOff>0</xdr:rowOff>
        </xdr:to>
        <xdr:sp macro="" textlink="">
          <xdr:nvSpPr>
            <xdr:cNvPr id="2606711" name="Drop Down 3703" hidden="1">
              <a:extLst>
                <a:ext uri="{63B3BB69-23CF-44E3-9099-C40C66FF867C}">
                  <a14:compatExt spid="_x0000_s2606711"/>
                </a:ext>
                <a:ext uri="{FF2B5EF4-FFF2-40B4-BE49-F238E27FC236}">
                  <a16:creationId xmlns:a16="http://schemas.microsoft.com/office/drawing/2014/main" id="{00000000-0008-0000-0000-000077C62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393700</xdr:colOff>
          <xdr:row>156</xdr:row>
          <xdr:rowOff>12700</xdr:rowOff>
        </xdr:from>
        <xdr:to>
          <xdr:col>5</xdr:col>
          <xdr:colOff>1085850</xdr:colOff>
          <xdr:row>157</xdr:row>
          <xdr:rowOff>25400</xdr:rowOff>
        </xdr:to>
        <xdr:sp macro="" textlink="">
          <xdr:nvSpPr>
            <xdr:cNvPr id="2606712" name="Drop Down 3704" hidden="1">
              <a:extLst>
                <a:ext uri="{63B3BB69-23CF-44E3-9099-C40C66FF867C}">
                  <a14:compatExt spid="_x0000_s2606712"/>
                </a:ext>
                <a:ext uri="{FF2B5EF4-FFF2-40B4-BE49-F238E27FC236}">
                  <a16:creationId xmlns:a16="http://schemas.microsoft.com/office/drawing/2014/main" id="{00000000-0008-0000-0000-000078C62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393700</xdr:colOff>
          <xdr:row>156</xdr:row>
          <xdr:rowOff>6350</xdr:rowOff>
        </xdr:from>
        <xdr:to>
          <xdr:col>7</xdr:col>
          <xdr:colOff>1085850</xdr:colOff>
          <xdr:row>157</xdr:row>
          <xdr:rowOff>25400</xdr:rowOff>
        </xdr:to>
        <xdr:sp macro="" textlink="">
          <xdr:nvSpPr>
            <xdr:cNvPr id="2606713" name="Drop Down 3705" hidden="1">
              <a:extLst>
                <a:ext uri="{63B3BB69-23CF-44E3-9099-C40C66FF867C}">
                  <a14:compatExt spid="_x0000_s2606713"/>
                </a:ext>
                <a:ext uri="{FF2B5EF4-FFF2-40B4-BE49-F238E27FC236}">
                  <a16:creationId xmlns:a16="http://schemas.microsoft.com/office/drawing/2014/main" id="{00000000-0008-0000-0000-000079C62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400050</xdr:colOff>
          <xdr:row>157</xdr:row>
          <xdr:rowOff>0</xdr:rowOff>
        </xdr:from>
        <xdr:to>
          <xdr:col>3</xdr:col>
          <xdr:colOff>1085850</xdr:colOff>
          <xdr:row>158</xdr:row>
          <xdr:rowOff>0</xdr:rowOff>
        </xdr:to>
        <xdr:sp macro="" textlink="">
          <xdr:nvSpPr>
            <xdr:cNvPr id="2606714" name="Drop Down 3706" hidden="1">
              <a:extLst>
                <a:ext uri="{63B3BB69-23CF-44E3-9099-C40C66FF867C}">
                  <a14:compatExt spid="_x0000_s2606714"/>
                </a:ext>
                <a:ext uri="{FF2B5EF4-FFF2-40B4-BE49-F238E27FC236}">
                  <a16:creationId xmlns:a16="http://schemas.microsoft.com/office/drawing/2014/main" id="{00000000-0008-0000-0000-00007AC62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393700</xdr:colOff>
          <xdr:row>157</xdr:row>
          <xdr:rowOff>12700</xdr:rowOff>
        </xdr:from>
        <xdr:to>
          <xdr:col>5</xdr:col>
          <xdr:colOff>1085850</xdr:colOff>
          <xdr:row>158</xdr:row>
          <xdr:rowOff>19050</xdr:rowOff>
        </xdr:to>
        <xdr:sp macro="" textlink="">
          <xdr:nvSpPr>
            <xdr:cNvPr id="2606715" name="Drop Down 3707" hidden="1">
              <a:extLst>
                <a:ext uri="{63B3BB69-23CF-44E3-9099-C40C66FF867C}">
                  <a14:compatExt spid="_x0000_s2606715"/>
                </a:ext>
                <a:ext uri="{FF2B5EF4-FFF2-40B4-BE49-F238E27FC236}">
                  <a16:creationId xmlns:a16="http://schemas.microsoft.com/office/drawing/2014/main" id="{00000000-0008-0000-0000-00007BC62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393700</xdr:colOff>
          <xdr:row>157</xdr:row>
          <xdr:rowOff>6350</xdr:rowOff>
        </xdr:from>
        <xdr:to>
          <xdr:col>7</xdr:col>
          <xdr:colOff>1085850</xdr:colOff>
          <xdr:row>158</xdr:row>
          <xdr:rowOff>19050</xdr:rowOff>
        </xdr:to>
        <xdr:sp macro="" textlink="">
          <xdr:nvSpPr>
            <xdr:cNvPr id="2606716" name="Drop Down 3708" hidden="1">
              <a:extLst>
                <a:ext uri="{63B3BB69-23CF-44E3-9099-C40C66FF867C}">
                  <a14:compatExt spid="_x0000_s2606716"/>
                </a:ext>
                <a:ext uri="{FF2B5EF4-FFF2-40B4-BE49-F238E27FC236}">
                  <a16:creationId xmlns:a16="http://schemas.microsoft.com/office/drawing/2014/main" id="{00000000-0008-0000-0000-00007CC62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400050</xdr:colOff>
          <xdr:row>159</xdr:row>
          <xdr:rowOff>0</xdr:rowOff>
        </xdr:from>
        <xdr:to>
          <xdr:col>3</xdr:col>
          <xdr:colOff>1085850</xdr:colOff>
          <xdr:row>160</xdr:row>
          <xdr:rowOff>0</xdr:rowOff>
        </xdr:to>
        <xdr:sp macro="" textlink="">
          <xdr:nvSpPr>
            <xdr:cNvPr id="2606717" name="Drop Down 3709" hidden="1">
              <a:extLst>
                <a:ext uri="{63B3BB69-23CF-44E3-9099-C40C66FF867C}">
                  <a14:compatExt spid="_x0000_s2606717"/>
                </a:ext>
                <a:ext uri="{FF2B5EF4-FFF2-40B4-BE49-F238E27FC236}">
                  <a16:creationId xmlns:a16="http://schemas.microsoft.com/office/drawing/2014/main" id="{00000000-0008-0000-0000-00007DC62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393700</xdr:colOff>
          <xdr:row>159</xdr:row>
          <xdr:rowOff>12700</xdr:rowOff>
        </xdr:from>
        <xdr:to>
          <xdr:col>5</xdr:col>
          <xdr:colOff>1085850</xdr:colOff>
          <xdr:row>160</xdr:row>
          <xdr:rowOff>25400</xdr:rowOff>
        </xdr:to>
        <xdr:sp macro="" textlink="">
          <xdr:nvSpPr>
            <xdr:cNvPr id="2606718" name="Drop Down 3710" hidden="1">
              <a:extLst>
                <a:ext uri="{63B3BB69-23CF-44E3-9099-C40C66FF867C}">
                  <a14:compatExt spid="_x0000_s2606718"/>
                </a:ext>
                <a:ext uri="{FF2B5EF4-FFF2-40B4-BE49-F238E27FC236}">
                  <a16:creationId xmlns:a16="http://schemas.microsoft.com/office/drawing/2014/main" id="{00000000-0008-0000-0000-00007EC62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393700</xdr:colOff>
          <xdr:row>159</xdr:row>
          <xdr:rowOff>6350</xdr:rowOff>
        </xdr:from>
        <xdr:to>
          <xdr:col>7</xdr:col>
          <xdr:colOff>1085850</xdr:colOff>
          <xdr:row>160</xdr:row>
          <xdr:rowOff>25400</xdr:rowOff>
        </xdr:to>
        <xdr:sp macro="" textlink="">
          <xdr:nvSpPr>
            <xdr:cNvPr id="2606719" name="Drop Down 3711" hidden="1">
              <a:extLst>
                <a:ext uri="{63B3BB69-23CF-44E3-9099-C40C66FF867C}">
                  <a14:compatExt spid="_x0000_s2606719"/>
                </a:ext>
                <a:ext uri="{FF2B5EF4-FFF2-40B4-BE49-F238E27FC236}">
                  <a16:creationId xmlns:a16="http://schemas.microsoft.com/office/drawing/2014/main" id="{00000000-0008-0000-0000-00007FC62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400050</xdr:colOff>
          <xdr:row>160</xdr:row>
          <xdr:rowOff>0</xdr:rowOff>
        </xdr:from>
        <xdr:to>
          <xdr:col>3</xdr:col>
          <xdr:colOff>1085850</xdr:colOff>
          <xdr:row>160</xdr:row>
          <xdr:rowOff>158750</xdr:rowOff>
        </xdr:to>
        <xdr:sp macro="" textlink="">
          <xdr:nvSpPr>
            <xdr:cNvPr id="2606720" name="Drop Down 3712" hidden="1">
              <a:extLst>
                <a:ext uri="{63B3BB69-23CF-44E3-9099-C40C66FF867C}">
                  <a14:compatExt spid="_x0000_s2606720"/>
                </a:ext>
                <a:ext uri="{FF2B5EF4-FFF2-40B4-BE49-F238E27FC236}">
                  <a16:creationId xmlns:a16="http://schemas.microsoft.com/office/drawing/2014/main" id="{00000000-0008-0000-0000-000080C62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393700</xdr:colOff>
          <xdr:row>160</xdr:row>
          <xdr:rowOff>12700</xdr:rowOff>
        </xdr:from>
        <xdr:to>
          <xdr:col>5</xdr:col>
          <xdr:colOff>1085850</xdr:colOff>
          <xdr:row>161</xdr:row>
          <xdr:rowOff>6350</xdr:rowOff>
        </xdr:to>
        <xdr:sp macro="" textlink="">
          <xdr:nvSpPr>
            <xdr:cNvPr id="2606721" name="Drop Down 3713" hidden="1">
              <a:extLst>
                <a:ext uri="{63B3BB69-23CF-44E3-9099-C40C66FF867C}">
                  <a14:compatExt spid="_x0000_s2606721"/>
                </a:ext>
                <a:ext uri="{FF2B5EF4-FFF2-40B4-BE49-F238E27FC236}">
                  <a16:creationId xmlns:a16="http://schemas.microsoft.com/office/drawing/2014/main" id="{00000000-0008-0000-0000-000081C62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393700</xdr:colOff>
          <xdr:row>160</xdr:row>
          <xdr:rowOff>6350</xdr:rowOff>
        </xdr:from>
        <xdr:to>
          <xdr:col>7</xdr:col>
          <xdr:colOff>1085850</xdr:colOff>
          <xdr:row>161</xdr:row>
          <xdr:rowOff>6350</xdr:rowOff>
        </xdr:to>
        <xdr:sp macro="" textlink="">
          <xdr:nvSpPr>
            <xdr:cNvPr id="2606722" name="Drop Down 3714" hidden="1">
              <a:extLst>
                <a:ext uri="{63B3BB69-23CF-44E3-9099-C40C66FF867C}">
                  <a14:compatExt spid="_x0000_s2606722"/>
                </a:ext>
                <a:ext uri="{FF2B5EF4-FFF2-40B4-BE49-F238E27FC236}">
                  <a16:creationId xmlns:a16="http://schemas.microsoft.com/office/drawing/2014/main" id="{00000000-0008-0000-0000-000082C62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400050</xdr:colOff>
          <xdr:row>161</xdr:row>
          <xdr:rowOff>0</xdr:rowOff>
        </xdr:from>
        <xdr:to>
          <xdr:col>3</xdr:col>
          <xdr:colOff>1085850</xdr:colOff>
          <xdr:row>161</xdr:row>
          <xdr:rowOff>158750</xdr:rowOff>
        </xdr:to>
        <xdr:sp macro="" textlink="">
          <xdr:nvSpPr>
            <xdr:cNvPr id="2606723" name="Drop Down 3715" hidden="1">
              <a:extLst>
                <a:ext uri="{63B3BB69-23CF-44E3-9099-C40C66FF867C}">
                  <a14:compatExt spid="_x0000_s2606723"/>
                </a:ext>
                <a:ext uri="{FF2B5EF4-FFF2-40B4-BE49-F238E27FC236}">
                  <a16:creationId xmlns:a16="http://schemas.microsoft.com/office/drawing/2014/main" id="{00000000-0008-0000-0000-000083C62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393700</xdr:colOff>
          <xdr:row>161</xdr:row>
          <xdr:rowOff>12700</xdr:rowOff>
        </xdr:from>
        <xdr:to>
          <xdr:col>5</xdr:col>
          <xdr:colOff>1085850</xdr:colOff>
          <xdr:row>162</xdr:row>
          <xdr:rowOff>6350</xdr:rowOff>
        </xdr:to>
        <xdr:sp macro="" textlink="">
          <xdr:nvSpPr>
            <xdr:cNvPr id="2606724" name="Drop Down 3716" hidden="1">
              <a:extLst>
                <a:ext uri="{63B3BB69-23CF-44E3-9099-C40C66FF867C}">
                  <a14:compatExt spid="_x0000_s2606724"/>
                </a:ext>
                <a:ext uri="{FF2B5EF4-FFF2-40B4-BE49-F238E27FC236}">
                  <a16:creationId xmlns:a16="http://schemas.microsoft.com/office/drawing/2014/main" id="{00000000-0008-0000-0000-000084C62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393700</xdr:colOff>
          <xdr:row>161</xdr:row>
          <xdr:rowOff>6350</xdr:rowOff>
        </xdr:from>
        <xdr:to>
          <xdr:col>7</xdr:col>
          <xdr:colOff>1085850</xdr:colOff>
          <xdr:row>162</xdr:row>
          <xdr:rowOff>6350</xdr:rowOff>
        </xdr:to>
        <xdr:sp macro="" textlink="">
          <xdr:nvSpPr>
            <xdr:cNvPr id="2606725" name="Drop Down 3717" hidden="1">
              <a:extLst>
                <a:ext uri="{63B3BB69-23CF-44E3-9099-C40C66FF867C}">
                  <a14:compatExt spid="_x0000_s2606725"/>
                </a:ext>
                <a:ext uri="{FF2B5EF4-FFF2-40B4-BE49-F238E27FC236}">
                  <a16:creationId xmlns:a16="http://schemas.microsoft.com/office/drawing/2014/main" id="{00000000-0008-0000-0000-000085C62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400050</xdr:colOff>
          <xdr:row>191</xdr:row>
          <xdr:rowOff>0</xdr:rowOff>
        </xdr:from>
        <xdr:to>
          <xdr:col>3</xdr:col>
          <xdr:colOff>1085850</xdr:colOff>
          <xdr:row>192</xdr:row>
          <xdr:rowOff>6350</xdr:rowOff>
        </xdr:to>
        <xdr:sp macro="" textlink="">
          <xdr:nvSpPr>
            <xdr:cNvPr id="2606731" name="Drop Down 3723" hidden="1">
              <a:extLst>
                <a:ext uri="{63B3BB69-23CF-44E3-9099-C40C66FF867C}">
                  <a14:compatExt spid="_x0000_s2606731"/>
                </a:ext>
                <a:ext uri="{FF2B5EF4-FFF2-40B4-BE49-F238E27FC236}">
                  <a16:creationId xmlns:a16="http://schemas.microsoft.com/office/drawing/2014/main" id="{00000000-0008-0000-0000-00008BC62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393700</xdr:colOff>
          <xdr:row>191</xdr:row>
          <xdr:rowOff>12700</xdr:rowOff>
        </xdr:from>
        <xdr:to>
          <xdr:col>5</xdr:col>
          <xdr:colOff>1085850</xdr:colOff>
          <xdr:row>192</xdr:row>
          <xdr:rowOff>6350</xdr:rowOff>
        </xdr:to>
        <xdr:sp macro="" textlink="">
          <xdr:nvSpPr>
            <xdr:cNvPr id="2606732" name="Drop Down 3724" hidden="1">
              <a:extLst>
                <a:ext uri="{63B3BB69-23CF-44E3-9099-C40C66FF867C}">
                  <a14:compatExt spid="_x0000_s2606732"/>
                </a:ext>
                <a:ext uri="{FF2B5EF4-FFF2-40B4-BE49-F238E27FC236}">
                  <a16:creationId xmlns:a16="http://schemas.microsoft.com/office/drawing/2014/main" id="{00000000-0008-0000-0000-00008CC62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393700</xdr:colOff>
          <xdr:row>191</xdr:row>
          <xdr:rowOff>6350</xdr:rowOff>
        </xdr:from>
        <xdr:to>
          <xdr:col>7</xdr:col>
          <xdr:colOff>1085850</xdr:colOff>
          <xdr:row>192</xdr:row>
          <xdr:rowOff>6350</xdr:rowOff>
        </xdr:to>
        <xdr:sp macro="" textlink="">
          <xdr:nvSpPr>
            <xdr:cNvPr id="2606733" name="Drop Down 3725" hidden="1">
              <a:extLst>
                <a:ext uri="{63B3BB69-23CF-44E3-9099-C40C66FF867C}">
                  <a14:compatExt spid="_x0000_s2606733"/>
                </a:ext>
                <a:ext uri="{FF2B5EF4-FFF2-40B4-BE49-F238E27FC236}">
                  <a16:creationId xmlns:a16="http://schemas.microsoft.com/office/drawing/2014/main" id="{00000000-0008-0000-0000-00008DC62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400050</xdr:colOff>
          <xdr:row>192</xdr:row>
          <xdr:rowOff>0</xdr:rowOff>
        </xdr:from>
        <xdr:to>
          <xdr:col>3</xdr:col>
          <xdr:colOff>1085850</xdr:colOff>
          <xdr:row>193</xdr:row>
          <xdr:rowOff>6350</xdr:rowOff>
        </xdr:to>
        <xdr:sp macro="" textlink="">
          <xdr:nvSpPr>
            <xdr:cNvPr id="2606734" name="Drop Down 3726" hidden="1">
              <a:extLst>
                <a:ext uri="{63B3BB69-23CF-44E3-9099-C40C66FF867C}">
                  <a14:compatExt spid="_x0000_s2606734"/>
                </a:ext>
                <a:ext uri="{FF2B5EF4-FFF2-40B4-BE49-F238E27FC236}">
                  <a16:creationId xmlns:a16="http://schemas.microsoft.com/office/drawing/2014/main" id="{00000000-0008-0000-0000-00008EC62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393700</xdr:colOff>
          <xdr:row>192</xdr:row>
          <xdr:rowOff>12700</xdr:rowOff>
        </xdr:from>
        <xdr:to>
          <xdr:col>5</xdr:col>
          <xdr:colOff>1085850</xdr:colOff>
          <xdr:row>193</xdr:row>
          <xdr:rowOff>6350</xdr:rowOff>
        </xdr:to>
        <xdr:sp macro="" textlink="">
          <xdr:nvSpPr>
            <xdr:cNvPr id="2606735" name="Drop Down 3727" hidden="1">
              <a:extLst>
                <a:ext uri="{63B3BB69-23CF-44E3-9099-C40C66FF867C}">
                  <a14:compatExt spid="_x0000_s2606735"/>
                </a:ext>
                <a:ext uri="{FF2B5EF4-FFF2-40B4-BE49-F238E27FC236}">
                  <a16:creationId xmlns:a16="http://schemas.microsoft.com/office/drawing/2014/main" id="{00000000-0008-0000-0000-00008FC62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393700</xdr:colOff>
          <xdr:row>192</xdr:row>
          <xdr:rowOff>6350</xdr:rowOff>
        </xdr:from>
        <xdr:to>
          <xdr:col>7</xdr:col>
          <xdr:colOff>1085850</xdr:colOff>
          <xdr:row>193</xdr:row>
          <xdr:rowOff>6350</xdr:rowOff>
        </xdr:to>
        <xdr:sp macro="" textlink="">
          <xdr:nvSpPr>
            <xdr:cNvPr id="2606736" name="Drop Down 3728" hidden="1">
              <a:extLst>
                <a:ext uri="{63B3BB69-23CF-44E3-9099-C40C66FF867C}">
                  <a14:compatExt spid="_x0000_s2606736"/>
                </a:ext>
                <a:ext uri="{FF2B5EF4-FFF2-40B4-BE49-F238E27FC236}">
                  <a16:creationId xmlns:a16="http://schemas.microsoft.com/office/drawing/2014/main" id="{00000000-0008-0000-0000-000090C62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400050</xdr:colOff>
          <xdr:row>194</xdr:row>
          <xdr:rowOff>0</xdr:rowOff>
        </xdr:from>
        <xdr:to>
          <xdr:col>3</xdr:col>
          <xdr:colOff>1085850</xdr:colOff>
          <xdr:row>195</xdr:row>
          <xdr:rowOff>6350</xdr:rowOff>
        </xdr:to>
        <xdr:sp macro="" textlink="">
          <xdr:nvSpPr>
            <xdr:cNvPr id="2606737" name="Drop Down 3729" hidden="1">
              <a:extLst>
                <a:ext uri="{63B3BB69-23CF-44E3-9099-C40C66FF867C}">
                  <a14:compatExt spid="_x0000_s2606737"/>
                </a:ext>
                <a:ext uri="{FF2B5EF4-FFF2-40B4-BE49-F238E27FC236}">
                  <a16:creationId xmlns:a16="http://schemas.microsoft.com/office/drawing/2014/main" id="{00000000-0008-0000-0000-000091C62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393700</xdr:colOff>
          <xdr:row>194</xdr:row>
          <xdr:rowOff>12700</xdr:rowOff>
        </xdr:from>
        <xdr:to>
          <xdr:col>5</xdr:col>
          <xdr:colOff>1085850</xdr:colOff>
          <xdr:row>195</xdr:row>
          <xdr:rowOff>6350</xdr:rowOff>
        </xdr:to>
        <xdr:sp macro="" textlink="">
          <xdr:nvSpPr>
            <xdr:cNvPr id="2606738" name="Drop Down 3730" hidden="1">
              <a:extLst>
                <a:ext uri="{63B3BB69-23CF-44E3-9099-C40C66FF867C}">
                  <a14:compatExt spid="_x0000_s2606738"/>
                </a:ext>
                <a:ext uri="{FF2B5EF4-FFF2-40B4-BE49-F238E27FC236}">
                  <a16:creationId xmlns:a16="http://schemas.microsoft.com/office/drawing/2014/main" id="{00000000-0008-0000-0000-000092C62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393700</xdr:colOff>
          <xdr:row>194</xdr:row>
          <xdr:rowOff>6350</xdr:rowOff>
        </xdr:from>
        <xdr:to>
          <xdr:col>7</xdr:col>
          <xdr:colOff>1085850</xdr:colOff>
          <xdr:row>195</xdr:row>
          <xdr:rowOff>6350</xdr:rowOff>
        </xdr:to>
        <xdr:sp macro="" textlink="">
          <xdr:nvSpPr>
            <xdr:cNvPr id="2606739" name="Drop Down 3731" hidden="1">
              <a:extLst>
                <a:ext uri="{63B3BB69-23CF-44E3-9099-C40C66FF867C}">
                  <a14:compatExt spid="_x0000_s2606739"/>
                </a:ext>
                <a:ext uri="{FF2B5EF4-FFF2-40B4-BE49-F238E27FC236}">
                  <a16:creationId xmlns:a16="http://schemas.microsoft.com/office/drawing/2014/main" id="{00000000-0008-0000-0000-000093C62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400050</xdr:colOff>
          <xdr:row>195</xdr:row>
          <xdr:rowOff>0</xdr:rowOff>
        </xdr:from>
        <xdr:to>
          <xdr:col>3</xdr:col>
          <xdr:colOff>1085850</xdr:colOff>
          <xdr:row>196</xdr:row>
          <xdr:rowOff>6350</xdr:rowOff>
        </xdr:to>
        <xdr:sp macro="" textlink="">
          <xdr:nvSpPr>
            <xdr:cNvPr id="2606740" name="Drop Down 3732" hidden="1">
              <a:extLst>
                <a:ext uri="{63B3BB69-23CF-44E3-9099-C40C66FF867C}">
                  <a14:compatExt spid="_x0000_s2606740"/>
                </a:ext>
                <a:ext uri="{FF2B5EF4-FFF2-40B4-BE49-F238E27FC236}">
                  <a16:creationId xmlns:a16="http://schemas.microsoft.com/office/drawing/2014/main" id="{00000000-0008-0000-0000-000094C62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393700</xdr:colOff>
          <xdr:row>195</xdr:row>
          <xdr:rowOff>12700</xdr:rowOff>
        </xdr:from>
        <xdr:to>
          <xdr:col>5</xdr:col>
          <xdr:colOff>1085850</xdr:colOff>
          <xdr:row>196</xdr:row>
          <xdr:rowOff>6350</xdr:rowOff>
        </xdr:to>
        <xdr:sp macro="" textlink="">
          <xdr:nvSpPr>
            <xdr:cNvPr id="2606741" name="Drop Down 3733" hidden="1">
              <a:extLst>
                <a:ext uri="{63B3BB69-23CF-44E3-9099-C40C66FF867C}">
                  <a14:compatExt spid="_x0000_s2606741"/>
                </a:ext>
                <a:ext uri="{FF2B5EF4-FFF2-40B4-BE49-F238E27FC236}">
                  <a16:creationId xmlns:a16="http://schemas.microsoft.com/office/drawing/2014/main" id="{00000000-0008-0000-0000-000095C62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393700</xdr:colOff>
          <xdr:row>195</xdr:row>
          <xdr:rowOff>6350</xdr:rowOff>
        </xdr:from>
        <xdr:to>
          <xdr:col>7</xdr:col>
          <xdr:colOff>1085850</xdr:colOff>
          <xdr:row>196</xdr:row>
          <xdr:rowOff>6350</xdr:rowOff>
        </xdr:to>
        <xdr:sp macro="" textlink="">
          <xdr:nvSpPr>
            <xdr:cNvPr id="2606742" name="Drop Down 3734" hidden="1">
              <a:extLst>
                <a:ext uri="{63B3BB69-23CF-44E3-9099-C40C66FF867C}">
                  <a14:compatExt spid="_x0000_s2606742"/>
                </a:ext>
                <a:ext uri="{FF2B5EF4-FFF2-40B4-BE49-F238E27FC236}">
                  <a16:creationId xmlns:a16="http://schemas.microsoft.com/office/drawing/2014/main" id="{00000000-0008-0000-0000-000096C62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400050</xdr:colOff>
          <xdr:row>196</xdr:row>
          <xdr:rowOff>0</xdr:rowOff>
        </xdr:from>
        <xdr:to>
          <xdr:col>3</xdr:col>
          <xdr:colOff>1085850</xdr:colOff>
          <xdr:row>197</xdr:row>
          <xdr:rowOff>6350</xdr:rowOff>
        </xdr:to>
        <xdr:sp macro="" textlink="">
          <xdr:nvSpPr>
            <xdr:cNvPr id="2606743" name="Drop Down 3735" hidden="1">
              <a:extLst>
                <a:ext uri="{63B3BB69-23CF-44E3-9099-C40C66FF867C}">
                  <a14:compatExt spid="_x0000_s2606743"/>
                </a:ext>
                <a:ext uri="{FF2B5EF4-FFF2-40B4-BE49-F238E27FC236}">
                  <a16:creationId xmlns:a16="http://schemas.microsoft.com/office/drawing/2014/main" id="{00000000-0008-0000-0000-000097C62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393700</xdr:colOff>
          <xdr:row>196</xdr:row>
          <xdr:rowOff>12700</xdr:rowOff>
        </xdr:from>
        <xdr:to>
          <xdr:col>5</xdr:col>
          <xdr:colOff>1085850</xdr:colOff>
          <xdr:row>197</xdr:row>
          <xdr:rowOff>6350</xdr:rowOff>
        </xdr:to>
        <xdr:sp macro="" textlink="">
          <xdr:nvSpPr>
            <xdr:cNvPr id="2606744" name="Drop Down 3736" hidden="1">
              <a:extLst>
                <a:ext uri="{63B3BB69-23CF-44E3-9099-C40C66FF867C}">
                  <a14:compatExt spid="_x0000_s2606744"/>
                </a:ext>
                <a:ext uri="{FF2B5EF4-FFF2-40B4-BE49-F238E27FC236}">
                  <a16:creationId xmlns:a16="http://schemas.microsoft.com/office/drawing/2014/main" id="{00000000-0008-0000-0000-000098C62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393700</xdr:colOff>
          <xdr:row>196</xdr:row>
          <xdr:rowOff>6350</xdr:rowOff>
        </xdr:from>
        <xdr:to>
          <xdr:col>7</xdr:col>
          <xdr:colOff>1085850</xdr:colOff>
          <xdr:row>197</xdr:row>
          <xdr:rowOff>6350</xdr:rowOff>
        </xdr:to>
        <xdr:sp macro="" textlink="">
          <xdr:nvSpPr>
            <xdr:cNvPr id="2606745" name="Drop Down 3737" hidden="1">
              <a:extLst>
                <a:ext uri="{63B3BB69-23CF-44E3-9099-C40C66FF867C}">
                  <a14:compatExt spid="_x0000_s2606745"/>
                </a:ext>
                <a:ext uri="{FF2B5EF4-FFF2-40B4-BE49-F238E27FC236}">
                  <a16:creationId xmlns:a16="http://schemas.microsoft.com/office/drawing/2014/main" id="{00000000-0008-0000-0000-000099C62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twoCellAnchor>
    <xdr:from>
      <xdr:col>10</xdr:col>
      <xdr:colOff>209550</xdr:colOff>
      <xdr:row>10</xdr:row>
      <xdr:rowOff>25400</xdr:rowOff>
    </xdr:from>
    <xdr:to>
      <xdr:col>18</xdr:col>
      <xdr:colOff>44450</xdr:colOff>
      <xdr:row>11</xdr:row>
      <xdr:rowOff>168275</xdr:rowOff>
    </xdr:to>
    <xdr:sp macro="" textlink="">
      <xdr:nvSpPr>
        <xdr:cNvPr id="9" name="Rectangle 143">
          <a:extLst>
            <a:ext uri="{FF2B5EF4-FFF2-40B4-BE49-F238E27FC236}">
              <a16:creationId xmlns:a16="http://schemas.microsoft.com/office/drawing/2014/main" id="{96E11D6C-8320-43DE-A700-40237DA2412F}"/>
            </a:ext>
          </a:extLst>
        </xdr:cNvPr>
        <xdr:cNvSpPr>
          <a:spLocks noChangeArrowheads="1"/>
        </xdr:cNvSpPr>
      </xdr:nvSpPr>
      <xdr:spPr bwMode="auto">
        <a:xfrm>
          <a:off x="11325225" y="4749800"/>
          <a:ext cx="4406900" cy="304800"/>
        </a:xfrm>
        <a:prstGeom prst="rect">
          <a:avLst/>
        </a:prstGeom>
        <a:solidFill>
          <a:srgbClr val="CCFFCC"/>
        </a:solidFill>
        <a:ln w="9525">
          <a:solidFill>
            <a:srgbClr val="000000"/>
          </a:solidFill>
          <a:miter lim="800000"/>
          <a:headEnd/>
          <a:tailEnd/>
        </a:ln>
      </xdr:spPr>
      <xdr:txBody>
        <a:bodyPr vertOverflow="clip" wrap="square" lIns="27432" tIns="22860" rIns="0" bIns="0" anchor="t" upright="1"/>
        <a:lstStyle/>
        <a:p>
          <a:pPr rtl="0"/>
          <a:r>
            <a:rPr lang="en-GB" sz="800" b="0" i="0" baseline="0">
              <a:latin typeface="Arial" pitchFamily="34" charset="0"/>
              <a:ea typeface="+mn-ea"/>
              <a:cs typeface="Arial" pitchFamily="34" charset="0"/>
            </a:rPr>
            <a:t>Note: </a:t>
          </a:r>
          <a:r>
            <a:rPr lang="en-GB" sz="800" b="0" i="0" u="sng" baseline="0">
              <a:latin typeface="Arial" pitchFamily="34" charset="0"/>
              <a:ea typeface="+mn-ea"/>
              <a:cs typeface="Arial" pitchFamily="34" charset="0"/>
            </a:rPr>
            <a:t>Emissions associated with restoration practices</a:t>
          </a:r>
          <a:r>
            <a:rPr lang="en-GB" sz="800" b="0" i="0" baseline="0">
              <a:latin typeface="Arial" pitchFamily="34" charset="0"/>
              <a:ea typeface="+mn-ea"/>
              <a:cs typeface="Arial" pitchFamily="34" charset="0"/>
            </a:rPr>
            <a:t>. </a:t>
          </a:r>
          <a:endParaRPr lang="en-GB" sz="800">
            <a:latin typeface="Arial" pitchFamily="34" charset="0"/>
            <a:cs typeface="Arial" pitchFamily="34" charset="0"/>
          </a:endParaRPr>
        </a:p>
        <a:p>
          <a:pPr rtl="0"/>
          <a:r>
            <a:rPr lang="en-GB" sz="800" b="0" i="0" baseline="0">
              <a:latin typeface="Arial" pitchFamily="34" charset="0"/>
              <a:ea typeface="+mn-ea"/>
              <a:cs typeface="Arial" pitchFamily="34" charset="0"/>
            </a:rPr>
            <a:t>These figures are taken from GET REF FROM CARLY</a:t>
          </a:r>
        </a:p>
        <a:p>
          <a:pPr rtl="0"/>
          <a:endParaRPr lang="en-GB" sz="800">
            <a:latin typeface="Arial" pitchFamily="34" charset="0"/>
            <a:ea typeface="+mn-ea"/>
            <a:cs typeface="Arial" pitchFamily="34" charset="0"/>
          </a:endParaRPr>
        </a:p>
      </xdr:txBody>
    </xdr:sp>
    <xdr:clientData/>
  </xdr:twoCellAnchor>
  <xdr:twoCellAnchor>
    <xdr:from>
      <xdr:col>7</xdr:col>
      <xdr:colOff>1343025</xdr:colOff>
      <xdr:row>10</xdr:row>
      <xdr:rowOff>85725</xdr:rowOff>
    </xdr:from>
    <xdr:to>
      <xdr:col>10</xdr:col>
      <xdr:colOff>209550</xdr:colOff>
      <xdr:row>11</xdr:row>
      <xdr:rowOff>17463</xdr:rowOff>
    </xdr:to>
    <xdr:cxnSp macro="">
      <xdr:nvCxnSpPr>
        <xdr:cNvPr id="16" name="Straight Arrow Connector 15">
          <a:extLst>
            <a:ext uri="{FF2B5EF4-FFF2-40B4-BE49-F238E27FC236}">
              <a16:creationId xmlns:a16="http://schemas.microsoft.com/office/drawing/2014/main" id="{E61F60BE-22E0-449A-97A9-A975FE394B50}"/>
            </a:ext>
          </a:extLst>
        </xdr:cNvPr>
        <xdr:cNvCxnSpPr>
          <a:stCxn id="9" idx="1"/>
        </xdr:cNvCxnSpPr>
      </xdr:nvCxnSpPr>
      <xdr:spPr>
        <a:xfrm flipH="1" flipV="1">
          <a:off x="10067925" y="4810125"/>
          <a:ext cx="1257300" cy="93663"/>
        </a:xfrm>
        <a:prstGeom prst="straightConnector1">
          <a:avLst/>
        </a:prstGeom>
        <a:ln>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mc:AlternateContent xmlns:mc="http://schemas.openxmlformats.org/markup-compatibility/2006">
    <mc:Choice xmlns:a14="http://schemas.microsoft.com/office/drawing/2010/main" Requires="a14">
      <xdr:twoCellAnchor editAs="oneCell">
        <xdr:from>
          <xdr:col>5</xdr:col>
          <xdr:colOff>393700</xdr:colOff>
          <xdr:row>52</xdr:row>
          <xdr:rowOff>12700</xdr:rowOff>
        </xdr:from>
        <xdr:to>
          <xdr:col>5</xdr:col>
          <xdr:colOff>1085850</xdr:colOff>
          <xdr:row>53</xdr:row>
          <xdr:rowOff>6350</xdr:rowOff>
        </xdr:to>
        <xdr:sp macro="" textlink="">
          <xdr:nvSpPr>
            <xdr:cNvPr id="2606746" name="Drop Down 3738" hidden="1">
              <a:extLst>
                <a:ext uri="{63B3BB69-23CF-44E3-9099-C40C66FF867C}">
                  <a14:compatExt spid="_x0000_s2606746"/>
                </a:ext>
                <a:ext uri="{FF2B5EF4-FFF2-40B4-BE49-F238E27FC236}">
                  <a16:creationId xmlns:a16="http://schemas.microsoft.com/office/drawing/2014/main" id="{00000000-0008-0000-0000-00009AC62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393700</xdr:colOff>
          <xdr:row>52</xdr:row>
          <xdr:rowOff>6350</xdr:rowOff>
        </xdr:from>
        <xdr:to>
          <xdr:col>7</xdr:col>
          <xdr:colOff>1085850</xdr:colOff>
          <xdr:row>53</xdr:row>
          <xdr:rowOff>6350</xdr:rowOff>
        </xdr:to>
        <xdr:sp macro="" textlink="">
          <xdr:nvSpPr>
            <xdr:cNvPr id="2606747" name="Drop Down 3739" hidden="1">
              <a:extLst>
                <a:ext uri="{63B3BB69-23CF-44E3-9099-C40C66FF867C}">
                  <a14:compatExt spid="_x0000_s2606747"/>
                </a:ext>
                <a:ext uri="{FF2B5EF4-FFF2-40B4-BE49-F238E27FC236}">
                  <a16:creationId xmlns:a16="http://schemas.microsoft.com/office/drawing/2014/main" id="{00000000-0008-0000-0000-00009BC62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406400</xdr:colOff>
          <xdr:row>53</xdr:row>
          <xdr:rowOff>0</xdr:rowOff>
        </xdr:from>
        <xdr:to>
          <xdr:col>3</xdr:col>
          <xdr:colOff>1092200</xdr:colOff>
          <xdr:row>54</xdr:row>
          <xdr:rowOff>0</xdr:rowOff>
        </xdr:to>
        <xdr:sp macro="" textlink="">
          <xdr:nvSpPr>
            <xdr:cNvPr id="2606748" name="Drop Down 3740" hidden="1">
              <a:extLst>
                <a:ext uri="{63B3BB69-23CF-44E3-9099-C40C66FF867C}">
                  <a14:compatExt spid="_x0000_s2606748"/>
                </a:ext>
                <a:ext uri="{FF2B5EF4-FFF2-40B4-BE49-F238E27FC236}">
                  <a16:creationId xmlns:a16="http://schemas.microsoft.com/office/drawing/2014/main" id="{00000000-0008-0000-0000-00009CC62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393700</xdr:colOff>
          <xdr:row>53</xdr:row>
          <xdr:rowOff>12700</xdr:rowOff>
        </xdr:from>
        <xdr:to>
          <xdr:col>5</xdr:col>
          <xdr:colOff>1085850</xdr:colOff>
          <xdr:row>54</xdr:row>
          <xdr:rowOff>6350</xdr:rowOff>
        </xdr:to>
        <xdr:sp macro="" textlink="">
          <xdr:nvSpPr>
            <xdr:cNvPr id="2606749" name="Drop Down 3741" hidden="1">
              <a:extLst>
                <a:ext uri="{63B3BB69-23CF-44E3-9099-C40C66FF867C}">
                  <a14:compatExt spid="_x0000_s2606749"/>
                </a:ext>
                <a:ext uri="{FF2B5EF4-FFF2-40B4-BE49-F238E27FC236}">
                  <a16:creationId xmlns:a16="http://schemas.microsoft.com/office/drawing/2014/main" id="{00000000-0008-0000-0000-00009DC62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393700</xdr:colOff>
          <xdr:row>53</xdr:row>
          <xdr:rowOff>12700</xdr:rowOff>
        </xdr:from>
        <xdr:to>
          <xdr:col>7</xdr:col>
          <xdr:colOff>1085850</xdr:colOff>
          <xdr:row>54</xdr:row>
          <xdr:rowOff>6350</xdr:rowOff>
        </xdr:to>
        <xdr:sp macro="" textlink="">
          <xdr:nvSpPr>
            <xdr:cNvPr id="2606750" name="Drop Down 3742" hidden="1">
              <a:extLst>
                <a:ext uri="{63B3BB69-23CF-44E3-9099-C40C66FF867C}">
                  <a14:compatExt spid="_x0000_s2606750"/>
                </a:ext>
                <a:ext uri="{FF2B5EF4-FFF2-40B4-BE49-F238E27FC236}">
                  <a16:creationId xmlns:a16="http://schemas.microsoft.com/office/drawing/2014/main" id="{00000000-0008-0000-0000-00009EC62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400050</xdr:colOff>
          <xdr:row>87</xdr:row>
          <xdr:rowOff>0</xdr:rowOff>
        </xdr:from>
        <xdr:to>
          <xdr:col>3</xdr:col>
          <xdr:colOff>1085850</xdr:colOff>
          <xdr:row>88</xdr:row>
          <xdr:rowOff>0</xdr:rowOff>
        </xdr:to>
        <xdr:sp macro="" textlink="">
          <xdr:nvSpPr>
            <xdr:cNvPr id="2606751" name="Drop Down 3743" hidden="1">
              <a:extLst>
                <a:ext uri="{63B3BB69-23CF-44E3-9099-C40C66FF867C}">
                  <a14:compatExt spid="_x0000_s2606751"/>
                </a:ext>
                <a:ext uri="{FF2B5EF4-FFF2-40B4-BE49-F238E27FC236}">
                  <a16:creationId xmlns:a16="http://schemas.microsoft.com/office/drawing/2014/main" id="{00000000-0008-0000-0000-00009FC62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393700</xdr:colOff>
          <xdr:row>87</xdr:row>
          <xdr:rowOff>12700</xdr:rowOff>
        </xdr:from>
        <xdr:to>
          <xdr:col>5</xdr:col>
          <xdr:colOff>1085850</xdr:colOff>
          <xdr:row>88</xdr:row>
          <xdr:rowOff>19050</xdr:rowOff>
        </xdr:to>
        <xdr:sp macro="" textlink="">
          <xdr:nvSpPr>
            <xdr:cNvPr id="2606752" name="Drop Down 3744" hidden="1">
              <a:extLst>
                <a:ext uri="{63B3BB69-23CF-44E3-9099-C40C66FF867C}">
                  <a14:compatExt spid="_x0000_s2606752"/>
                </a:ext>
                <a:ext uri="{FF2B5EF4-FFF2-40B4-BE49-F238E27FC236}">
                  <a16:creationId xmlns:a16="http://schemas.microsoft.com/office/drawing/2014/main" id="{00000000-0008-0000-0000-0000A0C62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393700</xdr:colOff>
          <xdr:row>87</xdr:row>
          <xdr:rowOff>6350</xdr:rowOff>
        </xdr:from>
        <xdr:to>
          <xdr:col>7</xdr:col>
          <xdr:colOff>1085850</xdr:colOff>
          <xdr:row>88</xdr:row>
          <xdr:rowOff>19050</xdr:rowOff>
        </xdr:to>
        <xdr:sp macro="" textlink="">
          <xdr:nvSpPr>
            <xdr:cNvPr id="2606753" name="Drop Down 3745" hidden="1">
              <a:extLst>
                <a:ext uri="{63B3BB69-23CF-44E3-9099-C40C66FF867C}">
                  <a14:compatExt spid="_x0000_s2606753"/>
                </a:ext>
                <a:ext uri="{FF2B5EF4-FFF2-40B4-BE49-F238E27FC236}">
                  <a16:creationId xmlns:a16="http://schemas.microsoft.com/office/drawing/2014/main" id="{00000000-0008-0000-0000-0000A1C62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400050</xdr:colOff>
          <xdr:row>88</xdr:row>
          <xdr:rowOff>0</xdr:rowOff>
        </xdr:from>
        <xdr:to>
          <xdr:col>3</xdr:col>
          <xdr:colOff>1085850</xdr:colOff>
          <xdr:row>89</xdr:row>
          <xdr:rowOff>0</xdr:rowOff>
        </xdr:to>
        <xdr:sp macro="" textlink="">
          <xdr:nvSpPr>
            <xdr:cNvPr id="2606754" name="Drop Down 3746" hidden="1">
              <a:extLst>
                <a:ext uri="{63B3BB69-23CF-44E3-9099-C40C66FF867C}">
                  <a14:compatExt spid="_x0000_s2606754"/>
                </a:ext>
                <a:ext uri="{FF2B5EF4-FFF2-40B4-BE49-F238E27FC236}">
                  <a16:creationId xmlns:a16="http://schemas.microsoft.com/office/drawing/2014/main" id="{00000000-0008-0000-0000-0000A2C62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393700</xdr:colOff>
          <xdr:row>88</xdr:row>
          <xdr:rowOff>12700</xdr:rowOff>
        </xdr:from>
        <xdr:to>
          <xdr:col>5</xdr:col>
          <xdr:colOff>1085850</xdr:colOff>
          <xdr:row>89</xdr:row>
          <xdr:rowOff>19050</xdr:rowOff>
        </xdr:to>
        <xdr:sp macro="" textlink="">
          <xdr:nvSpPr>
            <xdr:cNvPr id="2606755" name="Drop Down 3747" hidden="1">
              <a:extLst>
                <a:ext uri="{63B3BB69-23CF-44E3-9099-C40C66FF867C}">
                  <a14:compatExt spid="_x0000_s2606755"/>
                </a:ext>
                <a:ext uri="{FF2B5EF4-FFF2-40B4-BE49-F238E27FC236}">
                  <a16:creationId xmlns:a16="http://schemas.microsoft.com/office/drawing/2014/main" id="{00000000-0008-0000-0000-0000A3C62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393700</xdr:colOff>
          <xdr:row>88</xdr:row>
          <xdr:rowOff>6350</xdr:rowOff>
        </xdr:from>
        <xdr:to>
          <xdr:col>7</xdr:col>
          <xdr:colOff>1085850</xdr:colOff>
          <xdr:row>89</xdr:row>
          <xdr:rowOff>19050</xdr:rowOff>
        </xdr:to>
        <xdr:sp macro="" textlink="">
          <xdr:nvSpPr>
            <xdr:cNvPr id="2606756" name="Drop Down 3748" hidden="1">
              <a:extLst>
                <a:ext uri="{63B3BB69-23CF-44E3-9099-C40C66FF867C}">
                  <a14:compatExt spid="_x0000_s2606756"/>
                </a:ext>
                <a:ext uri="{FF2B5EF4-FFF2-40B4-BE49-F238E27FC236}">
                  <a16:creationId xmlns:a16="http://schemas.microsoft.com/office/drawing/2014/main" id="{00000000-0008-0000-0000-0000A4C62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400050</xdr:colOff>
          <xdr:row>122</xdr:row>
          <xdr:rowOff>0</xdr:rowOff>
        </xdr:from>
        <xdr:to>
          <xdr:col>3</xdr:col>
          <xdr:colOff>1085850</xdr:colOff>
          <xdr:row>123</xdr:row>
          <xdr:rowOff>6350</xdr:rowOff>
        </xdr:to>
        <xdr:sp macro="" textlink="">
          <xdr:nvSpPr>
            <xdr:cNvPr id="2606757" name="Drop Down 3749" hidden="1">
              <a:extLst>
                <a:ext uri="{63B3BB69-23CF-44E3-9099-C40C66FF867C}">
                  <a14:compatExt spid="_x0000_s2606757"/>
                </a:ext>
                <a:ext uri="{FF2B5EF4-FFF2-40B4-BE49-F238E27FC236}">
                  <a16:creationId xmlns:a16="http://schemas.microsoft.com/office/drawing/2014/main" id="{00000000-0008-0000-0000-0000A5C62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393700</xdr:colOff>
          <xdr:row>122</xdr:row>
          <xdr:rowOff>12700</xdr:rowOff>
        </xdr:from>
        <xdr:to>
          <xdr:col>5</xdr:col>
          <xdr:colOff>1085850</xdr:colOff>
          <xdr:row>123</xdr:row>
          <xdr:rowOff>25400</xdr:rowOff>
        </xdr:to>
        <xdr:sp macro="" textlink="">
          <xdr:nvSpPr>
            <xdr:cNvPr id="2606758" name="Drop Down 3750" hidden="1">
              <a:extLst>
                <a:ext uri="{63B3BB69-23CF-44E3-9099-C40C66FF867C}">
                  <a14:compatExt spid="_x0000_s2606758"/>
                </a:ext>
                <a:ext uri="{FF2B5EF4-FFF2-40B4-BE49-F238E27FC236}">
                  <a16:creationId xmlns:a16="http://schemas.microsoft.com/office/drawing/2014/main" id="{00000000-0008-0000-0000-0000A6C62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393700</xdr:colOff>
          <xdr:row>122</xdr:row>
          <xdr:rowOff>6350</xdr:rowOff>
        </xdr:from>
        <xdr:to>
          <xdr:col>7</xdr:col>
          <xdr:colOff>1085850</xdr:colOff>
          <xdr:row>123</xdr:row>
          <xdr:rowOff>25400</xdr:rowOff>
        </xdr:to>
        <xdr:sp macro="" textlink="">
          <xdr:nvSpPr>
            <xdr:cNvPr id="2606759" name="Drop Down 3751" hidden="1">
              <a:extLst>
                <a:ext uri="{63B3BB69-23CF-44E3-9099-C40C66FF867C}">
                  <a14:compatExt spid="_x0000_s2606759"/>
                </a:ext>
                <a:ext uri="{FF2B5EF4-FFF2-40B4-BE49-F238E27FC236}">
                  <a16:creationId xmlns:a16="http://schemas.microsoft.com/office/drawing/2014/main" id="{00000000-0008-0000-0000-0000A7C62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400050</xdr:colOff>
          <xdr:row>122</xdr:row>
          <xdr:rowOff>0</xdr:rowOff>
        </xdr:from>
        <xdr:to>
          <xdr:col>3</xdr:col>
          <xdr:colOff>1085850</xdr:colOff>
          <xdr:row>123</xdr:row>
          <xdr:rowOff>6350</xdr:rowOff>
        </xdr:to>
        <xdr:sp macro="" textlink="">
          <xdr:nvSpPr>
            <xdr:cNvPr id="2606760" name="Drop Down 3752" hidden="1">
              <a:extLst>
                <a:ext uri="{63B3BB69-23CF-44E3-9099-C40C66FF867C}">
                  <a14:compatExt spid="_x0000_s2606760"/>
                </a:ext>
                <a:ext uri="{FF2B5EF4-FFF2-40B4-BE49-F238E27FC236}">
                  <a16:creationId xmlns:a16="http://schemas.microsoft.com/office/drawing/2014/main" id="{00000000-0008-0000-0000-0000A8C62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393700</xdr:colOff>
          <xdr:row>122</xdr:row>
          <xdr:rowOff>12700</xdr:rowOff>
        </xdr:from>
        <xdr:to>
          <xdr:col>5</xdr:col>
          <xdr:colOff>1085850</xdr:colOff>
          <xdr:row>123</xdr:row>
          <xdr:rowOff>25400</xdr:rowOff>
        </xdr:to>
        <xdr:sp macro="" textlink="">
          <xdr:nvSpPr>
            <xdr:cNvPr id="2606761" name="Drop Down 3753" hidden="1">
              <a:extLst>
                <a:ext uri="{63B3BB69-23CF-44E3-9099-C40C66FF867C}">
                  <a14:compatExt spid="_x0000_s2606761"/>
                </a:ext>
                <a:ext uri="{FF2B5EF4-FFF2-40B4-BE49-F238E27FC236}">
                  <a16:creationId xmlns:a16="http://schemas.microsoft.com/office/drawing/2014/main" id="{00000000-0008-0000-0000-0000A9C62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393700</xdr:colOff>
          <xdr:row>122</xdr:row>
          <xdr:rowOff>6350</xdr:rowOff>
        </xdr:from>
        <xdr:to>
          <xdr:col>7</xdr:col>
          <xdr:colOff>1085850</xdr:colOff>
          <xdr:row>123</xdr:row>
          <xdr:rowOff>25400</xdr:rowOff>
        </xdr:to>
        <xdr:sp macro="" textlink="">
          <xdr:nvSpPr>
            <xdr:cNvPr id="2606762" name="Drop Down 3754" hidden="1">
              <a:extLst>
                <a:ext uri="{63B3BB69-23CF-44E3-9099-C40C66FF867C}">
                  <a14:compatExt spid="_x0000_s2606762"/>
                </a:ext>
                <a:ext uri="{FF2B5EF4-FFF2-40B4-BE49-F238E27FC236}">
                  <a16:creationId xmlns:a16="http://schemas.microsoft.com/office/drawing/2014/main" id="{00000000-0008-0000-0000-0000AAC62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400050</xdr:colOff>
          <xdr:row>123</xdr:row>
          <xdr:rowOff>0</xdr:rowOff>
        </xdr:from>
        <xdr:to>
          <xdr:col>3</xdr:col>
          <xdr:colOff>1085850</xdr:colOff>
          <xdr:row>124</xdr:row>
          <xdr:rowOff>6350</xdr:rowOff>
        </xdr:to>
        <xdr:sp macro="" textlink="">
          <xdr:nvSpPr>
            <xdr:cNvPr id="2606763" name="Drop Down 3755" hidden="1">
              <a:extLst>
                <a:ext uri="{63B3BB69-23CF-44E3-9099-C40C66FF867C}">
                  <a14:compatExt spid="_x0000_s2606763"/>
                </a:ext>
                <a:ext uri="{FF2B5EF4-FFF2-40B4-BE49-F238E27FC236}">
                  <a16:creationId xmlns:a16="http://schemas.microsoft.com/office/drawing/2014/main" id="{00000000-0008-0000-0000-0000ABC62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393700</xdr:colOff>
          <xdr:row>123</xdr:row>
          <xdr:rowOff>12700</xdr:rowOff>
        </xdr:from>
        <xdr:to>
          <xdr:col>5</xdr:col>
          <xdr:colOff>1085850</xdr:colOff>
          <xdr:row>124</xdr:row>
          <xdr:rowOff>38100</xdr:rowOff>
        </xdr:to>
        <xdr:sp macro="" textlink="">
          <xdr:nvSpPr>
            <xdr:cNvPr id="2606764" name="Drop Down 3756" hidden="1">
              <a:extLst>
                <a:ext uri="{63B3BB69-23CF-44E3-9099-C40C66FF867C}">
                  <a14:compatExt spid="_x0000_s2606764"/>
                </a:ext>
                <a:ext uri="{FF2B5EF4-FFF2-40B4-BE49-F238E27FC236}">
                  <a16:creationId xmlns:a16="http://schemas.microsoft.com/office/drawing/2014/main" id="{00000000-0008-0000-0000-0000ACC62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393700</xdr:colOff>
          <xdr:row>123</xdr:row>
          <xdr:rowOff>6350</xdr:rowOff>
        </xdr:from>
        <xdr:to>
          <xdr:col>7</xdr:col>
          <xdr:colOff>1085850</xdr:colOff>
          <xdr:row>124</xdr:row>
          <xdr:rowOff>38100</xdr:rowOff>
        </xdr:to>
        <xdr:sp macro="" textlink="">
          <xdr:nvSpPr>
            <xdr:cNvPr id="2606765" name="Drop Down 3757" hidden="1">
              <a:extLst>
                <a:ext uri="{63B3BB69-23CF-44E3-9099-C40C66FF867C}">
                  <a14:compatExt spid="_x0000_s2606765"/>
                </a:ext>
                <a:ext uri="{FF2B5EF4-FFF2-40B4-BE49-F238E27FC236}">
                  <a16:creationId xmlns:a16="http://schemas.microsoft.com/office/drawing/2014/main" id="{00000000-0008-0000-0000-0000ADC62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400050</xdr:colOff>
          <xdr:row>157</xdr:row>
          <xdr:rowOff>0</xdr:rowOff>
        </xdr:from>
        <xdr:to>
          <xdr:col>3</xdr:col>
          <xdr:colOff>1085850</xdr:colOff>
          <xdr:row>158</xdr:row>
          <xdr:rowOff>0</xdr:rowOff>
        </xdr:to>
        <xdr:sp macro="" textlink="">
          <xdr:nvSpPr>
            <xdr:cNvPr id="2606766" name="Drop Down 3758" hidden="1">
              <a:extLst>
                <a:ext uri="{63B3BB69-23CF-44E3-9099-C40C66FF867C}">
                  <a14:compatExt spid="_x0000_s2606766"/>
                </a:ext>
                <a:ext uri="{FF2B5EF4-FFF2-40B4-BE49-F238E27FC236}">
                  <a16:creationId xmlns:a16="http://schemas.microsoft.com/office/drawing/2014/main" id="{00000000-0008-0000-0000-0000AEC62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393700</xdr:colOff>
          <xdr:row>157</xdr:row>
          <xdr:rowOff>12700</xdr:rowOff>
        </xdr:from>
        <xdr:to>
          <xdr:col>5</xdr:col>
          <xdr:colOff>1085850</xdr:colOff>
          <xdr:row>158</xdr:row>
          <xdr:rowOff>19050</xdr:rowOff>
        </xdr:to>
        <xdr:sp macro="" textlink="">
          <xdr:nvSpPr>
            <xdr:cNvPr id="2606767" name="Drop Down 3759" hidden="1">
              <a:extLst>
                <a:ext uri="{63B3BB69-23CF-44E3-9099-C40C66FF867C}">
                  <a14:compatExt spid="_x0000_s2606767"/>
                </a:ext>
                <a:ext uri="{FF2B5EF4-FFF2-40B4-BE49-F238E27FC236}">
                  <a16:creationId xmlns:a16="http://schemas.microsoft.com/office/drawing/2014/main" id="{00000000-0008-0000-0000-0000AFC62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393700</xdr:colOff>
          <xdr:row>157</xdr:row>
          <xdr:rowOff>6350</xdr:rowOff>
        </xdr:from>
        <xdr:to>
          <xdr:col>7</xdr:col>
          <xdr:colOff>1085850</xdr:colOff>
          <xdr:row>158</xdr:row>
          <xdr:rowOff>19050</xdr:rowOff>
        </xdr:to>
        <xdr:sp macro="" textlink="">
          <xdr:nvSpPr>
            <xdr:cNvPr id="2606768" name="Drop Down 3760" hidden="1">
              <a:extLst>
                <a:ext uri="{63B3BB69-23CF-44E3-9099-C40C66FF867C}">
                  <a14:compatExt spid="_x0000_s2606768"/>
                </a:ext>
                <a:ext uri="{FF2B5EF4-FFF2-40B4-BE49-F238E27FC236}">
                  <a16:creationId xmlns:a16="http://schemas.microsoft.com/office/drawing/2014/main" id="{00000000-0008-0000-0000-0000B0C62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400050</xdr:colOff>
          <xdr:row>158</xdr:row>
          <xdr:rowOff>0</xdr:rowOff>
        </xdr:from>
        <xdr:to>
          <xdr:col>3</xdr:col>
          <xdr:colOff>1085850</xdr:colOff>
          <xdr:row>159</xdr:row>
          <xdr:rowOff>0</xdr:rowOff>
        </xdr:to>
        <xdr:sp macro="" textlink="">
          <xdr:nvSpPr>
            <xdr:cNvPr id="2606769" name="Drop Down 3761" hidden="1">
              <a:extLst>
                <a:ext uri="{63B3BB69-23CF-44E3-9099-C40C66FF867C}">
                  <a14:compatExt spid="_x0000_s2606769"/>
                </a:ext>
                <a:ext uri="{FF2B5EF4-FFF2-40B4-BE49-F238E27FC236}">
                  <a16:creationId xmlns:a16="http://schemas.microsoft.com/office/drawing/2014/main" id="{00000000-0008-0000-0000-0000B1C62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393700</xdr:colOff>
          <xdr:row>158</xdr:row>
          <xdr:rowOff>12700</xdr:rowOff>
        </xdr:from>
        <xdr:to>
          <xdr:col>5</xdr:col>
          <xdr:colOff>1085850</xdr:colOff>
          <xdr:row>159</xdr:row>
          <xdr:rowOff>25400</xdr:rowOff>
        </xdr:to>
        <xdr:sp macro="" textlink="">
          <xdr:nvSpPr>
            <xdr:cNvPr id="2606770" name="Drop Down 3762" hidden="1">
              <a:extLst>
                <a:ext uri="{63B3BB69-23CF-44E3-9099-C40C66FF867C}">
                  <a14:compatExt spid="_x0000_s2606770"/>
                </a:ext>
                <a:ext uri="{FF2B5EF4-FFF2-40B4-BE49-F238E27FC236}">
                  <a16:creationId xmlns:a16="http://schemas.microsoft.com/office/drawing/2014/main" id="{00000000-0008-0000-0000-0000B2C62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393700</xdr:colOff>
          <xdr:row>158</xdr:row>
          <xdr:rowOff>6350</xdr:rowOff>
        </xdr:from>
        <xdr:to>
          <xdr:col>7</xdr:col>
          <xdr:colOff>1085850</xdr:colOff>
          <xdr:row>159</xdr:row>
          <xdr:rowOff>25400</xdr:rowOff>
        </xdr:to>
        <xdr:sp macro="" textlink="">
          <xdr:nvSpPr>
            <xdr:cNvPr id="2606771" name="Drop Down 3763" hidden="1">
              <a:extLst>
                <a:ext uri="{63B3BB69-23CF-44E3-9099-C40C66FF867C}">
                  <a14:compatExt spid="_x0000_s2606771"/>
                </a:ext>
                <a:ext uri="{FF2B5EF4-FFF2-40B4-BE49-F238E27FC236}">
                  <a16:creationId xmlns:a16="http://schemas.microsoft.com/office/drawing/2014/main" id="{00000000-0008-0000-0000-0000B3C62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393700</xdr:colOff>
          <xdr:row>192</xdr:row>
          <xdr:rowOff>12700</xdr:rowOff>
        </xdr:from>
        <xdr:to>
          <xdr:col>5</xdr:col>
          <xdr:colOff>1085850</xdr:colOff>
          <xdr:row>193</xdr:row>
          <xdr:rowOff>6350</xdr:rowOff>
        </xdr:to>
        <xdr:sp macro="" textlink="">
          <xdr:nvSpPr>
            <xdr:cNvPr id="2606772" name="Drop Down 3764" hidden="1">
              <a:extLst>
                <a:ext uri="{63B3BB69-23CF-44E3-9099-C40C66FF867C}">
                  <a14:compatExt spid="_x0000_s2606772"/>
                </a:ext>
                <a:ext uri="{FF2B5EF4-FFF2-40B4-BE49-F238E27FC236}">
                  <a16:creationId xmlns:a16="http://schemas.microsoft.com/office/drawing/2014/main" id="{00000000-0008-0000-0000-0000B4C62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393700</xdr:colOff>
          <xdr:row>192</xdr:row>
          <xdr:rowOff>6350</xdr:rowOff>
        </xdr:from>
        <xdr:to>
          <xdr:col>7</xdr:col>
          <xdr:colOff>1085850</xdr:colOff>
          <xdr:row>193</xdr:row>
          <xdr:rowOff>6350</xdr:rowOff>
        </xdr:to>
        <xdr:sp macro="" textlink="">
          <xdr:nvSpPr>
            <xdr:cNvPr id="2606773" name="Drop Down 3765" hidden="1">
              <a:extLst>
                <a:ext uri="{63B3BB69-23CF-44E3-9099-C40C66FF867C}">
                  <a14:compatExt spid="_x0000_s2606773"/>
                </a:ext>
                <a:ext uri="{FF2B5EF4-FFF2-40B4-BE49-F238E27FC236}">
                  <a16:creationId xmlns:a16="http://schemas.microsoft.com/office/drawing/2014/main" id="{00000000-0008-0000-0000-0000B5C62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400050</xdr:colOff>
          <xdr:row>193</xdr:row>
          <xdr:rowOff>0</xdr:rowOff>
        </xdr:from>
        <xdr:to>
          <xdr:col>3</xdr:col>
          <xdr:colOff>1085850</xdr:colOff>
          <xdr:row>194</xdr:row>
          <xdr:rowOff>6350</xdr:rowOff>
        </xdr:to>
        <xdr:sp macro="" textlink="">
          <xdr:nvSpPr>
            <xdr:cNvPr id="2606774" name="Drop Down 3766" hidden="1">
              <a:extLst>
                <a:ext uri="{63B3BB69-23CF-44E3-9099-C40C66FF867C}">
                  <a14:compatExt spid="_x0000_s2606774"/>
                </a:ext>
                <a:ext uri="{FF2B5EF4-FFF2-40B4-BE49-F238E27FC236}">
                  <a16:creationId xmlns:a16="http://schemas.microsoft.com/office/drawing/2014/main" id="{00000000-0008-0000-0000-0000B6C62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393700</xdr:colOff>
          <xdr:row>193</xdr:row>
          <xdr:rowOff>12700</xdr:rowOff>
        </xdr:from>
        <xdr:to>
          <xdr:col>5</xdr:col>
          <xdr:colOff>1085850</xdr:colOff>
          <xdr:row>194</xdr:row>
          <xdr:rowOff>6350</xdr:rowOff>
        </xdr:to>
        <xdr:sp macro="" textlink="">
          <xdr:nvSpPr>
            <xdr:cNvPr id="2606775" name="Drop Down 3767" hidden="1">
              <a:extLst>
                <a:ext uri="{63B3BB69-23CF-44E3-9099-C40C66FF867C}">
                  <a14:compatExt spid="_x0000_s2606775"/>
                </a:ext>
                <a:ext uri="{FF2B5EF4-FFF2-40B4-BE49-F238E27FC236}">
                  <a16:creationId xmlns:a16="http://schemas.microsoft.com/office/drawing/2014/main" id="{00000000-0008-0000-0000-0000B7C62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393700</xdr:colOff>
          <xdr:row>193</xdr:row>
          <xdr:rowOff>6350</xdr:rowOff>
        </xdr:from>
        <xdr:to>
          <xdr:col>7</xdr:col>
          <xdr:colOff>1085850</xdr:colOff>
          <xdr:row>194</xdr:row>
          <xdr:rowOff>6350</xdr:rowOff>
        </xdr:to>
        <xdr:sp macro="" textlink="">
          <xdr:nvSpPr>
            <xdr:cNvPr id="2606776" name="Drop Down 3768" hidden="1">
              <a:extLst>
                <a:ext uri="{63B3BB69-23CF-44E3-9099-C40C66FF867C}">
                  <a14:compatExt spid="_x0000_s2606776"/>
                </a:ext>
                <a:ext uri="{FF2B5EF4-FFF2-40B4-BE49-F238E27FC236}">
                  <a16:creationId xmlns:a16="http://schemas.microsoft.com/office/drawing/2014/main" id="{00000000-0008-0000-0000-0000B8C62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twoCellAnchor>
    <xdr:from>
      <xdr:col>10</xdr:col>
      <xdr:colOff>225985</xdr:colOff>
      <xdr:row>36</xdr:row>
      <xdr:rowOff>50240</xdr:rowOff>
    </xdr:from>
    <xdr:to>
      <xdr:col>18</xdr:col>
      <xdr:colOff>73585</xdr:colOff>
      <xdr:row>38</xdr:row>
      <xdr:rowOff>15875</xdr:rowOff>
    </xdr:to>
    <xdr:sp macro="" textlink="">
      <xdr:nvSpPr>
        <xdr:cNvPr id="6" name="Rectangle 137">
          <a:extLst>
            <a:ext uri="{FF2B5EF4-FFF2-40B4-BE49-F238E27FC236}">
              <a16:creationId xmlns:a16="http://schemas.microsoft.com/office/drawing/2014/main" id="{92E0B55E-7D8D-4FE1-BCA9-975839C66EBE}"/>
            </a:ext>
          </a:extLst>
        </xdr:cNvPr>
        <xdr:cNvSpPr>
          <a:spLocks noChangeArrowheads="1"/>
        </xdr:cNvSpPr>
      </xdr:nvSpPr>
      <xdr:spPr bwMode="auto">
        <a:xfrm>
          <a:off x="11341660" y="7803590"/>
          <a:ext cx="4419600" cy="470460"/>
        </a:xfrm>
        <a:prstGeom prst="rect">
          <a:avLst/>
        </a:prstGeom>
        <a:solidFill>
          <a:srgbClr val="CCFFCC"/>
        </a:solidFill>
        <a:ln w="9525">
          <a:solidFill>
            <a:srgbClr val="000000"/>
          </a:solidFill>
          <a:miter lim="800000"/>
          <a:headEnd/>
          <a:tailEnd/>
        </a:ln>
      </xdr:spPr>
      <xdr:txBody>
        <a:bodyPr vertOverflow="clip" wrap="square" lIns="27432" tIns="22860" rIns="0" bIns="0" anchor="t" upright="1"/>
        <a:lstStyle/>
        <a:p>
          <a:pPr algn="l" rtl="0">
            <a:defRPr sz="1000"/>
          </a:pPr>
          <a:r>
            <a:rPr lang="en-GB" sz="800" b="0" i="0" u="none" strike="noStrike" baseline="0">
              <a:solidFill>
                <a:srgbClr val="000000"/>
              </a:solidFill>
              <a:latin typeface="Arial"/>
              <a:cs typeface="Arial"/>
            </a:rPr>
            <a:t>Note: </a:t>
          </a:r>
          <a:r>
            <a:rPr lang="en-GB" sz="800" b="0" i="0" u="sng" strike="noStrike" baseline="0">
              <a:solidFill>
                <a:srgbClr val="000000"/>
              </a:solidFill>
              <a:latin typeface="Arial"/>
              <a:cs typeface="Arial"/>
            </a:rPr>
            <a:t>Biomass power plant efficiency</a:t>
          </a:r>
        </a:p>
        <a:p>
          <a:pPr algn="l" rtl="0">
            <a:defRPr sz="1000"/>
          </a:pPr>
          <a:r>
            <a:rPr lang="en-GB" sz="800" b="0" i="0" u="none" strike="noStrike" baseline="0">
              <a:solidFill>
                <a:srgbClr val="000000"/>
              </a:solidFill>
              <a:latin typeface="Arial"/>
              <a:cs typeface="Arial"/>
            </a:rPr>
            <a:t>0.352 is an indicative value estimated for the Port Talbot CFBC power plant (</a:t>
          </a:r>
          <a:r>
            <a:rPr lang="en-GB" sz="800"/>
            <a:t>D.R. McIlveen-Wright et al. 2013)</a:t>
          </a:r>
          <a:r>
            <a:rPr lang="en-GB" sz="800" b="0" i="0" u="none" strike="noStrike" baseline="0">
              <a:solidFill>
                <a:srgbClr val="000000"/>
              </a:solidFill>
              <a:latin typeface="Arial"/>
              <a:cs typeface="Arial"/>
            </a:rPr>
            <a:t> </a:t>
          </a:r>
        </a:p>
      </xdr:txBody>
    </xdr:sp>
    <xdr:clientData/>
  </xdr:twoCellAnchor>
  <xdr:twoCellAnchor>
    <xdr:from>
      <xdr:col>7</xdr:col>
      <xdr:colOff>1190625</xdr:colOff>
      <xdr:row>37</xdr:row>
      <xdr:rowOff>26708</xdr:rowOff>
    </xdr:from>
    <xdr:to>
      <xdr:col>10</xdr:col>
      <xdr:colOff>225985</xdr:colOff>
      <xdr:row>38</xdr:row>
      <xdr:rowOff>133350</xdr:rowOff>
    </xdr:to>
    <xdr:cxnSp macro="">
      <xdr:nvCxnSpPr>
        <xdr:cNvPr id="14" name="Straight Arrow Connector 13">
          <a:extLst>
            <a:ext uri="{FF2B5EF4-FFF2-40B4-BE49-F238E27FC236}">
              <a16:creationId xmlns:a16="http://schemas.microsoft.com/office/drawing/2014/main" id="{A98EA85A-29D0-872D-F8F5-28A71AF15CC0}"/>
            </a:ext>
          </a:extLst>
        </xdr:cNvPr>
        <xdr:cNvCxnSpPr>
          <a:stCxn id="6" idx="1"/>
        </xdr:cNvCxnSpPr>
      </xdr:nvCxnSpPr>
      <xdr:spPr>
        <a:xfrm flipH="1">
          <a:off x="9915525" y="8037233"/>
          <a:ext cx="1426135" cy="354292"/>
        </a:xfrm>
        <a:prstGeom prst="straightConnector1">
          <a:avLst/>
        </a:prstGeom>
        <a:ln>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234950</xdr:colOff>
      <xdr:row>53</xdr:row>
      <xdr:rowOff>0</xdr:rowOff>
    </xdr:from>
    <xdr:to>
      <xdr:col>18</xdr:col>
      <xdr:colOff>200855</xdr:colOff>
      <xdr:row>54</xdr:row>
      <xdr:rowOff>133350</xdr:rowOff>
    </xdr:to>
    <xdr:sp macro="" textlink="">
      <xdr:nvSpPr>
        <xdr:cNvPr id="18" name="Rectangle 64">
          <a:extLst>
            <a:ext uri="{FF2B5EF4-FFF2-40B4-BE49-F238E27FC236}">
              <a16:creationId xmlns:a16="http://schemas.microsoft.com/office/drawing/2014/main" id="{436425A4-12E2-4A1F-9CF8-5FF57396303D}"/>
            </a:ext>
          </a:extLst>
        </xdr:cNvPr>
        <xdr:cNvSpPr>
          <a:spLocks noChangeArrowheads="1"/>
        </xdr:cNvSpPr>
      </xdr:nvSpPr>
      <xdr:spPr bwMode="auto">
        <a:xfrm>
          <a:off x="11350625" y="11087100"/>
          <a:ext cx="4537905" cy="295275"/>
        </a:xfrm>
        <a:prstGeom prst="rect">
          <a:avLst/>
        </a:prstGeom>
        <a:solidFill>
          <a:srgbClr val="CCFFCC"/>
        </a:solidFill>
        <a:ln w="9525">
          <a:solidFill>
            <a:srgbClr val="000000"/>
          </a:solidFill>
          <a:miter lim="800000"/>
          <a:headEnd/>
          <a:tailEnd/>
        </a:ln>
      </xdr:spPr>
      <xdr:txBody>
        <a:bodyPr vertOverflow="clip" wrap="square" lIns="27432" tIns="22860" rIns="0" bIns="0" anchor="t" upright="1"/>
        <a:lstStyle/>
        <a:p>
          <a:pPr marL="0" marR="0" indent="0" algn="l" defTabSz="914400" rtl="0" eaLnBrk="1" fontAlgn="auto" latinLnBrk="0" hangingPunct="1">
            <a:lnSpc>
              <a:spcPct val="100000"/>
            </a:lnSpc>
            <a:spcBef>
              <a:spcPts val="0"/>
            </a:spcBef>
            <a:spcAft>
              <a:spcPts val="0"/>
            </a:spcAft>
            <a:buClrTx/>
            <a:buSzTx/>
            <a:buFontTx/>
            <a:buNone/>
            <a:tabLst/>
            <a:defRPr sz="1000"/>
          </a:pPr>
          <a:r>
            <a:rPr lang="en-GB" sz="800" b="0" i="0" strike="noStrike">
              <a:solidFill>
                <a:srgbClr val="000000"/>
              </a:solidFill>
              <a:latin typeface="Arial" pitchFamily="34" charset="0"/>
              <a:cs typeface="Arial" pitchFamily="34" charset="0"/>
            </a:rPr>
            <a:t>Note: </a:t>
          </a:r>
          <a:r>
            <a:rPr lang="en-GB" sz="800" b="0" i="0" u="sng" strike="noStrike">
              <a:solidFill>
                <a:srgbClr val="000000"/>
              </a:solidFill>
              <a:latin typeface="Arial" pitchFamily="34" charset="0"/>
              <a:cs typeface="Arial" pitchFamily="34" charset="0"/>
            </a:rPr>
            <a:t>Post-restoration</a:t>
          </a:r>
          <a:r>
            <a:rPr lang="en-GB" sz="800" b="0" i="0" u="sng" strike="noStrike" baseline="0">
              <a:solidFill>
                <a:srgbClr val="000000"/>
              </a:solidFill>
              <a:latin typeface="Arial" pitchFamily="34" charset="0"/>
              <a:cs typeface="Arial" pitchFamily="34" charset="0"/>
            </a:rPr>
            <a:t> water table depth</a:t>
          </a:r>
          <a:r>
            <a:rPr lang="en-GB" sz="800" b="0" i="0" u="sng" strike="noStrike">
              <a:solidFill>
                <a:srgbClr val="000000"/>
              </a:solidFill>
              <a:latin typeface="Arial" pitchFamily="34" charset="0"/>
              <a:cs typeface="Arial" pitchFamily="34" charset="0"/>
            </a:rPr>
            <a:t>.</a:t>
          </a:r>
          <a:r>
            <a:rPr lang="en-GB" sz="800" b="0" i="0" u="none" strike="noStrike">
              <a:solidFill>
                <a:srgbClr val="000000"/>
              </a:solidFill>
              <a:latin typeface="Arial" pitchFamily="34" charset="0"/>
              <a:cs typeface="Arial" pitchFamily="34" charset="0"/>
            </a:rPr>
            <a:t> Default</a:t>
          </a:r>
          <a:r>
            <a:rPr lang="en-GB" sz="800" b="0" i="0" u="none" strike="noStrike" baseline="0">
              <a:solidFill>
                <a:srgbClr val="000000"/>
              </a:solidFill>
              <a:latin typeface="Arial" pitchFamily="34" charset="0"/>
              <a:cs typeface="Arial" pitchFamily="34" charset="0"/>
            </a:rPr>
            <a:t> expected post-restoration water table depth set to 4cm (1 - 6m) (Gaffney et al. 2018, Hughes et al. 2025)</a:t>
          </a:r>
          <a:endParaRPr lang="en-GB" sz="800" b="0" i="0" strike="noStrike">
            <a:solidFill>
              <a:srgbClr val="000000"/>
            </a:solidFill>
            <a:latin typeface="Arial"/>
            <a:cs typeface="Arial"/>
          </a:endParaRPr>
        </a:p>
      </xdr:txBody>
    </xdr:sp>
    <xdr:clientData/>
  </xdr:twoCellAnchor>
  <xdr:twoCellAnchor>
    <xdr:from>
      <xdr:col>7</xdr:col>
      <xdr:colOff>1162048</xdr:colOff>
      <xdr:row>49</xdr:row>
      <xdr:rowOff>85723</xdr:rowOff>
    </xdr:from>
    <xdr:to>
      <xdr:col>10</xdr:col>
      <xdr:colOff>247649</xdr:colOff>
      <xdr:row>53</xdr:row>
      <xdr:rowOff>123824</xdr:rowOff>
    </xdr:to>
    <xdr:sp macro="" textlink="">
      <xdr:nvSpPr>
        <xdr:cNvPr id="20" name="Line 121">
          <a:extLst>
            <a:ext uri="{FF2B5EF4-FFF2-40B4-BE49-F238E27FC236}">
              <a16:creationId xmlns:a16="http://schemas.microsoft.com/office/drawing/2014/main" id="{EC87390D-0171-471F-B19D-D8025446DD19}"/>
            </a:ext>
          </a:extLst>
        </xdr:cNvPr>
        <xdr:cNvSpPr>
          <a:spLocks noChangeShapeType="1"/>
        </xdr:cNvSpPr>
      </xdr:nvSpPr>
      <xdr:spPr bwMode="auto">
        <a:xfrm flipH="1" flipV="1">
          <a:off x="9886948" y="10525123"/>
          <a:ext cx="1476376" cy="685801"/>
        </a:xfrm>
        <a:prstGeom prst="line">
          <a:avLst/>
        </a:prstGeom>
        <a:noFill/>
        <a:ln w="9525">
          <a:solidFill>
            <a:srgbClr val="000000"/>
          </a:solidFill>
          <a:round/>
          <a:headEnd/>
          <a:tailEnd type="triangle" w="med" len="med"/>
        </a:ln>
      </xdr:spPr>
    </xdr:sp>
    <xdr:clientData/>
  </xdr:twoCellAnchor>
  <xdr:twoCellAnchor>
    <xdr:from>
      <xdr:col>10</xdr:col>
      <xdr:colOff>225425</xdr:colOff>
      <xdr:row>51</xdr:row>
      <xdr:rowOff>9525</xdr:rowOff>
    </xdr:from>
    <xdr:to>
      <xdr:col>18</xdr:col>
      <xdr:colOff>191330</xdr:colOff>
      <xdr:row>52</xdr:row>
      <xdr:rowOff>63500</xdr:rowOff>
    </xdr:to>
    <xdr:sp macro="" textlink="">
      <xdr:nvSpPr>
        <xdr:cNvPr id="22" name="Rectangle 64">
          <a:extLst>
            <a:ext uri="{FF2B5EF4-FFF2-40B4-BE49-F238E27FC236}">
              <a16:creationId xmlns:a16="http://schemas.microsoft.com/office/drawing/2014/main" id="{DAFCF3D0-7D0E-4A8F-9C3B-CFA58DFF5E77}"/>
            </a:ext>
          </a:extLst>
        </xdr:cNvPr>
        <xdr:cNvSpPr>
          <a:spLocks noChangeArrowheads="1"/>
        </xdr:cNvSpPr>
      </xdr:nvSpPr>
      <xdr:spPr bwMode="auto">
        <a:xfrm>
          <a:off x="11341100" y="10772775"/>
          <a:ext cx="4537905" cy="215900"/>
        </a:xfrm>
        <a:prstGeom prst="rect">
          <a:avLst/>
        </a:prstGeom>
        <a:solidFill>
          <a:srgbClr val="CCFFCC"/>
        </a:solidFill>
        <a:ln w="9525">
          <a:solidFill>
            <a:srgbClr val="000000"/>
          </a:solidFill>
          <a:miter lim="800000"/>
          <a:headEnd/>
          <a:tailEnd/>
        </a:ln>
      </xdr:spPr>
      <xdr:txBody>
        <a:bodyPr vertOverflow="clip" wrap="square" lIns="27432" tIns="22860" rIns="0" bIns="0" anchor="t" upright="1"/>
        <a:lstStyle/>
        <a:p>
          <a:pPr marL="0" marR="0" indent="0" algn="l" defTabSz="914400" rtl="0" eaLnBrk="1" fontAlgn="auto" latinLnBrk="0" hangingPunct="1">
            <a:lnSpc>
              <a:spcPct val="100000"/>
            </a:lnSpc>
            <a:spcBef>
              <a:spcPts val="0"/>
            </a:spcBef>
            <a:spcAft>
              <a:spcPts val="0"/>
            </a:spcAft>
            <a:buClrTx/>
            <a:buSzTx/>
            <a:buFontTx/>
            <a:buNone/>
            <a:tabLst/>
            <a:defRPr sz="1000"/>
          </a:pPr>
          <a:r>
            <a:rPr lang="en-GB" sz="800" b="0" i="0" strike="noStrike">
              <a:solidFill>
                <a:srgbClr val="000000"/>
              </a:solidFill>
              <a:latin typeface="Arial" pitchFamily="34" charset="0"/>
              <a:cs typeface="Arial" pitchFamily="34" charset="0"/>
            </a:rPr>
            <a:t>Note: </a:t>
          </a:r>
          <a:r>
            <a:rPr lang="en-GB" sz="800" b="0" i="0" u="sng" strike="noStrike">
              <a:solidFill>
                <a:srgbClr val="000000"/>
              </a:solidFill>
              <a:latin typeface="Arial" pitchFamily="34" charset="0"/>
              <a:cs typeface="Arial" pitchFamily="34" charset="0"/>
            </a:rPr>
            <a:t>Pre-restoration</a:t>
          </a:r>
          <a:r>
            <a:rPr lang="en-GB" sz="800" b="0" i="0" u="sng" strike="noStrike" baseline="0">
              <a:solidFill>
                <a:srgbClr val="000000"/>
              </a:solidFill>
              <a:latin typeface="Arial" pitchFamily="34" charset="0"/>
              <a:cs typeface="Arial" pitchFamily="34" charset="0"/>
            </a:rPr>
            <a:t> water table depth</a:t>
          </a:r>
          <a:r>
            <a:rPr lang="en-GB" sz="800" b="0" i="0" u="sng" strike="noStrike">
              <a:solidFill>
                <a:srgbClr val="000000"/>
              </a:solidFill>
              <a:latin typeface="Arial" pitchFamily="34" charset="0"/>
              <a:cs typeface="Arial" pitchFamily="34" charset="0"/>
            </a:rPr>
            <a:t>.</a:t>
          </a:r>
          <a:r>
            <a:rPr lang="en-GB" sz="800" b="0" i="0" u="none" strike="noStrike">
              <a:solidFill>
                <a:srgbClr val="000000"/>
              </a:solidFill>
              <a:latin typeface="Arial" pitchFamily="34" charset="0"/>
              <a:cs typeface="Arial" pitchFamily="34" charset="0"/>
            </a:rPr>
            <a:t> Measured user input</a:t>
          </a:r>
          <a:endParaRPr lang="en-GB" sz="800" b="0" i="0" strike="noStrike">
            <a:solidFill>
              <a:srgbClr val="000000"/>
            </a:solidFill>
            <a:latin typeface="Arial"/>
            <a:cs typeface="Arial"/>
          </a:endParaRPr>
        </a:p>
      </xdr:txBody>
    </xdr:sp>
    <xdr:clientData/>
  </xdr:twoCellAnchor>
  <xdr:twoCellAnchor>
    <xdr:from>
      <xdr:col>7</xdr:col>
      <xdr:colOff>1174748</xdr:colOff>
      <xdr:row>48</xdr:row>
      <xdr:rowOff>66674</xdr:rowOff>
    </xdr:from>
    <xdr:to>
      <xdr:col>10</xdr:col>
      <xdr:colOff>228599</xdr:colOff>
      <xdr:row>51</xdr:row>
      <xdr:rowOff>85724</xdr:rowOff>
    </xdr:to>
    <xdr:sp macro="" textlink="">
      <xdr:nvSpPr>
        <xdr:cNvPr id="23" name="Line 121">
          <a:extLst>
            <a:ext uri="{FF2B5EF4-FFF2-40B4-BE49-F238E27FC236}">
              <a16:creationId xmlns:a16="http://schemas.microsoft.com/office/drawing/2014/main" id="{B068D59A-58B2-43DF-9637-BF1EB03C462C}"/>
            </a:ext>
          </a:extLst>
        </xdr:cNvPr>
        <xdr:cNvSpPr>
          <a:spLocks noChangeShapeType="1"/>
        </xdr:cNvSpPr>
      </xdr:nvSpPr>
      <xdr:spPr bwMode="auto">
        <a:xfrm flipH="1" flipV="1">
          <a:off x="9899648" y="10344149"/>
          <a:ext cx="1444626" cy="504825"/>
        </a:xfrm>
        <a:prstGeom prst="line">
          <a:avLst/>
        </a:prstGeom>
        <a:noFill/>
        <a:ln w="9525">
          <a:solidFill>
            <a:srgbClr val="000000"/>
          </a:solidFill>
          <a:round/>
          <a:headEnd/>
          <a:tailEnd type="triangle" w="med" len="med"/>
        </a:ln>
      </xdr:spPr>
    </xdr:sp>
    <xdr:clientData/>
  </xdr:twoCellAnchor>
  <xdr:twoCellAnchor>
    <xdr:from>
      <xdr:col>10</xdr:col>
      <xdr:colOff>219075</xdr:colOff>
      <xdr:row>2</xdr:row>
      <xdr:rowOff>463550</xdr:rowOff>
    </xdr:from>
    <xdr:to>
      <xdr:col>18</xdr:col>
      <xdr:colOff>53975</xdr:colOff>
      <xdr:row>5</xdr:row>
      <xdr:rowOff>158750</xdr:rowOff>
    </xdr:to>
    <xdr:sp macro="" textlink="">
      <xdr:nvSpPr>
        <xdr:cNvPr id="29" name="Rectangle 143">
          <a:extLst>
            <a:ext uri="{FF2B5EF4-FFF2-40B4-BE49-F238E27FC236}">
              <a16:creationId xmlns:a16="http://schemas.microsoft.com/office/drawing/2014/main" id="{8EB69BB2-29F8-48CE-833A-675543FA6997}"/>
            </a:ext>
          </a:extLst>
        </xdr:cNvPr>
        <xdr:cNvSpPr>
          <a:spLocks noChangeArrowheads="1"/>
        </xdr:cNvSpPr>
      </xdr:nvSpPr>
      <xdr:spPr bwMode="auto">
        <a:xfrm>
          <a:off x="11334750" y="787400"/>
          <a:ext cx="4406900" cy="542925"/>
        </a:xfrm>
        <a:prstGeom prst="rect">
          <a:avLst/>
        </a:prstGeom>
        <a:solidFill>
          <a:srgbClr val="CCFFCC"/>
        </a:solidFill>
        <a:ln w="9525">
          <a:solidFill>
            <a:srgbClr val="000000"/>
          </a:solidFill>
          <a:miter lim="800000"/>
          <a:headEnd/>
          <a:tailEnd/>
        </a:ln>
      </xdr:spPr>
      <xdr:txBody>
        <a:bodyPr vertOverflow="clip" wrap="square" lIns="27432" tIns="22860" rIns="0" bIns="0" anchor="t" upright="1"/>
        <a:lstStyle/>
        <a:p>
          <a:pPr rtl="0"/>
          <a:r>
            <a:rPr lang="en-GB" sz="800" b="0" i="0" baseline="0">
              <a:latin typeface="Arial" pitchFamily="34" charset="0"/>
              <a:ea typeface="+mn-ea"/>
              <a:cs typeface="Arial" pitchFamily="34" charset="0"/>
            </a:rPr>
            <a:t>Note: </a:t>
          </a:r>
          <a:r>
            <a:rPr lang="en-GB" sz="800" b="0" i="0" u="sng" baseline="0">
              <a:latin typeface="Arial" pitchFamily="34" charset="0"/>
              <a:ea typeface="+mn-ea"/>
              <a:cs typeface="Arial" pitchFamily="34" charset="0"/>
            </a:rPr>
            <a:t>Emissions associated with mulching</a:t>
          </a:r>
          <a:r>
            <a:rPr lang="en-GB" sz="800" b="0" i="0" baseline="0">
              <a:latin typeface="Arial" pitchFamily="34" charset="0"/>
              <a:ea typeface="+mn-ea"/>
              <a:cs typeface="Arial" pitchFamily="34" charset="0"/>
            </a:rPr>
            <a:t>. </a:t>
          </a:r>
          <a:endParaRPr lang="en-GB" sz="800">
            <a:latin typeface="Arial" pitchFamily="34" charset="0"/>
            <a:cs typeface="Arial" pitchFamily="34" charset="0"/>
          </a:endParaRPr>
        </a:p>
        <a:p>
          <a:pPr rtl="0"/>
          <a:r>
            <a:rPr lang="en-GB" sz="800" b="0" i="0" baseline="0">
              <a:latin typeface="Arial" pitchFamily="34" charset="0"/>
              <a:ea typeface="+mn-ea"/>
              <a:cs typeface="Arial" pitchFamily="34" charset="0"/>
            </a:rPr>
            <a:t>These estimates are derived from manufacturers technical specs and service provider estimates of mulching rates. Values equate to 10-25% of the harvesting emissions, however havesting requires a harvester and a forwarder and is a more skilled job.</a:t>
          </a:r>
        </a:p>
        <a:p>
          <a:pPr rtl="0"/>
          <a:endParaRPr lang="en-GB" sz="800">
            <a:latin typeface="Arial" pitchFamily="34" charset="0"/>
            <a:ea typeface="+mn-ea"/>
            <a:cs typeface="Arial" pitchFamily="34" charset="0"/>
          </a:endParaRPr>
        </a:p>
      </xdr:txBody>
    </xdr:sp>
    <xdr:clientData/>
  </xdr:twoCellAnchor>
  <xdr:twoCellAnchor>
    <xdr:from>
      <xdr:col>10</xdr:col>
      <xdr:colOff>244475</xdr:colOff>
      <xdr:row>15</xdr:row>
      <xdr:rowOff>104775</xdr:rowOff>
    </xdr:from>
    <xdr:to>
      <xdr:col>18</xdr:col>
      <xdr:colOff>85725</xdr:colOff>
      <xdr:row>18</xdr:row>
      <xdr:rowOff>0</xdr:rowOff>
    </xdr:to>
    <xdr:sp macro="" textlink="">
      <xdr:nvSpPr>
        <xdr:cNvPr id="4" name="Rectangle 143">
          <a:extLst>
            <a:ext uri="{FF2B5EF4-FFF2-40B4-BE49-F238E27FC236}">
              <a16:creationId xmlns:a16="http://schemas.microsoft.com/office/drawing/2014/main" id="{72B45934-576A-4DA2-AA63-04CB4F3B62EE}"/>
            </a:ext>
          </a:extLst>
        </xdr:cNvPr>
        <xdr:cNvSpPr>
          <a:spLocks noChangeArrowheads="1"/>
        </xdr:cNvSpPr>
      </xdr:nvSpPr>
      <xdr:spPr bwMode="auto">
        <a:xfrm>
          <a:off x="11360150" y="4495800"/>
          <a:ext cx="4413250" cy="466725"/>
        </a:xfrm>
        <a:prstGeom prst="rect">
          <a:avLst/>
        </a:prstGeom>
        <a:solidFill>
          <a:srgbClr val="CCFFCC"/>
        </a:solidFill>
        <a:ln w="9525">
          <a:solidFill>
            <a:srgbClr val="000000"/>
          </a:solidFill>
          <a:miter lim="800000"/>
          <a:headEnd/>
          <a:tailEnd/>
        </a:ln>
      </xdr:spPr>
      <xdr:txBody>
        <a:bodyPr vertOverflow="clip" wrap="square" lIns="27432" tIns="22860" rIns="0" bIns="0" anchor="t" upright="1"/>
        <a:lstStyle/>
        <a:p>
          <a:pPr rtl="0"/>
          <a:r>
            <a:rPr lang="en-GB" sz="800" b="0" i="0" baseline="0">
              <a:latin typeface="Arial" pitchFamily="34" charset="0"/>
              <a:ea typeface="+mn-ea"/>
              <a:cs typeface="Arial" pitchFamily="34" charset="0"/>
            </a:rPr>
            <a:t>Note: </a:t>
          </a:r>
          <a:r>
            <a:rPr lang="en-GB" sz="800" b="0" i="0" u="sng" baseline="0">
              <a:latin typeface="Arial" pitchFamily="34" charset="0"/>
              <a:ea typeface="+mn-ea"/>
              <a:cs typeface="Arial" pitchFamily="34" charset="0"/>
            </a:rPr>
            <a:t>Empirically estimated DOC/POC fluxes</a:t>
          </a:r>
          <a:r>
            <a:rPr lang="en-GB" sz="800" b="0" i="0" baseline="0">
              <a:latin typeface="Arial" pitchFamily="34" charset="0"/>
              <a:ea typeface="+mn-ea"/>
              <a:cs typeface="Arial" pitchFamily="34" charset="0"/>
            </a:rPr>
            <a:t>. </a:t>
          </a:r>
          <a:endParaRPr lang="en-GB" sz="800">
            <a:latin typeface="Arial" pitchFamily="34" charset="0"/>
            <a:cs typeface="Arial" pitchFamily="34" charset="0"/>
          </a:endParaRPr>
        </a:p>
        <a:p>
          <a:pPr rtl="0"/>
          <a:r>
            <a:rPr lang="en-GB" sz="800" b="0" i="0" baseline="0">
              <a:latin typeface="Arial" pitchFamily="34" charset="0"/>
              <a:ea typeface="+mn-ea"/>
              <a:cs typeface="Arial" pitchFamily="34" charset="0"/>
            </a:rPr>
            <a:t>Aveage value from multiple studies (Worrall et al., 2009, Dawson et al., 1995, Dawson et al., 2002)</a:t>
          </a:r>
        </a:p>
        <a:p>
          <a:pPr rtl="0"/>
          <a:endParaRPr lang="en-GB" sz="800">
            <a:latin typeface="Arial" pitchFamily="34" charset="0"/>
            <a:ea typeface="+mn-ea"/>
            <a:cs typeface="Arial" pitchFamily="34" charset="0"/>
          </a:endParaRPr>
        </a:p>
      </xdr:txBody>
    </xdr:sp>
    <xdr:clientData/>
  </xdr:twoCellAnchor>
  <xdr:twoCellAnchor>
    <xdr:from>
      <xdr:col>7</xdr:col>
      <xdr:colOff>1254125</xdr:colOff>
      <xdr:row>16</xdr:row>
      <xdr:rowOff>95250</xdr:rowOff>
    </xdr:from>
    <xdr:to>
      <xdr:col>10</xdr:col>
      <xdr:colOff>244475</xdr:colOff>
      <xdr:row>16</xdr:row>
      <xdr:rowOff>166688</xdr:rowOff>
    </xdr:to>
    <xdr:cxnSp macro="">
      <xdr:nvCxnSpPr>
        <xdr:cNvPr id="19" name="Straight Arrow Connector 18">
          <a:extLst>
            <a:ext uri="{FF2B5EF4-FFF2-40B4-BE49-F238E27FC236}">
              <a16:creationId xmlns:a16="http://schemas.microsoft.com/office/drawing/2014/main" id="{8E1D53F5-ECF6-8867-9031-B36700271782}"/>
            </a:ext>
          </a:extLst>
        </xdr:cNvPr>
        <xdr:cNvCxnSpPr>
          <a:stCxn id="4" idx="1"/>
        </xdr:cNvCxnSpPr>
      </xdr:nvCxnSpPr>
      <xdr:spPr>
        <a:xfrm flipH="1" flipV="1">
          <a:off x="9979025" y="4657725"/>
          <a:ext cx="1381125" cy="71438"/>
        </a:xfrm>
        <a:prstGeom prst="straightConnector1">
          <a:avLst/>
        </a:prstGeom>
        <a:ln>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209550</xdr:colOff>
      <xdr:row>12</xdr:row>
      <xdr:rowOff>85725</xdr:rowOff>
    </xdr:from>
    <xdr:to>
      <xdr:col>18</xdr:col>
      <xdr:colOff>47625</xdr:colOff>
      <xdr:row>14</xdr:row>
      <xdr:rowOff>104775</xdr:rowOff>
    </xdr:to>
    <xdr:sp macro="" textlink="">
      <xdr:nvSpPr>
        <xdr:cNvPr id="12" name="Rectangle 143">
          <a:extLst>
            <a:ext uri="{FF2B5EF4-FFF2-40B4-BE49-F238E27FC236}">
              <a16:creationId xmlns:a16="http://schemas.microsoft.com/office/drawing/2014/main" id="{387A5124-6A6D-4CEA-BBD3-468D7D792F50}"/>
            </a:ext>
          </a:extLst>
        </xdr:cNvPr>
        <xdr:cNvSpPr>
          <a:spLocks noChangeArrowheads="1"/>
        </xdr:cNvSpPr>
      </xdr:nvSpPr>
      <xdr:spPr bwMode="auto">
        <a:xfrm>
          <a:off x="11325225" y="2619375"/>
          <a:ext cx="4410075" cy="428625"/>
        </a:xfrm>
        <a:prstGeom prst="rect">
          <a:avLst/>
        </a:prstGeom>
        <a:solidFill>
          <a:srgbClr val="CCFFCC"/>
        </a:solidFill>
        <a:ln w="9525">
          <a:solidFill>
            <a:srgbClr val="000000"/>
          </a:solidFill>
          <a:miter lim="800000"/>
          <a:headEnd/>
          <a:tailEnd/>
        </a:ln>
      </xdr:spPr>
      <xdr:txBody>
        <a:bodyPr vertOverflow="clip" wrap="square" lIns="27432" tIns="22860" rIns="0" bIns="0" anchor="t" upright="1"/>
        <a:lstStyle/>
        <a:p>
          <a:pPr rtl="0"/>
          <a:r>
            <a:rPr lang="en-GB" sz="800" b="0" i="0" baseline="0">
              <a:latin typeface="Arial" pitchFamily="34" charset="0"/>
              <a:ea typeface="+mn-ea"/>
              <a:cs typeface="Arial" pitchFamily="34" charset="0"/>
            </a:rPr>
            <a:t>Note: </a:t>
          </a:r>
          <a:r>
            <a:rPr lang="en-GB" sz="800" b="0" i="0" u="sng" baseline="0">
              <a:latin typeface="Arial" pitchFamily="34" charset="0"/>
              <a:ea typeface="+mn-ea"/>
              <a:cs typeface="Arial" pitchFamily="34" charset="0"/>
            </a:rPr>
            <a:t>DOC/POC ratios</a:t>
          </a:r>
          <a:r>
            <a:rPr lang="en-GB" sz="800" b="0" i="0" baseline="0">
              <a:latin typeface="Arial" pitchFamily="34" charset="0"/>
              <a:ea typeface="+mn-ea"/>
              <a:cs typeface="Arial" pitchFamily="34" charset="0"/>
            </a:rPr>
            <a:t>. </a:t>
          </a:r>
          <a:endParaRPr lang="en-GB" sz="800">
            <a:latin typeface="Arial" pitchFamily="34" charset="0"/>
            <a:cs typeface="Arial" pitchFamily="34" charset="0"/>
          </a:endParaRPr>
        </a:p>
        <a:p>
          <a:pPr rtl="0"/>
          <a:r>
            <a:rPr lang="en-GB" sz="800" b="0" i="0" baseline="0">
              <a:latin typeface="Arial" pitchFamily="34" charset="0"/>
              <a:ea typeface="+mn-ea"/>
              <a:cs typeface="Arial" pitchFamily="34" charset="0"/>
            </a:rPr>
            <a:t>Taken from Worrall et al., 2009</a:t>
          </a:r>
        </a:p>
        <a:p>
          <a:pPr rtl="0"/>
          <a:endParaRPr lang="en-GB" sz="800">
            <a:latin typeface="Arial" pitchFamily="34" charset="0"/>
            <a:ea typeface="+mn-ea"/>
            <a:cs typeface="Arial" pitchFamily="34" charset="0"/>
          </a:endParaRPr>
        </a:p>
      </xdr:txBody>
    </xdr:sp>
    <xdr:clientData/>
  </xdr:twoCellAnchor>
  <xdr:twoCellAnchor>
    <xdr:from>
      <xdr:col>7</xdr:col>
      <xdr:colOff>1104900</xdr:colOff>
      <xdr:row>3</xdr:row>
      <xdr:rowOff>0</xdr:rowOff>
    </xdr:from>
    <xdr:to>
      <xdr:col>10</xdr:col>
      <xdr:colOff>196850</xdr:colOff>
      <xdr:row>4</xdr:row>
      <xdr:rowOff>95250</xdr:rowOff>
    </xdr:to>
    <xdr:cxnSp macro="">
      <xdr:nvCxnSpPr>
        <xdr:cNvPr id="32" name="Straight Arrow Connector 31">
          <a:extLst>
            <a:ext uri="{FF2B5EF4-FFF2-40B4-BE49-F238E27FC236}">
              <a16:creationId xmlns:a16="http://schemas.microsoft.com/office/drawing/2014/main" id="{76F6C70E-2C29-0A99-AFB4-7AD06D92FBC3}"/>
            </a:ext>
          </a:extLst>
        </xdr:cNvPr>
        <xdr:cNvCxnSpPr>
          <a:cxnSpLocks/>
        </xdr:cNvCxnSpPr>
      </xdr:nvCxnSpPr>
      <xdr:spPr>
        <a:xfrm flipH="1">
          <a:off x="9829800" y="3332163"/>
          <a:ext cx="1482725" cy="487362"/>
        </a:xfrm>
        <a:prstGeom prst="straightConnector1">
          <a:avLst/>
        </a:prstGeom>
        <a:ln>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238125</xdr:colOff>
      <xdr:row>18</xdr:row>
      <xdr:rowOff>133350</xdr:rowOff>
    </xdr:from>
    <xdr:to>
      <xdr:col>18</xdr:col>
      <xdr:colOff>73025</xdr:colOff>
      <xdr:row>21</xdr:row>
      <xdr:rowOff>85725</xdr:rowOff>
    </xdr:to>
    <xdr:sp macro="" textlink="">
      <xdr:nvSpPr>
        <xdr:cNvPr id="24" name="Rectangle 143">
          <a:extLst>
            <a:ext uri="{FF2B5EF4-FFF2-40B4-BE49-F238E27FC236}">
              <a16:creationId xmlns:a16="http://schemas.microsoft.com/office/drawing/2014/main" id="{A3A8BC43-BA13-4651-9616-FB1F58365969}"/>
            </a:ext>
          </a:extLst>
        </xdr:cNvPr>
        <xdr:cNvSpPr>
          <a:spLocks noChangeArrowheads="1"/>
        </xdr:cNvSpPr>
      </xdr:nvSpPr>
      <xdr:spPr bwMode="auto">
        <a:xfrm>
          <a:off x="11353800" y="5095875"/>
          <a:ext cx="4406900" cy="466725"/>
        </a:xfrm>
        <a:prstGeom prst="rect">
          <a:avLst/>
        </a:prstGeom>
        <a:solidFill>
          <a:srgbClr val="CCFFCC"/>
        </a:solidFill>
        <a:ln w="9525">
          <a:solidFill>
            <a:srgbClr val="000000"/>
          </a:solidFill>
          <a:miter lim="800000"/>
          <a:headEnd/>
          <a:tailEnd/>
        </a:ln>
      </xdr:spPr>
      <xdr:txBody>
        <a:bodyPr vertOverflow="clip" wrap="square" lIns="27432" tIns="22860" rIns="0" bIns="0" anchor="t" upright="1"/>
        <a:lstStyle/>
        <a:p>
          <a:pPr rtl="0"/>
          <a:r>
            <a:rPr lang="en-GB" sz="800" b="0" i="0" baseline="0">
              <a:latin typeface="Arial" pitchFamily="34" charset="0"/>
              <a:ea typeface="+mn-ea"/>
              <a:cs typeface="Arial" pitchFamily="34" charset="0"/>
            </a:rPr>
            <a:t>Note: </a:t>
          </a:r>
          <a:r>
            <a:rPr lang="en-GB" sz="800" b="0" i="0" u="sng" baseline="0">
              <a:latin typeface="Arial" pitchFamily="34" charset="0"/>
              <a:ea typeface="+mn-ea"/>
              <a:cs typeface="Arial" pitchFamily="34" charset="0"/>
            </a:rPr>
            <a:t>Empirically estimated root depth/density</a:t>
          </a:r>
          <a:r>
            <a:rPr lang="en-GB" sz="800" b="0" i="0" baseline="0">
              <a:latin typeface="Arial" pitchFamily="34" charset="0"/>
              <a:ea typeface="+mn-ea"/>
              <a:cs typeface="Arial" pitchFamily="34" charset="0"/>
            </a:rPr>
            <a:t>. </a:t>
          </a:r>
          <a:endParaRPr lang="en-GB" sz="800">
            <a:latin typeface="Arial" pitchFamily="34" charset="0"/>
            <a:cs typeface="Arial" pitchFamily="34" charset="0"/>
          </a:endParaRPr>
        </a:p>
        <a:p>
          <a:pPr rtl="0"/>
          <a:r>
            <a:rPr lang="en-GB" sz="800" b="0" i="0" baseline="0">
              <a:latin typeface="Arial" pitchFamily="34" charset="0"/>
              <a:ea typeface="+mn-ea"/>
              <a:cs typeface="Arial" pitchFamily="34" charset="0"/>
            </a:rPr>
            <a:t>Average plus or minus one standard devation estimated from FR tree pulling data (Nicholl et al. 2006) filtered by peats. Note only Sitka spruce available.</a:t>
          </a:r>
        </a:p>
        <a:p>
          <a:pPr rtl="0"/>
          <a:endParaRPr lang="en-GB" sz="800">
            <a:latin typeface="Arial" pitchFamily="34" charset="0"/>
            <a:ea typeface="+mn-ea"/>
            <a:cs typeface="Arial" pitchFamily="34" charset="0"/>
          </a:endParaRPr>
        </a:p>
      </xdr:txBody>
    </xdr:sp>
    <xdr:clientData/>
  </xdr:twoCellAnchor>
  <xdr:twoCellAnchor>
    <xdr:from>
      <xdr:col>7</xdr:col>
      <xdr:colOff>1266825</xdr:colOff>
      <xdr:row>19</xdr:row>
      <xdr:rowOff>104775</xdr:rowOff>
    </xdr:from>
    <xdr:to>
      <xdr:col>10</xdr:col>
      <xdr:colOff>234950</xdr:colOff>
      <xdr:row>20</xdr:row>
      <xdr:rowOff>41275</xdr:rowOff>
    </xdr:to>
    <xdr:cxnSp macro="">
      <xdr:nvCxnSpPr>
        <xdr:cNvPr id="26" name="Straight Arrow Connector 25">
          <a:extLst>
            <a:ext uri="{FF2B5EF4-FFF2-40B4-BE49-F238E27FC236}">
              <a16:creationId xmlns:a16="http://schemas.microsoft.com/office/drawing/2014/main" id="{A582B8F1-8BB5-7E9F-8067-7A4561EDC7D0}"/>
            </a:ext>
          </a:extLst>
        </xdr:cNvPr>
        <xdr:cNvCxnSpPr>
          <a:stCxn id="24" idx="1"/>
        </xdr:cNvCxnSpPr>
      </xdr:nvCxnSpPr>
      <xdr:spPr>
        <a:xfrm flipH="1" flipV="1">
          <a:off x="9991725" y="5229225"/>
          <a:ext cx="1358900" cy="98425"/>
        </a:xfrm>
        <a:prstGeom prst="straightConnector1">
          <a:avLst/>
        </a:prstGeom>
        <a:ln>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www.scotland.gov.uk/Documents%20and%20Settings/Forest%20Research/Local%20Settings/Temporary%20Internet%20Files/OLK31/Full%20carbon%20calculator%20for%20wind%20farms%20with%20forestry%20-%20Version%201%2014.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structions"/>
      <sheetName val="Input data"/>
      <sheetName val="Payback time and CO2 emissions"/>
      <sheetName val="1. Windfarm CO2 emission saving"/>
      <sheetName val="2. CO2 loss due to turbine life"/>
      <sheetName val="3. CO2 loss due to backup"/>
      <sheetName val="4. Loss of CO2 fixing pot."/>
      <sheetName val="5. Loss of soil CO2"/>
      <sheetName val="5a. Volume of peat removed"/>
      <sheetName val="5b. CO2 loss from removed peat"/>
      <sheetName val="5c. Volume of peat drained"/>
      <sheetName val="5d. CO2 loss from drained peat"/>
      <sheetName val="5e. Emission rates from soils"/>
      <sheetName val="6. CO2 loss by DOC &amp; POC loss"/>
      <sheetName val="7. CO2 loss from forests"/>
      <sheetName val="7ai. C sequestration in trees"/>
      <sheetName val="7aii. C sequest. in trees (3PG)"/>
      <sheetName val="7b. C seq. in soil under trees"/>
      <sheetName val="7c. Average stand data"/>
      <sheetName val="7d. Area of forestry felled"/>
      <sheetName val="7e Biomass produced by SRF"/>
      <sheetName val="7f. Wind speed ratios"/>
      <sheetName val="8. CO2 gain - site improvement"/>
    </sheetNames>
    <sheetDataSet>
      <sheetData sheetId="0" refreshError="1"/>
      <sheetData sheetId="1" refreshError="1">
        <row r="11">
          <cell r="C11">
            <v>71.5</v>
          </cell>
        </row>
        <row r="13">
          <cell r="C13">
            <v>68</v>
          </cell>
        </row>
        <row r="14">
          <cell r="C14">
            <v>1264</v>
          </cell>
        </row>
        <row r="15">
          <cell r="C15">
            <v>25</v>
          </cell>
        </row>
        <row r="18">
          <cell r="C18">
            <v>80</v>
          </cell>
        </row>
        <row r="19">
          <cell r="C19">
            <v>8</v>
          </cell>
        </row>
        <row r="27">
          <cell r="C27">
            <v>1</v>
          </cell>
        </row>
        <row r="29">
          <cell r="C29">
            <v>9</v>
          </cell>
        </row>
        <row r="40">
          <cell r="C40">
            <v>2</v>
          </cell>
        </row>
        <row r="41">
          <cell r="C41">
            <v>2</v>
          </cell>
        </row>
        <row r="50">
          <cell r="C50">
            <v>1</v>
          </cell>
        </row>
        <row r="52">
          <cell r="C52">
            <v>25</v>
          </cell>
        </row>
        <row r="53">
          <cell r="C53">
            <v>0</v>
          </cell>
        </row>
        <row r="54">
          <cell r="C54">
            <v>2</v>
          </cell>
        </row>
        <row r="55">
          <cell r="C55">
            <v>500</v>
          </cell>
        </row>
        <row r="56">
          <cell r="C56">
            <v>250</v>
          </cell>
        </row>
        <row r="57">
          <cell r="C57">
            <v>1000</v>
          </cell>
        </row>
        <row r="58">
          <cell r="C58">
            <v>3000</v>
          </cell>
        </row>
        <row r="59">
          <cell r="C59">
            <v>3</v>
          </cell>
        </row>
        <row r="69">
          <cell r="C69">
            <v>2.0277699999999999</v>
          </cell>
        </row>
        <row r="71">
          <cell r="C71">
            <v>0.5</v>
          </cell>
        </row>
        <row r="73">
          <cell r="C73">
            <v>1857</v>
          </cell>
        </row>
        <row r="74">
          <cell r="C74">
            <v>1423</v>
          </cell>
        </row>
        <row r="75">
          <cell r="C75">
            <v>1.3999999999999999E-4</v>
          </cell>
        </row>
        <row r="76">
          <cell r="C76">
            <v>0.25</v>
          </cell>
        </row>
        <row r="80">
          <cell r="C80">
            <v>0.60699999999999998</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theme/theme1.xml><?xml version="1.0" encoding="utf-8"?>
<a:theme xmlns:a="http://schemas.openxmlformats.org/drawingml/2006/main" name="Office Theme">
  <a:themeElements>
    <a:clrScheme name="Custom 1">
      <a:dk1>
        <a:srgbClr val="FFFF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17" Type="http://schemas.openxmlformats.org/officeDocument/2006/relationships/ctrlProp" Target="../ctrlProps/ctrlProp114.xml"/><Relationship Id="rId21" Type="http://schemas.openxmlformats.org/officeDocument/2006/relationships/ctrlProp" Target="../ctrlProps/ctrlProp18.xml"/><Relationship Id="rId42" Type="http://schemas.openxmlformats.org/officeDocument/2006/relationships/ctrlProp" Target="../ctrlProps/ctrlProp39.xml"/><Relationship Id="rId63" Type="http://schemas.openxmlformats.org/officeDocument/2006/relationships/ctrlProp" Target="../ctrlProps/ctrlProp60.xml"/><Relationship Id="rId84" Type="http://schemas.openxmlformats.org/officeDocument/2006/relationships/ctrlProp" Target="../ctrlProps/ctrlProp81.xml"/><Relationship Id="rId138" Type="http://schemas.openxmlformats.org/officeDocument/2006/relationships/ctrlProp" Target="../ctrlProps/ctrlProp135.xml"/><Relationship Id="rId159" Type="http://schemas.openxmlformats.org/officeDocument/2006/relationships/ctrlProp" Target="../ctrlProps/ctrlProp156.xml"/><Relationship Id="rId170" Type="http://schemas.openxmlformats.org/officeDocument/2006/relationships/ctrlProp" Target="../ctrlProps/ctrlProp167.xml"/><Relationship Id="rId107" Type="http://schemas.openxmlformats.org/officeDocument/2006/relationships/ctrlProp" Target="../ctrlProps/ctrlProp104.xml"/><Relationship Id="rId11" Type="http://schemas.openxmlformats.org/officeDocument/2006/relationships/ctrlProp" Target="../ctrlProps/ctrlProp8.xml"/><Relationship Id="rId32" Type="http://schemas.openxmlformats.org/officeDocument/2006/relationships/ctrlProp" Target="../ctrlProps/ctrlProp29.xml"/><Relationship Id="rId53" Type="http://schemas.openxmlformats.org/officeDocument/2006/relationships/ctrlProp" Target="../ctrlProps/ctrlProp50.xml"/><Relationship Id="rId74" Type="http://schemas.openxmlformats.org/officeDocument/2006/relationships/ctrlProp" Target="../ctrlProps/ctrlProp71.xml"/><Relationship Id="rId128" Type="http://schemas.openxmlformats.org/officeDocument/2006/relationships/ctrlProp" Target="../ctrlProps/ctrlProp125.xml"/><Relationship Id="rId149" Type="http://schemas.openxmlformats.org/officeDocument/2006/relationships/ctrlProp" Target="../ctrlProps/ctrlProp146.xml"/><Relationship Id="rId5" Type="http://schemas.openxmlformats.org/officeDocument/2006/relationships/ctrlProp" Target="../ctrlProps/ctrlProp2.xml"/><Relationship Id="rId95" Type="http://schemas.openxmlformats.org/officeDocument/2006/relationships/ctrlProp" Target="../ctrlProps/ctrlProp92.xml"/><Relationship Id="rId160" Type="http://schemas.openxmlformats.org/officeDocument/2006/relationships/ctrlProp" Target="../ctrlProps/ctrlProp157.xml"/><Relationship Id="rId181" Type="http://schemas.openxmlformats.org/officeDocument/2006/relationships/ctrlProp" Target="../ctrlProps/ctrlProp178.xml"/><Relationship Id="rId22" Type="http://schemas.openxmlformats.org/officeDocument/2006/relationships/ctrlProp" Target="../ctrlProps/ctrlProp19.xml"/><Relationship Id="rId43" Type="http://schemas.openxmlformats.org/officeDocument/2006/relationships/ctrlProp" Target="../ctrlProps/ctrlProp40.xml"/><Relationship Id="rId64" Type="http://schemas.openxmlformats.org/officeDocument/2006/relationships/ctrlProp" Target="../ctrlProps/ctrlProp61.xml"/><Relationship Id="rId118" Type="http://schemas.openxmlformats.org/officeDocument/2006/relationships/ctrlProp" Target="../ctrlProps/ctrlProp115.xml"/><Relationship Id="rId139" Type="http://schemas.openxmlformats.org/officeDocument/2006/relationships/ctrlProp" Target="../ctrlProps/ctrlProp136.xml"/><Relationship Id="rId85" Type="http://schemas.openxmlformats.org/officeDocument/2006/relationships/ctrlProp" Target="../ctrlProps/ctrlProp82.xml"/><Relationship Id="rId150" Type="http://schemas.openxmlformats.org/officeDocument/2006/relationships/ctrlProp" Target="../ctrlProps/ctrlProp147.xml"/><Relationship Id="rId171" Type="http://schemas.openxmlformats.org/officeDocument/2006/relationships/ctrlProp" Target="../ctrlProps/ctrlProp168.xml"/><Relationship Id="rId12" Type="http://schemas.openxmlformats.org/officeDocument/2006/relationships/ctrlProp" Target="../ctrlProps/ctrlProp9.xml"/><Relationship Id="rId33" Type="http://schemas.openxmlformats.org/officeDocument/2006/relationships/ctrlProp" Target="../ctrlProps/ctrlProp30.xml"/><Relationship Id="rId108" Type="http://schemas.openxmlformats.org/officeDocument/2006/relationships/ctrlProp" Target="../ctrlProps/ctrlProp105.xml"/><Relationship Id="rId129" Type="http://schemas.openxmlformats.org/officeDocument/2006/relationships/ctrlProp" Target="../ctrlProps/ctrlProp126.xml"/><Relationship Id="rId54" Type="http://schemas.openxmlformats.org/officeDocument/2006/relationships/ctrlProp" Target="../ctrlProps/ctrlProp51.xml"/><Relationship Id="rId75" Type="http://schemas.openxmlformats.org/officeDocument/2006/relationships/ctrlProp" Target="../ctrlProps/ctrlProp72.xml"/><Relationship Id="rId96" Type="http://schemas.openxmlformats.org/officeDocument/2006/relationships/ctrlProp" Target="../ctrlProps/ctrlProp93.xml"/><Relationship Id="rId140" Type="http://schemas.openxmlformats.org/officeDocument/2006/relationships/ctrlProp" Target="../ctrlProps/ctrlProp137.xml"/><Relationship Id="rId161" Type="http://schemas.openxmlformats.org/officeDocument/2006/relationships/ctrlProp" Target="../ctrlProps/ctrlProp158.xml"/><Relationship Id="rId182" Type="http://schemas.openxmlformats.org/officeDocument/2006/relationships/ctrlProp" Target="../ctrlProps/ctrlProp179.xml"/><Relationship Id="rId6" Type="http://schemas.openxmlformats.org/officeDocument/2006/relationships/ctrlProp" Target="../ctrlProps/ctrlProp3.xml"/><Relationship Id="rId23" Type="http://schemas.openxmlformats.org/officeDocument/2006/relationships/ctrlProp" Target="../ctrlProps/ctrlProp20.xml"/><Relationship Id="rId119" Type="http://schemas.openxmlformats.org/officeDocument/2006/relationships/ctrlProp" Target="../ctrlProps/ctrlProp116.xml"/><Relationship Id="rId44" Type="http://schemas.openxmlformats.org/officeDocument/2006/relationships/ctrlProp" Target="../ctrlProps/ctrlProp41.xml"/><Relationship Id="rId65" Type="http://schemas.openxmlformats.org/officeDocument/2006/relationships/ctrlProp" Target="../ctrlProps/ctrlProp62.xml"/><Relationship Id="rId86" Type="http://schemas.openxmlformats.org/officeDocument/2006/relationships/ctrlProp" Target="../ctrlProps/ctrlProp83.xml"/><Relationship Id="rId130" Type="http://schemas.openxmlformats.org/officeDocument/2006/relationships/ctrlProp" Target="../ctrlProps/ctrlProp127.xml"/><Relationship Id="rId151" Type="http://schemas.openxmlformats.org/officeDocument/2006/relationships/ctrlProp" Target="../ctrlProps/ctrlProp148.xml"/><Relationship Id="rId172" Type="http://schemas.openxmlformats.org/officeDocument/2006/relationships/ctrlProp" Target="../ctrlProps/ctrlProp169.xml"/><Relationship Id="rId13" Type="http://schemas.openxmlformats.org/officeDocument/2006/relationships/ctrlProp" Target="../ctrlProps/ctrlProp10.xml"/><Relationship Id="rId18" Type="http://schemas.openxmlformats.org/officeDocument/2006/relationships/ctrlProp" Target="../ctrlProps/ctrlProp15.xml"/><Relationship Id="rId39" Type="http://schemas.openxmlformats.org/officeDocument/2006/relationships/ctrlProp" Target="../ctrlProps/ctrlProp36.xml"/><Relationship Id="rId109" Type="http://schemas.openxmlformats.org/officeDocument/2006/relationships/ctrlProp" Target="../ctrlProps/ctrlProp106.xml"/><Relationship Id="rId34" Type="http://schemas.openxmlformats.org/officeDocument/2006/relationships/ctrlProp" Target="../ctrlProps/ctrlProp31.xml"/><Relationship Id="rId50" Type="http://schemas.openxmlformats.org/officeDocument/2006/relationships/ctrlProp" Target="../ctrlProps/ctrlProp47.xml"/><Relationship Id="rId55" Type="http://schemas.openxmlformats.org/officeDocument/2006/relationships/ctrlProp" Target="../ctrlProps/ctrlProp52.xml"/><Relationship Id="rId76" Type="http://schemas.openxmlformats.org/officeDocument/2006/relationships/ctrlProp" Target="../ctrlProps/ctrlProp73.xml"/><Relationship Id="rId97" Type="http://schemas.openxmlformats.org/officeDocument/2006/relationships/ctrlProp" Target="../ctrlProps/ctrlProp94.xml"/><Relationship Id="rId104" Type="http://schemas.openxmlformats.org/officeDocument/2006/relationships/ctrlProp" Target="../ctrlProps/ctrlProp101.xml"/><Relationship Id="rId120" Type="http://schemas.openxmlformats.org/officeDocument/2006/relationships/ctrlProp" Target="../ctrlProps/ctrlProp117.xml"/><Relationship Id="rId125" Type="http://schemas.openxmlformats.org/officeDocument/2006/relationships/ctrlProp" Target="../ctrlProps/ctrlProp122.xml"/><Relationship Id="rId141" Type="http://schemas.openxmlformats.org/officeDocument/2006/relationships/ctrlProp" Target="../ctrlProps/ctrlProp138.xml"/><Relationship Id="rId146" Type="http://schemas.openxmlformats.org/officeDocument/2006/relationships/ctrlProp" Target="../ctrlProps/ctrlProp143.xml"/><Relationship Id="rId167" Type="http://schemas.openxmlformats.org/officeDocument/2006/relationships/ctrlProp" Target="../ctrlProps/ctrlProp164.xml"/><Relationship Id="rId188" Type="http://schemas.openxmlformats.org/officeDocument/2006/relationships/ctrlProp" Target="../ctrlProps/ctrlProp185.xml"/><Relationship Id="rId7" Type="http://schemas.openxmlformats.org/officeDocument/2006/relationships/ctrlProp" Target="../ctrlProps/ctrlProp4.xml"/><Relationship Id="rId71" Type="http://schemas.openxmlformats.org/officeDocument/2006/relationships/ctrlProp" Target="../ctrlProps/ctrlProp68.xml"/><Relationship Id="rId92" Type="http://schemas.openxmlformats.org/officeDocument/2006/relationships/ctrlProp" Target="../ctrlProps/ctrlProp89.xml"/><Relationship Id="rId162" Type="http://schemas.openxmlformats.org/officeDocument/2006/relationships/ctrlProp" Target="../ctrlProps/ctrlProp159.xml"/><Relationship Id="rId183" Type="http://schemas.openxmlformats.org/officeDocument/2006/relationships/ctrlProp" Target="../ctrlProps/ctrlProp180.xml"/><Relationship Id="rId2" Type="http://schemas.openxmlformats.org/officeDocument/2006/relationships/drawing" Target="../drawings/drawing1.xml"/><Relationship Id="rId29" Type="http://schemas.openxmlformats.org/officeDocument/2006/relationships/ctrlProp" Target="../ctrlProps/ctrlProp26.xml"/><Relationship Id="rId24" Type="http://schemas.openxmlformats.org/officeDocument/2006/relationships/ctrlProp" Target="../ctrlProps/ctrlProp21.xml"/><Relationship Id="rId40" Type="http://schemas.openxmlformats.org/officeDocument/2006/relationships/ctrlProp" Target="../ctrlProps/ctrlProp37.xml"/><Relationship Id="rId45" Type="http://schemas.openxmlformats.org/officeDocument/2006/relationships/ctrlProp" Target="../ctrlProps/ctrlProp42.xml"/><Relationship Id="rId66" Type="http://schemas.openxmlformats.org/officeDocument/2006/relationships/ctrlProp" Target="../ctrlProps/ctrlProp63.xml"/><Relationship Id="rId87" Type="http://schemas.openxmlformats.org/officeDocument/2006/relationships/ctrlProp" Target="../ctrlProps/ctrlProp84.xml"/><Relationship Id="rId110" Type="http://schemas.openxmlformats.org/officeDocument/2006/relationships/ctrlProp" Target="../ctrlProps/ctrlProp107.xml"/><Relationship Id="rId115" Type="http://schemas.openxmlformats.org/officeDocument/2006/relationships/ctrlProp" Target="../ctrlProps/ctrlProp112.xml"/><Relationship Id="rId131" Type="http://schemas.openxmlformats.org/officeDocument/2006/relationships/ctrlProp" Target="../ctrlProps/ctrlProp128.xml"/><Relationship Id="rId136" Type="http://schemas.openxmlformats.org/officeDocument/2006/relationships/ctrlProp" Target="../ctrlProps/ctrlProp133.xml"/><Relationship Id="rId157" Type="http://schemas.openxmlformats.org/officeDocument/2006/relationships/ctrlProp" Target="../ctrlProps/ctrlProp154.xml"/><Relationship Id="rId178" Type="http://schemas.openxmlformats.org/officeDocument/2006/relationships/ctrlProp" Target="../ctrlProps/ctrlProp175.xml"/><Relationship Id="rId61" Type="http://schemas.openxmlformats.org/officeDocument/2006/relationships/ctrlProp" Target="../ctrlProps/ctrlProp58.xml"/><Relationship Id="rId82" Type="http://schemas.openxmlformats.org/officeDocument/2006/relationships/ctrlProp" Target="../ctrlProps/ctrlProp79.xml"/><Relationship Id="rId152" Type="http://schemas.openxmlformats.org/officeDocument/2006/relationships/ctrlProp" Target="../ctrlProps/ctrlProp149.xml"/><Relationship Id="rId173" Type="http://schemas.openxmlformats.org/officeDocument/2006/relationships/ctrlProp" Target="../ctrlProps/ctrlProp170.xml"/><Relationship Id="rId19" Type="http://schemas.openxmlformats.org/officeDocument/2006/relationships/ctrlProp" Target="../ctrlProps/ctrlProp16.xml"/><Relationship Id="rId14" Type="http://schemas.openxmlformats.org/officeDocument/2006/relationships/ctrlProp" Target="../ctrlProps/ctrlProp11.xml"/><Relationship Id="rId30" Type="http://schemas.openxmlformats.org/officeDocument/2006/relationships/ctrlProp" Target="../ctrlProps/ctrlProp27.xml"/><Relationship Id="rId35" Type="http://schemas.openxmlformats.org/officeDocument/2006/relationships/ctrlProp" Target="../ctrlProps/ctrlProp32.xml"/><Relationship Id="rId56" Type="http://schemas.openxmlformats.org/officeDocument/2006/relationships/ctrlProp" Target="../ctrlProps/ctrlProp53.xml"/><Relationship Id="rId77" Type="http://schemas.openxmlformats.org/officeDocument/2006/relationships/ctrlProp" Target="../ctrlProps/ctrlProp74.xml"/><Relationship Id="rId100" Type="http://schemas.openxmlformats.org/officeDocument/2006/relationships/ctrlProp" Target="../ctrlProps/ctrlProp97.xml"/><Relationship Id="rId105" Type="http://schemas.openxmlformats.org/officeDocument/2006/relationships/ctrlProp" Target="../ctrlProps/ctrlProp102.xml"/><Relationship Id="rId126" Type="http://schemas.openxmlformats.org/officeDocument/2006/relationships/ctrlProp" Target="../ctrlProps/ctrlProp123.xml"/><Relationship Id="rId147" Type="http://schemas.openxmlformats.org/officeDocument/2006/relationships/ctrlProp" Target="../ctrlProps/ctrlProp144.xml"/><Relationship Id="rId168" Type="http://schemas.openxmlformats.org/officeDocument/2006/relationships/ctrlProp" Target="../ctrlProps/ctrlProp165.xml"/><Relationship Id="rId8" Type="http://schemas.openxmlformats.org/officeDocument/2006/relationships/ctrlProp" Target="../ctrlProps/ctrlProp5.xml"/><Relationship Id="rId51" Type="http://schemas.openxmlformats.org/officeDocument/2006/relationships/ctrlProp" Target="../ctrlProps/ctrlProp48.xml"/><Relationship Id="rId72" Type="http://schemas.openxmlformats.org/officeDocument/2006/relationships/ctrlProp" Target="../ctrlProps/ctrlProp69.xml"/><Relationship Id="rId93" Type="http://schemas.openxmlformats.org/officeDocument/2006/relationships/ctrlProp" Target="../ctrlProps/ctrlProp90.xml"/><Relationship Id="rId98" Type="http://schemas.openxmlformats.org/officeDocument/2006/relationships/ctrlProp" Target="../ctrlProps/ctrlProp95.xml"/><Relationship Id="rId121" Type="http://schemas.openxmlformats.org/officeDocument/2006/relationships/ctrlProp" Target="../ctrlProps/ctrlProp118.xml"/><Relationship Id="rId142" Type="http://schemas.openxmlformats.org/officeDocument/2006/relationships/ctrlProp" Target="../ctrlProps/ctrlProp139.xml"/><Relationship Id="rId163" Type="http://schemas.openxmlformats.org/officeDocument/2006/relationships/ctrlProp" Target="../ctrlProps/ctrlProp160.xml"/><Relationship Id="rId184" Type="http://schemas.openxmlformats.org/officeDocument/2006/relationships/ctrlProp" Target="../ctrlProps/ctrlProp181.xml"/><Relationship Id="rId189" Type="http://schemas.openxmlformats.org/officeDocument/2006/relationships/ctrlProp" Target="../ctrlProps/ctrlProp186.xml"/><Relationship Id="rId3" Type="http://schemas.openxmlformats.org/officeDocument/2006/relationships/vmlDrawing" Target="../drawings/vmlDrawing1.vml"/><Relationship Id="rId25" Type="http://schemas.openxmlformats.org/officeDocument/2006/relationships/ctrlProp" Target="../ctrlProps/ctrlProp22.xml"/><Relationship Id="rId46" Type="http://schemas.openxmlformats.org/officeDocument/2006/relationships/ctrlProp" Target="../ctrlProps/ctrlProp43.xml"/><Relationship Id="rId67" Type="http://schemas.openxmlformats.org/officeDocument/2006/relationships/ctrlProp" Target="../ctrlProps/ctrlProp64.xml"/><Relationship Id="rId116" Type="http://schemas.openxmlformats.org/officeDocument/2006/relationships/ctrlProp" Target="../ctrlProps/ctrlProp113.xml"/><Relationship Id="rId137" Type="http://schemas.openxmlformats.org/officeDocument/2006/relationships/ctrlProp" Target="../ctrlProps/ctrlProp134.xml"/><Relationship Id="rId158" Type="http://schemas.openxmlformats.org/officeDocument/2006/relationships/ctrlProp" Target="../ctrlProps/ctrlProp155.xml"/><Relationship Id="rId20" Type="http://schemas.openxmlformats.org/officeDocument/2006/relationships/ctrlProp" Target="../ctrlProps/ctrlProp17.xml"/><Relationship Id="rId41" Type="http://schemas.openxmlformats.org/officeDocument/2006/relationships/ctrlProp" Target="../ctrlProps/ctrlProp38.xml"/><Relationship Id="rId62" Type="http://schemas.openxmlformats.org/officeDocument/2006/relationships/ctrlProp" Target="../ctrlProps/ctrlProp59.xml"/><Relationship Id="rId83" Type="http://schemas.openxmlformats.org/officeDocument/2006/relationships/ctrlProp" Target="../ctrlProps/ctrlProp80.xml"/><Relationship Id="rId88" Type="http://schemas.openxmlformats.org/officeDocument/2006/relationships/ctrlProp" Target="../ctrlProps/ctrlProp85.xml"/><Relationship Id="rId111" Type="http://schemas.openxmlformats.org/officeDocument/2006/relationships/ctrlProp" Target="../ctrlProps/ctrlProp108.xml"/><Relationship Id="rId132" Type="http://schemas.openxmlformats.org/officeDocument/2006/relationships/ctrlProp" Target="../ctrlProps/ctrlProp129.xml"/><Relationship Id="rId153" Type="http://schemas.openxmlformats.org/officeDocument/2006/relationships/ctrlProp" Target="../ctrlProps/ctrlProp150.xml"/><Relationship Id="rId174" Type="http://schemas.openxmlformats.org/officeDocument/2006/relationships/ctrlProp" Target="../ctrlProps/ctrlProp171.xml"/><Relationship Id="rId179" Type="http://schemas.openxmlformats.org/officeDocument/2006/relationships/ctrlProp" Target="../ctrlProps/ctrlProp176.xml"/><Relationship Id="rId190" Type="http://schemas.openxmlformats.org/officeDocument/2006/relationships/ctrlProp" Target="../ctrlProps/ctrlProp187.xml"/><Relationship Id="rId15" Type="http://schemas.openxmlformats.org/officeDocument/2006/relationships/ctrlProp" Target="../ctrlProps/ctrlProp12.xml"/><Relationship Id="rId36" Type="http://schemas.openxmlformats.org/officeDocument/2006/relationships/ctrlProp" Target="../ctrlProps/ctrlProp33.xml"/><Relationship Id="rId57" Type="http://schemas.openxmlformats.org/officeDocument/2006/relationships/ctrlProp" Target="../ctrlProps/ctrlProp54.xml"/><Relationship Id="rId106" Type="http://schemas.openxmlformats.org/officeDocument/2006/relationships/ctrlProp" Target="../ctrlProps/ctrlProp103.xml"/><Relationship Id="rId127" Type="http://schemas.openxmlformats.org/officeDocument/2006/relationships/ctrlProp" Target="../ctrlProps/ctrlProp124.xml"/><Relationship Id="rId10" Type="http://schemas.openxmlformats.org/officeDocument/2006/relationships/ctrlProp" Target="../ctrlProps/ctrlProp7.xml"/><Relationship Id="rId31" Type="http://schemas.openxmlformats.org/officeDocument/2006/relationships/ctrlProp" Target="../ctrlProps/ctrlProp28.xml"/><Relationship Id="rId52" Type="http://schemas.openxmlformats.org/officeDocument/2006/relationships/ctrlProp" Target="../ctrlProps/ctrlProp49.xml"/><Relationship Id="rId73" Type="http://schemas.openxmlformats.org/officeDocument/2006/relationships/ctrlProp" Target="../ctrlProps/ctrlProp70.xml"/><Relationship Id="rId78" Type="http://schemas.openxmlformats.org/officeDocument/2006/relationships/ctrlProp" Target="../ctrlProps/ctrlProp75.xml"/><Relationship Id="rId94" Type="http://schemas.openxmlformats.org/officeDocument/2006/relationships/ctrlProp" Target="../ctrlProps/ctrlProp91.xml"/><Relationship Id="rId99" Type="http://schemas.openxmlformats.org/officeDocument/2006/relationships/ctrlProp" Target="../ctrlProps/ctrlProp96.xml"/><Relationship Id="rId101" Type="http://schemas.openxmlformats.org/officeDocument/2006/relationships/ctrlProp" Target="../ctrlProps/ctrlProp98.xml"/><Relationship Id="rId122" Type="http://schemas.openxmlformats.org/officeDocument/2006/relationships/ctrlProp" Target="../ctrlProps/ctrlProp119.xml"/><Relationship Id="rId143" Type="http://schemas.openxmlformats.org/officeDocument/2006/relationships/ctrlProp" Target="../ctrlProps/ctrlProp140.xml"/><Relationship Id="rId148" Type="http://schemas.openxmlformats.org/officeDocument/2006/relationships/ctrlProp" Target="../ctrlProps/ctrlProp145.xml"/><Relationship Id="rId164" Type="http://schemas.openxmlformats.org/officeDocument/2006/relationships/ctrlProp" Target="../ctrlProps/ctrlProp161.xml"/><Relationship Id="rId169" Type="http://schemas.openxmlformats.org/officeDocument/2006/relationships/ctrlProp" Target="../ctrlProps/ctrlProp166.xml"/><Relationship Id="rId185" Type="http://schemas.openxmlformats.org/officeDocument/2006/relationships/ctrlProp" Target="../ctrlProps/ctrlProp182.xml"/><Relationship Id="rId4" Type="http://schemas.openxmlformats.org/officeDocument/2006/relationships/ctrlProp" Target="../ctrlProps/ctrlProp1.xml"/><Relationship Id="rId9" Type="http://schemas.openxmlformats.org/officeDocument/2006/relationships/ctrlProp" Target="../ctrlProps/ctrlProp6.xml"/><Relationship Id="rId180" Type="http://schemas.openxmlformats.org/officeDocument/2006/relationships/ctrlProp" Target="../ctrlProps/ctrlProp177.xml"/><Relationship Id="rId26" Type="http://schemas.openxmlformats.org/officeDocument/2006/relationships/ctrlProp" Target="../ctrlProps/ctrlProp23.xml"/><Relationship Id="rId47" Type="http://schemas.openxmlformats.org/officeDocument/2006/relationships/ctrlProp" Target="../ctrlProps/ctrlProp44.xml"/><Relationship Id="rId68" Type="http://schemas.openxmlformats.org/officeDocument/2006/relationships/ctrlProp" Target="../ctrlProps/ctrlProp65.xml"/><Relationship Id="rId89" Type="http://schemas.openxmlformats.org/officeDocument/2006/relationships/ctrlProp" Target="../ctrlProps/ctrlProp86.xml"/><Relationship Id="rId112" Type="http://schemas.openxmlformats.org/officeDocument/2006/relationships/ctrlProp" Target="../ctrlProps/ctrlProp109.xml"/><Relationship Id="rId133" Type="http://schemas.openxmlformats.org/officeDocument/2006/relationships/ctrlProp" Target="../ctrlProps/ctrlProp130.xml"/><Relationship Id="rId154" Type="http://schemas.openxmlformats.org/officeDocument/2006/relationships/ctrlProp" Target="../ctrlProps/ctrlProp151.xml"/><Relationship Id="rId175" Type="http://schemas.openxmlformats.org/officeDocument/2006/relationships/ctrlProp" Target="../ctrlProps/ctrlProp172.xml"/><Relationship Id="rId16" Type="http://schemas.openxmlformats.org/officeDocument/2006/relationships/ctrlProp" Target="../ctrlProps/ctrlProp13.xml"/><Relationship Id="rId37" Type="http://schemas.openxmlformats.org/officeDocument/2006/relationships/ctrlProp" Target="../ctrlProps/ctrlProp34.xml"/><Relationship Id="rId58" Type="http://schemas.openxmlformats.org/officeDocument/2006/relationships/ctrlProp" Target="../ctrlProps/ctrlProp55.xml"/><Relationship Id="rId79" Type="http://schemas.openxmlformats.org/officeDocument/2006/relationships/ctrlProp" Target="../ctrlProps/ctrlProp76.xml"/><Relationship Id="rId102" Type="http://schemas.openxmlformats.org/officeDocument/2006/relationships/ctrlProp" Target="../ctrlProps/ctrlProp99.xml"/><Relationship Id="rId123" Type="http://schemas.openxmlformats.org/officeDocument/2006/relationships/ctrlProp" Target="../ctrlProps/ctrlProp120.xml"/><Relationship Id="rId144" Type="http://schemas.openxmlformats.org/officeDocument/2006/relationships/ctrlProp" Target="../ctrlProps/ctrlProp141.xml"/><Relationship Id="rId90" Type="http://schemas.openxmlformats.org/officeDocument/2006/relationships/ctrlProp" Target="../ctrlProps/ctrlProp87.xml"/><Relationship Id="rId165" Type="http://schemas.openxmlformats.org/officeDocument/2006/relationships/ctrlProp" Target="../ctrlProps/ctrlProp162.xml"/><Relationship Id="rId186" Type="http://schemas.openxmlformats.org/officeDocument/2006/relationships/ctrlProp" Target="../ctrlProps/ctrlProp183.xml"/><Relationship Id="rId27" Type="http://schemas.openxmlformats.org/officeDocument/2006/relationships/ctrlProp" Target="../ctrlProps/ctrlProp24.xml"/><Relationship Id="rId48" Type="http://schemas.openxmlformats.org/officeDocument/2006/relationships/ctrlProp" Target="../ctrlProps/ctrlProp45.xml"/><Relationship Id="rId69" Type="http://schemas.openxmlformats.org/officeDocument/2006/relationships/ctrlProp" Target="../ctrlProps/ctrlProp66.xml"/><Relationship Id="rId113" Type="http://schemas.openxmlformats.org/officeDocument/2006/relationships/ctrlProp" Target="../ctrlProps/ctrlProp110.xml"/><Relationship Id="rId134" Type="http://schemas.openxmlformats.org/officeDocument/2006/relationships/ctrlProp" Target="../ctrlProps/ctrlProp131.xml"/><Relationship Id="rId80" Type="http://schemas.openxmlformats.org/officeDocument/2006/relationships/ctrlProp" Target="../ctrlProps/ctrlProp77.xml"/><Relationship Id="rId155" Type="http://schemas.openxmlformats.org/officeDocument/2006/relationships/ctrlProp" Target="../ctrlProps/ctrlProp152.xml"/><Relationship Id="rId176" Type="http://schemas.openxmlformats.org/officeDocument/2006/relationships/ctrlProp" Target="../ctrlProps/ctrlProp173.xml"/><Relationship Id="rId17" Type="http://schemas.openxmlformats.org/officeDocument/2006/relationships/ctrlProp" Target="../ctrlProps/ctrlProp14.xml"/><Relationship Id="rId38" Type="http://schemas.openxmlformats.org/officeDocument/2006/relationships/ctrlProp" Target="../ctrlProps/ctrlProp35.xml"/><Relationship Id="rId59" Type="http://schemas.openxmlformats.org/officeDocument/2006/relationships/ctrlProp" Target="../ctrlProps/ctrlProp56.xml"/><Relationship Id="rId103" Type="http://schemas.openxmlformats.org/officeDocument/2006/relationships/ctrlProp" Target="../ctrlProps/ctrlProp100.xml"/><Relationship Id="rId124" Type="http://schemas.openxmlformats.org/officeDocument/2006/relationships/ctrlProp" Target="../ctrlProps/ctrlProp121.xml"/><Relationship Id="rId70" Type="http://schemas.openxmlformats.org/officeDocument/2006/relationships/ctrlProp" Target="../ctrlProps/ctrlProp67.xml"/><Relationship Id="rId91" Type="http://schemas.openxmlformats.org/officeDocument/2006/relationships/ctrlProp" Target="../ctrlProps/ctrlProp88.xml"/><Relationship Id="rId145" Type="http://schemas.openxmlformats.org/officeDocument/2006/relationships/ctrlProp" Target="../ctrlProps/ctrlProp142.xml"/><Relationship Id="rId166" Type="http://schemas.openxmlformats.org/officeDocument/2006/relationships/ctrlProp" Target="../ctrlProps/ctrlProp163.xml"/><Relationship Id="rId187" Type="http://schemas.openxmlformats.org/officeDocument/2006/relationships/ctrlProp" Target="../ctrlProps/ctrlProp184.xml"/><Relationship Id="rId1" Type="http://schemas.openxmlformats.org/officeDocument/2006/relationships/printerSettings" Target="../printerSettings/printerSettings1.bin"/><Relationship Id="rId28" Type="http://schemas.openxmlformats.org/officeDocument/2006/relationships/ctrlProp" Target="../ctrlProps/ctrlProp25.xml"/><Relationship Id="rId49" Type="http://schemas.openxmlformats.org/officeDocument/2006/relationships/ctrlProp" Target="../ctrlProps/ctrlProp46.xml"/><Relationship Id="rId114" Type="http://schemas.openxmlformats.org/officeDocument/2006/relationships/ctrlProp" Target="../ctrlProps/ctrlProp111.xml"/><Relationship Id="rId60" Type="http://schemas.openxmlformats.org/officeDocument/2006/relationships/ctrlProp" Target="../ctrlProps/ctrlProp57.xml"/><Relationship Id="rId81" Type="http://schemas.openxmlformats.org/officeDocument/2006/relationships/ctrlProp" Target="../ctrlProps/ctrlProp78.xml"/><Relationship Id="rId135" Type="http://schemas.openxmlformats.org/officeDocument/2006/relationships/ctrlProp" Target="../ctrlProps/ctrlProp132.xml"/><Relationship Id="rId156" Type="http://schemas.openxmlformats.org/officeDocument/2006/relationships/ctrlProp" Target="../ctrlProps/ctrlProp153.xml"/><Relationship Id="rId177" Type="http://schemas.openxmlformats.org/officeDocument/2006/relationships/ctrlProp" Target="../ctrlProps/ctrlProp174.xml"/></Relationships>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1"/>
  <dimension ref="A1:AB267"/>
  <sheetViews>
    <sheetView tabSelected="1" topLeftCell="A28" zoomScaleNormal="100" workbookViewId="0">
      <selection activeCell="N79" sqref="N79"/>
    </sheetView>
  </sheetViews>
  <sheetFormatPr defaultColWidth="9.1796875" defaultRowHeight="12.5" x14ac:dyDescent="0.25"/>
  <cols>
    <col min="1" max="2" width="1.7265625" style="1" customWidth="1"/>
    <col min="3" max="3" width="56.453125" style="1" customWidth="1"/>
    <col min="4" max="4" width="25.81640625" style="1" customWidth="1"/>
    <col min="5" max="5" width="6.7265625" style="1" customWidth="1"/>
    <col min="6" max="6" width="25.81640625" style="1" customWidth="1"/>
    <col min="7" max="7" width="6.7265625" style="1" customWidth="1"/>
    <col min="8" max="8" width="25.81640625" style="1" customWidth="1"/>
    <col min="9" max="9" width="6.7265625" style="1" customWidth="1"/>
    <col min="10" max="10" width="1.7265625" style="1" customWidth="1"/>
    <col min="11" max="11" width="9.1796875" style="1"/>
    <col min="12" max="12" width="1.453125" style="31" customWidth="1"/>
    <col min="13" max="20" width="9.1796875" style="1"/>
    <col min="21" max="21" width="10.36328125" style="1" bestFit="1" customWidth="1"/>
    <col min="22" max="16384" width="9.1796875" style="1"/>
  </cols>
  <sheetData>
    <row r="1" spans="1:23" ht="13" thickBot="1" x14ac:dyDescent="0.3"/>
    <row r="2" spans="1:23" ht="12.75" customHeight="1" x14ac:dyDescent="0.25">
      <c r="B2" s="266"/>
      <c r="C2" s="268" t="s">
        <v>41</v>
      </c>
      <c r="D2" s="270" t="s">
        <v>5</v>
      </c>
      <c r="E2" s="271"/>
      <c r="F2" s="272" t="s">
        <v>3</v>
      </c>
      <c r="G2" s="273"/>
      <c r="H2" s="273"/>
      <c r="I2" s="273"/>
      <c r="J2" s="42"/>
    </row>
    <row r="3" spans="1:23" ht="38" thickBot="1" x14ac:dyDescent="0.3">
      <c r="B3" s="267"/>
      <c r="C3" s="269"/>
      <c r="D3" s="32" t="s">
        <v>6</v>
      </c>
      <c r="E3" s="163" t="s">
        <v>2</v>
      </c>
      <c r="F3" s="33" t="s">
        <v>4</v>
      </c>
      <c r="G3" s="185" t="s">
        <v>2</v>
      </c>
      <c r="H3" s="33" t="s">
        <v>7</v>
      </c>
      <c r="I3" s="43" t="s">
        <v>2</v>
      </c>
      <c r="J3" s="44"/>
      <c r="L3" s="38"/>
    </row>
    <row r="4" spans="1:23" ht="13" x14ac:dyDescent="0.2">
      <c r="B4" s="35"/>
      <c r="C4" s="51" t="s">
        <v>93</v>
      </c>
      <c r="D4" s="36"/>
      <c r="E4" s="166"/>
      <c r="F4" s="37"/>
      <c r="G4" s="186"/>
      <c r="H4" s="37"/>
      <c r="I4" s="52"/>
      <c r="J4" s="53"/>
      <c r="L4" s="41"/>
    </row>
    <row r="5" spans="1:23" ht="15.5" x14ac:dyDescent="0.2">
      <c r="B5" s="49"/>
      <c r="C5" s="215" t="s">
        <v>43</v>
      </c>
      <c r="D5" s="154">
        <v>0.22500000000000001</v>
      </c>
      <c r="E5" s="103"/>
      <c r="F5" s="156">
        <v>0.22500000000000001</v>
      </c>
      <c r="G5" s="214"/>
      <c r="H5" s="154">
        <v>0.22500000000000001</v>
      </c>
      <c r="I5" s="9"/>
      <c r="J5" s="50"/>
      <c r="L5" s="41"/>
    </row>
    <row r="6" spans="1:23" ht="15.5" x14ac:dyDescent="0.2">
      <c r="B6" s="49"/>
      <c r="C6" s="102" t="s">
        <v>89</v>
      </c>
      <c r="D6" s="7">
        <v>3.32</v>
      </c>
      <c r="E6" s="196"/>
      <c r="F6" s="7">
        <v>3.32</v>
      </c>
      <c r="G6" s="197"/>
      <c r="H6" s="7">
        <v>3.32</v>
      </c>
      <c r="I6" s="9"/>
      <c r="J6" s="50"/>
      <c r="L6" s="41"/>
    </row>
    <row r="7" spans="1:23" ht="16" x14ac:dyDescent="0.2">
      <c r="B7" s="30"/>
      <c r="C7" s="200" t="s">
        <v>47</v>
      </c>
      <c r="D7" s="7">
        <v>39.33</v>
      </c>
      <c r="E7" s="196"/>
      <c r="F7" s="198">
        <v>38.5</v>
      </c>
      <c r="G7" s="197"/>
      <c r="H7" s="198">
        <v>40.15</v>
      </c>
      <c r="I7" s="9"/>
      <c r="J7" s="50"/>
      <c r="L7" s="41"/>
    </row>
    <row r="8" spans="1:23" ht="15.5" x14ac:dyDescent="0.2">
      <c r="B8" s="30"/>
      <c r="C8" s="102" t="s">
        <v>86</v>
      </c>
      <c r="D8" s="198">
        <v>302.8</v>
      </c>
      <c r="E8" s="196"/>
      <c r="F8" s="198">
        <v>607</v>
      </c>
      <c r="G8" s="197"/>
      <c r="H8" s="198">
        <v>911.2</v>
      </c>
      <c r="I8" s="9"/>
      <c r="J8" s="50"/>
      <c r="L8" s="41"/>
    </row>
    <row r="9" spans="1:23" ht="15.5" x14ac:dyDescent="0.2">
      <c r="B9" s="30"/>
      <c r="C9" s="102" t="s">
        <v>71</v>
      </c>
      <c r="D9" s="7">
        <v>0.91</v>
      </c>
      <c r="E9" s="196"/>
      <c r="F9" s="118">
        <v>0.46</v>
      </c>
      <c r="G9" s="197"/>
      <c r="H9" s="118">
        <v>1.86</v>
      </c>
      <c r="I9" s="9"/>
      <c r="J9" s="50"/>
      <c r="L9" s="41"/>
    </row>
    <row r="10" spans="1:23" ht="15.5" x14ac:dyDescent="0.2">
      <c r="B10" s="30"/>
      <c r="C10" s="102" t="s">
        <v>72</v>
      </c>
      <c r="D10" s="7">
        <v>25.5</v>
      </c>
      <c r="E10" s="196"/>
      <c r="F10" s="118">
        <v>18.75</v>
      </c>
      <c r="G10" s="197"/>
      <c r="H10" s="118">
        <v>75</v>
      </c>
      <c r="I10" s="9"/>
      <c r="J10" s="50"/>
      <c r="L10" s="41"/>
    </row>
    <row r="11" spans="1:23" x14ac:dyDescent="0.2">
      <c r="B11" s="30"/>
      <c r="C11" s="102" t="s">
        <v>84</v>
      </c>
      <c r="D11" s="7">
        <v>385.25</v>
      </c>
      <c r="E11" s="196"/>
      <c r="F11" s="118">
        <v>373.32</v>
      </c>
      <c r="G11" s="197"/>
      <c r="H11" s="118">
        <v>397.18</v>
      </c>
      <c r="I11" s="9"/>
      <c r="J11" s="50"/>
      <c r="L11" s="41"/>
    </row>
    <row r="12" spans="1:23" ht="15.5" x14ac:dyDescent="0.2">
      <c r="B12" s="30"/>
      <c r="C12" s="102" t="s">
        <v>73</v>
      </c>
      <c r="D12" s="7">
        <v>1516.42</v>
      </c>
      <c r="E12" s="196"/>
      <c r="F12" s="7">
        <v>1516.42</v>
      </c>
      <c r="G12" s="197"/>
      <c r="H12" s="7">
        <v>1516.42</v>
      </c>
      <c r="I12" s="9"/>
      <c r="J12" s="50"/>
      <c r="L12" s="41"/>
    </row>
    <row r="13" spans="1:23" ht="15.5" x14ac:dyDescent="0.25">
      <c r="A13" s="132"/>
      <c r="C13" s="102" t="s">
        <v>74</v>
      </c>
      <c r="D13" s="7">
        <v>417.46</v>
      </c>
      <c r="E13" s="196"/>
      <c r="F13" s="7">
        <v>417.46</v>
      </c>
      <c r="G13" s="197"/>
      <c r="H13" s="7">
        <v>417.46</v>
      </c>
      <c r="I13" s="9"/>
      <c r="J13" s="50"/>
      <c r="T13" s="221"/>
      <c r="U13" s="221"/>
      <c r="V13" s="221"/>
      <c r="W13" s="221"/>
    </row>
    <row r="14" spans="1:23" ht="16.5" thickBot="1" x14ac:dyDescent="0.45">
      <c r="B14" s="30"/>
      <c r="C14" s="102" t="s">
        <v>75</v>
      </c>
      <c r="D14" s="7">
        <v>1983.37</v>
      </c>
      <c r="E14" s="196"/>
      <c r="F14" s="7">
        <v>1983.37</v>
      </c>
      <c r="G14" s="197"/>
      <c r="H14" s="7">
        <v>1983.37</v>
      </c>
      <c r="I14" s="9"/>
      <c r="J14" s="50"/>
      <c r="L14" s="41"/>
      <c r="T14" s="221"/>
      <c r="U14" s="264"/>
      <c r="V14" s="221"/>
      <c r="W14" s="221"/>
    </row>
    <row r="15" spans="1:23" ht="13.5" customHeight="1" x14ac:dyDescent="0.2">
      <c r="B15" s="45"/>
      <c r="C15" s="46" t="s">
        <v>90</v>
      </c>
      <c r="D15" s="34"/>
      <c r="E15" s="166"/>
      <c r="F15" s="37"/>
      <c r="G15" s="186"/>
      <c r="H15" s="37"/>
      <c r="I15" s="52"/>
      <c r="J15" s="53"/>
      <c r="L15" s="54"/>
      <c r="M15" s="4"/>
      <c r="O15" s="40"/>
      <c r="T15" s="221"/>
      <c r="U15" s="265"/>
      <c r="V15" s="221"/>
      <c r="W15" s="221"/>
    </row>
    <row r="16" spans="1:23" ht="13.5" customHeight="1" x14ac:dyDescent="0.2">
      <c r="B16" s="30"/>
      <c r="C16" s="102" t="s">
        <v>92</v>
      </c>
      <c r="D16" s="211">
        <v>0.34</v>
      </c>
      <c r="E16" s="207"/>
      <c r="F16" s="208">
        <v>0.11</v>
      </c>
      <c r="G16" s="209"/>
      <c r="H16" s="208">
        <v>0.5</v>
      </c>
      <c r="I16" s="210"/>
      <c r="J16" s="218"/>
      <c r="L16" s="54"/>
      <c r="M16" s="4"/>
      <c r="O16" s="40"/>
      <c r="T16" s="221"/>
      <c r="U16" s="265"/>
      <c r="V16" s="221"/>
      <c r="W16" s="221"/>
    </row>
    <row r="17" spans="2:23" ht="15.5" x14ac:dyDescent="0.2">
      <c r="B17" s="30"/>
      <c r="C17" s="102" t="s">
        <v>91</v>
      </c>
      <c r="D17" s="211">
        <v>0.33800000000000002</v>
      </c>
      <c r="E17" s="207"/>
      <c r="F17" s="208">
        <v>4.1000000000000002E-2</v>
      </c>
      <c r="G17" s="209"/>
      <c r="H17" s="208">
        <v>0.63500000000000001</v>
      </c>
      <c r="I17" s="210"/>
      <c r="J17" s="50"/>
      <c r="L17" s="54"/>
      <c r="M17" s="4"/>
      <c r="O17" s="40"/>
      <c r="T17" s="221"/>
      <c r="U17" s="265"/>
      <c r="V17" s="221"/>
      <c r="W17" s="221"/>
    </row>
    <row r="18" spans="2:23" ht="16" thickBot="1" x14ac:dyDescent="0.25">
      <c r="B18" s="203"/>
      <c r="C18" s="216" t="s">
        <v>94</v>
      </c>
      <c r="D18" s="208">
        <v>0.6</v>
      </c>
      <c r="E18" s="207"/>
      <c r="F18" s="208">
        <v>0.4</v>
      </c>
      <c r="G18" s="209"/>
      <c r="H18" s="208">
        <v>0.8</v>
      </c>
      <c r="I18" s="210"/>
      <c r="J18" s="206"/>
      <c r="L18" s="54"/>
      <c r="M18" s="4"/>
      <c r="O18" s="40"/>
      <c r="T18" s="221"/>
      <c r="U18" s="265"/>
      <c r="V18" s="221"/>
      <c r="W18" s="221"/>
    </row>
    <row r="19" spans="2:23" ht="13" x14ac:dyDescent="0.2">
      <c r="B19" s="201"/>
      <c r="C19" s="46" t="s">
        <v>95</v>
      </c>
      <c r="D19" s="217"/>
      <c r="E19" s="166"/>
      <c r="F19" s="204"/>
      <c r="G19" s="186"/>
      <c r="H19" s="205"/>
      <c r="I19" s="52"/>
      <c r="J19" s="202"/>
      <c r="L19" s="54"/>
      <c r="M19" s="4"/>
      <c r="O19" s="40"/>
      <c r="T19" s="221"/>
      <c r="U19" s="265"/>
      <c r="V19" s="221"/>
      <c r="W19" s="221"/>
    </row>
    <row r="20" spans="2:23" x14ac:dyDescent="0.2">
      <c r="B20" s="30"/>
      <c r="C20" s="102" t="s">
        <v>96</v>
      </c>
      <c r="D20" s="208">
        <v>0.61799999999999999</v>
      </c>
      <c r="E20" s="207"/>
      <c r="F20" s="208">
        <v>0.39</v>
      </c>
      <c r="G20" s="209"/>
      <c r="H20" s="208">
        <v>0.84499999999999997</v>
      </c>
      <c r="I20" s="210"/>
      <c r="J20" s="50"/>
      <c r="L20" s="54"/>
      <c r="M20" s="4"/>
      <c r="O20" s="40"/>
      <c r="T20" s="221"/>
      <c r="U20" s="265"/>
      <c r="V20" s="221"/>
      <c r="W20" s="221"/>
    </row>
    <row r="21" spans="2:23" ht="15" thickBot="1" x14ac:dyDescent="0.25">
      <c r="B21" s="203"/>
      <c r="C21" s="102" t="s">
        <v>97</v>
      </c>
      <c r="D21" s="208">
        <v>0.06</v>
      </c>
      <c r="E21" s="207"/>
      <c r="F21" s="208">
        <v>3.9E-2</v>
      </c>
      <c r="G21" s="209"/>
      <c r="H21" s="208">
        <v>0.08</v>
      </c>
      <c r="I21" s="210"/>
      <c r="J21" s="206"/>
      <c r="L21" s="54"/>
      <c r="M21" s="4"/>
      <c r="O21" s="40"/>
      <c r="T21" s="221"/>
      <c r="U21" s="265"/>
      <c r="V21" s="221"/>
      <c r="W21" s="221"/>
    </row>
    <row r="22" spans="2:23" ht="13.5" customHeight="1" x14ac:dyDescent="0.2">
      <c r="B22" s="201"/>
      <c r="C22" s="46" t="s">
        <v>1</v>
      </c>
      <c r="D22" s="217"/>
      <c r="E22" s="166"/>
      <c r="F22" s="204"/>
      <c r="G22" s="186"/>
      <c r="H22" s="205"/>
      <c r="I22" s="52"/>
      <c r="J22" s="202"/>
      <c r="L22" s="54"/>
      <c r="M22" s="4"/>
      <c r="O22" s="40"/>
      <c r="T22" s="221"/>
      <c r="U22" s="265"/>
      <c r="V22" s="221"/>
      <c r="W22" s="221"/>
    </row>
    <row r="23" spans="2:23" ht="13" x14ac:dyDescent="0.25">
      <c r="B23" s="55"/>
      <c r="C23" s="56" t="s">
        <v>38</v>
      </c>
      <c r="D23" s="57"/>
      <c r="E23" s="167"/>
      <c r="F23" s="164"/>
      <c r="G23" s="167"/>
      <c r="H23" s="164"/>
      <c r="I23" s="58"/>
      <c r="J23" s="59"/>
      <c r="T23" s="221"/>
      <c r="U23" s="265"/>
      <c r="V23" s="221"/>
      <c r="W23" s="221"/>
    </row>
    <row r="24" spans="2:23" ht="9" customHeight="1" x14ac:dyDescent="0.2">
      <c r="B24" s="60"/>
      <c r="C24" s="61" t="s">
        <v>31</v>
      </c>
      <c r="D24" s="62"/>
      <c r="E24" s="168"/>
      <c r="F24" s="63"/>
      <c r="G24" s="187"/>
      <c r="H24" s="63"/>
      <c r="I24" s="64"/>
      <c r="J24" s="65"/>
      <c r="L24" s="54"/>
      <c r="M24" s="4"/>
      <c r="O24" s="40"/>
      <c r="T24" s="221"/>
      <c r="U24" s="265"/>
      <c r="V24" s="221"/>
      <c r="W24" s="221"/>
    </row>
    <row r="25" spans="2:23" ht="21.75" customHeight="1" x14ac:dyDescent="0.2">
      <c r="B25" s="67"/>
      <c r="C25" s="237" t="s">
        <v>82</v>
      </c>
      <c r="D25" s="156"/>
      <c r="E25" s="165"/>
      <c r="F25" s="238"/>
      <c r="G25" s="171"/>
      <c r="H25" s="239"/>
      <c r="I25" s="8"/>
      <c r="J25" s="68"/>
      <c r="L25" s="39"/>
      <c r="M25" s="4"/>
      <c r="O25" s="40"/>
    </row>
    <row r="26" spans="2:23" ht="20.25" customHeight="1" x14ac:dyDescent="0.2">
      <c r="B26" s="69"/>
      <c r="C26" s="48" t="s">
        <v>9</v>
      </c>
      <c r="D26" s="198">
        <v>2</v>
      </c>
      <c r="E26" s="165"/>
      <c r="F26" s="198"/>
      <c r="G26" s="171"/>
      <c r="H26" s="199"/>
      <c r="I26" s="9"/>
      <c r="J26" s="66"/>
      <c r="L26" s="153" t="s">
        <v>45</v>
      </c>
      <c r="M26" s="4">
        <v>1</v>
      </c>
    </row>
    <row r="27" spans="2:23" ht="20.25" customHeight="1" x14ac:dyDescent="0.2">
      <c r="B27" s="69"/>
      <c r="C27" s="102" t="s">
        <v>62</v>
      </c>
      <c r="D27" s="118" t="s">
        <v>63</v>
      </c>
      <c r="E27" s="165"/>
      <c r="F27" s="118"/>
      <c r="G27" s="171"/>
      <c r="H27" s="118"/>
      <c r="I27" s="9"/>
      <c r="J27" s="66"/>
      <c r="L27" s="153" t="s">
        <v>44</v>
      </c>
      <c r="M27" s="4">
        <v>2</v>
      </c>
    </row>
    <row r="28" spans="2:23" ht="20.25" customHeight="1" x14ac:dyDescent="0.2">
      <c r="B28" s="69"/>
      <c r="C28" s="48" t="str">
        <f>IF(D27="Average height and age","Average tree height (m)","Yield class")</f>
        <v>Yield class</v>
      </c>
      <c r="D28" s="125"/>
      <c r="E28" s="165"/>
      <c r="F28" s="118"/>
      <c r="G28" s="171"/>
      <c r="H28" s="118"/>
      <c r="I28" s="9"/>
      <c r="J28" s="66"/>
      <c r="M28" s="4"/>
    </row>
    <row r="29" spans="2:23" ht="20.25" customHeight="1" x14ac:dyDescent="0.2">
      <c r="B29" s="69"/>
      <c r="C29" s="48" t="str">
        <f>IF(D27="Average height and age","Stand age (yr)","")</f>
        <v/>
      </c>
      <c r="D29" s="198"/>
      <c r="E29" s="165"/>
      <c r="F29" s="118"/>
      <c r="G29" s="171"/>
      <c r="H29" s="118"/>
      <c r="I29" s="9"/>
      <c r="J29" s="66"/>
      <c r="M29" s="4"/>
    </row>
    <row r="30" spans="2:23" ht="20.25" customHeight="1" x14ac:dyDescent="0.2">
      <c r="B30" s="69"/>
      <c r="C30" s="48" t="s">
        <v>83</v>
      </c>
      <c r="D30" s="198"/>
      <c r="E30" s="165"/>
      <c r="F30" s="198"/>
      <c r="G30" s="171"/>
      <c r="H30" s="198"/>
      <c r="I30" s="9"/>
      <c r="J30" s="66"/>
      <c r="M30" s="4"/>
    </row>
    <row r="31" spans="2:23" ht="20.25" customHeight="1" x14ac:dyDescent="0.2">
      <c r="B31" s="69"/>
      <c r="C31" s="102" t="s">
        <v>65</v>
      </c>
      <c r="D31" s="156">
        <v>2</v>
      </c>
      <c r="E31" s="165"/>
      <c r="F31" s="11"/>
      <c r="G31" s="171"/>
      <c r="H31" s="11"/>
      <c r="I31" s="9"/>
      <c r="J31" s="66"/>
      <c r="M31" s="4"/>
    </row>
    <row r="32" spans="2:23" ht="20" customHeight="1" x14ac:dyDescent="0.2">
      <c r="B32" s="69"/>
      <c r="C32" s="48" t="str">
        <f>IF(D31=1,"Length of rotation (yr) (50 yr default)","")</f>
        <v/>
      </c>
      <c r="D32" s="157"/>
      <c r="E32" s="169"/>
      <c r="F32" s="155"/>
      <c r="G32" s="188"/>
      <c r="H32" s="10"/>
      <c r="I32" s="9"/>
      <c r="J32" s="66"/>
      <c r="M32" s="4"/>
    </row>
    <row r="33" spans="2:28" ht="20" customHeight="1" x14ac:dyDescent="0.2">
      <c r="B33" s="69"/>
      <c r="C33" s="102" t="s">
        <v>70</v>
      </c>
      <c r="D33" s="11">
        <v>1</v>
      </c>
      <c r="E33" s="171"/>
      <c r="F33" s="11"/>
      <c r="G33" s="171"/>
      <c r="H33" s="11"/>
      <c r="I33" s="9"/>
      <c r="J33" s="66"/>
      <c r="M33" s="4"/>
    </row>
    <row r="34" spans="2:28" ht="20" customHeight="1" x14ac:dyDescent="0.2">
      <c r="B34" s="69"/>
      <c r="C34" s="102" t="str">
        <f>IF($D$33=1, "Distance to paper mill (km)", "")</f>
        <v>Distance to paper mill (km)</v>
      </c>
      <c r="D34" s="10"/>
      <c r="E34" s="169"/>
      <c r="F34" s="10"/>
      <c r="G34" s="188"/>
      <c r="H34" s="10"/>
      <c r="I34" s="9"/>
      <c r="J34" s="66"/>
      <c r="M34" s="4"/>
    </row>
    <row r="35" spans="2:28" ht="20" customHeight="1" x14ac:dyDescent="0.2">
      <c r="B35" s="69"/>
      <c r="C35" s="102" t="str">
        <f>IF($D$33=1, "Distance to wood panel mill (km)", "")</f>
        <v>Distance to wood panel mill (km)</v>
      </c>
      <c r="D35" s="10"/>
      <c r="E35" s="169"/>
      <c r="F35" s="10"/>
      <c r="G35" s="188"/>
      <c r="H35" s="10"/>
      <c r="I35" s="9"/>
      <c r="J35" s="66"/>
      <c r="M35" s="4"/>
    </row>
    <row r="36" spans="2:28" ht="20" customHeight="1" x14ac:dyDescent="0.2">
      <c r="B36" s="69"/>
      <c r="C36" s="102" t="str">
        <f>IF($D$33=1, "Distance to saw mill (km)", "")</f>
        <v>Distance to saw mill (km)</v>
      </c>
      <c r="D36" s="10"/>
      <c r="E36" s="169"/>
      <c r="F36" s="10"/>
      <c r="G36" s="188"/>
      <c r="H36" s="10"/>
      <c r="I36" s="9"/>
      <c r="J36" s="66"/>
      <c r="M36" s="4"/>
    </row>
    <row r="37" spans="2:28" ht="20" customHeight="1" x14ac:dyDescent="0.2">
      <c r="B37" s="69"/>
      <c r="C37" s="102" t="str">
        <f>IF($D$33=2, "Timber left in situ mulched?", "")</f>
        <v/>
      </c>
      <c r="D37" s="10">
        <v>2</v>
      </c>
      <c r="E37" s="169"/>
      <c r="F37" s="10"/>
      <c r="G37" s="188"/>
      <c r="H37" s="10"/>
      <c r="I37" s="9"/>
      <c r="J37" s="66"/>
      <c r="M37" s="4"/>
    </row>
    <row r="38" spans="2:28" ht="19.5" customHeight="1" x14ac:dyDescent="0.2">
      <c r="B38" s="69"/>
      <c r="C38" s="102" t="str">
        <f>IF($D$33=1, "Distance to biofuel plant (km)", "")</f>
        <v>Distance to biofuel plant (km)</v>
      </c>
      <c r="D38" s="10"/>
      <c r="E38" s="171"/>
      <c r="F38" s="10"/>
      <c r="G38" s="171"/>
      <c r="H38" s="10"/>
      <c r="I38" s="9"/>
      <c r="J38" s="66"/>
      <c r="L38" s="70" t="s">
        <v>39</v>
      </c>
      <c r="M38" s="4"/>
    </row>
    <row r="39" spans="2:28" ht="19.5" customHeight="1" x14ac:dyDescent="0.2">
      <c r="B39" s="69"/>
      <c r="C39" s="102" t="str">
        <f>IF($D$33=1, "Efficiency of the biomass power plant", "")</f>
        <v>Efficiency of the biomass power plant</v>
      </c>
      <c r="D39" s="154">
        <v>0.35199999999999998</v>
      </c>
      <c r="E39" s="171"/>
      <c r="F39" s="154">
        <v>0.35199999999999998</v>
      </c>
      <c r="G39" s="171"/>
      <c r="H39" s="154">
        <v>0.35199999999999998</v>
      </c>
      <c r="I39" s="9"/>
      <c r="J39" s="66"/>
      <c r="L39" s="70" t="s">
        <v>40</v>
      </c>
      <c r="M39" s="4"/>
    </row>
    <row r="40" spans="2:28" ht="19.5" customHeight="1" x14ac:dyDescent="0.2">
      <c r="B40" s="150"/>
      <c r="C40" s="47" t="s">
        <v>46</v>
      </c>
      <c r="D40" s="240"/>
      <c r="E40" s="241"/>
      <c r="F40" s="242"/>
      <c r="G40" s="185"/>
      <c r="H40" s="242"/>
      <c r="I40" s="243"/>
      <c r="J40" s="66"/>
      <c r="L40" s="70"/>
      <c r="M40" s="4"/>
    </row>
    <row r="41" spans="2:28" ht="19.5" customHeight="1" x14ac:dyDescent="0.25">
      <c r="B41" s="71"/>
      <c r="C41" s="127" t="s">
        <v>64</v>
      </c>
      <c r="D41" s="6"/>
      <c r="E41" s="165"/>
      <c r="F41" s="10"/>
      <c r="G41" s="171"/>
      <c r="H41" s="10"/>
      <c r="I41" s="9"/>
      <c r="J41" s="66"/>
      <c r="L41" s="1"/>
      <c r="M41" s="70"/>
    </row>
    <row r="42" spans="2:28" ht="12" customHeight="1" x14ac:dyDescent="0.2">
      <c r="B42" s="71"/>
      <c r="C42" s="127" t="s">
        <v>66</v>
      </c>
      <c r="D42" s="6"/>
      <c r="E42" s="165"/>
      <c r="F42" s="10"/>
      <c r="G42" s="171"/>
      <c r="H42" s="10"/>
      <c r="I42" s="9"/>
      <c r="J42" s="66"/>
      <c r="M42" s="4"/>
    </row>
    <row r="43" spans="2:28" ht="14.5" x14ac:dyDescent="0.2">
      <c r="B43" s="71"/>
      <c r="C43" s="72" t="s">
        <v>11</v>
      </c>
      <c r="D43" s="12">
        <v>3.61</v>
      </c>
      <c r="E43" s="165"/>
      <c r="F43" s="12">
        <v>3.61</v>
      </c>
      <c r="G43" s="171"/>
      <c r="H43" s="12">
        <v>3.61</v>
      </c>
      <c r="I43" s="9"/>
      <c r="J43" s="66"/>
      <c r="M43" s="4"/>
    </row>
    <row r="44" spans="2:28" x14ac:dyDescent="0.2">
      <c r="B44" s="151"/>
      <c r="C44" s="244" t="s">
        <v>12</v>
      </c>
      <c r="D44" s="245">
        <v>0.5</v>
      </c>
      <c r="E44" s="165"/>
      <c r="F44" s="246">
        <v>0.5</v>
      </c>
      <c r="G44" s="171"/>
      <c r="H44" s="246">
        <v>0.5</v>
      </c>
      <c r="I44" s="247"/>
      <c r="J44" s="152"/>
      <c r="M44" s="4"/>
    </row>
    <row r="45" spans="2:28" ht="13" x14ac:dyDescent="0.2">
      <c r="B45" s="73"/>
      <c r="C45" s="47" t="s">
        <v>68</v>
      </c>
      <c r="D45" s="6"/>
      <c r="E45" s="165"/>
      <c r="F45" s="10"/>
      <c r="G45" s="171"/>
      <c r="H45" s="10"/>
      <c r="I45" s="9"/>
      <c r="J45" s="66"/>
      <c r="M45" s="4"/>
      <c r="U45" s="106" t="s">
        <v>13</v>
      </c>
      <c r="V45" s="107" t="s">
        <v>56</v>
      </c>
      <c r="X45" s="113" t="s">
        <v>60</v>
      </c>
      <c r="Y45" s="113" t="s">
        <v>48</v>
      </c>
      <c r="Z45" s="113" t="s">
        <v>57</v>
      </c>
      <c r="AA45" s="113" t="s">
        <v>58</v>
      </c>
      <c r="AB45" s="106" t="s">
        <v>59</v>
      </c>
    </row>
    <row r="46" spans="2:28" ht="25" x14ac:dyDescent="0.2">
      <c r="B46" s="73"/>
      <c r="C46" s="161" t="s">
        <v>61</v>
      </c>
      <c r="D46" s="115"/>
      <c r="E46" s="116"/>
      <c r="F46" s="115"/>
      <c r="G46" s="117"/>
      <c r="H46" s="115"/>
      <c r="I46" s="9"/>
      <c r="J46" s="66"/>
      <c r="M46" s="4"/>
      <c r="U46" s="104" t="s">
        <v>49</v>
      </c>
      <c r="V46" s="5">
        <v>0</v>
      </c>
      <c r="X46" s="2">
        <v>0</v>
      </c>
      <c r="Y46" s="2">
        <f t="shared" ref="Y46:Y56" si="0">IF(X46&lt;$D$47,X46,$D$47)</f>
        <v>0</v>
      </c>
      <c r="Z46" s="2" t="e">
        <f t="shared" ref="Z46:Z56" si="1">$V$47+($V$46-$V$47)*EXP(-(-LN(1-$V$49)/POWER($D$47,$V$50))*POWER(Y46,$V$50))</f>
        <v>#DIV/0!</v>
      </c>
      <c r="AA46" s="2" t="e">
        <f t="shared" ref="AA46:AA56" si="2">$V$47+($V$46-$V$47)*EXP(-(-LN(1-$V$49)/POWER($D$47,$V$51))*POWER(Y46,$V$51))</f>
        <v>#DIV/0!</v>
      </c>
      <c r="AB46" s="162" t="e">
        <f t="shared" ref="AB46:AB56" si="3">$V$47+($V$46-$V$47)*EXP(-(-LN(1-$V$49)/POWER($D$47,$V$52))*POWER(Y46,$V$52))</f>
        <v>#DIV/0!</v>
      </c>
    </row>
    <row r="47" spans="2:28" ht="12" customHeight="1" x14ac:dyDescent="0.2">
      <c r="B47" s="73"/>
      <c r="C47" s="161" t="s">
        <v>88</v>
      </c>
      <c r="D47" s="6"/>
      <c r="E47" s="103"/>
      <c r="F47" s="6"/>
      <c r="G47" s="8"/>
      <c r="H47" s="6"/>
      <c r="I47" s="9"/>
      <c r="J47" s="66"/>
      <c r="L47" s="70" t="s">
        <v>44</v>
      </c>
      <c r="M47" s="4"/>
      <c r="U47" s="105" t="s">
        <v>50</v>
      </c>
      <c r="V47" s="5">
        <v>1</v>
      </c>
      <c r="X47" s="2">
        <v>1</v>
      </c>
      <c r="Y47" s="2">
        <f t="shared" si="0"/>
        <v>0</v>
      </c>
      <c r="Z47" s="2" t="e">
        <f t="shared" si="1"/>
        <v>#DIV/0!</v>
      </c>
      <c r="AA47" s="2" t="e">
        <f t="shared" si="2"/>
        <v>#DIV/0!</v>
      </c>
      <c r="AB47" s="3" t="e">
        <f t="shared" si="3"/>
        <v>#DIV/0!</v>
      </c>
    </row>
    <row r="48" spans="2:28" ht="12" customHeight="1" x14ac:dyDescent="0.2">
      <c r="B48" s="73"/>
      <c r="C48" s="161" t="s">
        <v>87</v>
      </c>
      <c r="D48" s="208"/>
      <c r="E48" s="212"/>
      <c r="F48" s="208"/>
      <c r="G48" s="213"/>
      <c r="H48" s="208"/>
      <c r="I48" s="9"/>
      <c r="J48" s="66"/>
      <c r="L48" s="70" t="s">
        <v>45</v>
      </c>
      <c r="M48" s="4"/>
      <c r="U48" s="105" t="s">
        <v>51</v>
      </c>
      <c r="V48" s="5">
        <v>1</v>
      </c>
      <c r="X48" s="2">
        <v>2</v>
      </c>
      <c r="Y48" s="2">
        <f t="shared" si="0"/>
        <v>0</v>
      </c>
      <c r="Z48" s="2" t="e">
        <f t="shared" si="1"/>
        <v>#DIV/0!</v>
      </c>
      <c r="AA48" s="2" t="e">
        <f t="shared" si="2"/>
        <v>#DIV/0!</v>
      </c>
      <c r="AB48" s="3" t="e">
        <f t="shared" si="3"/>
        <v>#DIV/0!</v>
      </c>
    </row>
    <row r="49" spans="2:28" x14ac:dyDescent="0.2">
      <c r="B49" s="73"/>
      <c r="C49" s="161" t="s">
        <v>69</v>
      </c>
      <c r="D49" s="7"/>
      <c r="E49" s="158"/>
      <c r="F49" s="7"/>
      <c r="G49" s="159"/>
      <c r="H49" s="7"/>
      <c r="I49" s="9"/>
      <c r="J49" s="66"/>
      <c r="L49" s="1"/>
      <c r="M49" s="4"/>
      <c r="U49" s="105" t="s">
        <v>52</v>
      </c>
      <c r="V49" s="5">
        <v>0.999</v>
      </c>
      <c r="X49" s="2">
        <v>3</v>
      </c>
      <c r="Y49" s="2">
        <f t="shared" si="0"/>
        <v>0</v>
      </c>
      <c r="Z49" s="2" t="e">
        <f t="shared" si="1"/>
        <v>#DIV/0!</v>
      </c>
      <c r="AA49" s="2" t="e">
        <f t="shared" si="2"/>
        <v>#DIV/0!</v>
      </c>
      <c r="AB49" s="3" t="e">
        <f t="shared" si="3"/>
        <v>#DIV/0!</v>
      </c>
    </row>
    <row r="50" spans="2:28" x14ac:dyDescent="0.2">
      <c r="B50" s="73"/>
      <c r="C50" s="161" t="s">
        <v>67</v>
      </c>
      <c r="D50" s="7">
        <v>0.05</v>
      </c>
      <c r="E50" s="158"/>
      <c r="F50" s="7">
        <v>0.01</v>
      </c>
      <c r="G50" s="159"/>
      <c r="H50" s="7">
        <v>0.1</v>
      </c>
      <c r="I50" s="9"/>
      <c r="J50" s="66"/>
      <c r="L50" s="1"/>
      <c r="M50" s="4"/>
      <c r="U50" s="108" t="s">
        <v>53</v>
      </c>
      <c r="V50" s="109">
        <v>1</v>
      </c>
      <c r="X50" s="2">
        <v>4</v>
      </c>
      <c r="Y50" s="2">
        <f t="shared" si="0"/>
        <v>0</v>
      </c>
      <c r="Z50" s="2" t="e">
        <f t="shared" si="1"/>
        <v>#DIV/0!</v>
      </c>
      <c r="AA50" s="2" t="e">
        <f t="shared" si="2"/>
        <v>#DIV/0!</v>
      </c>
      <c r="AB50" s="3" t="e">
        <f t="shared" si="3"/>
        <v>#DIV/0!</v>
      </c>
    </row>
    <row r="51" spans="2:28" x14ac:dyDescent="0.2">
      <c r="B51" s="73"/>
      <c r="C51" s="47" t="s">
        <v>76</v>
      </c>
      <c r="D51" s="7"/>
      <c r="E51" s="158"/>
      <c r="F51" s="198"/>
      <c r="G51" s="159"/>
      <c r="H51" s="198"/>
      <c r="I51" s="9"/>
      <c r="J51" s="66"/>
      <c r="L51" s="1"/>
      <c r="M51" s="4"/>
      <c r="U51" s="108" t="s">
        <v>54</v>
      </c>
      <c r="V51" s="109">
        <v>2.5</v>
      </c>
      <c r="X51" s="2">
        <v>5</v>
      </c>
      <c r="Y51" s="2">
        <f t="shared" si="0"/>
        <v>0</v>
      </c>
      <c r="Z51" s="2" t="e">
        <f t="shared" si="1"/>
        <v>#DIV/0!</v>
      </c>
      <c r="AA51" s="2" t="e">
        <f t="shared" si="2"/>
        <v>#DIV/0!</v>
      </c>
      <c r="AB51" s="3" t="e">
        <f t="shared" si="3"/>
        <v>#DIV/0!</v>
      </c>
    </row>
    <row r="52" spans="2:28" x14ac:dyDescent="0.2">
      <c r="B52" s="73"/>
      <c r="C52" s="161" t="s">
        <v>77</v>
      </c>
      <c r="D52" s="11">
        <v>1</v>
      </c>
      <c r="E52" s="171"/>
      <c r="F52" s="11"/>
      <c r="G52" s="171"/>
      <c r="H52" s="11"/>
      <c r="I52" s="9"/>
      <c r="J52" s="66"/>
      <c r="L52" s="1"/>
      <c r="M52" s="4"/>
      <c r="U52" s="110" t="s">
        <v>55</v>
      </c>
      <c r="V52" s="111">
        <v>5</v>
      </c>
      <c r="X52" s="2">
        <v>6</v>
      </c>
      <c r="Y52" s="2">
        <f t="shared" si="0"/>
        <v>0</v>
      </c>
      <c r="Z52" s="2" t="e">
        <f t="shared" si="1"/>
        <v>#DIV/0!</v>
      </c>
      <c r="AA52" s="2" t="e">
        <f t="shared" si="2"/>
        <v>#DIV/0!</v>
      </c>
      <c r="AB52" s="3" t="e">
        <f t="shared" si="3"/>
        <v>#DIV/0!</v>
      </c>
    </row>
    <row r="53" spans="2:28" x14ac:dyDescent="0.2">
      <c r="B53" s="73"/>
      <c r="C53" s="161" t="s">
        <v>78</v>
      </c>
      <c r="D53" s="11">
        <v>1</v>
      </c>
      <c r="E53" s="171"/>
      <c r="F53" s="11"/>
      <c r="G53" s="171"/>
      <c r="H53" s="11"/>
      <c r="I53" s="9"/>
      <c r="J53" s="66"/>
      <c r="L53" s="1"/>
      <c r="M53" s="4"/>
      <c r="X53" s="2">
        <v>7</v>
      </c>
      <c r="Y53" s="2">
        <f t="shared" si="0"/>
        <v>0</v>
      </c>
      <c r="Z53" s="2" t="e">
        <f t="shared" si="1"/>
        <v>#DIV/0!</v>
      </c>
      <c r="AA53" s="2" t="e">
        <f t="shared" si="2"/>
        <v>#DIV/0!</v>
      </c>
      <c r="AB53" s="3" t="e">
        <f t="shared" si="3"/>
        <v>#DIV/0!</v>
      </c>
    </row>
    <row r="54" spans="2:28" x14ac:dyDescent="0.2">
      <c r="B54" s="73"/>
      <c r="C54" s="161" t="s">
        <v>85</v>
      </c>
      <c r="D54" s="11">
        <v>1</v>
      </c>
      <c r="E54" s="171"/>
      <c r="F54" s="11"/>
      <c r="G54" s="171"/>
      <c r="H54" s="11"/>
      <c r="I54" s="9"/>
      <c r="J54" s="66"/>
      <c r="L54" s="1"/>
      <c r="M54" s="4"/>
      <c r="X54" s="2">
        <v>9</v>
      </c>
      <c r="Y54" s="2">
        <f t="shared" si="0"/>
        <v>0</v>
      </c>
      <c r="Z54" s="2" t="e">
        <f t="shared" si="1"/>
        <v>#DIV/0!</v>
      </c>
      <c r="AA54" s="2" t="e">
        <f t="shared" si="2"/>
        <v>#DIV/0!</v>
      </c>
      <c r="AB54" s="3" t="e">
        <f t="shared" si="3"/>
        <v>#DIV/0!</v>
      </c>
    </row>
    <row r="55" spans="2:28" x14ac:dyDescent="0.2">
      <c r="B55" s="73"/>
      <c r="C55" s="161" t="s">
        <v>79</v>
      </c>
      <c r="D55" s="11">
        <v>2</v>
      </c>
      <c r="E55" s="171"/>
      <c r="F55" s="11"/>
      <c r="G55" s="171"/>
      <c r="H55" s="11"/>
      <c r="I55" s="9"/>
      <c r="J55" s="66"/>
      <c r="L55" s="1"/>
      <c r="M55" s="4"/>
      <c r="X55" s="2">
        <v>11</v>
      </c>
      <c r="Y55" s="2">
        <f t="shared" si="0"/>
        <v>0</v>
      </c>
      <c r="Z55" s="2" t="e">
        <f t="shared" si="1"/>
        <v>#DIV/0!</v>
      </c>
      <c r="AA55" s="2" t="e">
        <f t="shared" si="2"/>
        <v>#DIV/0!</v>
      </c>
      <c r="AB55" s="3" t="e">
        <f t="shared" si="3"/>
        <v>#DIV/0!</v>
      </c>
    </row>
    <row r="56" spans="2:28" x14ac:dyDescent="0.2">
      <c r="B56" s="73"/>
      <c r="C56" s="161" t="s">
        <v>80</v>
      </c>
      <c r="D56" s="11">
        <v>2</v>
      </c>
      <c r="E56" s="171"/>
      <c r="F56" s="11"/>
      <c r="G56" s="171"/>
      <c r="H56" s="11"/>
      <c r="I56" s="9"/>
      <c r="J56" s="66"/>
      <c r="L56" s="1"/>
      <c r="M56" s="4"/>
      <c r="X56" s="2">
        <v>12</v>
      </c>
      <c r="Y56" s="2">
        <f t="shared" si="0"/>
        <v>0</v>
      </c>
      <c r="Z56" s="2" t="e">
        <f t="shared" si="1"/>
        <v>#DIV/0!</v>
      </c>
      <c r="AA56" s="2" t="e">
        <f t="shared" si="2"/>
        <v>#DIV/0!</v>
      </c>
      <c r="AB56" s="3" t="e">
        <f t="shared" si="3"/>
        <v>#DIV/0!</v>
      </c>
    </row>
    <row r="57" spans="2:28" x14ac:dyDescent="0.2">
      <c r="B57" s="73"/>
      <c r="C57" s="161" t="s">
        <v>81</v>
      </c>
      <c r="D57" s="11">
        <v>2</v>
      </c>
      <c r="E57" s="171"/>
      <c r="F57" s="11"/>
      <c r="G57" s="171"/>
      <c r="H57" s="11"/>
      <c r="I57" s="9"/>
      <c r="J57" s="66"/>
      <c r="L57" s="1"/>
      <c r="M57" s="4"/>
      <c r="X57" s="2">
        <v>13</v>
      </c>
      <c r="Y57" s="2">
        <f t="shared" ref="Y57:Y63" si="4">IF(X57&lt;$D$47,X57,$D$47)</f>
        <v>0</v>
      </c>
      <c r="Z57" s="2" t="e">
        <f t="shared" ref="Z57:Z63" si="5">$V$47+($V$46-$V$47)*EXP(-(-LN(1-$V$49)/POWER($D$47,$V$50))*POWER(Y57,$V$50))</f>
        <v>#DIV/0!</v>
      </c>
      <c r="AA57" s="2" t="e">
        <f t="shared" ref="AA57:AA63" si="6">$V$47+($V$46-$V$47)*EXP(-(-LN(1-$V$49)/POWER($D$47,$V$51))*POWER(Y57,$V$51))</f>
        <v>#DIV/0!</v>
      </c>
      <c r="AB57" s="3" t="e">
        <f t="shared" ref="AB57:AB63" si="7">$V$47+($V$46-$V$47)*EXP(-(-LN(1-$V$49)/POWER($D$47,$V$52))*POWER(Y57,$V$52))</f>
        <v>#DIV/0!</v>
      </c>
    </row>
    <row r="58" spans="2:28" x14ac:dyDescent="0.2">
      <c r="B58" s="74"/>
      <c r="C58" s="75"/>
      <c r="D58" s="13"/>
      <c r="E58" s="173"/>
      <c r="F58" s="172"/>
      <c r="G58" s="189"/>
      <c r="H58" s="172"/>
      <c r="I58" s="14"/>
      <c r="J58" s="76"/>
      <c r="L58" s="1"/>
      <c r="M58" s="4"/>
      <c r="X58" s="2">
        <v>14</v>
      </c>
      <c r="Y58" s="2">
        <f t="shared" si="4"/>
        <v>0</v>
      </c>
      <c r="Z58" s="2" t="e">
        <f t="shared" si="5"/>
        <v>#DIV/0!</v>
      </c>
      <c r="AA58" s="2" t="e">
        <f t="shared" si="6"/>
        <v>#DIV/0!</v>
      </c>
      <c r="AB58" s="3" t="e">
        <f t="shared" si="7"/>
        <v>#DIV/0!</v>
      </c>
    </row>
    <row r="59" spans="2:28" ht="13" x14ac:dyDescent="0.2">
      <c r="B59" s="77"/>
      <c r="C59" s="78" t="s">
        <v>32</v>
      </c>
      <c r="D59" s="15"/>
      <c r="E59" s="174"/>
      <c r="F59" s="16"/>
      <c r="G59" s="190"/>
      <c r="H59" s="16"/>
      <c r="I59" s="17"/>
      <c r="J59" s="79"/>
      <c r="L59" s="1"/>
      <c r="M59" s="4"/>
      <c r="X59" s="2">
        <v>15</v>
      </c>
      <c r="Y59" s="2">
        <f t="shared" si="4"/>
        <v>0</v>
      </c>
      <c r="Z59" s="2" t="e">
        <f t="shared" si="5"/>
        <v>#DIV/0!</v>
      </c>
      <c r="AA59" s="2" t="e">
        <f t="shared" si="6"/>
        <v>#DIV/0!</v>
      </c>
      <c r="AB59" s="3" t="e">
        <f t="shared" si="7"/>
        <v>#DIV/0!</v>
      </c>
    </row>
    <row r="60" spans="2:28" x14ac:dyDescent="0.2">
      <c r="B60" s="81"/>
      <c r="C60" s="237" t="s">
        <v>82</v>
      </c>
      <c r="D60" s="156"/>
      <c r="E60" s="165"/>
      <c r="F60" s="238"/>
      <c r="G60" s="171"/>
      <c r="H60" s="239"/>
      <c r="I60" s="8"/>
      <c r="J60" s="79"/>
      <c r="L60" s="1"/>
      <c r="M60" s="4"/>
      <c r="X60" s="2">
        <v>16</v>
      </c>
      <c r="Y60" s="2">
        <f t="shared" si="4"/>
        <v>0</v>
      </c>
      <c r="Z60" s="2" t="e">
        <f t="shared" si="5"/>
        <v>#DIV/0!</v>
      </c>
      <c r="AA60" s="2" t="e">
        <f t="shared" si="6"/>
        <v>#DIV/0!</v>
      </c>
      <c r="AB60" s="3" t="e">
        <f t="shared" si="7"/>
        <v>#DIV/0!</v>
      </c>
    </row>
    <row r="61" spans="2:28" x14ac:dyDescent="0.2">
      <c r="B61" s="82"/>
      <c r="C61" s="48" t="s">
        <v>9</v>
      </c>
      <c r="D61" s="7">
        <v>2</v>
      </c>
      <c r="E61" s="165"/>
      <c r="F61" s="118"/>
      <c r="G61" s="171"/>
      <c r="H61" s="199"/>
      <c r="I61" s="9"/>
      <c r="J61" s="80"/>
      <c r="L61" s="1"/>
      <c r="M61" s="4"/>
      <c r="X61" s="2">
        <v>17</v>
      </c>
      <c r="Y61" s="2">
        <f t="shared" si="4"/>
        <v>0</v>
      </c>
      <c r="Z61" s="2" t="e">
        <f t="shared" si="5"/>
        <v>#DIV/0!</v>
      </c>
      <c r="AA61" s="2" t="e">
        <f t="shared" si="6"/>
        <v>#DIV/0!</v>
      </c>
      <c r="AB61" s="3" t="e">
        <f t="shared" si="7"/>
        <v>#DIV/0!</v>
      </c>
    </row>
    <row r="62" spans="2:28" x14ac:dyDescent="0.2">
      <c r="B62" s="124"/>
      <c r="C62" s="102" t="s">
        <v>62</v>
      </c>
      <c r="D62" s="118" t="s">
        <v>63</v>
      </c>
      <c r="E62" s="165"/>
      <c r="F62" s="118"/>
      <c r="G62" s="171"/>
      <c r="H62" s="118"/>
      <c r="I62" s="9"/>
      <c r="J62" s="123"/>
      <c r="L62" s="1"/>
      <c r="M62" s="4"/>
      <c r="X62" s="2">
        <v>18</v>
      </c>
      <c r="Y62" s="2">
        <f t="shared" si="4"/>
        <v>0</v>
      </c>
      <c r="Z62" s="2" t="e">
        <f t="shared" si="5"/>
        <v>#DIV/0!</v>
      </c>
      <c r="AA62" s="2" t="e">
        <f t="shared" si="6"/>
        <v>#DIV/0!</v>
      </c>
      <c r="AB62" s="3" t="e">
        <f t="shared" si="7"/>
        <v>#DIV/0!</v>
      </c>
    </row>
    <row r="63" spans="2:28" x14ac:dyDescent="0.2">
      <c r="B63" s="124"/>
      <c r="C63" s="48" t="str">
        <f>IF(D62="Average height and age","Average tree height (m)","Yield class")</f>
        <v>Yield class</v>
      </c>
      <c r="D63" s="125"/>
      <c r="E63" s="165"/>
      <c r="F63" s="118"/>
      <c r="G63" s="171"/>
      <c r="H63" s="118"/>
      <c r="I63" s="9"/>
      <c r="J63" s="123"/>
      <c r="L63" s="1"/>
      <c r="M63" s="4"/>
      <c r="X63" s="2">
        <v>19</v>
      </c>
      <c r="Y63" s="2">
        <f t="shared" si="4"/>
        <v>0</v>
      </c>
      <c r="Z63" s="2" t="e">
        <f t="shared" si="5"/>
        <v>#DIV/0!</v>
      </c>
      <c r="AA63" s="2" t="e">
        <f t="shared" si="6"/>
        <v>#DIV/0!</v>
      </c>
      <c r="AB63" s="3" t="e">
        <f t="shared" si="7"/>
        <v>#DIV/0!</v>
      </c>
    </row>
    <row r="64" spans="2:28" ht="9" customHeight="1" x14ac:dyDescent="0.2">
      <c r="B64" s="124"/>
      <c r="C64" s="48" t="str">
        <f>IF(D62="Average height and age","Stand age (yr)","")</f>
        <v/>
      </c>
      <c r="D64" s="198"/>
      <c r="E64" s="165"/>
      <c r="F64" s="198"/>
      <c r="G64" s="171"/>
      <c r="H64" s="118"/>
      <c r="I64" s="9"/>
      <c r="J64" s="123"/>
      <c r="M64" s="4"/>
      <c r="X64" s="2">
        <v>20</v>
      </c>
      <c r="Y64" s="2">
        <f>IF(X64&lt;$D$47,X64,$D$47)</f>
        <v>0</v>
      </c>
      <c r="Z64" s="2" t="e">
        <f>$V$47+($V$46-$V$47)*EXP(-(-LN(1-$V$49)/POWER($D$47,$V$50))*POWER(Y64,$V$50))</f>
        <v>#DIV/0!</v>
      </c>
      <c r="AA64" s="2" t="e">
        <f>$V$47+($V$46-$V$47)*EXP(-(-LN(1-$V$49)/POWER($D$47,$V$51))*POWER(Y64,$V$51))</f>
        <v>#DIV/0!</v>
      </c>
      <c r="AB64" s="3" t="e">
        <f>$V$47+($V$46-$V$47)*EXP(-(-LN(1-$V$49)/POWER($D$47,$V$52))*POWER(Y64,$V$52))</f>
        <v>#DIV/0!</v>
      </c>
    </row>
    <row r="65" spans="1:28" ht="9" customHeight="1" x14ac:dyDescent="0.2">
      <c r="B65" s="124"/>
      <c r="C65" s="48" t="s">
        <v>83</v>
      </c>
      <c r="D65" s="198"/>
      <c r="E65" s="165"/>
      <c r="F65" s="198"/>
      <c r="G65" s="171"/>
      <c r="H65" s="198"/>
      <c r="I65" s="9"/>
      <c r="J65" s="123"/>
      <c r="L65" s="54"/>
      <c r="M65" s="4"/>
      <c r="O65" s="40"/>
      <c r="X65" s="2">
        <v>21</v>
      </c>
      <c r="Y65" s="2">
        <f>IF(X65&lt;$D$47,X65,$D$47)</f>
        <v>0</v>
      </c>
      <c r="Z65" s="2" t="e">
        <f>$V$47+($V$46-$V$47)*EXP(-(-LN(1-$V$49)/POWER($D$47,$V$50))*POWER(Y65,$V$50))</f>
        <v>#DIV/0!</v>
      </c>
      <c r="AA65" s="2" t="e">
        <f>$V$47+($V$46-$V$47)*EXP(-(-LN(1-$V$49)/POWER($D$47,$V$51))*POWER(Y65,$V$51))</f>
        <v>#DIV/0!</v>
      </c>
      <c r="AB65" s="3" t="e">
        <f>$V$47+($V$46-$V$47)*EXP(-(-LN(1-$V$49)/POWER($D$47,$V$52))*POWER(Y65,$V$52))</f>
        <v>#DIV/0!</v>
      </c>
    </row>
    <row r="66" spans="1:28" x14ac:dyDescent="0.2">
      <c r="B66" s="82"/>
      <c r="C66" s="48" t="s">
        <v>65</v>
      </c>
      <c r="D66" s="11">
        <v>2</v>
      </c>
      <c r="E66" s="165"/>
      <c r="F66" s="156"/>
      <c r="G66" s="171"/>
      <c r="H66" s="11"/>
      <c r="I66" s="9"/>
      <c r="J66" s="123"/>
      <c r="L66" s="54"/>
      <c r="M66" s="4"/>
      <c r="O66" s="40"/>
      <c r="X66" s="2">
        <v>22</v>
      </c>
      <c r="Y66" s="2">
        <f>IF(X66&lt;$D$47,X66,$D$47)</f>
        <v>0</v>
      </c>
      <c r="Z66" s="2" t="e">
        <f>$V$47+($V$46-$V$47)*EXP(-(-LN(1-$V$49)/POWER($D$47,$V$50))*POWER(Y66,$V$50))</f>
        <v>#DIV/0!</v>
      </c>
      <c r="AA66" s="2" t="e">
        <f>$V$47+($V$46-$V$47)*EXP(-(-LN(1-$V$49)/POWER($D$47,$V$51))*POWER(Y66,$V$51))</f>
        <v>#DIV/0!</v>
      </c>
      <c r="AB66" s="3" t="e">
        <f>$V$47+($V$46-$V$47)*EXP(-(-LN(1-$V$49)/POWER($D$47,$V$52))*POWER(Y66,$V$52))</f>
        <v>#DIV/0!</v>
      </c>
    </row>
    <row r="67" spans="1:28" ht="13.5" customHeight="1" x14ac:dyDescent="0.2">
      <c r="A67" s="132"/>
      <c r="B67" s="131"/>
      <c r="C67" s="48" t="str">
        <f>IF(D66=1,"Length of rotation (yr) (50 yr default)","")</f>
        <v/>
      </c>
      <c r="D67" s="10"/>
      <c r="E67" s="169"/>
      <c r="F67" s="10"/>
      <c r="G67" s="188"/>
      <c r="H67" s="10"/>
      <c r="I67" s="9"/>
      <c r="J67" s="80"/>
      <c r="L67" s="39"/>
      <c r="M67" s="4"/>
      <c r="O67" s="40"/>
      <c r="X67" s="2">
        <v>23</v>
      </c>
      <c r="Y67" s="2">
        <f>IF(X67&lt;$D$47,X67,$D$47)</f>
        <v>0</v>
      </c>
      <c r="Z67" s="2" t="e">
        <f>$V$47+($V$46-$V$47)*EXP(-(-LN(1-$V$49)/POWER($D$47,$V$50))*POWER(Y67,$V$50))</f>
        <v>#DIV/0!</v>
      </c>
      <c r="AA67" s="2" t="e">
        <f>$V$47+($V$46-$V$47)*EXP(-(-LN(1-$V$49)/POWER($D$47,$V$51))*POWER(Y67,$V$51))</f>
        <v>#DIV/0!</v>
      </c>
      <c r="AB67" s="3" t="e">
        <f>$V$47+($V$46-$V$47)*EXP(-(-LN(1-$V$49)/POWER($D$47,$V$52))*POWER(Y67,$V$52))</f>
        <v>#DIV/0!</v>
      </c>
    </row>
    <row r="68" spans="1:28" ht="13.5" customHeight="1" x14ac:dyDescent="0.2">
      <c r="A68" s="132"/>
      <c r="B68" s="131"/>
      <c r="C68" s="102" t="s">
        <v>70</v>
      </c>
      <c r="D68" s="11">
        <v>1</v>
      </c>
      <c r="E68" s="165"/>
      <c r="F68" s="11"/>
      <c r="G68" s="171"/>
      <c r="H68" s="11"/>
      <c r="I68" s="9"/>
      <c r="J68" s="80"/>
      <c r="L68" s="39"/>
      <c r="M68" s="4"/>
      <c r="O68" s="40"/>
      <c r="X68" s="2">
        <v>24</v>
      </c>
      <c r="Y68" s="2">
        <f t="shared" ref="Y68:Y73" si="8">IF(X68&lt;$D$47,X68,$D$47)</f>
        <v>0</v>
      </c>
      <c r="Z68" s="2" t="e">
        <f t="shared" ref="Z68:Z73" si="9">$V$47+($V$46-$V$47)*EXP(-(-LN(1-$V$49)/POWER($D$47,$V$50))*POWER(Y68,$V$50))</f>
        <v>#DIV/0!</v>
      </c>
      <c r="AA68" s="2" t="e">
        <f t="shared" ref="AA68:AA73" si="10">$V$47+($V$46-$V$47)*EXP(-(-LN(1-$V$49)/POWER($D$47,$V$51))*POWER(Y68,$V$51))</f>
        <v>#DIV/0!</v>
      </c>
      <c r="AB68" s="3" t="e">
        <f t="shared" ref="AB68:AB73" si="11">$V$47+($V$46-$V$47)*EXP(-(-LN(1-$V$49)/POWER($D$47,$V$52))*POWER(Y68,$V$52))</f>
        <v>#DIV/0!</v>
      </c>
    </row>
    <row r="69" spans="1:28" ht="13.5" customHeight="1" x14ac:dyDescent="0.2">
      <c r="B69" s="128"/>
      <c r="C69" s="102" t="str">
        <f>IF($D$68=1, "Distance to paper mill (km)", "")</f>
        <v>Distance to paper mill (km)</v>
      </c>
      <c r="D69" s="10"/>
      <c r="E69" s="169"/>
      <c r="F69" s="10"/>
      <c r="G69" s="188"/>
      <c r="H69" s="10"/>
      <c r="I69" s="9"/>
      <c r="J69" s="80"/>
      <c r="L69" s="39"/>
      <c r="M69" s="4"/>
      <c r="O69" s="40"/>
      <c r="X69" s="2">
        <v>25</v>
      </c>
      <c r="Y69" s="2">
        <f t="shared" si="8"/>
        <v>0</v>
      </c>
      <c r="Z69" s="2" t="e">
        <f t="shared" si="9"/>
        <v>#DIV/0!</v>
      </c>
      <c r="AA69" s="2" t="e">
        <f t="shared" si="10"/>
        <v>#DIV/0!</v>
      </c>
      <c r="AB69" s="3" t="e">
        <f t="shared" si="11"/>
        <v>#DIV/0!</v>
      </c>
    </row>
    <row r="70" spans="1:28" ht="22.5" customHeight="1" x14ac:dyDescent="0.2">
      <c r="A70" s="132"/>
      <c r="B70" s="131"/>
      <c r="C70" s="102" t="str">
        <f>IF($D$68=1, "Distance to wood panel mill (km)", "")</f>
        <v>Distance to wood panel mill (km)</v>
      </c>
      <c r="D70" s="10"/>
      <c r="E70" s="169"/>
      <c r="F70" s="10"/>
      <c r="G70" s="188"/>
      <c r="H70" s="10"/>
      <c r="I70" s="9"/>
      <c r="J70" s="80"/>
      <c r="L70" s="39"/>
      <c r="M70" s="4"/>
      <c r="O70" s="40"/>
      <c r="X70" s="2">
        <v>26</v>
      </c>
      <c r="Y70" s="2">
        <f t="shared" si="8"/>
        <v>0</v>
      </c>
      <c r="Z70" s="2" t="e">
        <f t="shared" si="9"/>
        <v>#DIV/0!</v>
      </c>
      <c r="AA70" s="2" t="e">
        <f t="shared" si="10"/>
        <v>#DIV/0!</v>
      </c>
      <c r="AB70" s="3" t="e">
        <f t="shared" si="11"/>
        <v>#DIV/0!</v>
      </c>
    </row>
    <row r="71" spans="1:28" ht="22.5" customHeight="1" x14ac:dyDescent="0.2">
      <c r="A71" s="132"/>
      <c r="B71" s="131"/>
      <c r="C71" s="102" t="str">
        <f>IF($D$68=1, "Distance to saw mill (km)", "")</f>
        <v>Distance to saw mill (km)</v>
      </c>
      <c r="D71" s="10"/>
      <c r="E71" s="169"/>
      <c r="F71" s="10"/>
      <c r="G71" s="188"/>
      <c r="H71" s="10"/>
      <c r="I71" s="9"/>
      <c r="J71" s="80"/>
      <c r="L71" s="39"/>
      <c r="M71" s="4"/>
      <c r="O71" s="40"/>
      <c r="X71" s="2">
        <v>27</v>
      </c>
      <c r="Y71" s="2">
        <f t="shared" si="8"/>
        <v>0</v>
      </c>
      <c r="Z71" s="2" t="e">
        <f t="shared" si="9"/>
        <v>#DIV/0!</v>
      </c>
      <c r="AA71" s="2" t="e">
        <f t="shared" si="10"/>
        <v>#DIV/0!</v>
      </c>
      <c r="AB71" s="3" t="e">
        <f t="shared" si="11"/>
        <v>#DIV/0!</v>
      </c>
    </row>
    <row r="72" spans="1:28" ht="20.25" customHeight="1" x14ac:dyDescent="0.2">
      <c r="A72" s="132"/>
      <c r="B72" s="131"/>
      <c r="C72" s="102" t="str">
        <f>IF($D$68=2, "Timber left in situ mulched?", "")</f>
        <v/>
      </c>
      <c r="D72" s="10">
        <v>1</v>
      </c>
      <c r="E72" s="169"/>
      <c r="F72" s="10"/>
      <c r="G72" s="188"/>
      <c r="H72" s="10"/>
      <c r="I72" s="9"/>
      <c r="J72" s="80"/>
      <c r="M72" s="4"/>
      <c r="X72" s="2">
        <v>28</v>
      </c>
      <c r="Y72" s="2">
        <f t="shared" si="8"/>
        <v>0</v>
      </c>
      <c r="Z72" s="2" t="e">
        <f t="shared" si="9"/>
        <v>#DIV/0!</v>
      </c>
      <c r="AA72" s="2" t="e">
        <f t="shared" si="10"/>
        <v>#DIV/0!</v>
      </c>
      <c r="AB72" s="3" t="e">
        <f t="shared" si="11"/>
        <v>#DIV/0!</v>
      </c>
    </row>
    <row r="73" spans="1:28" ht="20.25" customHeight="1" x14ac:dyDescent="0.2">
      <c r="B73" s="83"/>
      <c r="C73" s="102" t="str">
        <f>IF($D$68=1, "Distance to biofuel plant (km)", "")</f>
        <v>Distance to biofuel plant (km)</v>
      </c>
      <c r="D73" s="154"/>
      <c r="E73" s="171"/>
      <c r="F73" s="154"/>
      <c r="G73" s="171"/>
      <c r="H73" s="154"/>
      <c r="I73" s="9"/>
      <c r="J73" s="80"/>
      <c r="M73" s="4"/>
      <c r="X73" s="2">
        <v>29</v>
      </c>
      <c r="Y73" s="2">
        <f t="shared" si="8"/>
        <v>0</v>
      </c>
      <c r="Z73" s="2" t="e">
        <f t="shared" si="9"/>
        <v>#DIV/0!</v>
      </c>
      <c r="AA73" s="2" t="e">
        <f t="shared" si="10"/>
        <v>#DIV/0!</v>
      </c>
      <c r="AB73" s="3" t="e">
        <f t="shared" si="11"/>
        <v>#DIV/0!</v>
      </c>
    </row>
    <row r="74" spans="1:28" ht="20.25" customHeight="1" x14ac:dyDescent="0.2">
      <c r="B74" s="83"/>
      <c r="C74" s="102" t="str">
        <f>IF($D$68=1, "Efficiency of the biomass power plant", "")</f>
        <v>Efficiency of the biomass power plant</v>
      </c>
      <c r="D74" s="154"/>
      <c r="E74" s="171"/>
      <c r="F74" s="154"/>
      <c r="G74" s="171"/>
      <c r="H74" s="154"/>
      <c r="I74" s="9"/>
      <c r="J74" s="80"/>
      <c r="M74" s="4"/>
      <c r="X74" s="2">
        <v>30</v>
      </c>
      <c r="Y74" s="2">
        <f>IF(X74&lt;$D$47,X74,$D$47)</f>
        <v>0</v>
      </c>
      <c r="Z74" s="2" t="e">
        <f>$V$47+($V$46-$V$47)*EXP(-(-LN(1-$V$49)/POWER($D$47,$V$50))*POWER(Y74,$V$50))</f>
        <v>#DIV/0!</v>
      </c>
      <c r="AA74" s="2" t="e">
        <f>$V$47+($V$46-$V$47)*EXP(-(-LN(1-$V$49)/POWER($D$47,$V$51))*POWER(Y74,$V$51))</f>
        <v>#DIV/0!</v>
      </c>
      <c r="AB74" s="3" t="e">
        <f>$V$47+($V$46-$V$47)*EXP(-(-LN(1-$V$49)/POWER($D$47,$V$52))*POWER(Y74,$V$52))</f>
        <v>#DIV/0!</v>
      </c>
    </row>
    <row r="75" spans="1:28" ht="20" customHeight="1" x14ac:dyDescent="0.2">
      <c r="B75" s="84"/>
      <c r="C75" s="47" t="s">
        <v>46</v>
      </c>
      <c r="D75" s="240"/>
      <c r="E75" s="241"/>
      <c r="F75" s="242"/>
      <c r="G75" s="185"/>
      <c r="H75" s="242"/>
      <c r="I75" s="243"/>
      <c r="J75" s="80"/>
      <c r="M75" s="4"/>
      <c r="X75" s="2">
        <v>31</v>
      </c>
      <c r="Y75" s="2">
        <f>IF(X75&lt;$D$47,X75,$D$47)</f>
        <v>0</v>
      </c>
      <c r="Z75" s="2" t="e">
        <f>$V$47+($V$46-$V$47)*EXP(-(-LN(1-$V$49)/POWER($D$47,$V$50))*POWER(Y75,$V$50))</f>
        <v>#DIV/0!</v>
      </c>
      <c r="AA75" s="2" t="e">
        <f>$V$47+($V$46-$V$47)*EXP(-(-LN(1-$V$49)/POWER($D$47,$V$51))*POWER(Y75,$V$51))</f>
        <v>#DIV/0!</v>
      </c>
      <c r="AB75" s="3" t="e">
        <f>$V$47+($V$46-$V$47)*EXP(-(-LN(1-$V$49)/POWER($D$47,$V$52))*POWER(Y75,$V$52))</f>
        <v>#DIV/0!</v>
      </c>
    </row>
    <row r="76" spans="1:28" ht="20" customHeight="1" x14ac:dyDescent="0.2">
      <c r="B76" s="85"/>
      <c r="C76" s="127" t="s">
        <v>64</v>
      </c>
      <c r="D76" s="6"/>
      <c r="E76" s="165"/>
      <c r="F76" s="10"/>
      <c r="G76" s="171"/>
      <c r="H76" s="10"/>
      <c r="I76" s="9"/>
      <c r="J76" s="80"/>
      <c r="M76" s="4"/>
      <c r="X76" s="2">
        <v>32</v>
      </c>
      <c r="Y76" s="2">
        <f>IF(X76&lt;$D$47,X76,$D$47)</f>
        <v>0</v>
      </c>
      <c r="Z76" s="2" t="e">
        <f>$V$47+($V$46-$V$47)*EXP(-(-LN(1-$V$49)/POWER($D$47,$V$50))*POWER(Y76,$V$50))</f>
        <v>#DIV/0!</v>
      </c>
      <c r="AA76" s="2" t="e">
        <f>$V$47+($V$46-$V$47)*EXP(-(-LN(1-$V$49)/POWER($D$47,$V$51))*POWER(Y76,$V$51))</f>
        <v>#DIV/0!</v>
      </c>
      <c r="AB76" s="3" t="e">
        <f>$V$47+($V$46-$V$47)*EXP(-(-LN(1-$V$49)/POWER($D$47,$V$52))*POWER(Y76,$V$52))</f>
        <v>#DIV/0!</v>
      </c>
    </row>
    <row r="77" spans="1:28" ht="19.5" customHeight="1" x14ac:dyDescent="0.2">
      <c r="B77" s="85"/>
      <c r="C77" s="127" t="s">
        <v>66</v>
      </c>
      <c r="D77" s="6"/>
      <c r="E77" s="165"/>
      <c r="F77" s="10"/>
      <c r="G77" s="171"/>
      <c r="H77" s="10"/>
      <c r="I77" s="9"/>
      <c r="J77" s="80"/>
      <c r="L77" s="70"/>
      <c r="M77" s="4"/>
      <c r="X77" s="2">
        <v>33</v>
      </c>
      <c r="Y77" s="2">
        <f t="shared" ref="Y77:Y89" si="12">IF(X77&lt;$D$47,X77,$D$47)</f>
        <v>0</v>
      </c>
      <c r="Z77" s="2" t="e">
        <f t="shared" ref="Z77:Z89" si="13">$V$47+($V$46-$V$47)*EXP(-(-LN(1-$V$49)/POWER($D$47,$V$50))*POWER(Y77,$V$50))</f>
        <v>#DIV/0!</v>
      </c>
      <c r="AA77" s="2" t="e">
        <f t="shared" ref="AA77:AA89" si="14">$V$47+($V$46-$V$47)*EXP(-(-LN(1-$V$49)/POWER($D$47,$V$51))*POWER(Y77,$V$51))</f>
        <v>#DIV/0!</v>
      </c>
      <c r="AB77" s="3" t="e">
        <f t="shared" ref="AB77:AB89" si="15">$V$47+($V$46-$V$47)*EXP(-(-LN(1-$V$49)/POWER($D$47,$V$52))*POWER(Y77,$V$52))</f>
        <v>#DIV/0!</v>
      </c>
    </row>
    <row r="78" spans="1:28" ht="12" customHeight="1" x14ac:dyDescent="0.2">
      <c r="A78" s="132"/>
      <c r="B78" s="128"/>
      <c r="C78" s="72" t="s">
        <v>11</v>
      </c>
      <c r="D78" s="12"/>
      <c r="E78" s="165"/>
      <c r="F78" s="12"/>
      <c r="G78" s="171"/>
      <c r="H78" s="12"/>
      <c r="I78" s="9"/>
      <c r="J78" s="80"/>
      <c r="L78" s="70"/>
      <c r="M78" s="4"/>
      <c r="X78" s="2">
        <v>34</v>
      </c>
      <c r="Y78" s="2">
        <f t="shared" si="12"/>
        <v>0</v>
      </c>
      <c r="Z78" s="2" t="e">
        <f t="shared" si="13"/>
        <v>#DIV/0!</v>
      </c>
      <c r="AA78" s="2" t="e">
        <f t="shared" si="14"/>
        <v>#DIV/0!</v>
      </c>
      <c r="AB78" s="3" t="e">
        <f t="shared" si="15"/>
        <v>#DIV/0!</v>
      </c>
    </row>
    <row r="79" spans="1:28" ht="12" customHeight="1" x14ac:dyDescent="0.2">
      <c r="A79" s="132"/>
      <c r="B79" s="84"/>
      <c r="C79" s="244" t="s">
        <v>12</v>
      </c>
      <c r="D79" s="245"/>
      <c r="E79" s="165"/>
      <c r="F79" s="246"/>
      <c r="G79" s="171"/>
      <c r="H79" s="246"/>
      <c r="I79" s="247"/>
      <c r="J79" s="80"/>
      <c r="L79" s="70"/>
      <c r="M79" s="4"/>
      <c r="X79" s="2">
        <v>35</v>
      </c>
      <c r="Y79" s="2">
        <f t="shared" si="12"/>
        <v>0</v>
      </c>
      <c r="Z79" s="2" t="e">
        <f t="shared" si="13"/>
        <v>#DIV/0!</v>
      </c>
      <c r="AA79" s="2" t="e">
        <f t="shared" si="14"/>
        <v>#DIV/0!</v>
      </c>
      <c r="AB79" s="3" t="e">
        <f t="shared" si="15"/>
        <v>#DIV/0!</v>
      </c>
    </row>
    <row r="80" spans="1:28" ht="12" customHeight="1" x14ac:dyDescent="0.2">
      <c r="B80" s="160"/>
      <c r="C80" s="47" t="s">
        <v>68</v>
      </c>
      <c r="D80" s="6"/>
      <c r="E80" s="165"/>
      <c r="F80" s="10"/>
      <c r="G80" s="171"/>
      <c r="H80" s="10"/>
      <c r="I80" s="9"/>
      <c r="J80" s="136"/>
      <c r="L80" s="70"/>
      <c r="M80" s="4"/>
      <c r="X80" s="2">
        <v>36</v>
      </c>
      <c r="Y80" s="2">
        <f t="shared" si="12"/>
        <v>0</v>
      </c>
      <c r="Z80" s="2" t="e">
        <f t="shared" si="13"/>
        <v>#DIV/0!</v>
      </c>
      <c r="AA80" s="2" t="e">
        <f t="shared" si="14"/>
        <v>#DIV/0!</v>
      </c>
      <c r="AB80" s="3" t="e">
        <f t="shared" si="15"/>
        <v>#DIV/0!</v>
      </c>
    </row>
    <row r="81" spans="1:28" ht="12" customHeight="1" x14ac:dyDescent="0.2">
      <c r="A81" s="132"/>
      <c r="B81" s="160"/>
      <c r="C81" s="161" t="s">
        <v>61</v>
      </c>
      <c r="D81" s="115"/>
      <c r="E81" s="116"/>
      <c r="F81" s="115"/>
      <c r="G81" s="117"/>
      <c r="H81" s="115"/>
      <c r="I81" s="9"/>
      <c r="J81" s="136"/>
      <c r="L81" s="70"/>
      <c r="M81" s="4"/>
      <c r="X81" s="2">
        <v>37</v>
      </c>
      <c r="Y81" s="2">
        <f t="shared" si="12"/>
        <v>0</v>
      </c>
      <c r="Z81" s="2" t="e">
        <f t="shared" si="13"/>
        <v>#DIV/0!</v>
      </c>
      <c r="AA81" s="2" t="e">
        <f t="shared" si="14"/>
        <v>#DIV/0!</v>
      </c>
      <c r="AB81" s="3" t="e">
        <f t="shared" si="15"/>
        <v>#DIV/0!</v>
      </c>
    </row>
    <row r="82" spans="1:28" ht="12" customHeight="1" x14ac:dyDescent="0.2">
      <c r="A82" s="132"/>
      <c r="B82" s="160"/>
      <c r="C82" s="161" t="s">
        <v>88</v>
      </c>
      <c r="D82" s="6"/>
      <c r="E82" s="103"/>
      <c r="F82" s="6"/>
      <c r="G82" s="8"/>
      <c r="H82" s="6"/>
      <c r="I82" s="9"/>
      <c r="J82" s="136"/>
      <c r="L82" s="70"/>
      <c r="M82" s="4"/>
      <c r="X82" s="2">
        <v>38</v>
      </c>
      <c r="Y82" s="2">
        <f t="shared" si="12"/>
        <v>0</v>
      </c>
      <c r="Z82" s="2" t="e">
        <f t="shared" si="13"/>
        <v>#DIV/0!</v>
      </c>
      <c r="AA82" s="2" t="e">
        <f t="shared" si="14"/>
        <v>#DIV/0!</v>
      </c>
      <c r="AB82" s="3" t="e">
        <f t="shared" si="15"/>
        <v>#DIV/0!</v>
      </c>
    </row>
    <row r="83" spans="1:28" ht="12" customHeight="1" x14ac:dyDescent="0.2">
      <c r="A83" s="132"/>
      <c r="B83" s="138"/>
      <c r="C83" s="161" t="s">
        <v>87</v>
      </c>
      <c r="D83" s="208"/>
      <c r="E83" s="212"/>
      <c r="F83" s="208"/>
      <c r="G83" s="213"/>
      <c r="H83" s="208"/>
      <c r="I83" s="9"/>
      <c r="J83" s="136"/>
      <c r="L83" s="70"/>
      <c r="M83" s="4"/>
      <c r="X83" s="2">
        <v>39</v>
      </c>
      <c r="Y83" s="2">
        <f t="shared" si="12"/>
        <v>0</v>
      </c>
      <c r="Z83" s="2" t="e">
        <f t="shared" si="13"/>
        <v>#DIV/0!</v>
      </c>
      <c r="AA83" s="2" t="e">
        <f t="shared" si="14"/>
        <v>#DIV/0!</v>
      </c>
      <c r="AB83" s="3" t="e">
        <f t="shared" si="15"/>
        <v>#DIV/0!</v>
      </c>
    </row>
    <row r="84" spans="1:28" ht="14.25" customHeight="1" x14ac:dyDescent="0.2">
      <c r="B84" s="160"/>
      <c r="C84" s="161" t="s">
        <v>69</v>
      </c>
      <c r="D84" s="7"/>
      <c r="E84" s="158"/>
      <c r="F84" s="7"/>
      <c r="G84" s="159"/>
      <c r="H84" s="7"/>
      <c r="I84" s="9"/>
      <c r="J84" s="136"/>
      <c r="M84" s="4"/>
      <c r="X84" s="2">
        <v>40</v>
      </c>
      <c r="Y84" s="2">
        <f t="shared" si="12"/>
        <v>0</v>
      </c>
      <c r="Z84" s="2" t="e">
        <f t="shared" si="13"/>
        <v>#DIV/0!</v>
      </c>
      <c r="AA84" s="2" t="e">
        <f t="shared" si="14"/>
        <v>#DIV/0!</v>
      </c>
      <c r="AB84" s="3" t="e">
        <f t="shared" si="15"/>
        <v>#DIV/0!</v>
      </c>
    </row>
    <row r="85" spans="1:28" ht="14.25" customHeight="1" x14ac:dyDescent="0.2">
      <c r="A85" s="132"/>
      <c r="B85" s="138"/>
      <c r="C85" s="161" t="s">
        <v>67</v>
      </c>
      <c r="D85" s="7"/>
      <c r="E85" s="158"/>
      <c r="F85" s="7"/>
      <c r="G85" s="159"/>
      <c r="H85" s="7"/>
      <c r="I85" s="9"/>
      <c r="J85" s="136"/>
      <c r="M85" s="4"/>
      <c r="X85" s="2">
        <v>41</v>
      </c>
      <c r="Y85" s="2">
        <f t="shared" si="12"/>
        <v>0</v>
      </c>
      <c r="Z85" s="2" t="e">
        <f t="shared" si="13"/>
        <v>#DIV/0!</v>
      </c>
      <c r="AA85" s="2" t="e">
        <f t="shared" si="14"/>
        <v>#DIV/0!</v>
      </c>
      <c r="AB85" s="3" t="e">
        <f t="shared" si="15"/>
        <v>#DIV/0!</v>
      </c>
    </row>
    <row r="86" spans="1:28" ht="14.25" customHeight="1" x14ac:dyDescent="0.2">
      <c r="B86" s="160"/>
      <c r="C86" s="47" t="s">
        <v>76</v>
      </c>
      <c r="D86" s="7"/>
      <c r="E86" s="158"/>
      <c r="F86" s="198"/>
      <c r="G86" s="197"/>
      <c r="H86" s="118"/>
      <c r="I86" s="9"/>
      <c r="J86" s="136"/>
      <c r="M86" s="4"/>
      <c r="X86" s="2">
        <v>42</v>
      </c>
      <c r="Y86" s="2">
        <f t="shared" si="12"/>
        <v>0</v>
      </c>
      <c r="Z86" s="2" t="e">
        <f t="shared" si="13"/>
        <v>#DIV/0!</v>
      </c>
      <c r="AA86" s="2" t="e">
        <f t="shared" si="14"/>
        <v>#DIV/0!</v>
      </c>
      <c r="AB86" s="3" t="e">
        <f t="shared" si="15"/>
        <v>#DIV/0!</v>
      </c>
    </row>
    <row r="87" spans="1:28" ht="14.25" customHeight="1" x14ac:dyDescent="0.2">
      <c r="B87" s="160"/>
      <c r="C87" s="161" t="s">
        <v>77</v>
      </c>
      <c r="D87" s="11">
        <v>1</v>
      </c>
      <c r="E87" s="171"/>
      <c r="F87" s="11"/>
      <c r="G87" s="171"/>
      <c r="H87" s="11"/>
      <c r="I87" s="9"/>
      <c r="J87" s="136"/>
      <c r="M87" s="4"/>
      <c r="X87" s="2">
        <v>43</v>
      </c>
      <c r="Y87" s="2">
        <f t="shared" si="12"/>
        <v>0</v>
      </c>
      <c r="Z87" s="2" t="e">
        <f t="shared" si="13"/>
        <v>#DIV/0!</v>
      </c>
      <c r="AA87" s="2" t="e">
        <f t="shared" si="14"/>
        <v>#DIV/0!</v>
      </c>
      <c r="AB87" s="3" t="e">
        <f t="shared" si="15"/>
        <v>#DIV/0!</v>
      </c>
    </row>
    <row r="88" spans="1:28" ht="13" x14ac:dyDescent="0.2">
      <c r="A88" s="132"/>
      <c r="B88" s="138"/>
      <c r="C88" s="161" t="s">
        <v>78</v>
      </c>
      <c r="D88" s="11">
        <v>1</v>
      </c>
      <c r="E88" s="171"/>
      <c r="F88" s="11"/>
      <c r="G88" s="171"/>
      <c r="H88" s="11"/>
      <c r="I88" s="9"/>
      <c r="J88" s="136"/>
      <c r="M88" s="4"/>
      <c r="X88" s="2">
        <v>44</v>
      </c>
      <c r="Y88" s="2">
        <f t="shared" si="12"/>
        <v>0</v>
      </c>
      <c r="Z88" s="2" t="e">
        <f t="shared" si="13"/>
        <v>#DIV/0!</v>
      </c>
      <c r="AA88" s="2" t="e">
        <f t="shared" si="14"/>
        <v>#DIV/0!</v>
      </c>
      <c r="AB88" s="3" t="e">
        <f t="shared" si="15"/>
        <v>#DIV/0!</v>
      </c>
    </row>
    <row r="89" spans="1:28" ht="13" x14ac:dyDescent="0.2">
      <c r="A89" s="132"/>
      <c r="B89" s="138"/>
      <c r="C89" s="161" t="s">
        <v>85</v>
      </c>
      <c r="D89" s="11">
        <v>1</v>
      </c>
      <c r="E89" s="171"/>
      <c r="F89" s="11"/>
      <c r="G89" s="171"/>
      <c r="H89" s="11"/>
      <c r="I89" s="9"/>
      <c r="J89" s="136"/>
      <c r="M89" s="4"/>
      <c r="X89" s="2">
        <v>45</v>
      </c>
      <c r="Y89" s="2">
        <f t="shared" si="12"/>
        <v>0</v>
      </c>
      <c r="Z89" s="2" t="e">
        <f t="shared" si="13"/>
        <v>#DIV/0!</v>
      </c>
      <c r="AA89" s="2" t="e">
        <f t="shared" si="14"/>
        <v>#DIV/0!</v>
      </c>
      <c r="AB89" s="3" t="e">
        <f t="shared" si="15"/>
        <v>#DIV/0!</v>
      </c>
    </row>
    <row r="90" spans="1:28" ht="13" x14ac:dyDescent="0.2">
      <c r="A90" s="132"/>
      <c r="B90" s="138"/>
      <c r="C90" s="161" t="s">
        <v>79</v>
      </c>
      <c r="D90" s="11">
        <v>2</v>
      </c>
      <c r="E90" s="171"/>
      <c r="F90" s="11"/>
      <c r="G90" s="171"/>
      <c r="H90" s="11"/>
      <c r="I90" s="9"/>
      <c r="J90" s="136"/>
      <c r="M90" s="4"/>
      <c r="X90" s="2">
        <v>47</v>
      </c>
      <c r="Y90" s="2">
        <f>IF(X90&lt;$D$47,X90,$D$47)</f>
        <v>0</v>
      </c>
      <c r="Z90" s="2" t="e">
        <f>$V$47+($V$46-$V$47)*EXP(-(-LN(1-$V$49)/POWER($D$47,$V$50))*POWER(Y90,$V$50))</f>
        <v>#DIV/0!</v>
      </c>
      <c r="AA90" s="2" t="e">
        <f>$V$47+($V$46-$V$47)*EXP(-(-LN(1-$V$49)/POWER($D$47,$V$51))*POWER(Y90,$V$51))</f>
        <v>#DIV/0!</v>
      </c>
      <c r="AB90" s="3" t="e">
        <f>$V$47+($V$46-$V$47)*EXP(-(-LN(1-$V$49)/POWER($D$47,$V$52))*POWER(Y90,$V$52))</f>
        <v>#DIV/0!</v>
      </c>
    </row>
    <row r="91" spans="1:28" ht="13" x14ac:dyDescent="0.2">
      <c r="A91" s="132"/>
      <c r="B91" s="138"/>
      <c r="C91" s="161" t="s">
        <v>80</v>
      </c>
      <c r="D91" s="11">
        <v>2</v>
      </c>
      <c r="E91" s="171"/>
      <c r="F91" s="11"/>
      <c r="G91" s="171"/>
      <c r="H91" s="11"/>
      <c r="I91" s="9"/>
      <c r="J91" s="136"/>
      <c r="M91" s="4"/>
      <c r="X91" s="2">
        <v>49</v>
      </c>
      <c r="Y91" s="2">
        <f>IF(X91&lt;$D$47,X91,$D$47)</f>
        <v>0</v>
      </c>
      <c r="Z91" s="2" t="e">
        <f>$V$47+($V$46-$V$47)*EXP(-(-LN(1-$V$49)/POWER($D$47,$V$50))*POWER(Y91,$V$50))</f>
        <v>#DIV/0!</v>
      </c>
      <c r="AA91" s="2" t="e">
        <f>$V$47+($V$46-$V$47)*EXP(-(-LN(1-$V$49)/POWER($D$47,$V$51))*POWER(Y91,$V$51))</f>
        <v>#DIV/0!</v>
      </c>
      <c r="AB91" s="3" t="e">
        <f>$V$47+($V$46-$V$47)*EXP(-(-LN(1-$V$49)/POWER($D$47,$V$52))*POWER(Y91,$V$52))</f>
        <v>#DIV/0!</v>
      </c>
    </row>
    <row r="92" spans="1:28" ht="13" x14ac:dyDescent="0.2">
      <c r="A92" s="132"/>
      <c r="B92" s="138"/>
      <c r="C92" s="161" t="s">
        <v>81</v>
      </c>
      <c r="D92" s="11">
        <v>2</v>
      </c>
      <c r="E92" s="171"/>
      <c r="F92" s="11"/>
      <c r="G92" s="171"/>
      <c r="H92" s="11"/>
      <c r="I92" s="9"/>
      <c r="J92" s="136"/>
      <c r="M92" s="4"/>
      <c r="X92" s="112">
        <v>50</v>
      </c>
      <c r="Y92" s="114">
        <f>IF(X92&lt;$D$47,X92,$D$47)</f>
        <v>0</v>
      </c>
      <c r="Z92" s="112" t="e">
        <f>$V$47+($V$46-$V$47)*EXP(-(-LN(1-$V$49)/POWER($D$47,$V$50))*POWER(Y92,$V$50))</f>
        <v>#DIV/0!</v>
      </c>
      <c r="AA92" s="112" t="e">
        <f>$V$47+($V$46-$V$47)*EXP(-(-LN(1-$V$49)/POWER($D$47,$V$51))*POWER(Y92,$V$51))</f>
        <v>#DIV/0!</v>
      </c>
      <c r="AB92" s="114" t="e">
        <f>$V$47+($V$46-$V$47)*EXP(-(-LN(1-$V$49)/POWER($D$47,$V$52))*POWER(Y92,$V$52))</f>
        <v>#DIV/0!</v>
      </c>
    </row>
    <row r="93" spans="1:28" ht="12" customHeight="1" x14ac:dyDescent="0.2">
      <c r="B93" s="139"/>
      <c r="C93" s="133"/>
      <c r="D93" s="18"/>
      <c r="E93" s="176"/>
      <c r="F93" s="175"/>
      <c r="G93" s="191"/>
      <c r="H93" s="175"/>
      <c r="I93" s="19"/>
      <c r="J93" s="137"/>
      <c r="L93" s="70"/>
      <c r="M93" s="4"/>
    </row>
    <row r="94" spans="1:28" ht="12" customHeight="1" x14ac:dyDescent="0.2">
      <c r="B94" s="134"/>
      <c r="C94" s="135" t="s">
        <v>33</v>
      </c>
      <c r="D94" s="20"/>
      <c r="E94" s="177"/>
      <c r="F94" s="21"/>
      <c r="G94" s="192"/>
      <c r="H94" s="21"/>
      <c r="I94" s="22"/>
      <c r="J94" s="88"/>
      <c r="L94" s="70"/>
      <c r="M94" s="4"/>
    </row>
    <row r="95" spans="1:28" x14ac:dyDescent="0.2">
      <c r="B95" s="119"/>
      <c r="C95" s="237" t="s">
        <v>82</v>
      </c>
      <c r="D95" s="156"/>
      <c r="E95" s="165"/>
      <c r="F95" s="239"/>
      <c r="G95" s="171"/>
      <c r="H95" s="238"/>
      <c r="I95" s="8"/>
      <c r="J95" s="120"/>
      <c r="L95" s="1"/>
      <c r="M95" s="4"/>
    </row>
    <row r="96" spans="1:28" x14ac:dyDescent="0.2">
      <c r="B96" s="119"/>
      <c r="C96" s="48" t="s">
        <v>9</v>
      </c>
      <c r="D96" s="7"/>
      <c r="E96" s="165"/>
      <c r="F96" s="198"/>
      <c r="G96" s="171"/>
      <c r="H96" s="118"/>
      <c r="I96" s="9"/>
      <c r="J96" s="120"/>
      <c r="L96" s="1"/>
      <c r="M96" s="4"/>
    </row>
    <row r="97" spans="1:15" ht="9" customHeight="1" x14ac:dyDescent="0.2">
      <c r="A97" s="132"/>
      <c r="B97" s="119"/>
      <c r="C97" s="48" t="s">
        <v>62</v>
      </c>
      <c r="D97" s="118" t="s">
        <v>63</v>
      </c>
      <c r="E97" s="165"/>
      <c r="F97" s="118"/>
      <c r="G97" s="171"/>
      <c r="H97" s="118"/>
      <c r="I97" s="9"/>
      <c r="J97" s="120"/>
      <c r="M97" s="4"/>
    </row>
    <row r="98" spans="1:15" ht="9" customHeight="1" x14ac:dyDescent="0.2">
      <c r="A98" s="132"/>
      <c r="B98" s="119"/>
      <c r="C98" s="48" t="str">
        <f>IF(D97="Average height and age","Average tree height (m)","Yield class")</f>
        <v>Yield class</v>
      </c>
      <c r="D98" s="126"/>
      <c r="E98" s="165"/>
      <c r="F98" s="118"/>
      <c r="G98" s="171"/>
      <c r="H98" s="118"/>
      <c r="I98" s="9"/>
      <c r="J98" s="88"/>
      <c r="M98" s="4"/>
    </row>
    <row r="99" spans="1:15" x14ac:dyDescent="0.2">
      <c r="B99" s="129"/>
      <c r="C99" s="48" t="str">
        <f>IF(D97="Average height and age","Stand age (yr)","")</f>
        <v/>
      </c>
      <c r="D99" s="198"/>
      <c r="E99" s="165"/>
      <c r="F99" s="198"/>
      <c r="G99" s="171"/>
      <c r="H99" s="118"/>
      <c r="I99" s="9"/>
      <c r="J99" s="88"/>
      <c r="M99" s="4"/>
    </row>
    <row r="100" spans="1:15" x14ac:dyDescent="0.2">
      <c r="B100" s="129"/>
      <c r="C100" s="48" t="s">
        <v>83</v>
      </c>
      <c r="D100" s="198"/>
      <c r="E100" s="165"/>
      <c r="F100" s="118"/>
      <c r="G100" s="171"/>
      <c r="H100" s="118"/>
      <c r="I100" s="9"/>
      <c r="J100" s="88"/>
      <c r="M100" s="4"/>
    </row>
    <row r="101" spans="1:15" x14ac:dyDescent="0.2">
      <c r="B101" s="119"/>
      <c r="C101" s="48" t="s">
        <v>65</v>
      </c>
      <c r="D101" s="11">
        <v>1</v>
      </c>
      <c r="E101" s="165"/>
      <c r="F101" s="156"/>
      <c r="G101" s="171"/>
      <c r="H101" s="11"/>
      <c r="I101" s="9"/>
      <c r="J101" s="120"/>
      <c r="M101" s="4"/>
    </row>
    <row r="102" spans="1:15" x14ac:dyDescent="0.2">
      <c r="A102" s="132"/>
      <c r="B102" s="119"/>
      <c r="C102" s="48" t="str">
        <f>IF(D101=1,"Length of rotation (yr) (50 yr default)","")</f>
        <v>Length of rotation (yr) (50 yr default)</v>
      </c>
      <c r="D102" s="157"/>
      <c r="E102" s="169"/>
      <c r="F102" s="155"/>
      <c r="G102" s="188"/>
      <c r="H102" s="155"/>
      <c r="I102" s="9"/>
      <c r="J102" s="120"/>
      <c r="M102" s="4"/>
    </row>
    <row r="103" spans="1:15" x14ac:dyDescent="0.2">
      <c r="B103" s="119"/>
      <c r="C103" s="102" t="s">
        <v>70</v>
      </c>
      <c r="D103" s="11">
        <v>1</v>
      </c>
      <c r="E103" s="165"/>
      <c r="F103" s="11"/>
      <c r="G103" s="171"/>
      <c r="H103" s="11"/>
      <c r="I103" s="9"/>
      <c r="J103" s="120"/>
      <c r="M103" s="4"/>
    </row>
    <row r="104" spans="1:15" x14ac:dyDescent="0.2">
      <c r="A104" s="132"/>
      <c r="B104" s="119"/>
      <c r="C104" s="102" t="str">
        <f>IF($D$103=1, "Distance to paper mill (km)", "")</f>
        <v>Distance to paper mill (km)</v>
      </c>
      <c r="D104" s="155"/>
      <c r="E104" s="169"/>
      <c r="F104" s="155"/>
      <c r="G104" s="188"/>
      <c r="H104" s="155"/>
      <c r="I104" s="9"/>
      <c r="J104" s="120"/>
      <c r="M104" s="4"/>
    </row>
    <row r="105" spans="1:15" x14ac:dyDescent="0.2">
      <c r="B105" s="119"/>
      <c r="C105" s="102" t="str">
        <f>IF($D$103=1, "Distance to wood panel mill (km)", "")</f>
        <v>Distance to wood panel mill (km)</v>
      </c>
      <c r="D105" s="155"/>
      <c r="E105" s="169"/>
      <c r="F105" s="155"/>
      <c r="G105" s="188"/>
      <c r="H105" s="155"/>
      <c r="I105" s="9"/>
      <c r="J105" s="120"/>
      <c r="M105" s="4"/>
    </row>
    <row r="106" spans="1:15" x14ac:dyDescent="0.2">
      <c r="B106" s="119"/>
      <c r="C106" s="102" t="str">
        <f>IF($D$103=1, "Distance to saw mill (km)", "")</f>
        <v>Distance to saw mill (km)</v>
      </c>
      <c r="D106" s="155"/>
      <c r="E106" s="169"/>
      <c r="F106" s="155"/>
      <c r="G106" s="188"/>
      <c r="H106" s="155"/>
      <c r="I106" s="9"/>
      <c r="J106" s="120"/>
      <c r="M106" s="4"/>
    </row>
    <row r="107" spans="1:15" x14ac:dyDescent="0.2">
      <c r="A107" s="132"/>
      <c r="B107" s="119"/>
      <c r="C107" s="102" t="str">
        <f>IF($D$103=2, "Timber left in situ mulched?", "")</f>
        <v/>
      </c>
      <c r="D107" s="10">
        <v>1</v>
      </c>
      <c r="E107" s="169"/>
      <c r="F107" s="10"/>
      <c r="G107" s="188"/>
      <c r="H107" s="10"/>
      <c r="I107" s="9"/>
      <c r="J107" s="120"/>
      <c r="M107" s="4"/>
    </row>
    <row r="108" spans="1:15" x14ac:dyDescent="0.2">
      <c r="A108" s="132"/>
      <c r="B108" s="90"/>
      <c r="C108" s="102" t="str">
        <f>IF($D$103=1, "Distance to biofuel plant (km)", "")</f>
        <v>Distance to biofuel plant (km)</v>
      </c>
      <c r="D108" s="154"/>
      <c r="E108" s="171"/>
      <c r="F108" s="154"/>
      <c r="G108" s="171"/>
      <c r="H108" s="154"/>
      <c r="I108" s="9"/>
      <c r="J108" s="88"/>
      <c r="M108" s="4"/>
    </row>
    <row r="109" spans="1:15" x14ac:dyDescent="0.2">
      <c r="A109" s="132"/>
      <c r="B109" s="90"/>
      <c r="C109" s="102" t="str">
        <f>IF($D$103=1, "Efficiency of the biomass power plant", "")</f>
        <v>Efficiency of the biomass power plant</v>
      </c>
      <c r="D109" s="154"/>
      <c r="E109" s="171"/>
      <c r="F109" s="154"/>
      <c r="G109" s="171"/>
      <c r="H109" s="154"/>
      <c r="I109" s="9"/>
      <c r="J109" s="88"/>
      <c r="M109" s="4"/>
    </row>
    <row r="110" spans="1:15" x14ac:dyDescent="0.2">
      <c r="A110" s="132"/>
      <c r="B110" s="91"/>
      <c r="C110" s="47" t="s">
        <v>46</v>
      </c>
      <c r="D110" s="240"/>
      <c r="E110" s="241"/>
      <c r="F110" s="242"/>
      <c r="G110" s="185"/>
      <c r="H110" s="242"/>
      <c r="I110" s="243"/>
      <c r="J110" s="88"/>
      <c r="M110" s="4"/>
    </row>
    <row r="111" spans="1:15" x14ac:dyDescent="0.2">
      <c r="A111" s="132"/>
      <c r="B111" s="92"/>
      <c r="C111" s="127" t="s">
        <v>64</v>
      </c>
      <c r="D111" s="6"/>
      <c r="E111" s="165"/>
      <c r="F111" s="10"/>
      <c r="G111" s="171"/>
      <c r="H111" s="10"/>
      <c r="I111" s="9"/>
      <c r="J111" s="88"/>
      <c r="M111" s="4"/>
    </row>
    <row r="112" spans="1:15" x14ac:dyDescent="0.2">
      <c r="B112" s="92"/>
      <c r="C112" s="127" t="s">
        <v>66</v>
      </c>
      <c r="D112" s="6"/>
      <c r="E112" s="165"/>
      <c r="F112" s="10"/>
      <c r="G112" s="171"/>
      <c r="H112" s="10"/>
      <c r="I112" s="9"/>
      <c r="J112" s="88"/>
      <c r="L112" s="54"/>
      <c r="M112" s="4"/>
      <c r="O112" s="40"/>
    </row>
    <row r="113" spans="2:15" ht="13.5" customHeight="1" x14ac:dyDescent="0.2">
      <c r="B113" s="129"/>
      <c r="C113" s="72" t="s">
        <v>11</v>
      </c>
      <c r="D113" s="12"/>
      <c r="E113" s="165"/>
      <c r="F113" s="170"/>
      <c r="G113" s="171"/>
      <c r="H113" s="170"/>
      <c r="I113" s="9"/>
      <c r="J113" s="88"/>
      <c r="L113" s="39"/>
      <c r="M113" s="4"/>
      <c r="O113" s="40"/>
    </row>
    <row r="114" spans="2:15" ht="13.5" customHeight="1" x14ac:dyDescent="0.2">
      <c r="B114" s="91"/>
      <c r="C114" s="244" t="s">
        <v>12</v>
      </c>
      <c r="D114" s="245"/>
      <c r="E114" s="165"/>
      <c r="F114" s="246"/>
      <c r="G114" s="171"/>
      <c r="H114" s="246"/>
      <c r="I114" s="247"/>
      <c r="J114" s="88"/>
      <c r="L114" s="39"/>
      <c r="M114" s="4"/>
      <c r="O114" s="40"/>
    </row>
    <row r="115" spans="2:15" ht="13.5" customHeight="1" x14ac:dyDescent="0.2">
      <c r="B115" s="143"/>
      <c r="C115" s="47" t="s">
        <v>68</v>
      </c>
      <c r="D115" s="6"/>
      <c r="E115" s="165"/>
      <c r="F115" s="10"/>
      <c r="G115" s="171"/>
      <c r="H115" s="10"/>
      <c r="I115" s="9"/>
      <c r="J115" s="140"/>
      <c r="L115" s="39"/>
      <c r="M115" s="4"/>
      <c r="O115" s="40"/>
    </row>
    <row r="116" spans="2:15" ht="21.75" customHeight="1" x14ac:dyDescent="0.2">
      <c r="B116" s="143"/>
      <c r="C116" s="161" t="s">
        <v>61</v>
      </c>
      <c r="D116" s="115"/>
      <c r="E116" s="116"/>
      <c r="F116" s="115"/>
      <c r="G116" s="117"/>
      <c r="H116" s="115"/>
      <c r="I116" s="9"/>
      <c r="J116" s="140"/>
      <c r="L116" s="39"/>
      <c r="M116" s="4"/>
      <c r="O116" s="40"/>
    </row>
    <row r="117" spans="2:15" ht="20.25" customHeight="1" x14ac:dyDescent="0.2">
      <c r="B117" s="143"/>
      <c r="C117" s="161" t="s">
        <v>88</v>
      </c>
      <c r="D117" s="6"/>
      <c r="E117" s="103"/>
      <c r="F117" s="6"/>
      <c r="G117" s="8"/>
      <c r="H117" s="6"/>
      <c r="I117" s="9"/>
      <c r="J117" s="140"/>
      <c r="M117" s="4"/>
    </row>
    <row r="118" spans="2:15" ht="20.25" customHeight="1" x14ac:dyDescent="0.2">
      <c r="B118" s="143"/>
      <c r="C118" s="161" t="s">
        <v>87</v>
      </c>
      <c r="D118" s="6"/>
      <c r="E118" s="103"/>
      <c r="F118" s="6"/>
      <c r="G118" s="8"/>
      <c r="H118" s="6"/>
      <c r="I118" s="9"/>
      <c r="J118" s="140"/>
      <c r="M118" s="4"/>
    </row>
    <row r="119" spans="2:15" ht="20.25" customHeight="1" x14ac:dyDescent="0.2">
      <c r="B119" s="143"/>
      <c r="C119" s="161" t="s">
        <v>69</v>
      </c>
      <c r="D119" s="6"/>
      <c r="E119" s="103"/>
      <c r="F119" s="6"/>
      <c r="G119" s="8"/>
      <c r="H119" s="6"/>
      <c r="I119" s="9"/>
      <c r="J119" s="140"/>
      <c r="M119" s="4"/>
    </row>
    <row r="120" spans="2:15" ht="20.25" customHeight="1" x14ac:dyDescent="0.2">
      <c r="B120" s="143"/>
      <c r="C120" s="161" t="s">
        <v>67</v>
      </c>
      <c r="D120" s="7"/>
      <c r="E120" s="158"/>
      <c r="F120" s="7"/>
      <c r="G120" s="159"/>
      <c r="H120" s="7"/>
      <c r="I120" s="9"/>
      <c r="J120" s="140"/>
      <c r="M120" s="4"/>
    </row>
    <row r="121" spans="2:15" ht="20" customHeight="1" x14ac:dyDescent="0.2">
      <c r="B121" s="143"/>
      <c r="C121" s="47" t="s">
        <v>76</v>
      </c>
      <c r="D121" s="7"/>
      <c r="E121" s="196"/>
      <c r="F121" s="118"/>
      <c r="G121" s="159"/>
      <c r="H121" s="198"/>
      <c r="I121" s="9"/>
      <c r="J121" s="140"/>
      <c r="M121" s="4"/>
    </row>
    <row r="122" spans="2:15" ht="19.5" customHeight="1" x14ac:dyDescent="0.2">
      <c r="B122" s="143"/>
      <c r="C122" s="161" t="s">
        <v>77</v>
      </c>
      <c r="D122" s="11">
        <v>2</v>
      </c>
      <c r="E122" s="171"/>
      <c r="F122" s="11"/>
      <c r="G122" s="171"/>
      <c r="H122" s="11"/>
      <c r="I122" s="9"/>
      <c r="J122" s="140"/>
      <c r="L122" s="70"/>
      <c r="M122" s="4"/>
    </row>
    <row r="123" spans="2:15" ht="12" customHeight="1" x14ac:dyDescent="0.2">
      <c r="B123" s="143"/>
      <c r="C123" s="161" t="s">
        <v>78</v>
      </c>
      <c r="D123" s="11">
        <v>2</v>
      </c>
      <c r="E123" s="171"/>
      <c r="F123" s="11"/>
      <c r="G123" s="171"/>
      <c r="H123" s="11"/>
      <c r="I123" s="9"/>
      <c r="J123" s="140"/>
      <c r="L123" s="70"/>
      <c r="M123" s="4"/>
    </row>
    <row r="124" spans="2:15" ht="12" customHeight="1" x14ac:dyDescent="0.2">
      <c r="B124" s="143"/>
      <c r="C124" s="161" t="s">
        <v>85</v>
      </c>
      <c r="D124" s="11">
        <v>2</v>
      </c>
      <c r="E124" s="171"/>
      <c r="F124" s="11"/>
      <c r="G124" s="171"/>
      <c r="H124" s="11"/>
      <c r="I124" s="9"/>
      <c r="J124" s="140"/>
      <c r="L124" s="70"/>
      <c r="M124" s="4"/>
    </row>
    <row r="125" spans="2:15" ht="20.25" customHeight="1" x14ac:dyDescent="0.2">
      <c r="B125" s="143"/>
      <c r="C125" s="161" t="s">
        <v>79</v>
      </c>
      <c r="D125" s="11">
        <v>2</v>
      </c>
      <c r="E125" s="171"/>
      <c r="F125" s="11"/>
      <c r="G125" s="171"/>
      <c r="H125" s="11"/>
      <c r="I125" s="9"/>
      <c r="J125" s="140"/>
      <c r="M125" s="4"/>
    </row>
    <row r="126" spans="2:15" ht="20" customHeight="1" x14ac:dyDescent="0.2">
      <c r="B126" s="143"/>
      <c r="C126" s="161" t="s">
        <v>80</v>
      </c>
      <c r="D126" s="11">
        <v>2</v>
      </c>
      <c r="E126" s="171"/>
      <c r="F126" s="11"/>
      <c r="G126" s="171"/>
      <c r="H126" s="11"/>
      <c r="I126" s="9"/>
      <c r="J126" s="140"/>
      <c r="M126" s="4"/>
    </row>
    <row r="127" spans="2:15" ht="20" customHeight="1" x14ac:dyDescent="0.2">
      <c r="B127" s="143"/>
      <c r="C127" s="161" t="s">
        <v>81</v>
      </c>
      <c r="D127" s="11">
        <v>2</v>
      </c>
      <c r="E127" s="171"/>
      <c r="F127" s="11"/>
      <c r="G127" s="171"/>
      <c r="H127" s="11"/>
      <c r="I127" s="9"/>
      <c r="J127" s="140"/>
      <c r="M127" s="4"/>
    </row>
    <row r="128" spans="2:15" ht="20" customHeight="1" x14ac:dyDescent="0.2">
      <c r="B128" s="142"/>
      <c r="C128" s="93"/>
      <c r="D128" s="23"/>
      <c r="E128" s="179"/>
      <c r="F128" s="178"/>
      <c r="G128" s="193"/>
      <c r="H128" s="178"/>
      <c r="I128" s="24"/>
      <c r="J128" s="141"/>
      <c r="M128" s="4"/>
    </row>
    <row r="129" spans="2:13" ht="20" customHeight="1" x14ac:dyDescent="0.2">
      <c r="B129" s="95"/>
      <c r="C129" s="94" t="s">
        <v>34</v>
      </c>
      <c r="D129" s="25"/>
      <c r="E129" s="180"/>
      <c r="F129" s="26"/>
      <c r="G129" s="194"/>
      <c r="H129" s="26"/>
      <c r="I129" s="27"/>
      <c r="J129" s="96"/>
      <c r="M129" s="4"/>
    </row>
    <row r="130" spans="2:13" ht="20" customHeight="1" x14ac:dyDescent="0.2">
      <c r="B130" s="122"/>
      <c r="C130" s="248" t="s">
        <v>82</v>
      </c>
      <c r="D130" s="156"/>
      <c r="E130" s="165"/>
      <c r="F130" s="238"/>
      <c r="G130" s="171"/>
      <c r="H130" s="238"/>
      <c r="I130" s="8"/>
      <c r="J130" s="121"/>
      <c r="M130" s="4"/>
    </row>
    <row r="131" spans="2:13" ht="20" customHeight="1" x14ac:dyDescent="0.2">
      <c r="B131" s="122"/>
      <c r="C131" s="48" t="s">
        <v>9</v>
      </c>
      <c r="D131" s="7"/>
      <c r="E131" s="165"/>
      <c r="F131" s="118"/>
      <c r="G131" s="171"/>
      <c r="H131" s="118"/>
      <c r="I131" s="9"/>
      <c r="J131" s="121"/>
      <c r="M131" s="4"/>
    </row>
    <row r="132" spans="2:13" ht="14.25" customHeight="1" x14ac:dyDescent="0.2">
      <c r="B132" s="122"/>
      <c r="C132" s="48" t="s">
        <v>62</v>
      </c>
      <c r="D132" s="118" t="s">
        <v>63</v>
      </c>
      <c r="E132" s="165"/>
      <c r="F132" s="118"/>
      <c r="G132" s="171"/>
      <c r="H132" s="118"/>
      <c r="I132" s="9"/>
      <c r="J132" s="121"/>
      <c r="M132" s="4"/>
    </row>
    <row r="133" spans="2:13" ht="14.25" customHeight="1" x14ac:dyDescent="0.2">
      <c r="B133" s="97"/>
      <c r="C133" s="48" t="str">
        <f>IF(D132="Average height and age","Average tree height (m)","Yield class")</f>
        <v>Yield class</v>
      </c>
      <c r="D133" s="125"/>
      <c r="E133" s="165"/>
      <c r="F133" s="118"/>
      <c r="G133" s="171"/>
      <c r="H133" s="118"/>
      <c r="I133" s="9"/>
      <c r="J133" s="121"/>
      <c r="M133" s="4"/>
    </row>
    <row r="134" spans="2:13" ht="14.25" customHeight="1" x14ac:dyDescent="0.2">
      <c r="B134" s="130"/>
      <c r="C134" s="48" t="str">
        <f>IF(D132="Average height and age","Stand age (yr)","")</f>
        <v/>
      </c>
      <c r="D134" s="198"/>
      <c r="E134" s="165"/>
      <c r="F134" s="118"/>
      <c r="G134" s="171"/>
      <c r="H134" s="199"/>
      <c r="I134" s="9"/>
      <c r="J134" s="96"/>
      <c r="M134" s="4"/>
    </row>
    <row r="135" spans="2:13" ht="14.25" customHeight="1" x14ac:dyDescent="0.2">
      <c r="B135" s="130"/>
      <c r="C135" s="48" t="s">
        <v>83</v>
      </c>
      <c r="D135" s="198"/>
      <c r="E135" s="165"/>
      <c r="F135" s="118"/>
      <c r="G135" s="171"/>
      <c r="H135" s="199"/>
      <c r="I135" s="9"/>
      <c r="J135" s="96"/>
      <c r="M135" s="4"/>
    </row>
    <row r="136" spans="2:13" x14ac:dyDescent="0.2">
      <c r="B136" s="122"/>
      <c r="C136" s="48" t="s">
        <v>65</v>
      </c>
      <c r="D136" s="156">
        <v>1</v>
      </c>
      <c r="E136" s="165"/>
      <c r="F136" s="11"/>
      <c r="G136" s="171"/>
      <c r="H136" s="11"/>
      <c r="I136" s="9"/>
      <c r="J136" s="121"/>
      <c r="M136" s="4"/>
    </row>
    <row r="137" spans="2:13" x14ac:dyDescent="0.2">
      <c r="B137" s="122"/>
      <c r="C137" s="48" t="str">
        <f>IF(D136=1,"Length of rotation (yr) (50 yr default)","")</f>
        <v>Length of rotation (yr) (50 yr default)</v>
      </c>
      <c r="D137" s="157"/>
      <c r="E137" s="169"/>
      <c r="F137" s="155"/>
      <c r="G137" s="188"/>
      <c r="H137" s="155"/>
      <c r="I137" s="9"/>
      <c r="J137" s="121"/>
      <c r="M137" s="4"/>
    </row>
    <row r="138" spans="2:13" x14ac:dyDescent="0.2">
      <c r="B138" s="122"/>
      <c r="C138" s="102" t="s">
        <v>70</v>
      </c>
      <c r="D138" s="11">
        <v>1</v>
      </c>
      <c r="E138" s="165"/>
      <c r="F138" s="11"/>
      <c r="G138" s="171"/>
      <c r="H138" s="11"/>
      <c r="I138" s="9"/>
      <c r="J138" s="121"/>
      <c r="M138" s="4"/>
    </row>
    <row r="139" spans="2:13" x14ac:dyDescent="0.2">
      <c r="B139" s="122"/>
      <c r="C139" s="102" t="str">
        <f>IF($D$138=1, "Distance to paper mill (km)", "")</f>
        <v>Distance to paper mill (km)</v>
      </c>
      <c r="D139" s="155"/>
      <c r="E139" s="169"/>
      <c r="F139" s="155"/>
      <c r="G139" s="188"/>
      <c r="H139" s="155"/>
      <c r="I139" s="9"/>
      <c r="J139" s="121"/>
      <c r="M139" s="4"/>
    </row>
    <row r="140" spans="2:13" x14ac:dyDescent="0.2">
      <c r="B140" s="122"/>
      <c r="C140" s="102" t="str">
        <f>IF($D$138=1, "Distance to wood panel mill (km)", "")</f>
        <v>Distance to wood panel mill (km)</v>
      </c>
      <c r="D140" s="155"/>
      <c r="E140" s="169"/>
      <c r="F140" s="155"/>
      <c r="G140" s="188"/>
      <c r="H140" s="155"/>
      <c r="I140" s="9"/>
      <c r="J140" s="121"/>
      <c r="M140" s="4"/>
    </row>
    <row r="141" spans="2:13" ht="12" customHeight="1" x14ac:dyDescent="0.2">
      <c r="B141" s="122"/>
      <c r="C141" s="102" t="str">
        <f>IF($D$138=1, "Distance to saw mill (km)", "")</f>
        <v>Distance to saw mill (km)</v>
      </c>
      <c r="D141" s="157"/>
      <c r="E141" s="169"/>
      <c r="F141" s="155"/>
      <c r="G141" s="188"/>
      <c r="H141" s="155"/>
      <c r="I141" s="9"/>
      <c r="J141" s="121"/>
      <c r="L141" s="70"/>
      <c r="M141" s="4"/>
    </row>
    <row r="142" spans="2:13" ht="12" customHeight="1" x14ac:dyDescent="0.2">
      <c r="B142" s="122"/>
      <c r="C142" s="102" t="str">
        <f>IF($D$138=2, "Timber left in situ mulched?", "")</f>
        <v/>
      </c>
      <c r="D142" s="10">
        <v>2</v>
      </c>
      <c r="E142" s="169"/>
      <c r="F142" s="10"/>
      <c r="G142" s="188"/>
      <c r="H142" s="10"/>
      <c r="I142" s="9"/>
      <c r="J142" s="121"/>
      <c r="L142" s="70"/>
      <c r="M142" s="4"/>
    </row>
    <row r="143" spans="2:13" x14ac:dyDescent="0.2">
      <c r="B143" s="98"/>
      <c r="C143" s="48" t="str">
        <f>IF($D$138=1, "Distance to biofuel plant (km)", "")</f>
        <v>Distance to biofuel plant (km)</v>
      </c>
      <c r="D143" s="154"/>
      <c r="E143" s="171"/>
      <c r="F143" s="154"/>
      <c r="G143" s="171"/>
      <c r="H143" s="154"/>
      <c r="I143" s="9"/>
      <c r="J143" s="121"/>
      <c r="L143" s="1"/>
      <c r="M143" s="4"/>
    </row>
    <row r="144" spans="2:13" x14ac:dyDescent="0.2">
      <c r="B144" s="98"/>
      <c r="C144" s="48" t="str">
        <f>IF($D$138=1, "Efficiency of the biomass power plant", "")</f>
        <v>Efficiency of the biomass power plant</v>
      </c>
      <c r="D144" s="154"/>
      <c r="E144" s="171"/>
      <c r="F144" s="154"/>
      <c r="G144" s="171"/>
      <c r="H144" s="154"/>
      <c r="I144" s="9"/>
      <c r="J144" s="121"/>
      <c r="L144" s="1"/>
      <c r="M144" s="4"/>
    </row>
    <row r="145" spans="2:15" x14ac:dyDescent="0.2">
      <c r="B145" s="99"/>
      <c r="C145" s="47" t="s">
        <v>46</v>
      </c>
      <c r="D145" s="240"/>
      <c r="E145" s="241"/>
      <c r="F145" s="242"/>
      <c r="G145" s="185"/>
      <c r="H145" s="242"/>
      <c r="I145" s="243"/>
      <c r="J145" s="96"/>
      <c r="M145" s="4"/>
    </row>
    <row r="146" spans="2:15" x14ac:dyDescent="0.2">
      <c r="B146" s="100"/>
      <c r="C146" s="127" t="s">
        <v>64</v>
      </c>
      <c r="D146" s="6"/>
      <c r="E146" s="165"/>
      <c r="F146" s="10"/>
      <c r="G146" s="171"/>
      <c r="H146" s="10"/>
      <c r="I146" s="9"/>
      <c r="J146" s="96"/>
      <c r="M146" s="4"/>
    </row>
    <row r="147" spans="2:15" x14ac:dyDescent="0.2">
      <c r="B147" s="100"/>
      <c r="C147" s="127" t="s">
        <v>66</v>
      </c>
      <c r="D147" s="6"/>
      <c r="E147" s="165"/>
      <c r="F147" s="10"/>
      <c r="G147" s="171"/>
      <c r="H147" s="10"/>
      <c r="I147" s="9"/>
      <c r="J147" s="96"/>
      <c r="M147" s="4"/>
    </row>
    <row r="148" spans="2:15" ht="14.5" x14ac:dyDescent="0.2">
      <c r="B148" s="130"/>
      <c r="C148" s="72" t="s">
        <v>11</v>
      </c>
      <c r="D148" s="12"/>
      <c r="E148" s="165"/>
      <c r="F148" s="170"/>
      <c r="G148" s="171"/>
      <c r="H148" s="170"/>
      <c r="I148" s="9"/>
      <c r="J148" s="96"/>
      <c r="M148" s="4"/>
    </row>
    <row r="149" spans="2:15" x14ac:dyDescent="0.2">
      <c r="B149" s="99"/>
      <c r="C149" s="244" t="s">
        <v>12</v>
      </c>
      <c r="D149" s="245"/>
      <c r="E149" s="165"/>
      <c r="F149" s="246"/>
      <c r="G149" s="171"/>
      <c r="H149" s="246"/>
      <c r="I149" s="247"/>
      <c r="J149" s="96"/>
      <c r="M149" s="4"/>
    </row>
    <row r="150" spans="2:15" ht="13" x14ac:dyDescent="0.2">
      <c r="B150" s="146"/>
      <c r="C150" s="47" t="s">
        <v>68</v>
      </c>
      <c r="D150" s="6"/>
      <c r="E150" s="165"/>
      <c r="F150" s="10"/>
      <c r="G150" s="171"/>
      <c r="H150" s="10"/>
      <c r="I150" s="9"/>
      <c r="J150" s="144"/>
      <c r="M150" s="4"/>
    </row>
    <row r="151" spans="2:15" ht="25" x14ac:dyDescent="0.2">
      <c r="B151" s="146"/>
      <c r="C151" s="161" t="s">
        <v>61</v>
      </c>
      <c r="D151" s="115"/>
      <c r="E151" s="182"/>
      <c r="F151" s="181"/>
      <c r="G151" s="117"/>
      <c r="H151" s="115"/>
      <c r="I151" s="9"/>
      <c r="J151" s="144"/>
      <c r="M151" s="4"/>
    </row>
    <row r="152" spans="2:15" ht="13" x14ac:dyDescent="0.2">
      <c r="B152" s="146"/>
      <c r="C152" s="161" t="s">
        <v>88</v>
      </c>
      <c r="D152" s="6"/>
      <c r="E152" s="103"/>
      <c r="F152" s="6"/>
      <c r="G152" s="8"/>
      <c r="H152" s="6"/>
      <c r="I152" s="9"/>
      <c r="J152" s="144"/>
      <c r="M152" s="4"/>
    </row>
    <row r="153" spans="2:15" ht="13" x14ac:dyDescent="0.2">
      <c r="B153" s="146"/>
      <c r="C153" s="161" t="s">
        <v>87</v>
      </c>
      <c r="D153" s="6"/>
      <c r="E153" s="103"/>
      <c r="F153" s="6"/>
      <c r="G153" s="8"/>
      <c r="H153" s="6"/>
      <c r="I153" s="9"/>
      <c r="J153" s="144"/>
      <c r="M153" s="4"/>
    </row>
    <row r="154" spans="2:15" ht="13" x14ac:dyDescent="0.2">
      <c r="B154" s="146"/>
      <c r="C154" s="161" t="s">
        <v>69</v>
      </c>
      <c r="D154" s="6"/>
      <c r="E154" s="103"/>
      <c r="F154" s="6"/>
      <c r="G154" s="8"/>
      <c r="H154" s="6"/>
      <c r="I154" s="9"/>
      <c r="J154" s="144"/>
      <c r="M154" s="4"/>
    </row>
    <row r="155" spans="2:15" ht="13" x14ac:dyDescent="0.2">
      <c r="B155" s="146"/>
      <c r="C155" s="161" t="s">
        <v>67</v>
      </c>
      <c r="D155" s="7"/>
      <c r="E155" s="158"/>
      <c r="F155" s="7"/>
      <c r="G155" s="159"/>
      <c r="H155" s="7"/>
      <c r="I155" s="9"/>
      <c r="J155" s="144"/>
      <c r="M155" s="4"/>
    </row>
    <row r="156" spans="2:15" ht="13" x14ac:dyDescent="0.2">
      <c r="B156" s="146"/>
      <c r="C156" s="47" t="s">
        <v>76</v>
      </c>
      <c r="D156" s="7"/>
      <c r="E156" s="196"/>
      <c r="F156" s="118"/>
      <c r="G156" s="159"/>
      <c r="H156" s="198"/>
      <c r="I156" s="9"/>
      <c r="J156" s="144"/>
      <c r="M156" s="4"/>
    </row>
    <row r="157" spans="2:15" ht="13" x14ac:dyDescent="0.2">
      <c r="B157" s="146"/>
      <c r="C157" s="161" t="s">
        <v>77</v>
      </c>
      <c r="D157" s="11">
        <v>2</v>
      </c>
      <c r="E157" s="171"/>
      <c r="F157" s="11"/>
      <c r="G157" s="171"/>
      <c r="H157" s="11"/>
      <c r="I157" s="9"/>
      <c r="J157" s="144"/>
      <c r="M157" s="4"/>
    </row>
    <row r="158" spans="2:15" ht="13" x14ac:dyDescent="0.2">
      <c r="B158" s="146"/>
      <c r="C158" s="161" t="s">
        <v>78</v>
      </c>
      <c r="D158" s="11">
        <v>2</v>
      </c>
      <c r="E158" s="171"/>
      <c r="F158" s="11"/>
      <c r="G158" s="171"/>
      <c r="H158" s="11"/>
      <c r="I158" s="9"/>
      <c r="J158" s="144"/>
      <c r="M158" s="4"/>
    </row>
    <row r="159" spans="2:15" ht="13" x14ac:dyDescent="0.2">
      <c r="B159" s="146"/>
      <c r="C159" s="161" t="s">
        <v>85</v>
      </c>
      <c r="D159" s="11">
        <v>2</v>
      </c>
      <c r="E159" s="171"/>
      <c r="F159" s="11"/>
      <c r="G159" s="171"/>
      <c r="H159" s="11"/>
      <c r="I159" s="9"/>
      <c r="J159" s="144"/>
      <c r="M159" s="4"/>
    </row>
    <row r="160" spans="2:15" ht="13" x14ac:dyDescent="0.2">
      <c r="B160" s="146"/>
      <c r="C160" s="161" t="s">
        <v>79</v>
      </c>
      <c r="D160" s="11">
        <v>2</v>
      </c>
      <c r="E160" s="171"/>
      <c r="F160" s="11"/>
      <c r="G160" s="171"/>
      <c r="H160" s="11"/>
      <c r="I160" s="9"/>
      <c r="J160" s="144"/>
      <c r="L160" s="54"/>
      <c r="M160" s="4"/>
      <c r="O160" s="40"/>
    </row>
    <row r="161" spans="2:15" ht="13.5" customHeight="1" x14ac:dyDescent="0.2">
      <c r="B161" s="146"/>
      <c r="C161" s="161" t="s">
        <v>80</v>
      </c>
      <c r="D161" s="11">
        <v>2</v>
      </c>
      <c r="E161" s="171"/>
      <c r="F161" s="11"/>
      <c r="G161" s="171"/>
      <c r="H161" s="11"/>
      <c r="I161" s="9"/>
      <c r="J161" s="144"/>
      <c r="L161" s="39"/>
      <c r="M161" s="4"/>
      <c r="O161" s="40"/>
    </row>
    <row r="162" spans="2:15" ht="13.5" customHeight="1" x14ac:dyDescent="0.2">
      <c r="B162" s="146"/>
      <c r="C162" s="161" t="s">
        <v>81</v>
      </c>
      <c r="D162" s="11">
        <v>2</v>
      </c>
      <c r="E162" s="171"/>
      <c r="F162" s="11"/>
      <c r="G162" s="171"/>
      <c r="H162" s="11"/>
      <c r="I162" s="9"/>
      <c r="J162" s="144"/>
      <c r="L162" s="39"/>
      <c r="M162" s="4"/>
      <c r="O162" s="40"/>
    </row>
    <row r="163" spans="2:15" ht="13.5" customHeight="1" x14ac:dyDescent="0.2">
      <c r="B163" s="147"/>
      <c r="C163" s="101"/>
      <c r="D163" s="28"/>
      <c r="E163" s="184"/>
      <c r="F163" s="183"/>
      <c r="G163" s="195"/>
      <c r="H163" s="183"/>
      <c r="I163" s="29"/>
      <c r="J163" s="145"/>
      <c r="L163" s="39"/>
      <c r="M163" s="4"/>
      <c r="O163" s="40"/>
    </row>
    <row r="164" spans="2:15" ht="21.75" customHeight="1" x14ac:dyDescent="0.2">
      <c r="B164" s="87"/>
      <c r="C164" s="86" t="s">
        <v>35</v>
      </c>
      <c r="D164" s="20"/>
      <c r="E164" s="177"/>
      <c r="F164" s="21"/>
      <c r="G164" s="192"/>
      <c r="H164" s="21"/>
      <c r="I164" s="22"/>
      <c r="J164" s="88"/>
      <c r="L164" s="39"/>
      <c r="M164" s="4"/>
      <c r="O164" s="40"/>
    </row>
    <row r="165" spans="2:15" ht="20.25" customHeight="1" x14ac:dyDescent="0.2">
      <c r="B165" s="119"/>
      <c r="C165" s="237" t="s">
        <v>82</v>
      </c>
      <c r="D165" s="156"/>
      <c r="E165" s="165"/>
      <c r="F165" s="238"/>
      <c r="G165" s="171"/>
      <c r="H165" s="239"/>
      <c r="I165" s="8"/>
      <c r="J165" s="120"/>
      <c r="M165" s="4"/>
    </row>
    <row r="166" spans="2:15" ht="20.25" customHeight="1" x14ac:dyDescent="0.2">
      <c r="B166" s="119"/>
      <c r="C166" s="48" t="s">
        <v>9</v>
      </c>
      <c r="D166" s="7"/>
      <c r="E166" s="165"/>
      <c r="F166" s="118"/>
      <c r="G166" s="171"/>
      <c r="H166" s="198"/>
      <c r="I166" s="9"/>
      <c r="J166" s="120"/>
      <c r="M166" s="4"/>
    </row>
    <row r="167" spans="2:15" ht="20.25" customHeight="1" x14ac:dyDescent="0.2">
      <c r="B167" s="119"/>
      <c r="C167" s="48" t="s">
        <v>62</v>
      </c>
      <c r="D167" s="118" t="s">
        <v>63</v>
      </c>
      <c r="E167" s="165"/>
      <c r="F167" s="118"/>
      <c r="G167" s="171"/>
      <c r="H167" s="118"/>
      <c r="I167" s="9"/>
      <c r="J167" s="120"/>
      <c r="M167" s="4"/>
    </row>
    <row r="168" spans="2:15" ht="20.25" customHeight="1" x14ac:dyDescent="0.2">
      <c r="B168" s="89"/>
      <c r="C168" s="48" t="str">
        <f>IF(D167="Average height and age","Average tree height (m)","Yield class")</f>
        <v>Yield class</v>
      </c>
      <c r="D168" s="125"/>
      <c r="E168" s="165"/>
      <c r="F168" s="118"/>
      <c r="G168" s="171"/>
      <c r="H168" s="118"/>
      <c r="I168" s="9"/>
      <c r="J168" s="88"/>
      <c r="M168" s="4"/>
    </row>
    <row r="169" spans="2:15" ht="20" customHeight="1" x14ac:dyDescent="0.2">
      <c r="B169" s="129"/>
      <c r="C169" s="48" t="str">
        <f>IF(D167="Average height and age","Stand age (yr)","")</f>
        <v/>
      </c>
      <c r="D169" s="118"/>
      <c r="E169" s="165"/>
      <c r="F169" s="118"/>
      <c r="G169" s="171"/>
      <c r="H169" s="199"/>
      <c r="I169" s="9"/>
      <c r="J169" s="88"/>
      <c r="M169" s="4"/>
    </row>
    <row r="170" spans="2:15" ht="19.5" customHeight="1" x14ac:dyDescent="0.2">
      <c r="B170" s="129"/>
      <c r="C170" s="48" t="s">
        <v>83</v>
      </c>
      <c r="D170" s="118"/>
      <c r="E170" s="165"/>
      <c r="F170" s="118"/>
      <c r="G170" s="171"/>
      <c r="H170" s="198"/>
      <c r="I170" s="9"/>
      <c r="J170" s="88"/>
      <c r="L170" s="70"/>
      <c r="M170" s="4"/>
    </row>
    <row r="171" spans="2:15" ht="12" customHeight="1" x14ac:dyDescent="0.2">
      <c r="B171" s="119"/>
      <c r="C171" s="48" t="s">
        <v>65</v>
      </c>
      <c r="D171" s="156">
        <v>1</v>
      </c>
      <c r="E171" s="165"/>
      <c r="F171" s="11"/>
      <c r="G171" s="171"/>
      <c r="H171" s="11"/>
      <c r="I171" s="9"/>
      <c r="J171" s="120"/>
      <c r="L171" s="70"/>
      <c r="M171" s="4"/>
    </row>
    <row r="172" spans="2:15" ht="12" customHeight="1" x14ac:dyDescent="0.2">
      <c r="B172" s="119"/>
      <c r="C172" s="48" t="str">
        <f>IF(D171=1,"Length of rotation (yr) (50 yr default)","")</f>
        <v>Length of rotation (yr) (50 yr default)</v>
      </c>
      <c r="D172" s="157"/>
      <c r="E172" s="169"/>
      <c r="F172" s="10"/>
      <c r="G172" s="188"/>
      <c r="H172" s="10"/>
      <c r="I172" s="9"/>
      <c r="J172" s="120"/>
      <c r="L172" s="70"/>
      <c r="M172" s="4"/>
    </row>
    <row r="173" spans="2:15" ht="20.25" customHeight="1" x14ac:dyDescent="0.2">
      <c r="B173" s="119"/>
      <c r="C173" s="102" t="s">
        <v>70</v>
      </c>
      <c r="D173" s="156">
        <v>1</v>
      </c>
      <c r="E173" s="171"/>
      <c r="F173" s="11"/>
      <c r="G173" s="171"/>
      <c r="H173" s="11"/>
      <c r="I173" s="9"/>
      <c r="J173" s="120"/>
      <c r="M173" s="4"/>
    </row>
    <row r="174" spans="2:15" ht="20" customHeight="1" x14ac:dyDescent="0.2">
      <c r="B174" s="119"/>
      <c r="C174" s="102" t="str">
        <f>IF($D$173=1, "Distance to paper mill (km)", "")</f>
        <v>Distance to paper mill (km)</v>
      </c>
      <c r="D174" s="155"/>
      <c r="E174" s="169"/>
      <c r="F174" s="10"/>
      <c r="G174" s="188"/>
      <c r="H174" s="10"/>
      <c r="I174" s="9"/>
      <c r="J174" s="120"/>
      <c r="M174" s="4"/>
    </row>
    <row r="175" spans="2:15" ht="20" customHeight="1" x14ac:dyDescent="0.2">
      <c r="B175" s="119"/>
      <c r="C175" s="102" t="str">
        <f>IF($D$173=1, "Distance to wood panel mill (km)", "")</f>
        <v>Distance to wood panel mill (km)</v>
      </c>
      <c r="D175" s="155"/>
      <c r="E175" s="169"/>
      <c r="F175" s="10"/>
      <c r="G175" s="188"/>
      <c r="H175" s="10"/>
      <c r="I175" s="9"/>
      <c r="J175" s="120"/>
      <c r="M175" s="4"/>
    </row>
    <row r="176" spans="2:15" ht="20" customHeight="1" x14ac:dyDescent="0.2">
      <c r="B176" s="119"/>
      <c r="C176" s="102" t="str">
        <f>IF($D$173=1, "Distance to saw mill (km)", "")</f>
        <v>Distance to saw mill (km)</v>
      </c>
      <c r="D176" s="155"/>
      <c r="E176" s="169"/>
      <c r="F176" s="155"/>
      <c r="G176" s="188"/>
      <c r="H176" s="155"/>
      <c r="I176" s="9"/>
      <c r="J176" s="120"/>
      <c r="M176" s="4"/>
    </row>
    <row r="177" spans="1:13" ht="20" customHeight="1" x14ac:dyDescent="0.2">
      <c r="B177" s="119"/>
      <c r="C177" s="102" t="str">
        <f>IF($D$173=2, "Timber left in situ mulched?", "")</f>
        <v/>
      </c>
      <c r="D177" s="10">
        <v>2</v>
      </c>
      <c r="E177" s="169"/>
      <c r="F177" s="10"/>
      <c r="G177" s="188"/>
      <c r="H177" s="10"/>
      <c r="I177" s="9"/>
      <c r="J177" s="120"/>
      <c r="M177" s="4"/>
    </row>
    <row r="178" spans="1:13" ht="20" customHeight="1" x14ac:dyDescent="0.2">
      <c r="B178" s="90"/>
      <c r="C178" s="48" t="str">
        <f>IF($D$173=1, "Distance to biofuel plant (km)", "")</f>
        <v>Distance to biofuel plant (km)</v>
      </c>
      <c r="D178" s="154"/>
      <c r="E178" s="171"/>
      <c r="F178" s="154"/>
      <c r="G178" s="171"/>
      <c r="H178" s="154"/>
      <c r="I178" s="9"/>
      <c r="J178" s="88"/>
      <c r="M178" s="4"/>
    </row>
    <row r="179" spans="1:13" ht="20" customHeight="1" x14ac:dyDescent="0.2">
      <c r="B179" s="90"/>
      <c r="C179" s="48" t="str">
        <f>IF($D$173=1, "Efficiency of the biomass power plant", "")</f>
        <v>Efficiency of the biomass power plant</v>
      </c>
      <c r="D179" s="154"/>
      <c r="E179" s="171"/>
      <c r="F179" s="154"/>
      <c r="G179" s="171"/>
      <c r="H179" s="154"/>
      <c r="I179" s="9"/>
      <c r="J179" s="88"/>
      <c r="M179" s="4"/>
    </row>
    <row r="180" spans="1:13" ht="14.25" customHeight="1" x14ac:dyDescent="0.2">
      <c r="B180" s="91"/>
      <c r="C180" s="47" t="s">
        <v>46</v>
      </c>
      <c r="D180" s="240"/>
      <c r="E180" s="241"/>
      <c r="F180" s="242"/>
      <c r="G180" s="185"/>
      <c r="H180" s="242"/>
      <c r="I180" s="243"/>
      <c r="J180" s="88"/>
      <c r="M180" s="4"/>
    </row>
    <row r="181" spans="1:13" ht="14.25" customHeight="1" x14ac:dyDescent="0.2">
      <c r="B181" s="92"/>
      <c r="C181" s="127" t="s">
        <v>64</v>
      </c>
      <c r="D181" s="6"/>
      <c r="E181" s="165"/>
      <c r="F181" s="10"/>
      <c r="G181" s="171"/>
      <c r="H181" s="10"/>
      <c r="I181" s="9"/>
      <c r="J181" s="88"/>
      <c r="M181" s="4"/>
    </row>
    <row r="182" spans="1:13" ht="14.25" customHeight="1" x14ac:dyDescent="0.2">
      <c r="B182" s="92"/>
      <c r="C182" s="127" t="s">
        <v>66</v>
      </c>
      <c r="D182" s="6"/>
      <c r="E182" s="165"/>
      <c r="F182" s="10"/>
      <c r="G182" s="171"/>
      <c r="H182" s="10"/>
      <c r="I182" s="9"/>
      <c r="J182" s="88"/>
      <c r="M182" s="4"/>
    </row>
    <row r="183" spans="1:13" ht="14.25" customHeight="1" x14ac:dyDescent="0.2">
      <c r="B183" s="129"/>
      <c r="C183" s="72" t="s">
        <v>11</v>
      </c>
      <c r="D183" s="12"/>
      <c r="E183" s="165"/>
      <c r="F183" s="170"/>
      <c r="G183" s="171"/>
      <c r="H183" s="170"/>
      <c r="I183" s="9"/>
      <c r="J183" s="88"/>
      <c r="M183" s="4"/>
    </row>
    <row r="184" spans="1:13" x14ac:dyDescent="0.2">
      <c r="B184" s="91"/>
      <c r="C184" s="244" t="s">
        <v>12</v>
      </c>
      <c r="D184" s="245"/>
      <c r="E184" s="165"/>
      <c r="F184" s="246"/>
      <c r="G184" s="171"/>
      <c r="H184" s="246"/>
      <c r="I184" s="247"/>
      <c r="J184" s="88"/>
      <c r="M184" s="4"/>
    </row>
    <row r="185" spans="1:13" x14ac:dyDescent="0.2">
      <c r="A185" s="132"/>
      <c r="B185" s="149"/>
      <c r="C185" s="47" t="s">
        <v>68</v>
      </c>
      <c r="D185" s="6"/>
      <c r="E185" s="165"/>
      <c r="F185" s="10"/>
      <c r="G185" s="171"/>
      <c r="H185" s="10"/>
      <c r="I185" s="9"/>
      <c r="J185" s="148"/>
      <c r="M185" s="4"/>
    </row>
    <row r="186" spans="1:13" ht="25" x14ac:dyDescent="0.2">
      <c r="A186" s="132"/>
      <c r="B186" s="149"/>
      <c r="C186" s="161" t="s">
        <v>61</v>
      </c>
      <c r="D186" s="115"/>
      <c r="E186" s="182"/>
      <c r="F186" s="181"/>
      <c r="G186" s="117"/>
      <c r="H186" s="115"/>
      <c r="I186" s="9"/>
      <c r="J186" s="148"/>
      <c r="M186" s="4"/>
    </row>
    <row r="187" spans="1:13" x14ac:dyDescent="0.2">
      <c r="A187" s="132"/>
      <c r="B187" s="149"/>
      <c r="C187" s="161" t="s">
        <v>88</v>
      </c>
      <c r="D187" s="6"/>
      <c r="E187" s="103"/>
      <c r="F187" s="6"/>
      <c r="G187" s="8"/>
      <c r="H187" s="6"/>
      <c r="I187" s="9"/>
      <c r="J187" s="148"/>
      <c r="M187" s="4"/>
    </row>
    <row r="188" spans="1:13" x14ac:dyDescent="0.2">
      <c r="A188" s="132"/>
      <c r="B188" s="149"/>
      <c r="C188" s="161" t="s">
        <v>87</v>
      </c>
      <c r="D188" s="6"/>
      <c r="E188" s="103"/>
      <c r="F188" s="6"/>
      <c r="G188" s="8"/>
      <c r="H188" s="6"/>
      <c r="I188" s="9"/>
      <c r="J188" s="148"/>
      <c r="M188" s="4"/>
    </row>
    <row r="189" spans="1:13" ht="12" customHeight="1" x14ac:dyDescent="0.2">
      <c r="A189" s="132"/>
      <c r="B189" s="149"/>
      <c r="C189" s="161" t="s">
        <v>69</v>
      </c>
      <c r="D189" s="6"/>
      <c r="E189" s="103"/>
      <c r="F189" s="6"/>
      <c r="G189" s="8"/>
      <c r="H189" s="6"/>
      <c r="I189" s="9"/>
      <c r="J189" s="148"/>
      <c r="L189" s="70"/>
      <c r="M189" s="4"/>
    </row>
    <row r="190" spans="1:13" ht="12" customHeight="1" x14ac:dyDescent="0.2">
      <c r="B190" s="119"/>
      <c r="C190" s="161" t="s">
        <v>67</v>
      </c>
      <c r="D190" s="7"/>
      <c r="E190" s="158"/>
      <c r="F190" s="7"/>
      <c r="G190" s="159"/>
      <c r="H190" s="7"/>
      <c r="I190" s="9"/>
      <c r="J190" s="148"/>
      <c r="L190" s="70"/>
      <c r="M190" s="4"/>
    </row>
    <row r="191" spans="1:13" x14ac:dyDescent="0.2">
      <c r="B191" s="119"/>
      <c r="C191" s="47" t="s">
        <v>76</v>
      </c>
      <c r="D191" s="7"/>
      <c r="E191" s="196"/>
      <c r="F191" s="118"/>
      <c r="G191" s="159"/>
      <c r="H191" s="7"/>
      <c r="I191" s="9"/>
      <c r="J191" s="148"/>
      <c r="L191" s="1"/>
      <c r="M191" s="4"/>
    </row>
    <row r="192" spans="1:13" x14ac:dyDescent="0.2">
      <c r="B192" s="119"/>
      <c r="C192" s="161" t="s">
        <v>77</v>
      </c>
      <c r="D192" s="11">
        <v>2</v>
      </c>
      <c r="E192" s="171"/>
      <c r="F192" s="11"/>
      <c r="G192" s="171"/>
      <c r="H192" s="11"/>
      <c r="I192" s="9"/>
      <c r="J192" s="148"/>
      <c r="L192" s="1"/>
      <c r="M192" s="4"/>
    </row>
    <row r="193" spans="2:15" x14ac:dyDescent="0.2">
      <c r="B193" s="119"/>
      <c r="C193" s="161" t="s">
        <v>78</v>
      </c>
      <c r="D193" s="11">
        <v>2</v>
      </c>
      <c r="E193" s="171"/>
      <c r="F193" s="11"/>
      <c r="G193" s="171"/>
      <c r="H193" s="11"/>
      <c r="I193" s="9"/>
      <c r="J193" s="148"/>
      <c r="M193" s="4"/>
    </row>
    <row r="194" spans="2:15" x14ac:dyDescent="0.2">
      <c r="B194" s="119"/>
      <c r="C194" s="161" t="s">
        <v>85</v>
      </c>
      <c r="D194" s="11">
        <v>2</v>
      </c>
      <c r="E194" s="171"/>
      <c r="F194" s="11"/>
      <c r="G194" s="171"/>
      <c r="H194" s="11"/>
      <c r="I194" s="9"/>
      <c r="J194" s="148"/>
      <c r="M194" s="4"/>
    </row>
    <row r="195" spans="2:15" x14ac:dyDescent="0.2">
      <c r="B195" s="119"/>
      <c r="C195" s="161" t="s">
        <v>79</v>
      </c>
      <c r="D195" s="11">
        <v>2</v>
      </c>
      <c r="E195" s="171"/>
      <c r="F195" s="11"/>
      <c r="G195" s="171"/>
      <c r="H195" s="11"/>
      <c r="I195" s="9"/>
      <c r="J195" s="148"/>
      <c r="M195" s="4"/>
    </row>
    <row r="196" spans="2:15" x14ac:dyDescent="0.2">
      <c r="B196" s="119"/>
      <c r="C196" s="161" t="s">
        <v>80</v>
      </c>
      <c r="D196" s="11">
        <v>2</v>
      </c>
      <c r="E196" s="171"/>
      <c r="F196" s="11"/>
      <c r="G196" s="171"/>
      <c r="H196" s="11"/>
      <c r="I196" s="9"/>
      <c r="J196" s="148"/>
      <c r="M196" s="4"/>
    </row>
    <row r="197" spans="2:15" x14ac:dyDescent="0.2">
      <c r="B197" s="119"/>
      <c r="C197" s="161" t="s">
        <v>81</v>
      </c>
      <c r="D197" s="11">
        <v>2</v>
      </c>
      <c r="E197" s="171"/>
      <c r="F197" s="11"/>
      <c r="G197" s="171"/>
      <c r="H197" s="11"/>
      <c r="I197" s="9"/>
      <c r="J197" s="148"/>
      <c r="M197" s="4"/>
    </row>
    <row r="198" spans="2:15" ht="13" thickBot="1" x14ac:dyDescent="0.25">
      <c r="B198" s="228"/>
      <c r="C198" s="229"/>
      <c r="D198" s="230"/>
      <c r="E198" s="231"/>
      <c r="F198" s="232"/>
      <c r="G198" s="233"/>
      <c r="H198" s="234"/>
      <c r="I198" s="235"/>
      <c r="J198" s="236"/>
      <c r="M198" s="4"/>
    </row>
    <row r="199" spans="2:15" x14ac:dyDescent="0.2">
      <c r="B199" s="221"/>
      <c r="C199" s="221"/>
      <c r="D199" s="221"/>
      <c r="E199" s="221"/>
      <c r="F199" s="221"/>
      <c r="G199" s="221"/>
      <c r="H199" s="221"/>
      <c r="I199" s="221"/>
      <c r="J199" s="222"/>
      <c r="M199" s="4"/>
    </row>
    <row r="200" spans="2:15" x14ac:dyDescent="0.2">
      <c r="B200" s="221"/>
      <c r="C200" s="221"/>
      <c r="D200" s="221"/>
      <c r="E200" s="221"/>
      <c r="F200" s="221"/>
      <c r="G200" s="221"/>
      <c r="H200" s="223"/>
      <c r="I200" s="221"/>
      <c r="J200" s="221"/>
      <c r="M200" s="4"/>
    </row>
    <row r="201" spans="2:15" ht="13" x14ac:dyDescent="0.2">
      <c r="B201" s="221"/>
      <c r="C201" s="224"/>
      <c r="D201" s="225"/>
      <c r="E201" s="225"/>
      <c r="F201" s="225"/>
      <c r="G201" s="225"/>
      <c r="H201" s="222"/>
      <c r="I201" s="222"/>
      <c r="J201" s="226"/>
      <c r="M201" s="4"/>
    </row>
    <row r="202" spans="2:15" x14ac:dyDescent="0.2">
      <c r="B202" s="221"/>
      <c r="C202" s="276"/>
      <c r="D202" s="276"/>
      <c r="E202" s="276"/>
      <c r="F202" s="276"/>
      <c r="G202" s="276"/>
      <c r="H202" s="227"/>
      <c r="I202" s="221"/>
      <c r="J202" s="226"/>
      <c r="M202" s="4"/>
    </row>
    <row r="203" spans="2:15" x14ac:dyDescent="0.2">
      <c r="B203" s="221"/>
      <c r="C203" s="277"/>
      <c r="D203" s="277"/>
      <c r="E203" s="277"/>
      <c r="F203" s="277"/>
      <c r="G203" s="277"/>
      <c r="H203" s="274"/>
      <c r="I203" s="275"/>
      <c r="J203" s="221"/>
      <c r="M203" s="4"/>
    </row>
    <row r="204" spans="2:15" x14ac:dyDescent="0.2">
      <c r="B204" s="221"/>
      <c r="C204" s="221"/>
      <c r="D204" s="221"/>
      <c r="E204" s="221"/>
      <c r="F204" s="221"/>
      <c r="G204" s="221"/>
      <c r="H204" s="274"/>
      <c r="I204" s="275"/>
      <c r="J204" s="221"/>
      <c r="M204" s="4"/>
    </row>
    <row r="205" spans="2:15" x14ac:dyDescent="0.2">
      <c r="M205" s="4"/>
    </row>
    <row r="206" spans="2:15" x14ac:dyDescent="0.2">
      <c r="M206" s="4"/>
    </row>
    <row r="207" spans="2:15" x14ac:dyDescent="0.2">
      <c r="M207" s="4"/>
    </row>
    <row r="208" spans="2:15" x14ac:dyDescent="0.2">
      <c r="L208" s="54"/>
      <c r="M208" s="4"/>
      <c r="O208" s="40"/>
    </row>
    <row r="209" spans="12:15" ht="13.5" customHeight="1" x14ac:dyDescent="0.2">
      <c r="L209" s="39"/>
      <c r="M209" s="4"/>
      <c r="O209" s="40"/>
    </row>
    <row r="210" spans="12:15" ht="13.5" customHeight="1" x14ac:dyDescent="0.2">
      <c r="L210" s="39"/>
      <c r="M210" s="4"/>
      <c r="O210" s="40"/>
    </row>
    <row r="211" spans="12:15" ht="13.5" customHeight="1" x14ac:dyDescent="0.2">
      <c r="L211" s="39"/>
      <c r="M211" s="4"/>
      <c r="O211" s="40"/>
    </row>
    <row r="212" spans="12:15" ht="21.75" customHeight="1" x14ac:dyDescent="0.2">
      <c r="L212" s="39"/>
      <c r="M212" s="4"/>
      <c r="O212" s="40"/>
    </row>
    <row r="213" spans="12:15" ht="20.25" customHeight="1" x14ac:dyDescent="0.2">
      <c r="M213" s="4"/>
    </row>
    <row r="214" spans="12:15" ht="20.25" customHeight="1" x14ac:dyDescent="0.2">
      <c r="M214" s="4"/>
    </row>
    <row r="215" spans="12:15" ht="20.25" customHeight="1" x14ac:dyDescent="0.2">
      <c r="M215" s="4"/>
    </row>
    <row r="216" spans="12:15" ht="20.25" customHeight="1" x14ac:dyDescent="0.2">
      <c r="M216" s="4"/>
    </row>
    <row r="217" spans="12:15" ht="20" customHeight="1" x14ac:dyDescent="0.2">
      <c r="M217" s="4"/>
    </row>
    <row r="218" spans="12:15" ht="19.5" customHeight="1" x14ac:dyDescent="0.2">
      <c r="L218" s="70"/>
      <c r="M218" s="4"/>
    </row>
    <row r="219" spans="12:15" ht="12" customHeight="1" x14ac:dyDescent="0.2">
      <c r="L219" s="70"/>
      <c r="M219" s="4"/>
    </row>
    <row r="220" spans="12:15" ht="12" customHeight="1" x14ac:dyDescent="0.2">
      <c r="L220" s="70"/>
      <c r="M220" s="4"/>
    </row>
    <row r="221" spans="12:15" ht="20.25" customHeight="1" x14ac:dyDescent="0.2">
      <c r="M221" s="4"/>
    </row>
    <row r="222" spans="12:15" ht="20" customHeight="1" x14ac:dyDescent="0.2">
      <c r="M222" s="4"/>
    </row>
    <row r="223" spans="12:15" ht="20" customHeight="1" x14ac:dyDescent="0.2">
      <c r="M223" s="4"/>
    </row>
    <row r="224" spans="12:15" ht="20" customHeight="1" x14ac:dyDescent="0.2">
      <c r="M224" s="4"/>
    </row>
    <row r="225" spans="12:13" ht="20" customHeight="1" x14ac:dyDescent="0.2">
      <c r="M225" s="4"/>
    </row>
    <row r="226" spans="12:13" ht="20" customHeight="1" x14ac:dyDescent="0.2">
      <c r="M226" s="4"/>
    </row>
    <row r="227" spans="12:13" ht="20" customHeight="1" x14ac:dyDescent="0.2">
      <c r="M227" s="4"/>
    </row>
    <row r="228" spans="12:13" ht="14.25" customHeight="1" x14ac:dyDescent="0.2">
      <c r="M228" s="4"/>
    </row>
    <row r="229" spans="12:13" ht="14.25" customHeight="1" x14ac:dyDescent="0.2">
      <c r="M229" s="4"/>
    </row>
    <row r="230" spans="12:13" ht="14.25" customHeight="1" x14ac:dyDescent="0.2">
      <c r="M230" s="4"/>
    </row>
    <row r="231" spans="12:13" ht="14.25" customHeight="1" x14ac:dyDescent="0.2">
      <c r="M231" s="4"/>
    </row>
    <row r="232" spans="12:13" x14ac:dyDescent="0.2">
      <c r="M232" s="4"/>
    </row>
    <row r="233" spans="12:13" x14ac:dyDescent="0.2">
      <c r="M233" s="4"/>
    </row>
    <row r="234" spans="12:13" x14ac:dyDescent="0.2">
      <c r="M234" s="4"/>
    </row>
    <row r="235" spans="12:13" x14ac:dyDescent="0.2">
      <c r="M235" s="4"/>
    </row>
    <row r="236" spans="12:13" x14ac:dyDescent="0.2">
      <c r="M236" s="4"/>
    </row>
    <row r="237" spans="12:13" ht="12" customHeight="1" x14ac:dyDescent="0.2">
      <c r="L237" s="70"/>
      <c r="M237" s="4"/>
    </row>
    <row r="238" spans="12:13" ht="12" customHeight="1" x14ac:dyDescent="0.2">
      <c r="L238" s="70"/>
      <c r="M238" s="4"/>
    </row>
    <row r="239" spans="12:13" x14ac:dyDescent="0.2">
      <c r="L239" s="1"/>
      <c r="M239" s="4"/>
    </row>
    <row r="240" spans="12:13" x14ac:dyDescent="0.2">
      <c r="L240" s="1"/>
      <c r="M240" s="4"/>
    </row>
    <row r="241" spans="1:13" ht="9" customHeight="1" x14ac:dyDescent="0.2">
      <c r="M241" s="4"/>
    </row>
    <row r="242" spans="1:13" x14ac:dyDescent="0.25">
      <c r="A242" s="132"/>
    </row>
    <row r="243" spans="1:13" x14ac:dyDescent="0.25">
      <c r="A243" s="132"/>
    </row>
    <row r="244" spans="1:13" x14ac:dyDescent="0.25">
      <c r="A244" s="132"/>
    </row>
    <row r="247" spans="1:13" x14ac:dyDescent="0.25">
      <c r="A247" s="132"/>
    </row>
    <row r="256" spans="1:13" ht="12" customHeight="1" x14ac:dyDescent="0.2">
      <c r="M256" s="4"/>
    </row>
    <row r="257" spans="1:13" ht="12" customHeight="1" x14ac:dyDescent="0.2">
      <c r="A257" s="221"/>
      <c r="K257" s="221"/>
      <c r="M257" s="4"/>
    </row>
    <row r="258" spans="1:13" x14ac:dyDescent="0.2">
      <c r="A258" s="221"/>
      <c r="K258" s="221"/>
      <c r="M258" s="4"/>
    </row>
    <row r="259" spans="1:13" ht="28.5" customHeight="1" x14ac:dyDescent="0.2">
      <c r="A259" s="221"/>
      <c r="K259" s="221"/>
      <c r="M259" s="4"/>
    </row>
    <row r="260" spans="1:13" x14ac:dyDescent="0.2">
      <c r="A260" s="221"/>
      <c r="K260" s="221"/>
      <c r="M260" s="4"/>
    </row>
    <row r="261" spans="1:13" x14ac:dyDescent="0.2">
      <c r="A261" s="221"/>
      <c r="K261" s="221"/>
      <c r="M261" s="4"/>
    </row>
    <row r="262" spans="1:13" x14ac:dyDescent="0.2">
      <c r="A262" s="221"/>
      <c r="K262" s="221"/>
      <c r="M262" s="4"/>
    </row>
    <row r="265" spans="1:13" ht="12.75" customHeight="1" x14ac:dyDescent="0.25"/>
    <row r="266" spans="1:13" ht="19.5" customHeight="1" x14ac:dyDescent="0.25">
      <c r="K266"/>
    </row>
    <row r="267" spans="1:13" ht="25.5" customHeight="1" x14ac:dyDescent="0.25"/>
  </sheetData>
  <sheetProtection selectLockedCells="1"/>
  <protectedRanges>
    <protectedRange sqref="E5 G5" name="Range1_4_1_1_1"/>
    <protectedRange sqref="D5 F5 H5" name="Range1_4_1_1_1_1"/>
  </protectedRanges>
  <dataConsolidate/>
  <mergeCells count="8">
    <mergeCell ref="B2:B3"/>
    <mergeCell ref="C2:C3"/>
    <mergeCell ref="D2:E2"/>
    <mergeCell ref="F2:I2"/>
    <mergeCell ref="H204:I204"/>
    <mergeCell ref="C202:G202"/>
    <mergeCell ref="C203:G203"/>
    <mergeCell ref="H203:I203"/>
  </mergeCells>
  <phoneticPr fontId="0" type="noConversion"/>
  <dataValidations count="1">
    <dataValidation type="list" allowBlank="1" showInputMessage="1" showErrorMessage="1" sqref="D27 D62 D97 D132 D167" xr:uid="{29258D04-B13D-4FAA-A7FE-DC56AA8C4EC9}">
      <formula1>"Yield Class,Average height and age"</formula1>
    </dataValidation>
  </dataValidations>
  <pageMargins left="0.7" right="0.7" top="0.75" bottom="0.75" header="0.3" footer="0.3"/>
  <pageSetup paperSize="9"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765990" r:id="rId4" name="Drop Down 38">
              <controlPr defaultSize="0" autoLine="0" autoPict="0">
                <anchor moveWithCells="1">
                  <from>
                    <xdr:col>3</xdr:col>
                    <xdr:colOff>393700</xdr:colOff>
                    <xdr:row>25</xdr:row>
                    <xdr:rowOff>0</xdr:rowOff>
                  </from>
                  <to>
                    <xdr:col>3</xdr:col>
                    <xdr:colOff>1085850</xdr:colOff>
                    <xdr:row>25</xdr:row>
                    <xdr:rowOff>152400</xdr:rowOff>
                  </to>
                </anchor>
              </controlPr>
            </control>
          </mc:Choice>
        </mc:AlternateContent>
        <mc:AlternateContent xmlns:mc="http://schemas.openxmlformats.org/markup-compatibility/2006">
          <mc:Choice Requires="x14">
            <control shapeId="766962" r:id="rId5" name="Drop Down 1010">
              <controlPr defaultSize="0" autoLine="0" autoPict="0">
                <anchor moveWithCells="1">
                  <from>
                    <xdr:col>5</xdr:col>
                    <xdr:colOff>393700</xdr:colOff>
                    <xdr:row>25</xdr:row>
                    <xdr:rowOff>0</xdr:rowOff>
                  </from>
                  <to>
                    <xdr:col>5</xdr:col>
                    <xdr:colOff>1085850</xdr:colOff>
                    <xdr:row>25</xdr:row>
                    <xdr:rowOff>152400</xdr:rowOff>
                  </to>
                </anchor>
              </controlPr>
            </control>
          </mc:Choice>
        </mc:AlternateContent>
        <mc:AlternateContent xmlns:mc="http://schemas.openxmlformats.org/markup-compatibility/2006">
          <mc:Choice Requires="x14">
            <control shapeId="766963" r:id="rId6" name="Drop Down 1011">
              <controlPr defaultSize="0" autoLine="0" autoPict="0">
                <anchor moveWithCells="1">
                  <from>
                    <xdr:col>7</xdr:col>
                    <xdr:colOff>393700</xdr:colOff>
                    <xdr:row>25</xdr:row>
                    <xdr:rowOff>0</xdr:rowOff>
                  </from>
                  <to>
                    <xdr:col>7</xdr:col>
                    <xdr:colOff>1085850</xdr:colOff>
                    <xdr:row>25</xdr:row>
                    <xdr:rowOff>152400</xdr:rowOff>
                  </to>
                </anchor>
              </controlPr>
            </control>
          </mc:Choice>
        </mc:AlternateContent>
        <mc:AlternateContent xmlns:mc="http://schemas.openxmlformats.org/markup-compatibility/2006">
          <mc:Choice Requires="x14">
            <control shapeId="2606487" r:id="rId7" name="Drop Down 3479">
              <controlPr defaultSize="0" autoLine="0" autoPict="0">
                <anchor moveWithCells="1">
                  <from>
                    <xdr:col>3</xdr:col>
                    <xdr:colOff>393700</xdr:colOff>
                    <xdr:row>60</xdr:row>
                    <xdr:rowOff>0</xdr:rowOff>
                  </from>
                  <to>
                    <xdr:col>3</xdr:col>
                    <xdr:colOff>1085850</xdr:colOff>
                    <xdr:row>60</xdr:row>
                    <xdr:rowOff>152400</xdr:rowOff>
                  </to>
                </anchor>
              </controlPr>
            </control>
          </mc:Choice>
        </mc:AlternateContent>
        <mc:AlternateContent xmlns:mc="http://schemas.openxmlformats.org/markup-compatibility/2006">
          <mc:Choice Requires="x14">
            <control shapeId="2606492" r:id="rId8" name="Drop Down 3484">
              <controlPr defaultSize="0" autoLine="0" autoPict="0">
                <anchor moveWithCells="1">
                  <from>
                    <xdr:col>5</xdr:col>
                    <xdr:colOff>393700</xdr:colOff>
                    <xdr:row>60</xdr:row>
                    <xdr:rowOff>0</xdr:rowOff>
                  </from>
                  <to>
                    <xdr:col>5</xdr:col>
                    <xdr:colOff>1085850</xdr:colOff>
                    <xdr:row>60</xdr:row>
                    <xdr:rowOff>152400</xdr:rowOff>
                  </to>
                </anchor>
              </controlPr>
            </control>
          </mc:Choice>
        </mc:AlternateContent>
        <mc:AlternateContent xmlns:mc="http://schemas.openxmlformats.org/markup-compatibility/2006">
          <mc:Choice Requires="x14">
            <control shapeId="2606493" r:id="rId9" name="Drop Down 3485">
              <controlPr defaultSize="0" autoLine="0" autoPict="0">
                <anchor moveWithCells="1">
                  <from>
                    <xdr:col>7</xdr:col>
                    <xdr:colOff>393700</xdr:colOff>
                    <xdr:row>60</xdr:row>
                    <xdr:rowOff>0</xdr:rowOff>
                  </from>
                  <to>
                    <xdr:col>7</xdr:col>
                    <xdr:colOff>1085850</xdr:colOff>
                    <xdr:row>60</xdr:row>
                    <xdr:rowOff>152400</xdr:rowOff>
                  </to>
                </anchor>
              </controlPr>
            </control>
          </mc:Choice>
        </mc:AlternateContent>
        <mc:AlternateContent xmlns:mc="http://schemas.openxmlformats.org/markup-compatibility/2006">
          <mc:Choice Requires="x14">
            <control shapeId="2606499" r:id="rId10" name="Drop Down 3491">
              <controlPr defaultSize="0" autoLine="0" autoPict="0">
                <anchor moveWithCells="1">
                  <from>
                    <xdr:col>3</xdr:col>
                    <xdr:colOff>393700</xdr:colOff>
                    <xdr:row>95</xdr:row>
                    <xdr:rowOff>0</xdr:rowOff>
                  </from>
                  <to>
                    <xdr:col>3</xdr:col>
                    <xdr:colOff>1085850</xdr:colOff>
                    <xdr:row>95</xdr:row>
                    <xdr:rowOff>152400</xdr:rowOff>
                  </to>
                </anchor>
              </controlPr>
            </control>
          </mc:Choice>
        </mc:AlternateContent>
        <mc:AlternateContent xmlns:mc="http://schemas.openxmlformats.org/markup-compatibility/2006">
          <mc:Choice Requires="x14">
            <control shapeId="2606504" r:id="rId11" name="Drop Down 3496">
              <controlPr defaultSize="0" autoLine="0" autoPict="0">
                <anchor moveWithCells="1">
                  <from>
                    <xdr:col>5</xdr:col>
                    <xdr:colOff>393700</xdr:colOff>
                    <xdr:row>95</xdr:row>
                    <xdr:rowOff>0</xdr:rowOff>
                  </from>
                  <to>
                    <xdr:col>5</xdr:col>
                    <xdr:colOff>1085850</xdr:colOff>
                    <xdr:row>95</xdr:row>
                    <xdr:rowOff>152400</xdr:rowOff>
                  </to>
                </anchor>
              </controlPr>
            </control>
          </mc:Choice>
        </mc:AlternateContent>
        <mc:AlternateContent xmlns:mc="http://schemas.openxmlformats.org/markup-compatibility/2006">
          <mc:Choice Requires="x14">
            <control shapeId="2606505" r:id="rId12" name="Drop Down 3497">
              <controlPr defaultSize="0" autoLine="0" autoPict="0">
                <anchor moveWithCells="1">
                  <from>
                    <xdr:col>7</xdr:col>
                    <xdr:colOff>393700</xdr:colOff>
                    <xdr:row>95</xdr:row>
                    <xdr:rowOff>0</xdr:rowOff>
                  </from>
                  <to>
                    <xdr:col>7</xdr:col>
                    <xdr:colOff>1085850</xdr:colOff>
                    <xdr:row>95</xdr:row>
                    <xdr:rowOff>152400</xdr:rowOff>
                  </to>
                </anchor>
              </controlPr>
            </control>
          </mc:Choice>
        </mc:AlternateContent>
        <mc:AlternateContent xmlns:mc="http://schemas.openxmlformats.org/markup-compatibility/2006">
          <mc:Choice Requires="x14">
            <control shapeId="2606511" r:id="rId13" name="Drop Down 3503">
              <controlPr defaultSize="0" autoLine="0" autoPict="0">
                <anchor moveWithCells="1">
                  <from>
                    <xdr:col>3</xdr:col>
                    <xdr:colOff>393700</xdr:colOff>
                    <xdr:row>95</xdr:row>
                    <xdr:rowOff>0</xdr:rowOff>
                  </from>
                  <to>
                    <xdr:col>3</xdr:col>
                    <xdr:colOff>1085850</xdr:colOff>
                    <xdr:row>95</xdr:row>
                    <xdr:rowOff>152400</xdr:rowOff>
                  </to>
                </anchor>
              </controlPr>
            </control>
          </mc:Choice>
        </mc:AlternateContent>
        <mc:AlternateContent xmlns:mc="http://schemas.openxmlformats.org/markup-compatibility/2006">
          <mc:Choice Requires="x14">
            <control shapeId="2606516" r:id="rId14" name="Drop Down 3508">
              <controlPr defaultSize="0" autoLine="0" autoPict="0">
                <anchor moveWithCells="1">
                  <from>
                    <xdr:col>5</xdr:col>
                    <xdr:colOff>393700</xdr:colOff>
                    <xdr:row>95</xdr:row>
                    <xdr:rowOff>0</xdr:rowOff>
                  </from>
                  <to>
                    <xdr:col>5</xdr:col>
                    <xdr:colOff>1085850</xdr:colOff>
                    <xdr:row>95</xdr:row>
                    <xdr:rowOff>152400</xdr:rowOff>
                  </to>
                </anchor>
              </controlPr>
            </control>
          </mc:Choice>
        </mc:AlternateContent>
        <mc:AlternateContent xmlns:mc="http://schemas.openxmlformats.org/markup-compatibility/2006">
          <mc:Choice Requires="x14">
            <control shapeId="2606517" r:id="rId15" name="Drop Down 3509">
              <controlPr defaultSize="0" autoLine="0" autoPict="0">
                <anchor moveWithCells="1">
                  <from>
                    <xdr:col>7</xdr:col>
                    <xdr:colOff>393700</xdr:colOff>
                    <xdr:row>95</xdr:row>
                    <xdr:rowOff>0</xdr:rowOff>
                  </from>
                  <to>
                    <xdr:col>7</xdr:col>
                    <xdr:colOff>1085850</xdr:colOff>
                    <xdr:row>95</xdr:row>
                    <xdr:rowOff>152400</xdr:rowOff>
                  </to>
                </anchor>
              </controlPr>
            </control>
          </mc:Choice>
        </mc:AlternateContent>
        <mc:AlternateContent xmlns:mc="http://schemas.openxmlformats.org/markup-compatibility/2006">
          <mc:Choice Requires="x14">
            <control shapeId="2606523" r:id="rId16" name="Drop Down 3515">
              <controlPr defaultSize="0" autoLine="0" autoPict="0">
                <anchor moveWithCells="1">
                  <from>
                    <xdr:col>3</xdr:col>
                    <xdr:colOff>393700</xdr:colOff>
                    <xdr:row>130</xdr:row>
                    <xdr:rowOff>0</xdr:rowOff>
                  </from>
                  <to>
                    <xdr:col>3</xdr:col>
                    <xdr:colOff>1085850</xdr:colOff>
                    <xdr:row>130</xdr:row>
                    <xdr:rowOff>152400</xdr:rowOff>
                  </to>
                </anchor>
              </controlPr>
            </control>
          </mc:Choice>
        </mc:AlternateContent>
        <mc:AlternateContent xmlns:mc="http://schemas.openxmlformats.org/markup-compatibility/2006">
          <mc:Choice Requires="x14">
            <control shapeId="2606528" r:id="rId17" name="Drop Down 3520">
              <controlPr defaultSize="0" autoLine="0" autoPict="0">
                <anchor moveWithCells="1">
                  <from>
                    <xdr:col>5</xdr:col>
                    <xdr:colOff>393700</xdr:colOff>
                    <xdr:row>130</xdr:row>
                    <xdr:rowOff>0</xdr:rowOff>
                  </from>
                  <to>
                    <xdr:col>5</xdr:col>
                    <xdr:colOff>1085850</xdr:colOff>
                    <xdr:row>130</xdr:row>
                    <xdr:rowOff>152400</xdr:rowOff>
                  </to>
                </anchor>
              </controlPr>
            </control>
          </mc:Choice>
        </mc:AlternateContent>
        <mc:AlternateContent xmlns:mc="http://schemas.openxmlformats.org/markup-compatibility/2006">
          <mc:Choice Requires="x14">
            <control shapeId="2606529" r:id="rId18" name="Drop Down 3521">
              <controlPr defaultSize="0" autoLine="0" autoPict="0">
                <anchor moveWithCells="1">
                  <from>
                    <xdr:col>7</xdr:col>
                    <xdr:colOff>393700</xdr:colOff>
                    <xdr:row>130</xdr:row>
                    <xdr:rowOff>0</xdr:rowOff>
                  </from>
                  <to>
                    <xdr:col>7</xdr:col>
                    <xdr:colOff>1085850</xdr:colOff>
                    <xdr:row>130</xdr:row>
                    <xdr:rowOff>152400</xdr:rowOff>
                  </to>
                </anchor>
              </controlPr>
            </control>
          </mc:Choice>
        </mc:AlternateContent>
        <mc:AlternateContent xmlns:mc="http://schemas.openxmlformats.org/markup-compatibility/2006">
          <mc:Choice Requires="x14">
            <control shapeId="2606535" r:id="rId19" name="Drop Down 3527">
              <controlPr defaultSize="0" autoLine="0" autoPict="0">
                <anchor moveWithCells="1">
                  <from>
                    <xdr:col>3</xdr:col>
                    <xdr:colOff>393700</xdr:colOff>
                    <xdr:row>130</xdr:row>
                    <xdr:rowOff>0</xdr:rowOff>
                  </from>
                  <to>
                    <xdr:col>3</xdr:col>
                    <xdr:colOff>1085850</xdr:colOff>
                    <xdr:row>130</xdr:row>
                    <xdr:rowOff>152400</xdr:rowOff>
                  </to>
                </anchor>
              </controlPr>
            </control>
          </mc:Choice>
        </mc:AlternateContent>
        <mc:AlternateContent xmlns:mc="http://schemas.openxmlformats.org/markup-compatibility/2006">
          <mc:Choice Requires="x14">
            <control shapeId="2606540" r:id="rId20" name="Drop Down 3532">
              <controlPr defaultSize="0" autoLine="0" autoPict="0">
                <anchor moveWithCells="1">
                  <from>
                    <xdr:col>5</xdr:col>
                    <xdr:colOff>393700</xdr:colOff>
                    <xdr:row>130</xdr:row>
                    <xdr:rowOff>0</xdr:rowOff>
                  </from>
                  <to>
                    <xdr:col>5</xdr:col>
                    <xdr:colOff>1085850</xdr:colOff>
                    <xdr:row>130</xdr:row>
                    <xdr:rowOff>152400</xdr:rowOff>
                  </to>
                </anchor>
              </controlPr>
            </control>
          </mc:Choice>
        </mc:AlternateContent>
        <mc:AlternateContent xmlns:mc="http://schemas.openxmlformats.org/markup-compatibility/2006">
          <mc:Choice Requires="x14">
            <control shapeId="2606541" r:id="rId21" name="Drop Down 3533">
              <controlPr defaultSize="0" autoLine="0" autoPict="0">
                <anchor moveWithCells="1">
                  <from>
                    <xdr:col>7</xdr:col>
                    <xdr:colOff>393700</xdr:colOff>
                    <xdr:row>130</xdr:row>
                    <xdr:rowOff>0</xdr:rowOff>
                  </from>
                  <to>
                    <xdr:col>7</xdr:col>
                    <xdr:colOff>1085850</xdr:colOff>
                    <xdr:row>130</xdr:row>
                    <xdr:rowOff>152400</xdr:rowOff>
                  </to>
                </anchor>
              </controlPr>
            </control>
          </mc:Choice>
        </mc:AlternateContent>
        <mc:AlternateContent xmlns:mc="http://schemas.openxmlformats.org/markup-compatibility/2006">
          <mc:Choice Requires="x14">
            <control shapeId="2606547" r:id="rId22" name="Drop Down 3539">
              <controlPr defaultSize="0" autoLine="0" autoPict="0">
                <anchor moveWithCells="1">
                  <from>
                    <xdr:col>3</xdr:col>
                    <xdr:colOff>393700</xdr:colOff>
                    <xdr:row>165</xdr:row>
                    <xdr:rowOff>0</xdr:rowOff>
                  </from>
                  <to>
                    <xdr:col>3</xdr:col>
                    <xdr:colOff>1085850</xdr:colOff>
                    <xdr:row>165</xdr:row>
                    <xdr:rowOff>152400</xdr:rowOff>
                  </to>
                </anchor>
              </controlPr>
            </control>
          </mc:Choice>
        </mc:AlternateContent>
        <mc:AlternateContent xmlns:mc="http://schemas.openxmlformats.org/markup-compatibility/2006">
          <mc:Choice Requires="x14">
            <control shapeId="2606552" r:id="rId23" name="Drop Down 3544">
              <controlPr defaultSize="0" autoLine="0" autoPict="0">
                <anchor moveWithCells="1">
                  <from>
                    <xdr:col>5</xdr:col>
                    <xdr:colOff>393700</xdr:colOff>
                    <xdr:row>165</xdr:row>
                    <xdr:rowOff>0</xdr:rowOff>
                  </from>
                  <to>
                    <xdr:col>5</xdr:col>
                    <xdr:colOff>1085850</xdr:colOff>
                    <xdr:row>165</xdr:row>
                    <xdr:rowOff>152400</xdr:rowOff>
                  </to>
                </anchor>
              </controlPr>
            </control>
          </mc:Choice>
        </mc:AlternateContent>
        <mc:AlternateContent xmlns:mc="http://schemas.openxmlformats.org/markup-compatibility/2006">
          <mc:Choice Requires="x14">
            <control shapeId="2606553" r:id="rId24" name="Drop Down 3545">
              <controlPr defaultSize="0" autoLine="0" autoPict="0">
                <anchor moveWithCells="1">
                  <from>
                    <xdr:col>7</xdr:col>
                    <xdr:colOff>393700</xdr:colOff>
                    <xdr:row>165</xdr:row>
                    <xdr:rowOff>0</xdr:rowOff>
                  </from>
                  <to>
                    <xdr:col>7</xdr:col>
                    <xdr:colOff>1085850</xdr:colOff>
                    <xdr:row>165</xdr:row>
                    <xdr:rowOff>152400</xdr:rowOff>
                  </to>
                </anchor>
              </controlPr>
            </control>
          </mc:Choice>
        </mc:AlternateContent>
        <mc:AlternateContent xmlns:mc="http://schemas.openxmlformats.org/markup-compatibility/2006">
          <mc:Choice Requires="x14">
            <control shapeId="2606559" r:id="rId25" name="Drop Down 3551">
              <controlPr defaultSize="0" autoLine="0" autoPict="0">
                <anchor moveWithCells="1">
                  <from>
                    <xdr:col>3</xdr:col>
                    <xdr:colOff>393700</xdr:colOff>
                    <xdr:row>165</xdr:row>
                    <xdr:rowOff>0</xdr:rowOff>
                  </from>
                  <to>
                    <xdr:col>3</xdr:col>
                    <xdr:colOff>1085850</xdr:colOff>
                    <xdr:row>165</xdr:row>
                    <xdr:rowOff>152400</xdr:rowOff>
                  </to>
                </anchor>
              </controlPr>
            </control>
          </mc:Choice>
        </mc:AlternateContent>
        <mc:AlternateContent xmlns:mc="http://schemas.openxmlformats.org/markup-compatibility/2006">
          <mc:Choice Requires="x14">
            <control shapeId="2606564" r:id="rId26" name="Drop Down 3556">
              <controlPr defaultSize="0" autoLine="0" autoPict="0">
                <anchor moveWithCells="1">
                  <from>
                    <xdr:col>5</xdr:col>
                    <xdr:colOff>393700</xdr:colOff>
                    <xdr:row>165</xdr:row>
                    <xdr:rowOff>0</xdr:rowOff>
                  </from>
                  <to>
                    <xdr:col>5</xdr:col>
                    <xdr:colOff>1085850</xdr:colOff>
                    <xdr:row>165</xdr:row>
                    <xdr:rowOff>152400</xdr:rowOff>
                  </to>
                </anchor>
              </controlPr>
            </control>
          </mc:Choice>
        </mc:AlternateContent>
        <mc:AlternateContent xmlns:mc="http://schemas.openxmlformats.org/markup-compatibility/2006">
          <mc:Choice Requires="x14">
            <control shapeId="2606565" r:id="rId27" name="Drop Down 3557">
              <controlPr defaultSize="0" autoLine="0" autoPict="0">
                <anchor moveWithCells="1">
                  <from>
                    <xdr:col>7</xdr:col>
                    <xdr:colOff>393700</xdr:colOff>
                    <xdr:row>165</xdr:row>
                    <xdr:rowOff>0</xdr:rowOff>
                  </from>
                  <to>
                    <xdr:col>7</xdr:col>
                    <xdr:colOff>1085850</xdr:colOff>
                    <xdr:row>165</xdr:row>
                    <xdr:rowOff>152400</xdr:rowOff>
                  </to>
                </anchor>
              </controlPr>
            </control>
          </mc:Choice>
        </mc:AlternateContent>
        <mc:AlternateContent xmlns:mc="http://schemas.openxmlformats.org/markup-compatibility/2006">
          <mc:Choice Requires="x14">
            <control shapeId="2606587" r:id="rId28" name="Drop Down 3579">
              <controlPr defaultSize="0" autoLine="0" autoPict="0">
                <anchor moveWithCells="1">
                  <from>
                    <xdr:col>3</xdr:col>
                    <xdr:colOff>400050</xdr:colOff>
                    <xdr:row>30</xdr:row>
                    <xdr:rowOff>0</xdr:rowOff>
                  </from>
                  <to>
                    <xdr:col>3</xdr:col>
                    <xdr:colOff>1085850</xdr:colOff>
                    <xdr:row>30</xdr:row>
                    <xdr:rowOff>152400</xdr:rowOff>
                  </to>
                </anchor>
              </controlPr>
            </control>
          </mc:Choice>
        </mc:AlternateContent>
        <mc:AlternateContent xmlns:mc="http://schemas.openxmlformats.org/markup-compatibility/2006">
          <mc:Choice Requires="x14">
            <control shapeId="2606588" r:id="rId29" name="Drop Down 3580">
              <controlPr defaultSize="0" autoLine="0" autoPict="0">
                <anchor moveWithCells="1">
                  <from>
                    <xdr:col>3</xdr:col>
                    <xdr:colOff>400050</xdr:colOff>
                    <xdr:row>30</xdr:row>
                    <xdr:rowOff>0</xdr:rowOff>
                  </from>
                  <to>
                    <xdr:col>3</xdr:col>
                    <xdr:colOff>1085850</xdr:colOff>
                    <xdr:row>30</xdr:row>
                    <xdr:rowOff>152400</xdr:rowOff>
                  </to>
                </anchor>
              </controlPr>
            </control>
          </mc:Choice>
        </mc:AlternateContent>
        <mc:AlternateContent xmlns:mc="http://schemas.openxmlformats.org/markup-compatibility/2006">
          <mc:Choice Requires="x14">
            <control shapeId="2606593" r:id="rId30" name="Drop Down 3585">
              <controlPr defaultSize="0" autoLine="0" autoPict="0">
                <anchor moveWithCells="1">
                  <from>
                    <xdr:col>5</xdr:col>
                    <xdr:colOff>393700</xdr:colOff>
                    <xdr:row>30</xdr:row>
                    <xdr:rowOff>12700</xdr:rowOff>
                  </from>
                  <to>
                    <xdr:col>5</xdr:col>
                    <xdr:colOff>1085850</xdr:colOff>
                    <xdr:row>31</xdr:row>
                    <xdr:rowOff>0</xdr:rowOff>
                  </to>
                </anchor>
              </controlPr>
            </control>
          </mc:Choice>
        </mc:AlternateContent>
        <mc:AlternateContent xmlns:mc="http://schemas.openxmlformats.org/markup-compatibility/2006">
          <mc:Choice Requires="x14">
            <control shapeId="2606594" r:id="rId31" name="Drop Down 3586">
              <controlPr defaultSize="0" autoLine="0" autoPict="0">
                <anchor moveWithCells="1">
                  <from>
                    <xdr:col>7</xdr:col>
                    <xdr:colOff>393700</xdr:colOff>
                    <xdr:row>30</xdr:row>
                    <xdr:rowOff>12700</xdr:rowOff>
                  </from>
                  <to>
                    <xdr:col>7</xdr:col>
                    <xdr:colOff>1085850</xdr:colOff>
                    <xdr:row>31</xdr:row>
                    <xdr:rowOff>0</xdr:rowOff>
                  </to>
                </anchor>
              </controlPr>
            </control>
          </mc:Choice>
        </mc:AlternateContent>
        <mc:AlternateContent xmlns:mc="http://schemas.openxmlformats.org/markup-compatibility/2006">
          <mc:Choice Requires="x14">
            <control shapeId="2606596" r:id="rId32" name="Drop Down 3588">
              <controlPr defaultSize="0" autoLine="0" autoPict="0">
                <anchor moveWithCells="1">
                  <from>
                    <xdr:col>3</xdr:col>
                    <xdr:colOff>400050</xdr:colOff>
                    <xdr:row>65</xdr:row>
                    <xdr:rowOff>0</xdr:rowOff>
                  </from>
                  <to>
                    <xdr:col>3</xdr:col>
                    <xdr:colOff>1085850</xdr:colOff>
                    <xdr:row>65</xdr:row>
                    <xdr:rowOff>152400</xdr:rowOff>
                  </to>
                </anchor>
              </controlPr>
            </control>
          </mc:Choice>
        </mc:AlternateContent>
        <mc:AlternateContent xmlns:mc="http://schemas.openxmlformats.org/markup-compatibility/2006">
          <mc:Choice Requires="x14">
            <control shapeId="2606597" r:id="rId33" name="Drop Down 3589">
              <controlPr defaultSize="0" autoLine="0" autoPict="0">
                <anchor moveWithCells="1">
                  <from>
                    <xdr:col>3</xdr:col>
                    <xdr:colOff>400050</xdr:colOff>
                    <xdr:row>65</xdr:row>
                    <xdr:rowOff>0</xdr:rowOff>
                  </from>
                  <to>
                    <xdr:col>3</xdr:col>
                    <xdr:colOff>1085850</xdr:colOff>
                    <xdr:row>65</xdr:row>
                    <xdr:rowOff>152400</xdr:rowOff>
                  </to>
                </anchor>
              </controlPr>
            </control>
          </mc:Choice>
        </mc:AlternateContent>
        <mc:AlternateContent xmlns:mc="http://schemas.openxmlformats.org/markup-compatibility/2006">
          <mc:Choice Requires="x14">
            <control shapeId="2606598" r:id="rId34" name="Drop Down 3590">
              <controlPr defaultSize="0" autoLine="0" autoPict="0">
                <anchor moveWithCells="1">
                  <from>
                    <xdr:col>5</xdr:col>
                    <xdr:colOff>387350</xdr:colOff>
                    <xdr:row>65</xdr:row>
                    <xdr:rowOff>12700</xdr:rowOff>
                  </from>
                  <to>
                    <xdr:col>5</xdr:col>
                    <xdr:colOff>1085850</xdr:colOff>
                    <xdr:row>66</xdr:row>
                    <xdr:rowOff>88900</xdr:rowOff>
                  </to>
                </anchor>
              </controlPr>
            </control>
          </mc:Choice>
        </mc:AlternateContent>
        <mc:AlternateContent xmlns:mc="http://schemas.openxmlformats.org/markup-compatibility/2006">
          <mc:Choice Requires="x14">
            <control shapeId="2606599" r:id="rId35" name="Drop Down 3591">
              <controlPr defaultSize="0" autoLine="0" autoPict="0">
                <anchor moveWithCells="1">
                  <from>
                    <xdr:col>7</xdr:col>
                    <xdr:colOff>393700</xdr:colOff>
                    <xdr:row>65</xdr:row>
                    <xdr:rowOff>12700</xdr:rowOff>
                  </from>
                  <to>
                    <xdr:col>7</xdr:col>
                    <xdr:colOff>1085850</xdr:colOff>
                    <xdr:row>66</xdr:row>
                    <xdr:rowOff>88900</xdr:rowOff>
                  </to>
                </anchor>
              </controlPr>
            </control>
          </mc:Choice>
        </mc:AlternateContent>
        <mc:AlternateContent xmlns:mc="http://schemas.openxmlformats.org/markup-compatibility/2006">
          <mc:Choice Requires="x14">
            <control shapeId="2606601" r:id="rId36" name="Drop Down 3593">
              <controlPr defaultSize="0" autoLine="0" autoPict="0">
                <anchor moveWithCells="1">
                  <from>
                    <xdr:col>3</xdr:col>
                    <xdr:colOff>400050</xdr:colOff>
                    <xdr:row>100</xdr:row>
                    <xdr:rowOff>0</xdr:rowOff>
                  </from>
                  <to>
                    <xdr:col>3</xdr:col>
                    <xdr:colOff>1085850</xdr:colOff>
                    <xdr:row>101</xdr:row>
                    <xdr:rowOff>107950</xdr:rowOff>
                  </to>
                </anchor>
              </controlPr>
            </control>
          </mc:Choice>
        </mc:AlternateContent>
        <mc:AlternateContent xmlns:mc="http://schemas.openxmlformats.org/markup-compatibility/2006">
          <mc:Choice Requires="x14">
            <control shapeId="2606602" r:id="rId37" name="Drop Down 3594">
              <controlPr defaultSize="0" autoLine="0" autoPict="0">
                <anchor moveWithCells="1">
                  <from>
                    <xdr:col>3</xdr:col>
                    <xdr:colOff>400050</xdr:colOff>
                    <xdr:row>100</xdr:row>
                    <xdr:rowOff>0</xdr:rowOff>
                  </from>
                  <to>
                    <xdr:col>3</xdr:col>
                    <xdr:colOff>1085850</xdr:colOff>
                    <xdr:row>101</xdr:row>
                    <xdr:rowOff>107950</xdr:rowOff>
                  </to>
                </anchor>
              </controlPr>
            </control>
          </mc:Choice>
        </mc:AlternateContent>
        <mc:AlternateContent xmlns:mc="http://schemas.openxmlformats.org/markup-compatibility/2006">
          <mc:Choice Requires="x14">
            <control shapeId="2606603" r:id="rId38" name="Drop Down 3595">
              <controlPr defaultSize="0" autoLine="0" autoPict="0">
                <anchor moveWithCells="1">
                  <from>
                    <xdr:col>5</xdr:col>
                    <xdr:colOff>387350</xdr:colOff>
                    <xdr:row>100</xdr:row>
                    <xdr:rowOff>12700</xdr:rowOff>
                  </from>
                  <to>
                    <xdr:col>5</xdr:col>
                    <xdr:colOff>1085850</xdr:colOff>
                    <xdr:row>101</xdr:row>
                    <xdr:rowOff>107950</xdr:rowOff>
                  </to>
                </anchor>
              </controlPr>
            </control>
          </mc:Choice>
        </mc:AlternateContent>
        <mc:AlternateContent xmlns:mc="http://schemas.openxmlformats.org/markup-compatibility/2006">
          <mc:Choice Requires="x14">
            <control shapeId="2606604" r:id="rId39" name="Drop Down 3596">
              <controlPr defaultSize="0" autoLine="0" autoPict="0">
                <anchor moveWithCells="1">
                  <from>
                    <xdr:col>7</xdr:col>
                    <xdr:colOff>393700</xdr:colOff>
                    <xdr:row>100</xdr:row>
                    <xdr:rowOff>12700</xdr:rowOff>
                  </from>
                  <to>
                    <xdr:col>7</xdr:col>
                    <xdr:colOff>1085850</xdr:colOff>
                    <xdr:row>101</xdr:row>
                    <xdr:rowOff>107950</xdr:rowOff>
                  </to>
                </anchor>
              </controlPr>
            </control>
          </mc:Choice>
        </mc:AlternateContent>
        <mc:AlternateContent xmlns:mc="http://schemas.openxmlformats.org/markup-compatibility/2006">
          <mc:Choice Requires="x14">
            <control shapeId="2606605" r:id="rId40" name="Drop Down 3597">
              <controlPr defaultSize="0" autoLine="0" autoPict="0">
                <anchor moveWithCells="1">
                  <from>
                    <xdr:col>3</xdr:col>
                    <xdr:colOff>400050</xdr:colOff>
                    <xdr:row>135</xdr:row>
                    <xdr:rowOff>0</xdr:rowOff>
                  </from>
                  <to>
                    <xdr:col>3</xdr:col>
                    <xdr:colOff>1085850</xdr:colOff>
                    <xdr:row>136</xdr:row>
                    <xdr:rowOff>107950</xdr:rowOff>
                  </to>
                </anchor>
              </controlPr>
            </control>
          </mc:Choice>
        </mc:AlternateContent>
        <mc:AlternateContent xmlns:mc="http://schemas.openxmlformats.org/markup-compatibility/2006">
          <mc:Choice Requires="x14">
            <control shapeId="2606606" r:id="rId41" name="Drop Down 3598">
              <controlPr defaultSize="0" autoLine="0" autoPict="0">
                <anchor moveWithCells="1">
                  <from>
                    <xdr:col>3</xdr:col>
                    <xdr:colOff>400050</xdr:colOff>
                    <xdr:row>135</xdr:row>
                    <xdr:rowOff>0</xdr:rowOff>
                  </from>
                  <to>
                    <xdr:col>3</xdr:col>
                    <xdr:colOff>1085850</xdr:colOff>
                    <xdr:row>136</xdr:row>
                    <xdr:rowOff>107950</xdr:rowOff>
                  </to>
                </anchor>
              </controlPr>
            </control>
          </mc:Choice>
        </mc:AlternateContent>
        <mc:AlternateContent xmlns:mc="http://schemas.openxmlformats.org/markup-compatibility/2006">
          <mc:Choice Requires="x14">
            <control shapeId="2606607" r:id="rId42" name="Drop Down 3599">
              <controlPr defaultSize="0" autoLine="0" autoPict="0">
                <anchor moveWithCells="1">
                  <from>
                    <xdr:col>5</xdr:col>
                    <xdr:colOff>387350</xdr:colOff>
                    <xdr:row>135</xdr:row>
                    <xdr:rowOff>12700</xdr:rowOff>
                  </from>
                  <to>
                    <xdr:col>5</xdr:col>
                    <xdr:colOff>1085850</xdr:colOff>
                    <xdr:row>136</xdr:row>
                    <xdr:rowOff>107950</xdr:rowOff>
                  </to>
                </anchor>
              </controlPr>
            </control>
          </mc:Choice>
        </mc:AlternateContent>
        <mc:AlternateContent xmlns:mc="http://schemas.openxmlformats.org/markup-compatibility/2006">
          <mc:Choice Requires="x14">
            <control shapeId="2606608" r:id="rId43" name="Drop Down 3600">
              <controlPr defaultSize="0" autoLine="0" autoPict="0">
                <anchor moveWithCells="1">
                  <from>
                    <xdr:col>7</xdr:col>
                    <xdr:colOff>393700</xdr:colOff>
                    <xdr:row>135</xdr:row>
                    <xdr:rowOff>12700</xdr:rowOff>
                  </from>
                  <to>
                    <xdr:col>7</xdr:col>
                    <xdr:colOff>1085850</xdr:colOff>
                    <xdr:row>136</xdr:row>
                    <xdr:rowOff>107950</xdr:rowOff>
                  </to>
                </anchor>
              </controlPr>
            </control>
          </mc:Choice>
        </mc:AlternateContent>
        <mc:AlternateContent xmlns:mc="http://schemas.openxmlformats.org/markup-compatibility/2006">
          <mc:Choice Requires="x14">
            <control shapeId="2606609" r:id="rId44" name="Drop Down 3601">
              <controlPr defaultSize="0" autoLine="0" autoPict="0">
                <anchor moveWithCells="1">
                  <from>
                    <xdr:col>3</xdr:col>
                    <xdr:colOff>400050</xdr:colOff>
                    <xdr:row>170</xdr:row>
                    <xdr:rowOff>0</xdr:rowOff>
                  </from>
                  <to>
                    <xdr:col>3</xdr:col>
                    <xdr:colOff>1085850</xdr:colOff>
                    <xdr:row>171</xdr:row>
                    <xdr:rowOff>114300</xdr:rowOff>
                  </to>
                </anchor>
              </controlPr>
            </control>
          </mc:Choice>
        </mc:AlternateContent>
        <mc:AlternateContent xmlns:mc="http://schemas.openxmlformats.org/markup-compatibility/2006">
          <mc:Choice Requires="x14">
            <control shapeId="2606610" r:id="rId45" name="Drop Down 3602">
              <controlPr defaultSize="0" autoLine="0" autoPict="0">
                <anchor moveWithCells="1">
                  <from>
                    <xdr:col>3</xdr:col>
                    <xdr:colOff>400050</xdr:colOff>
                    <xdr:row>170</xdr:row>
                    <xdr:rowOff>0</xdr:rowOff>
                  </from>
                  <to>
                    <xdr:col>3</xdr:col>
                    <xdr:colOff>1085850</xdr:colOff>
                    <xdr:row>171</xdr:row>
                    <xdr:rowOff>114300</xdr:rowOff>
                  </to>
                </anchor>
              </controlPr>
            </control>
          </mc:Choice>
        </mc:AlternateContent>
        <mc:AlternateContent xmlns:mc="http://schemas.openxmlformats.org/markup-compatibility/2006">
          <mc:Choice Requires="x14">
            <control shapeId="2606611" r:id="rId46" name="Drop Down 3603">
              <controlPr defaultSize="0" autoLine="0" autoPict="0">
                <anchor moveWithCells="1">
                  <from>
                    <xdr:col>5</xdr:col>
                    <xdr:colOff>387350</xdr:colOff>
                    <xdr:row>170</xdr:row>
                    <xdr:rowOff>12700</xdr:rowOff>
                  </from>
                  <to>
                    <xdr:col>5</xdr:col>
                    <xdr:colOff>1085850</xdr:colOff>
                    <xdr:row>171</xdr:row>
                    <xdr:rowOff>114300</xdr:rowOff>
                  </to>
                </anchor>
              </controlPr>
            </control>
          </mc:Choice>
        </mc:AlternateContent>
        <mc:AlternateContent xmlns:mc="http://schemas.openxmlformats.org/markup-compatibility/2006">
          <mc:Choice Requires="x14">
            <control shapeId="2606612" r:id="rId47" name="Drop Down 3604">
              <controlPr defaultSize="0" autoLine="0" autoPict="0">
                <anchor moveWithCells="1">
                  <from>
                    <xdr:col>7</xdr:col>
                    <xdr:colOff>393700</xdr:colOff>
                    <xdr:row>170</xdr:row>
                    <xdr:rowOff>12700</xdr:rowOff>
                  </from>
                  <to>
                    <xdr:col>7</xdr:col>
                    <xdr:colOff>1085850</xdr:colOff>
                    <xdr:row>171</xdr:row>
                    <xdr:rowOff>114300</xdr:rowOff>
                  </to>
                </anchor>
              </controlPr>
            </control>
          </mc:Choice>
        </mc:AlternateContent>
        <mc:AlternateContent xmlns:mc="http://schemas.openxmlformats.org/markup-compatibility/2006">
          <mc:Choice Requires="x14">
            <control shapeId="2606613" r:id="rId48" name="Drop Down 3605">
              <controlPr defaultSize="0" autoLine="0" autoPict="0">
                <anchor moveWithCells="1">
                  <from>
                    <xdr:col>5</xdr:col>
                    <xdr:colOff>393700</xdr:colOff>
                    <xdr:row>30</xdr:row>
                    <xdr:rowOff>12700</xdr:rowOff>
                  </from>
                  <to>
                    <xdr:col>5</xdr:col>
                    <xdr:colOff>1085850</xdr:colOff>
                    <xdr:row>31</xdr:row>
                    <xdr:rowOff>0</xdr:rowOff>
                  </to>
                </anchor>
              </controlPr>
            </control>
          </mc:Choice>
        </mc:AlternateContent>
        <mc:AlternateContent xmlns:mc="http://schemas.openxmlformats.org/markup-compatibility/2006">
          <mc:Choice Requires="x14">
            <control shapeId="2606614" r:id="rId49" name="Drop Down 3606">
              <controlPr defaultSize="0" autoLine="0" autoPict="0">
                <anchor moveWithCells="1">
                  <from>
                    <xdr:col>3</xdr:col>
                    <xdr:colOff>400050</xdr:colOff>
                    <xdr:row>32</xdr:row>
                    <xdr:rowOff>0</xdr:rowOff>
                  </from>
                  <to>
                    <xdr:col>3</xdr:col>
                    <xdr:colOff>1085850</xdr:colOff>
                    <xdr:row>32</xdr:row>
                    <xdr:rowOff>152400</xdr:rowOff>
                  </to>
                </anchor>
              </controlPr>
            </control>
          </mc:Choice>
        </mc:AlternateContent>
        <mc:AlternateContent xmlns:mc="http://schemas.openxmlformats.org/markup-compatibility/2006">
          <mc:Choice Requires="x14">
            <control shapeId="2606615" r:id="rId50" name="Drop Down 3607">
              <controlPr defaultSize="0" autoLine="0" autoPict="0">
                <anchor moveWithCells="1">
                  <from>
                    <xdr:col>5</xdr:col>
                    <xdr:colOff>393700</xdr:colOff>
                    <xdr:row>32</xdr:row>
                    <xdr:rowOff>12700</xdr:rowOff>
                  </from>
                  <to>
                    <xdr:col>5</xdr:col>
                    <xdr:colOff>1085850</xdr:colOff>
                    <xdr:row>32</xdr:row>
                    <xdr:rowOff>171450</xdr:rowOff>
                  </to>
                </anchor>
              </controlPr>
            </control>
          </mc:Choice>
        </mc:AlternateContent>
        <mc:AlternateContent xmlns:mc="http://schemas.openxmlformats.org/markup-compatibility/2006">
          <mc:Choice Requires="x14">
            <control shapeId="2606616" r:id="rId51" name="Drop Down 3608">
              <controlPr defaultSize="0" autoLine="0" autoPict="0">
                <anchor moveWithCells="1">
                  <from>
                    <xdr:col>7</xdr:col>
                    <xdr:colOff>387350</xdr:colOff>
                    <xdr:row>32</xdr:row>
                    <xdr:rowOff>12700</xdr:rowOff>
                  </from>
                  <to>
                    <xdr:col>7</xdr:col>
                    <xdr:colOff>1085850</xdr:colOff>
                    <xdr:row>32</xdr:row>
                    <xdr:rowOff>171450</xdr:rowOff>
                  </to>
                </anchor>
              </controlPr>
            </control>
          </mc:Choice>
        </mc:AlternateContent>
        <mc:AlternateContent xmlns:mc="http://schemas.openxmlformats.org/markup-compatibility/2006">
          <mc:Choice Requires="x14">
            <control shapeId="2606617" r:id="rId52" name="Drop Down 3609">
              <controlPr defaultSize="0" autoLine="0" autoPict="0">
                <anchor moveWithCells="1">
                  <from>
                    <xdr:col>3</xdr:col>
                    <xdr:colOff>400050</xdr:colOff>
                    <xdr:row>67</xdr:row>
                    <xdr:rowOff>0</xdr:rowOff>
                  </from>
                  <to>
                    <xdr:col>3</xdr:col>
                    <xdr:colOff>1085850</xdr:colOff>
                    <xdr:row>67</xdr:row>
                    <xdr:rowOff>165100</xdr:rowOff>
                  </to>
                </anchor>
              </controlPr>
            </control>
          </mc:Choice>
        </mc:AlternateContent>
        <mc:AlternateContent xmlns:mc="http://schemas.openxmlformats.org/markup-compatibility/2006">
          <mc:Choice Requires="x14">
            <control shapeId="2606618" r:id="rId53" name="Drop Down 3610">
              <controlPr defaultSize="0" autoLine="0" autoPict="0">
                <anchor moveWithCells="1">
                  <from>
                    <xdr:col>3</xdr:col>
                    <xdr:colOff>400050</xdr:colOff>
                    <xdr:row>67</xdr:row>
                    <xdr:rowOff>0</xdr:rowOff>
                  </from>
                  <to>
                    <xdr:col>3</xdr:col>
                    <xdr:colOff>1085850</xdr:colOff>
                    <xdr:row>67</xdr:row>
                    <xdr:rowOff>165100</xdr:rowOff>
                  </to>
                </anchor>
              </controlPr>
            </control>
          </mc:Choice>
        </mc:AlternateContent>
        <mc:AlternateContent xmlns:mc="http://schemas.openxmlformats.org/markup-compatibility/2006">
          <mc:Choice Requires="x14">
            <control shapeId="2606619" r:id="rId54" name="Drop Down 3611">
              <controlPr defaultSize="0" autoLine="0" autoPict="0">
                <anchor moveWithCells="1">
                  <from>
                    <xdr:col>5</xdr:col>
                    <xdr:colOff>387350</xdr:colOff>
                    <xdr:row>67</xdr:row>
                    <xdr:rowOff>12700</xdr:rowOff>
                  </from>
                  <to>
                    <xdr:col>5</xdr:col>
                    <xdr:colOff>1085850</xdr:colOff>
                    <xdr:row>68</xdr:row>
                    <xdr:rowOff>0</xdr:rowOff>
                  </to>
                </anchor>
              </controlPr>
            </control>
          </mc:Choice>
        </mc:AlternateContent>
        <mc:AlternateContent xmlns:mc="http://schemas.openxmlformats.org/markup-compatibility/2006">
          <mc:Choice Requires="x14">
            <control shapeId="2606620" r:id="rId55" name="Drop Down 3612">
              <controlPr defaultSize="0" autoLine="0" autoPict="0">
                <anchor moveWithCells="1">
                  <from>
                    <xdr:col>7</xdr:col>
                    <xdr:colOff>393700</xdr:colOff>
                    <xdr:row>67</xdr:row>
                    <xdr:rowOff>12700</xdr:rowOff>
                  </from>
                  <to>
                    <xdr:col>7</xdr:col>
                    <xdr:colOff>1085850</xdr:colOff>
                    <xdr:row>68</xdr:row>
                    <xdr:rowOff>0</xdr:rowOff>
                  </to>
                </anchor>
              </controlPr>
            </control>
          </mc:Choice>
        </mc:AlternateContent>
        <mc:AlternateContent xmlns:mc="http://schemas.openxmlformats.org/markup-compatibility/2006">
          <mc:Choice Requires="x14">
            <control shapeId="2606621" r:id="rId56" name="Drop Down 3613">
              <controlPr defaultSize="0" autoLine="0" autoPict="0">
                <anchor moveWithCells="1">
                  <from>
                    <xdr:col>3</xdr:col>
                    <xdr:colOff>400050</xdr:colOff>
                    <xdr:row>102</xdr:row>
                    <xdr:rowOff>0</xdr:rowOff>
                  </from>
                  <to>
                    <xdr:col>3</xdr:col>
                    <xdr:colOff>1085850</xdr:colOff>
                    <xdr:row>102</xdr:row>
                    <xdr:rowOff>152400</xdr:rowOff>
                  </to>
                </anchor>
              </controlPr>
            </control>
          </mc:Choice>
        </mc:AlternateContent>
        <mc:AlternateContent xmlns:mc="http://schemas.openxmlformats.org/markup-compatibility/2006">
          <mc:Choice Requires="x14">
            <control shapeId="2606622" r:id="rId57" name="Drop Down 3614">
              <controlPr defaultSize="0" autoLine="0" autoPict="0">
                <anchor moveWithCells="1">
                  <from>
                    <xdr:col>3</xdr:col>
                    <xdr:colOff>400050</xdr:colOff>
                    <xdr:row>102</xdr:row>
                    <xdr:rowOff>0</xdr:rowOff>
                  </from>
                  <to>
                    <xdr:col>3</xdr:col>
                    <xdr:colOff>1085850</xdr:colOff>
                    <xdr:row>102</xdr:row>
                    <xdr:rowOff>152400</xdr:rowOff>
                  </to>
                </anchor>
              </controlPr>
            </control>
          </mc:Choice>
        </mc:AlternateContent>
        <mc:AlternateContent xmlns:mc="http://schemas.openxmlformats.org/markup-compatibility/2006">
          <mc:Choice Requires="x14">
            <control shapeId="2606623" r:id="rId58" name="Drop Down 3615">
              <controlPr defaultSize="0" autoLine="0" autoPict="0">
                <anchor moveWithCells="1">
                  <from>
                    <xdr:col>5</xdr:col>
                    <xdr:colOff>387350</xdr:colOff>
                    <xdr:row>102</xdr:row>
                    <xdr:rowOff>12700</xdr:rowOff>
                  </from>
                  <to>
                    <xdr:col>5</xdr:col>
                    <xdr:colOff>1085850</xdr:colOff>
                    <xdr:row>103</xdr:row>
                    <xdr:rowOff>12700</xdr:rowOff>
                  </to>
                </anchor>
              </controlPr>
            </control>
          </mc:Choice>
        </mc:AlternateContent>
        <mc:AlternateContent xmlns:mc="http://schemas.openxmlformats.org/markup-compatibility/2006">
          <mc:Choice Requires="x14">
            <control shapeId="2606624" r:id="rId59" name="Drop Down 3616">
              <controlPr defaultSize="0" autoLine="0" autoPict="0">
                <anchor moveWithCells="1">
                  <from>
                    <xdr:col>7</xdr:col>
                    <xdr:colOff>393700</xdr:colOff>
                    <xdr:row>102</xdr:row>
                    <xdr:rowOff>12700</xdr:rowOff>
                  </from>
                  <to>
                    <xdr:col>7</xdr:col>
                    <xdr:colOff>1085850</xdr:colOff>
                    <xdr:row>103</xdr:row>
                    <xdr:rowOff>12700</xdr:rowOff>
                  </to>
                </anchor>
              </controlPr>
            </control>
          </mc:Choice>
        </mc:AlternateContent>
        <mc:AlternateContent xmlns:mc="http://schemas.openxmlformats.org/markup-compatibility/2006">
          <mc:Choice Requires="x14">
            <control shapeId="2606627" r:id="rId60" name="Drop Down 3619">
              <controlPr defaultSize="0" autoLine="0" autoPict="0">
                <anchor moveWithCells="1">
                  <from>
                    <xdr:col>3</xdr:col>
                    <xdr:colOff>400050</xdr:colOff>
                    <xdr:row>137</xdr:row>
                    <xdr:rowOff>0</xdr:rowOff>
                  </from>
                  <to>
                    <xdr:col>3</xdr:col>
                    <xdr:colOff>1085850</xdr:colOff>
                    <xdr:row>137</xdr:row>
                    <xdr:rowOff>152400</xdr:rowOff>
                  </to>
                </anchor>
              </controlPr>
            </control>
          </mc:Choice>
        </mc:AlternateContent>
        <mc:AlternateContent xmlns:mc="http://schemas.openxmlformats.org/markup-compatibility/2006">
          <mc:Choice Requires="x14">
            <control shapeId="2606628" r:id="rId61" name="Drop Down 3620">
              <controlPr defaultSize="0" autoLine="0" autoPict="0">
                <anchor moveWithCells="1">
                  <from>
                    <xdr:col>3</xdr:col>
                    <xdr:colOff>400050</xdr:colOff>
                    <xdr:row>137</xdr:row>
                    <xdr:rowOff>0</xdr:rowOff>
                  </from>
                  <to>
                    <xdr:col>3</xdr:col>
                    <xdr:colOff>1085850</xdr:colOff>
                    <xdr:row>137</xdr:row>
                    <xdr:rowOff>152400</xdr:rowOff>
                  </to>
                </anchor>
              </controlPr>
            </control>
          </mc:Choice>
        </mc:AlternateContent>
        <mc:AlternateContent xmlns:mc="http://schemas.openxmlformats.org/markup-compatibility/2006">
          <mc:Choice Requires="x14">
            <control shapeId="2606629" r:id="rId62" name="Drop Down 3621">
              <controlPr defaultSize="0" autoLine="0" autoPict="0">
                <anchor moveWithCells="1">
                  <from>
                    <xdr:col>5</xdr:col>
                    <xdr:colOff>387350</xdr:colOff>
                    <xdr:row>137</xdr:row>
                    <xdr:rowOff>12700</xdr:rowOff>
                  </from>
                  <to>
                    <xdr:col>5</xdr:col>
                    <xdr:colOff>1085850</xdr:colOff>
                    <xdr:row>138</xdr:row>
                    <xdr:rowOff>12700</xdr:rowOff>
                  </to>
                </anchor>
              </controlPr>
            </control>
          </mc:Choice>
        </mc:AlternateContent>
        <mc:AlternateContent xmlns:mc="http://schemas.openxmlformats.org/markup-compatibility/2006">
          <mc:Choice Requires="x14">
            <control shapeId="2606630" r:id="rId63" name="Drop Down 3622">
              <controlPr defaultSize="0" autoLine="0" autoPict="0">
                <anchor moveWithCells="1">
                  <from>
                    <xdr:col>7</xdr:col>
                    <xdr:colOff>393700</xdr:colOff>
                    <xdr:row>137</xdr:row>
                    <xdr:rowOff>12700</xdr:rowOff>
                  </from>
                  <to>
                    <xdr:col>7</xdr:col>
                    <xdr:colOff>1085850</xdr:colOff>
                    <xdr:row>138</xdr:row>
                    <xdr:rowOff>12700</xdr:rowOff>
                  </to>
                </anchor>
              </controlPr>
            </control>
          </mc:Choice>
        </mc:AlternateContent>
        <mc:AlternateContent xmlns:mc="http://schemas.openxmlformats.org/markup-compatibility/2006">
          <mc:Choice Requires="x14">
            <control shapeId="2606632" r:id="rId64" name="Drop Down 3624">
              <controlPr defaultSize="0" autoLine="0" autoPict="0">
                <anchor moveWithCells="1">
                  <from>
                    <xdr:col>3</xdr:col>
                    <xdr:colOff>400050</xdr:colOff>
                    <xdr:row>172</xdr:row>
                    <xdr:rowOff>0</xdr:rowOff>
                  </from>
                  <to>
                    <xdr:col>3</xdr:col>
                    <xdr:colOff>1085850</xdr:colOff>
                    <xdr:row>172</xdr:row>
                    <xdr:rowOff>152400</xdr:rowOff>
                  </to>
                </anchor>
              </controlPr>
            </control>
          </mc:Choice>
        </mc:AlternateContent>
        <mc:AlternateContent xmlns:mc="http://schemas.openxmlformats.org/markup-compatibility/2006">
          <mc:Choice Requires="x14">
            <control shapeId="2606633" r:id="rId65" name="Drop Down 3625">
              <controlPr defaultSize="0" autoLine="0" autoPict="0">
                <anchor moveWithCells="1">
                  <from>
                    <xdr:col>5</xdr:col>
                    <xdr:colOff>393700</xdr:colOff>
                    <xdr:row>172</xdr:row>
                    <xdr:rowOff>12700</xdr:rowOff>
                  </from>
                  <to>
                    <xdr:col>5</xdr:col>
                    <xdr:colOff>1085850</xdr:colOff>
                    <xdr:row>172</xdr:row>
                    <xdr:rowOff>171450</xdr:rowOff>
                  </to>
                </anchor>
              </controlPr>
            </control>
          </mc:Choice>
        </mc:AlternateContent>
        <mc:AlternateContent xmlns:mc="http://schemas.openxmlformats.org/markup-compatibility/2006">
          <mc:Choice Requires="x14">
            <control shapeId="2606634" r:id="rId66" name="Drop Down 3626">
              <controlPr defaultSize="0" autoLine="0" autoPict="0">
                <anchor moveWithCells="1">
                  <from>
                    <xdr:col>7</xdr:col>
                    <xdr:colOff>393700</xdr:colOff>
                    <xdr:row>172</xdr:row>
                    <xdr:rowOff>12700</xdr:rowOff>
                  </from>
                  <to>
                    <xdr:col>7</xdr:col>
                    <xdr:colOff>1085850</xdr:colOff>
                    <xdr:row>172</xdr:row>
                    <xdr:rowOff>171450</xdr:rowOff>
                  </to>
                </anchor>
              </controlPr>
            </control>
          </mc:Choice>
        </mc:AlternateContent>
        <mc:AlternateContent xmlns:mc="http://schemas.openxmlformats.org/markup-compatibility/2006">
          <mc:Choice Requires="x14">
            <control shapeId="2606635" r:id="rId67" name="Drop Down 3627">
              <controlPr defaultSize="0" autoLine="0" autoPict="0">
                <anchor moveWithCells="1">
                  <from>
                    <xdr:col>3</xdr:col>
                    <xdr:colOff>400050</xdr:colOff>
                    <xdr:row>172</xdr:row>
                    <xdr:rowOff>0</xdr:rowOff>
                  </from>
                  <to>
                    <xdr:col>3</xdr:col>
                    <xdr:colOff>1085850</xdr:colOff>
                    <xdr:row>172</xdr:row>
                    <xdr:rowOff>152400</xdr:rowOff>
                  </to>
                </anchor>
              </controlPr>
            </control>
          </mc:Choice>
        </mc:AlternateContent>
        <mc:AlternateContent xmlns:mc="http://schemas.openxmlformats.org/markup-compatibility/2006">
          <mc:Choice Requires="x14">
            <control shapeId="2606636" r:id="rId68" name="Drop Down 3628">
              <controlPr defaultSize="0" autoLine="0" autoPict="0">
                <anchor moveWithCells="1">
                  <from>
                    <xdr:col>5</xdr:col>
                    <xdr:colOff>393700</xdr:colOff>
                    <xdr:row>172</xdr:row>
                    <xdr:rowOff>12700</xdr:rowOff>
                  </from>
                  <to>
                    <xdr:col>5</xdr:col>
                    <xdr:colOff>1085850</xdr:colOff>
                    <xdr:row>172</xdr:row>
                    <xdr:rowOff>171450</xdr:rowOff>
                  </to>
                </anchor>
              </controlPr>
            </control>
          </mc:Choice>
        </mc:AlternateContent>
        <mc:AlternateContent xmlns:mc="http://schemas.openxmlformats.org/markup-compatibility/2006">
          <mc:Choice Requires="x14">
            <control shapeId="2606637" r:id="rId69" name="Drop Down 3629">
              <controlPr defaultSize="0" autoLine="0" autoPict="0">
                <anchor moveWithCells="1">
                  <from>
                    <xdr:col>7</xdr:col>
                    <xdr:colOff>393700</xdr:colOff>
                    <xdr:row>172</xdr:row>
                    <xdr:rowOff>12700</xdr:rowOff>
                  </from>
                  <to>
                    <xdr:col>7</xdr:col>
                    <xdr:colOff>1085850</xdr:colOff>
                    <xdr:row>172</xdr:row>
                    <xdr:rowOff>171450</xdr:rowOff>
                  </to>
                </anchor>
              </controlPr>
            </control>
          </mc:Choice>
        </mc:AlternateContent>
        <mc:AlternateContent xmlns:mc="http://schemas.openxmlformats.org/markup-compatibility/2006">
          <mc:Choice Requires="x14">
            <control shapeId="2606638" r:id="rId70" name="Drop Down 3630">
              <controlPr defaultSize="0" autoLine="0" autoPict="0">
                <anchor moveWithCells="1">
                  <from>
                    <xdr:col>3</xdr:col>
                    <xdr:colOff>400050</xdr:colOff>
                    <xdr:row>36</xdr:row>
                    <xdr:rowOff>0</xdr:rowOff>
                  </from>
                  <to>
                    <xdr:col>3</xdr:col>
                    <xdr:colOff>1085850</xdr:colOff>
                    <xdr:row>36</xdr:row>
                    <xdr:rowOff>152400</xdr:rowOff>
                  </to>
                </anchor>
              </controlPr>
            </control>
          </mc:Choice>
        </mc:AlternateContent>
        <mc:AlternateContent xmlns:mc="http://schemas.openxmlformats.org/markup-compatibility/2006">
          <mc:Choice Requires="x14">
            <control shapeId="2606639" r:id="rId71" name="Drop Down 3631">
              <controlPr defaultSize="0" autoLine="0" autoPict="0">
                <anchor moveWithCells="1">
                  <from>
                    <xdr:col>5</xdr:col>
                    <xdr:colOff>400050</xdr:colOff>
                    <xdr:row>36</xdr:row>
                    <xdr:rowOff>0</xdr:rowOff>
                  </from>
                  <to>
                    <xdr:col>5</xdr:col>
                    <xdr:colOff>1085850</xdr:colOff>
                    <xdr:row>36</xdr:row>
                    <xdr:rowOff>152400</xdr:rowOff>
                  </to>
                </anchor>
              </controlPr>
            </control>
          </mc:Choice>
        </mc:AlternateContent>
        <mc:AlternateContent xmlns:mc="http://schemas.openxmlformats.org/markup-compatibility/2006">
          <mc:Choice Requires="x14">
            <control shapeId="2606640" r:id="rId72" name="Drop Down 3632">
              <controlPr defaultSize="0" autoLine="0" autoPict="0">
                <anchor moveWithCells="1">
                  <from>
                    <xdr:col>7</xdr:col>
                    <xdr:colOff>400050</xdr:colOff>
                    <xdr:row>36</xdr:row>
                    <xdr:rowOff>0</xdr:rowOff>
                  </from>
                  <to>
                    <xdr:col>7</xdr:col>
                    <xdr:colOff>1085850</xdr:colOff>
                    <xdr:row>36</xdr:row>
                    <xdr:rowOff>152400</xdr:rowOff>
                  </to>
                </anchor>
              </controlPr>
            </control>
          </mc:Choice>
        </mc:AlternateContent>
        <mc:AlternateContent xmlns:mc="http://schemas.openxmlformats.org/markup-compatibility/2006">
          <mc:Choice Requires="x14">
            <control shapeId="2606641" r:id="rId73" name="Drop Down 3633">
              <controlPr defaultSize="0" autoLine="0" autoPict="0">
                <anchor moveWithCells="1">
                  <from>
                    <xdr:col>3</xdr:col>
                    <xdr:colOff>400050</xdr:colOff>
                    <xdr:row>71</xdr:row>
                    <xdr:rowOff>0</xdr:rowOff>
                  </from>
                  <to>
                    <xdr:col>3</xdr:col>
                    <xdr:colOff>1085850</xdr:colOff>
                    <xdr:row>71</xdr:row>
                    <xdr:rowOff>165100</xdr:rowOff>
                  </to>
                </anchor>
              </controlPr>
            </control>
          </mc:Choice>
        </mc:AlternateContent>
        <mc:AlternateContent xmlns:mc="http://schemas.openxmlformats.org/markup-compatibility/2006">
          <mc:Choice Requires="x14">
            <control shapeId="2606642" r:id="rId74" name="Drop Down 3634">
              <controlPr defaultSize="0" autoLine="0" autoPict="0">
                <anchor moveWithCells="1">
                  <from>
                    <xdr:col>5</xdr:col>
                    <xdr:colOff>400050</xdr:colOff>
                    <xdr:row>71</xdr:row>
                    <xdr:rowOff>0</xdr:rowOff>
                  </from>
                  <to>
                    <xdr:col>5</xdr:col>
                    <xdr:colOff>1085850</xdr:colOff>
                    <xdr:row>71</xdr:row>
                    <xdr:rowOff>165100</xdr:rowOff>
                  </to>
                </anchor>
              </controlPr>
            </control>
          </mc:Choice>
        </mc:AlternateContent>
        <mc:AlternateContent xmlns:mc="http://schemas.openxmlformats.org/markup-compatibility/2006">
          <mc:Choice Requires="x14">
            <control shapeId="2606643" r:id="rId75" name="Drop Down 3635">
              <controlPr defaultSize="0" autoLine="0" autoPict="0">
                <anchor moveWithCells="1">
                  <from>
                    <xdr:col>7</xdr:col>
                    <xdr:colOff>400050</xdr:colOff>
                    <xdr:row>71</xdr:row>
                    <xdr:rowOff>0</xdr:rowOff>
                  </from>
                  <to>
                    <xdr:col>7</xdr:col>
                    <xdr:colOff>1085850</xdr:colOff>
                    <xdr:row>71</xdr:row>
                    <xdr:rowOff>165100</xdr:rowOff>
                  </to>
                </anchor>
              </controlPr>
            </control>
          </mc:Choice>
        </mc:AlternateContent>
        <mc:AlternateContent xmlns:mc="http://schemas.openxmlformats.org/markup-compatibility/2006">
          <mc:Choice Requires="x14">
            <control shapeId="2606644" r:id="rId76" name="Drop Down 3636">
              <controlPr defaultSize="0" autoLine="0" autoPict="0">
                <anchor moveWithCells="1">
                  <from>
                    <xdr:col>3</xdr:col>
                    <xdr:colOff>400050</xdr:colOff>
                    <xdr:row>106</xdr:row>
                    <xdr:rowOff>0</xdr:rowOff>
                  </from>
                  <to>
                    <xdr:col>3</xdr:col>
                    <xdr:colOff>1085850</xdr:colOff>
                    <xdr:row>106</xdr:row>
                    <xdr:rowOff>152400</xdr:rowOff>
                  </to>
                </anchor>
              </controlPr>
            </control>
          </mc:Choice>
        </mc:AlternateContent>
        <mc:AlternateContent xmlns:mc="http://schemas.openxmlformats.org/markup-compatibility/2006">
          <mc:Choice Requires="x14">
            <control shapeId="2606645" r:id="rId77" name="Drop Down 3637">
              <controlPr defaultSize="0" autoLine="0" autoPict="0">
                <anchor moveWithCells="1">
                  <from>
                    <xdr:col>5</xdr:col>
                    <xdr:colOff>400050</xdr:colOff>
                    <xdr:row>106</xdr:row>
                    <xdr:rowOff>0</xdr:rowOff>
                  </from>
                  <to>
                    <xdr:col>5</xdr:col>
                    <xdr:colOff>1085850</xdr:colOff>
                    <xdr:row>106</xdr:row>
                    <xdr:rowOff>152400</xdr:rowOff>
                  </to>
                </anchor>
              </controlPr>
            </control>
          </mc:Choice>
        </mc:AlternateContent>
        <mc:AlternateContent xmlns:mc="http://schemas.openxmlformats.org/markup-compatibility/2006">
          <mc:Choice Requires="x14">
            <control shapeId="2606646" r:id="rId78" name="Drop Down 3638">
              <controlPr defaultSize="0" autoLine="0" autoPict="0">
                <anchor moveWithCells="1">
                  <from>
                    <xdr:col>7</xdr:col>
                    <xdr:colOff>400050</xdr:colOff>
                    <xdr:row>106</xdr:row>
                    <xdr:rowOff>0</xdr:rowOff>
                  </from>
                  <to>
                    <xdr:col>7</xdr:col>
                    <xdr:colOff>1085850</xdr:colOff>
                    <xdr:row>106</xdr:row>
                    <xdr:rowOff>152400</xdr:rowOff>
                  </to>
                </anchor>
              </controlPr>
            </control>
          </mc:Choice>
        </mc:AlternateContent>
        <mc:AlternateContent xmlns:mc="http://schemas.openxmlformats.org/markup-compatibility/2006">
          <mc:Choice Requires="x14">
            <control shapeId="2606647" r:id="rId79" name="Drop Down 3639">
              <controlPr defaultSize="0" autoLine="0" autoPict="0">
                <anchor moveWithCells="1">
                  <from>
                    <xdr:col>3</xdr:col>
                    <xdr:colOff>400050</xdr:colOff>
                    <xdr:row>141</xdr:row>
                    <xdr:rowOff>0</xdr:rowOff>
                  </from>
                  <to>
                    <xdr:col>3</xdr:col>
                    <xdr:colOff>1085850</xdr:colOff>
                    <xdr:row>142</xdr:row>
                    <xdr:rowOff>0</xdr:rowOff>
                  </to>
                </anchor>
              </controlPr>
            </control>
          </mc:Choice>
        </mc:AlternateContent>
        <mc:AlternateContent xmlns:mc="http://schemas.openxmlformats.org/markup-compatibility/2006">
          <mc:Choice Requires="x14">
            <control shapeId="2606648" r:id="rId80" name="Drop Down 3640">
              <controlPr defaultSize="0" autoLine="0" autoPict="0">
                <anchor moveWithCells="1">
                  <from>
                    <xdr:col>5</xdr:col>
                    <xdr:colOff>400050</xdr:colOff>
                    <xdr:row>141</xdr:row>
                    <xdr:rowOff>0</xdr:rowOff>
                  </from>
                  <to>
                    <xdr:col>5</xdr:col>
                    <xdr:colOff>1085850</xdr:colOff>
                    <xdr:row>142</xdr:row>
                    <xdr:rowOff>0</xdr:rowOff>
                  </to>
                </anchor>
              </controlPr>
            </control>
          </mc:Choice>
        </mc:AlternateContent>
        <mc:AlternateContent xmlns:mc="http://schemas.openxmlformats.org/markup-compatibility/2006">
          <mc:Choice Requires="x14">
            <control shapeId="2606649" r:id="rId81" name="Drop Down 3641">
              <controlPr defaultSize="0" autoLine="0" autoPict="0">
                <anchor moveWithCells="1">
                  <from>
                    <xdr:col>7</xdr:col>
                    <xdr:colOff>400050</xdr:colOff>
                    <xdr:row>141</xdr:row>
                    <xdr:rowOff>0</xdr:rowOff>
                  </from>
                  <to>
                    <xdr:col>7</xdr:col>
                    <xdr:colOff>1085850</xdr:colOff>
                    <xdr:row>142</xdr:row>
                    <xdr:rowOff>0</xdr:rowOff>
                  </to>
                </anchor>
              </controlPr>
            </control>
          </mc:Choice>
        </mc:AlternateContent>
        <mc:AlternateContent xmlns:mc="http://schemas.openxmlformats.org/markup-compatibility/2006">
          <mc:Choice Requires="x14">
            <control shapeId="2606650" r:id="rId82" name="Drop Down 3642">
              <controlPr defaultSize="0" autoLine="0" autoPict="0">
                <anchor moveWithCells="1">
                  <from>
                    <xdr:col>3</xdr:col>
                    <xdr:colOff>400050</xdr:colOff>
                    <xdr:row>176</xdr:row>
                    <xdr:rowOff>0</xdr:rowOff>
                  </from>
                  <to>
                    <xdr:col>3</xdr:col>
                    <xdr:colOff>1085850</xdr:colOff>
                    <xdr:row>176</xdr:row>
                    <xdr:rowOff>152400</xdr:rowOff>
                  </to>
                </anchor>
              </controlPr>
            </control>
          </mc:Choice>
        </mc:AlternateContent>
        <mc:AlternateContent xmlns:mc="http://schemas.openxmlformats.org/markup-compatibility/2006">
          <mc:Choice Requires="x14">
            <control shapeId="2606651" r:id="rId83" name="Drop Down 3643">
              <controlPr defaultSize="0" autoLine="0" autoPict="0">
                <anchor moveWithCells="1">
                  <from>
                    <xdr:col>5</xdr:col>
                    <xdr:colOff>400050</xdr:colOff>
                    <xdr:row>176</xdr:row>
                    <xdr:rowOff>19050</xdr:rowOff>
                  </from>
                  <to>
                    <xdr:col>5</xdr:col>
                    <xdr:colOff>1085850</xdr:colOff>
                    <xdr:row>176</xdr:row>
                    <xdr:rowOff>171450</xdr:rowOff>
                  </to>
                </anchor>
              </controlPr>
            </control>
          </mc:Choice>
        </mc:AlternateContent>
        <mc:AlternateContent xmlns:mc="http://schemas.openxmlformats.org/markup-compatibility/2006">
          <mc:Choice Requires="x14">
            <control shapeId="2606652" r:id="rId84" name="Drop Down 3644">
              <controlPr defaultSize="0" autoLine="0" autoPict="0">
                <anchor moveWithCells="1">
                  <from>
                    <xdr:col>7</xdr:col>
                    <xdr:colOff>400050</xdr:colOff>
                    <xdr:row>176</xdr:row>
                    <xdr:rowOff>0</xdr:rowOff>
                  </from>
                  <to>
                    <xdr:col>7</xdr:col>
                    <xdr:colOff>1085850</xdr:colOff>
                    <xdr:row>176</xdr:row>
                    <xdr:rowOff>152400</xdr:rowOff>
                  </to>
                </anchor>
              </controlPr>
            </control>
          </mc:Choice>
        </mc:AlternateContent>
        <mc:AlternateContent xmlns:mc="http://schemas.openxmlformats.org/markup-compatibility/2006">
          <mc:Choice Requires="x14">
            <control shapeId="2606654" r:id="rId85" name="Drop Down 3646">
              <controlPr defaultSize="0" autoLine="0" autoPict="0">
                <anchor moveWithCells="1">
                  <from>
                    <xdr:col>3</xdr:col>
                    <xdr:colOff>400050</xdr:colOff>
                    <xdr:row>51</xdr:row>
                    <xdr:rowOff>0</xdr:rowOff>
                  </from>
                  <to>
                    <xdr:col>3</xdr:col>
                    <xdr:colOff>1085850</xdr:colOff>
                    <xdr:row>52</xdr:row>
                    <xdr:rowOff>0</xdr:rowOff>
                  </to>
                </anchor>
              </controlPr>
            </control>
          </mc:Choice>
        </mc:AlternateContent>
        <mc:AlternateContent xmlns:mc="http://schemas.openxmlformats.org/markup-compatibility/2006">
          <mc:Choice Requires="x14">
            <control shapeId="2606655" r:id="rId86" name="Drop Down 3647">
              <controlPr defaultSize="0" autoLine="0" autoPict="0">
                <anchor moveWithCells="1">
                  <from>
                    <xdr:col>5</xdr:col>
                    <xdr:colOff>393700</xdr:colOff>
                    <xdr:row>51</xdr:row>
                    <xdr:rowOff>12700</xdr:rowOff>
                  </from>
                  <to>
                    <xdr:col>5</xdr:col>
                    <xdr:colOff>1085850</xdr:colOff>
                    <xdr:row>52</xdr:row>
                    <xdr:rowOff>12700</xdr:rowOff>
                  </to>
                </anchor>
              </controlPr>
            </control>
          </mc:Choice>
        </mc:AlternateContent>
        <mc:AlternateContent xmlns:mc="http://schemas.openxmlformats.org/markup-compatibility/2006">
          <mc:Choice Requires="x14">
            <control shapeId="2606656" r:id="rId87" name="Drop Down 3648">
              <controlPr defaultSize="0" autoLine="0" autoPict="0">
                <anchor moveWithCells="1">
                  <from>
                    <xdr:col>7</xdr:col>
                    <xdr:colOff>393700</xdr:colOff>
                    <xdr:row>51</xdr:row>
                    <xdr:rowOff>6350</xdr:rowOff>
                  </from>
                  <to>
                    <xdr:col>7</xdr:col>
                    <xdr:colOff>1085850</xdr:colOff>
                    <xdr:row>52</xdr:row>
                    <xdr:rowOff>12700</xdr:rowOff>
                  </to>
                </anchor>
              </controlPr>
            </control>
          </mc:Choice>
        </mc:AlternateContent>
        <mc:AlternateContent xmlns:mc="http://schemas.openxmlformats.org/markup-compatibility/2006">
          <mc:Choice Requires="x14">
            <control shapeId="2606657" r:id="rId88" name="Drop Down 3649">
              <controlPr defaultSize="0" autoLine="0" autoPict="0">
                <anchor moveWithCells="1">
                  <from>
                    <xdr:col>3</xdr:col>
                    <xdr:colOff>406400</xdr:colOff>
                    <xdr:row>52</xdr:row>
                    <xdr:rowOff>0</xdr:rowOff>
                  </from>
                  <to>
                    <xdr:col>3</xdr:col>
                    <xdr:colOff>1098550</xdr:colOff>
                    <xdr:row>53</xdr:row>
                    <xdr:rowOff>0</xdr:rowOff>
                  </to>
                </anchor>
              </controlPr>
            </control>
          </mc:Choice>
        </mc:AlternateContent>
        <mc:AlternateContent xmlns:mc="http://schemas.openxmlformats.org/markup-compatibility/2006">
          <mc:Choice Requires="x14">
            <control shapeId="2606658" r:id="rId89" name="Drop Down 3650">
              <controlPr defaultSize="0" autoLine="0" autoPict="0">
                <anchor moveWithCells="1">
                  <from>
                    <xdr:col>5</xdr:col>
                    <xdr:colOff>393700</xdr:colOff>
                    <xdr:row>52</xdr:row>
                    <xdr:rowOff>12700</xdr:rowOff>
                  </from>
                  <to>
                    <xdr:col>5</xdr:col>
                    <xdr:colOff>1085850</xdr:colOff>
                    <xdr:row>53</xdr:row>
                    <xdr:rowOff>12700</xdr:rowOff>
                  </to>
                </anchor>
              </controlPr>
            </control>
          </mc:Choice>
        </mc:AlternateContent>
        <mc:AlternateContent xmlns:mc="http://schemas.openxmlformats.org/markup-compatibility/2006">
          <mc:Choice Requires="x14">
            <control shapeId="2606659" r:id="rId90" name="Drop Down 3651">
              <controlPr defaultSize="0" autoLine="0" autoPict="0">
                <anchor moveWithCells="1">
                  <from>
                    <xdr:col>7</xdr:col>
                    <xdr:colOff>393700</xdr:colOff>
                    <xdr:row>52</xdr:row>
                    <xdr:rowOff>12700</xdr:rowOff>
                  </from>
                  <to>
                    <xdr:col>7</xdr:col>
                    <xdr:colOff>1085850</xdr:colOff>
                    <xdr:row>53</xdr:row>
                    <xdr:rowOff>12700</xdr:rowOff>
                  </to>
                </anchor>
              </controlPr>
            </control>
          </mc:Choice>
        </mc:AlternateContent>
        <mc:AlternateContent xmlns:mc="http://schemas.openxmlformats.org/markup-compatibility/2006">
          <mc:Choice Requires="x14">
            <control shapeId="2606660" r:id="rId91" name="Drop Down 3652">
              <controlPr defaultSize="0" autoLine="0" autoPict="0">
                <anchor moveWithCells="1">
                  <from>
                    <xdr:col>3</xdr:col>
                    <xdr:colOff>400050</xdr:colOff>
                    <xdr:row>54</xdr:row>
                    <xdr:rowOff>0</xdr:rowOff>
                  </from>
                  <to>
                    <xdr:col>3</xdr:col>
                    <xdr:colOff>1085850</xdr:colOff>
                    <xdr:row>55</xdr:row>
                    <xdr:rowOff>0</xdr:rowOff>
                  </to>
                </anchor>
              </controlPr>
            </control>
          </mc:Choice>
        </mc:AlternateContent>
        <mc:AlternateContent xmlns:mc="http://schemas.openxmlformats.org/markup-compatibility/2006">
          <mc:Choice Requires="x14">
            <control shapeId="2606661" r:id="rId92" name="Drop Down 3653">
              <controlPr defaultSize="0" autoLine="0" autoPict="0">
                <anchor moveWithCells="1">
                  <from>
                    <xdr:col>5</xdr:col>
                    <xdr:colOff>393700</xdr:colOff>
                    <xdr:row>54</xdr:row>
                    <xdr:rowOff>12700</xdr:rowOff>
                  </from>
                  <to>
                    <xdr:col>5</xdr:col>
                    <xdr:colOff>1085850</xdr:colOff>
                    <xdr:row>55</xdr:row>
                    <xdr:rowOff>12700</xdr:rowOff>
                  </to>
                </anchor>
              </controlPr>
            </control>
          </mc:Choice>
        </mc:AlternateContent>
        <mc:AlternateContent xmlns:mc="http://schemas.openxmlformats.org/markup-compatibility/2006">
          <mc:Choice Requires="x14">
            <control shapeId="2606662" r:id="rId93" name="Drop Down 3654">
              <controlPr defaultSize="0" autoLine="0" autoPict="0">
                <anchor moveWithCells="1">
                  <from>
                    <xdr:col>7</xdr:col>
                    <xdr:colOff>393700</xdr:colOff>
                    <xdr:row>54</xdr:row>
                    <xdr:rowOff>12700</xdr:rowOff>
                  </from>
                  <to>
                    <xdr:col>7</xdr:col>
                    <xdr:colOff>1085850</xdr:colOff>
                    <xdr:row>55</xdr:row>
                    <xdr:rowOff>12700</xdr:rowOff>
                  </to>
                </anchor>
              </controlPr>
            </control>
          </mc:Choice>
        </mc:AlternateContent>
        <mc:AlternateContent xmlns:mc="http://schemas.openxmlformats.org/markup-compatibility/2006">
          <mc:Choice Requires="x14">
            <control shapeId="2606663" r:id="rId94" name="Drop Down 3655">
              <controlPr defaultSize="0" autoLine="0" autoPict="0">
                <anchor moveWithCells="1">
                  <from>
                    <xdr:col>3</xdr:col>
                    <xdr:colOff>400050</xdr:colOff>
                    <xdr:row>55</xdr:row>
                    <xdr:rowOff>0</xdr:rowOff>
                  </from>
                  <to>
                    <xdr:col>3</xdr:col>
                    <xdr:colOff>1085850</xdr:colOff>
                    <xdr:row>56</xdr:row>
                    <xdr:rowOff>0</xdr:rowOff>
                  </to>
                </anchor>
              </controlPr>
            </control>
          </mc:Choice>
        </mc:AlternateContent>
        <mc:AlternateContent xmlns:mc="http://schemas.openxmlformats.org/markup-compatibility/2006">
          <mc:Choice Requires="x14">
            <control shapeId="2606664" r:id="rId95" name="Drop Down 3656">
              <controlPr defaultSize="0" autoLine="0" autoPict="0">
                <anchor moveWithCells="1">
                  <from>
                    <xdr:col>5</xdr:col>
                    <xdr:colOff>393700</xdr:colOff>
                    <xdr:row>55</xdr:row>
                    <xdr:rowOff>12700</xdr:rowOff>
                  </from>
                  <to>
                    <xdr:col>5</xdr:col>
                    <xdr:colOff>1085850</xdr:colOff>
                    <xdr:row>56</xdr:row>
                    <xdr:rowOff>12700</xdr:rowOff>
                  </to>
                </anchor>
              </controlPr>
            </control>
          </mc:Choice>
        </mc:AlternateContent>
        <mc:AlternateContent xmlns:mc="http://schemas.openxmlformats.org/markup-compatibility/2006">
          <mc:Choice Requires="x14">
            <control shapeId="2606665" r:id="rId96" name="Drop Down 3657">
              <controlPr defaultSize="0" autoLine="0" autoPict="0">
                <anchor moveWithCells="1">
                  <from>
                    <xdr:col>7</xdr:col>
                    <xdr:colOff>393700</xdr:colOff>
                    <xdr:row>55</xdr:row>
                    <xdr:rowOff>12700</xdr:rowOff>
                  </from>
                  <to>
                    <xdr:col>7</xdr:col>
                    <xdr:colOff>1085850</xdr:colOff>
                    <xdr:row>56</xdr:row>
                    <xdr:rowOff>12700</xdr:rowOff>
                  </to>
                </anchor>
              </controlPr>
            </control>
          </mc:Choice>
        </mc:AlternateContent>
        <mc:AlternateContent xmlns:mc="http://schemas.openxmlformats.org/markup-compatibility/2006">
          <mc:Choice Requires="x14">
            <control shapeId="2606666" r:id="rId97" name="Drop Down 3658">
              <controlPr defaultSize="0" autoLine="0" autoPict="0">
                <anchor moveWithCells="1">
                  <from>
                    <xdr:col>3</xdr:col>
                    <xdr:colOff>400050</xdr:colOff>
                    <xdr:row>56</xdr:row>
                    <xdr:rowOff>0</xdr:rowOff>
                  </from>
                  <to>
                    <xdr:col>3</xdr:col>
                    <xdr:colOff>1085850</xdr:colOff>
                    <xdr:row>57</xdr:row>
                    <xdr:rowOff>0</xdr:rowOff>
                  </to>
                </anchor>
              </controlPr>
            </control>
          </mc:Choice>
        </mc:AlternateContent>
        <mc:AlternateContent xmlns:mc="http://schemas.openxmlformats.org/markup-compatibility/2006">
          <mc:Choice Requires="x14">
            <control shapeId="2606667" r:id="rId98" name="Drop Down 3659">
              <controlPr defaultSize="0" autoLine="0" autoPict="0">
                <anchor moveWithCells="1">
                  <from>
                    <xdr:col>5</xdr:col>
                    <xdr:colOff>393700</xdr:colOff>
                    <xdr:row>56</xdr:row>
                    <xdr:rowOff>12700</xdr:rowOff>
                  </from>
                  <to>
                    <xdr:col>5</xdr:col>
                    <xdr:colOff>1085850</xdr:colOff>
                    <xdr:row>57</xdr:row>
                    <xdr:rowOff>12700</xdr:rowOff>
                  </to>
                </anchor>
              </controlPr>
            </control>
          </mc:Choice>
        </mc:AlternateContent>
        <mc:AlternateContent xmlns:mc="http://schemas.openxmlformats.org/markup-compatibility/2006">
          <mc:Choice Requires="x14">
            <control shapeId="2606668" r:id="rId99" name="Drop Down 3660">
              <controlPr defaultSize="0" autoLine="0" autoPict="0">
                <anchor moveWithCells="1">
                  <from>
                    <xdr:col>7</xdr:col>
                    <xdr:colOff>393700</xdr:colOff>
                    <xdr:row>56</xdr:row>
                    <xdr:rowOff>12700</xdr:rowOff>
                  </from>
                  <to>
                    <xdr:col>7</xdr:col>
                    <xdr:colOff>1085850</xdr:colOff>
                    <xdr:row>57</xdr:row>
                    <xdr:rowOff>12700</xdr:rowOff>
                  </to>
                </anchor>
              </controlPr>
            </control>
          </mc:Choice>
        </mc:AlternateContent>
        <mc:AlternateContent xmlns:mc="http://schemas.openxmlformats.org/markup-compatibility/2006">
          <mc:Choice Requires="x14">
            <control shapeId="2606669" r:id="rId100" name="Drop Down 3661">
              <controlPr defaultSize="0" autoLine="0" autoPict="0">
                <anchor moveWithCells="1">
                  <from>
                    <xdr:col>3</xdr:col>
                    <xdr:colOff>400050</xdr:colOff>
                    <xdr:row>86</xdr:row>
                    <xdr:rowOff>0</xdr:rowOff>
                  </from>
                  <to>
                    <xdr:col>3</xdr:col>
                    <xdr:colOff>1085850</xdr:colOff>
                    <xdr:row>86</xdr:row>
                    <xdr:rowOff>165100</xdr:rowOff>
                  </to>
                </anchor>
              </controlPr>
            </control>
          </mc:Choice>
        </mc:AlternateContent>
        <mc:AlternateContent xmlns:mc="http://schemas.openxmlformats.org/markup-compatibility/2006">
          <mc:Choice Requires="x14">
            <control shapeId="2606670" r:id="rId101" name="Drop Down 3662">
              <controlPr defaultSize="0" autoLine="0" autoPict="0">
                <anchor moveWithCells="1">
                  <from>
                    <xdr:col>5</xdr:col>
                    <xdr:colOff>393700</xdr:colOff>
                    <xdr:row>86</xdr:row>
                    <xdr:rowOff>12700</xdr:rowOff>
                  </from>
                  <to>
                    <xdr:col>5</xdr:col>
                    <xdr:colOff>1085850</xdr:colOff>
                    <xdr:row>87</xdr:row>
                    <xdr:rowOff>12700</xdr:rowOff>
                  </to>
                </anchor>
              </controlPr>
            </control>
          </mc:Choice>
        </mc:AlternateContent>
        <mc:AlternateContent xmlns:mc="http://schemas.openxmlformats.org/markup-compatibility/2006">
          <mc:Choice Requires="x14">
            <control shapeId="2606671" r:id="rId102" name="Drop Down 3663">
              <controlPr defaultSize="0" autoLine="0" autoPict="0">
                <anchor moveWithCells="1">
                  <from>
                    <xdr:col>7</xdr:col>
                    <xdr:colOff>393700</xdr:colOff>
                    <xdr:row>86</xdr:row>
                    <xdr:rowOff>6350</xdr:rowOff>
                  </from>
                  <to>
                    <xdr:col>7</xdr:col>
                    <xdr:colOff>1085850</xdr:colOff>
                    <xdr:row>87</xdr:row>
                    <xdr:rowOff>12700</xdr:rowOff>
                  </to>
                </anchor>
              </controlPr>
            </control>
          </mc:Choice>
        </mc:AlternateContent>
        <mc:AlternateContent xmlns:mc="http://schemas.openxmlformats.org/markup-compatibility/2006">
          <mc:Choice Requires="x14">
            <control shapeId="2606684" r:id="rId103" name="Drop Down 3676">
              <controlPr defaultSize="0" autoLine="0" autoPict="0">
                <anchor moveWithCells="1">
                  <from>
                    <xdr:col>3</xdr:col>
                    <xdr:colOff>400050</xdr:colOff>
                    <xdr:row>87</xdr:row>
                    <xdr:rowOff>0</xdr:rowOff>
                  </from>
                  <to>
                    <xdr:col>3</xdr:col>
                    <xdr:colOff>1085850</xdr:colOff>
                    <xdr:row>88</xdr:row>
                    <xdr:rowOff>0</xdr:rowOff>
                  </to>
                </anchor>
              </controlPr>
            </control>
          </mc:Choice>
        </mc:AlternateContent>
        <mc:AlternateContent xmlns:mc="http://schemas.openxmlformats.org/markup-compatibility/2006">
          <mc:Choice Requires="x14">
            <control shapeId="2606685" r:id="rId104" name="Drop Down 3677">
              <controlPr defaultSize="0" autoLine="0" autoPict="0">
                <anchor moveWithCells="1">
                  <from>
                    <xdr:col>5</xdr:col>
                    <xdr:colOff>393700</xdr:colOff>
                    <xdr:row>87</xdr:row>
                    <xdr:rowOff>12700</xdr:rowOff>
                  </from>
                  <to>
                    <xdr:col>5</xdr:col>
                    <xdr:colOff>1085850</xdr:colOff>
                    <xdr:row>88</xdr:row>
                    <xdr:rowOff>19050</xdr:rowOff>
                  </to>
                </anchor>
              </controlPr>
            </control>
          </mc:Choice>
        </mc:AlternateContent>
        <mc:AlternateContent xmlns:mc="http://schemas.openxmlformats.org/markup-compatibility/2006">
          <mc:Choice Requires="x14">
            <control shapeId="2606686" r:id="rId105" name="Drop Down 3678">
              <controlPr defaultSize="0" autoLine="0" autoPict="0">
                <anchor moveWithCells="1">
                  <from>
                    <xdr:col>7</xdr:col>
                    <xdr:colOff>393700</xdr:colOff>
                    <xdr:row>87</xdr:row>
                    <xdr:rowOff>6350</xdr:rowOff>
                  </from>
                  <to>
                    <xdr:col>7</xdr:col>
                    <xdr:colOff>1085850</xdr:colOff>
                    <xdr:row>88</xdr:row>
                    <xdr:rowOff>19050</xdr:rowOff>
                  </to>
                </anchor>
              </controlPr>
            </control>
          </mc:Choice>
        </mc:AlternateContent>
        <mc:AlternateContent xmlns:mc="http://schemas.openxmlformats.org/markup-compatibility/2006">
          <mc:Choice Requires="x14">
            <control shapeId="2606687" r:id="rId106" name="Drop Down 3679">
              <controlPr defaultSize="0" autoLine="0" autoPict="0">
                <anchor moveWithCells="1">
                  <from>
                    <xdr:col>3</xdr:col>
                    <xdr:colOff>400050</xdr:colOff>
                    <xdr:row>89</xdr:row>
                    <xdr:rowOff>0</xdr:rowOff>
                  </from>
                  <to>
                    <xdr:col>3</xdr:col>
                    <xdr:colOff>1085850</xdr:colOff>
                    <xdr:row>90</xdr:row>
                    <xdr:rowOff>0</xdr:rowOff>
                  </to>
                </anchor>
              </controlPr>
            </control>
          </mc:Choice>
        </mc:AlternateContent>
        <mc:AlternateContent xmlns:mc="http://schemas.openxmlformats.org/markup-compatibility/2006">
          <mc:Choice Requires="x14">
            <control shapeId="2606688" r:id="rId107" name="Drop Down 3680">
              <controlPr defaultSize="0" autoLine="0" autoPict="0">
                <anchor moveWithCells="1">
                  <from>
                    <xdr:col>5</xdr:col>
                    <xdr:colOff>393700</xdr:colOff>
                    <xdr:row>89</xdr:row>
                    <xdr:rowOff>12700</xdr:rowOff>
                  </from>
                  <to>
                    <xdr:col>5</xdr:col>
                    <xdr:colOff>1085850</xdr:colOff>
                    <xdr:row>90</xdr:row>
                    <xdr:rowOff>19050</xdr:rowOff>
                  </to>
                </anchor>
              </controlPr>
            </control>
          </mc:Choice>
        </mc:AlternateContent>
        <mc:AlternateContent xmlns:mc="http://schemas.openxmlformats.org/markup-compatibility/2006">
          <mc:Choice Requires="x14">
            <control shapeId="2606689" r:id="rId108" name="Drop Down 3681">
              <controlPr defaultSize="0" autoLine="0" autoPict="0">
                <anchor moveWithCells="1">
                  <from>
                    <xdr:col>7</xdr:col>
                    <xdr:colOff>393700</xdr:colOff>
                    <xdr:row>89</xdr:row>
                    <xdr:rowOff>6350</xdr:rowOff>
                  </from>
                  <to>
                    <xdr:col>7</xdr:col>
                    <xdr:colOff>1085850</xdr:colOff>
                    <xdr:row>90</xdr:row>
                    <xdr:rowOff>19050</xdr:rowOff>
                  </to>
                </anchor>
              </controlPr>
            </control>
          </mc:Choice>
        </mc:AlternateContent>
        <mc:AlternateContent xmlns:mc="http://schemas.openxmlformats.org/markup-compatibility/2006">
          <mc:Choice Requires="x14">
            <control shapeId="2606690" r:id="rId109" name="Drop Down 3682">
              <controlPr defaultSize="0" autoLine="0" autoPict="0">
                <anchor moveWithCells="1">
                  <from>
                    <xdr:col>3</xdr:col>
                    <xdr:colOff>400050</xdr:colOff>
                    <xdr:row>90</xdr:row>
                    <xdr:rowOff>0</xdr:rowOff>
                  </from>
                  <to>
                    <xdr:col>3</xdr:col>
                    <xdr:colOff>1085850</xdr:colOff>
                    <xdr:row>91</xdr:row>
                    <xdr:rowOff>0</xdr:rowOff>
                  </to>
                </anchor>
              </controlPr>
            </control>
          </mc:Choice>
        </mc:AlternateContent>
        <mc:AlternateContent xmlns:mc="http://schemas.openxmlformats.org/markup-compatibility/2006">
          <mc:Choice Requires="x14">
            <control shapeId="2606691" r:id="rId110" name="Drop Down 3683">
              <controlPr defaultSize="0" autoLine="0" autoPict="0">
                <anchor moveWithCells="1">
                  <from>
                    <xdr:col>5</xdr:col>
                    <xdr:colOff>393700</xdr:colOff>
                    <xdr:row>90</xdr:row>
                    <xdr:rowOff>12700</xdr:rowOff>
                  </from>
                  <to>
                    <xdr:col>5</xdr:col>
                    <xdr:colOff>1085850</xdr:colOff>
                    <xdr:row>91</xdr:row>
                    <xdr:rowOff>19050</xdr:rowOff>
                  </to>
                </anchor>
              </controlPr>
            </control>
          </mc:Choice>
        </mc:AlternateContent>
        <mc:AlternateContent xmlns:mc="http://schemas.openxmlformats.org/markup-compatibility/2006">
          <mc:Choice Requires="x14">
            <control shapeId="2606692" r:id="rId111" name="Drop Down 3684">
              <controlPr defaultSize="0" autoLine="0" autoPict="0">
                <anchor moveWithCells="1">
                  <from>
                    <xdr:col>7</xdr:col>
                    <xdr:colOff>393700</xdr:colOff>
                    <xdr:row>90</xdr:row>
                    <xdr:rowOff>6350</xdr:rowOff>
                  </from>
                  <to>
                    <xdr:col>7</xdr:col>
                    <xdr:colOff>1085850</xdr:colOff>
                    <xdr:row>91</xdr:row>
                    <xdr:rowOff>19050</xdr:rowOff>
                  </to>
                </anchor>
              </controlPr>
            </control>
          </mc:Choice>
        </mc:AlternateContent>
        <mc:AlternateContent xmlns:mc="http://schemas.openxmlformats.org/markup-compatibility/2006">
          <mc:Choice Requires="x14">
            <control shapeId="2606693" r:id="rId112" name="Drop Down 3685">
              <controlPr defaultSize="0" autoLine="0" autoPict="0">
                <anchor moveWithCells="1">
                  <from>
                    <xdr:col>3</xdr:col>
                    <xdr:colOff>400050</xdr:colOff>
                    <xdr:row>91</xdr:row>
                    <xdr:rowOff>0</xdr:rowOff>
                  </from>
                  <to>
                    <xdr:col>3</xdr:col>
                    <xdr:colOff>1085850</xdr:colOff>
                    <xdr:row>92</xdr:row>
                    <xdr:rowOff>0</xdr:rowOff>
                  </to>
                </anchor>
              </controlPr>
            </control>
          </mc:Choice>
        </mc:AlternateContent>
        <mc:AlternateContent xmlns:mc="http://schemas.openxmlformats.org/markup-compatibility/2006">
          <mc:Choice Requires="x14">
            <control shapeId="2606694" r:id="rId113" name="Drop Down 3686">
              <controlPr defaultSize="0" autoLine="0" autoPict="0">
                <anchor moveWithCells="1">
                  <from>
                    <xdr:col>5</xdr:col>
                    <xdr:colOff>393700</xdr:colOff>
                    <xdr:row>91</xdr:row>
                    <xdr:rowOff>12700</xdr:rowOff>
                  </from>
                  <to>
                    <xdr:col>5</xdr:col>
                    <xdr:colOff>1085850</xdr:colOff>
                    <xdr:row>92</xdr:row>
                    <xdr:rowOff>19050</xdr:rowOff>
                  </to>
                </anchor>
              </controlPr>
            </control>
          </mc:Choice>
        </mc:AlternateContent>
        <mc:AlternateContent xmlns:mc="http://schemas.openxmlformats.org/markup-compatibility/2006">
          <mc:Choice Requires="x14">
            <control shapeId="2606695" r:id="rId114" name="Drop Down 3687">
              <controlPr defaultSize="0" autoLine="0" autoPict="0">
                <anchor moveWithCells="1">
                  <from>
                    <xdr:col>7</xdr:col>
                    <xdr:colOff>393700</xdr:colOff>
                    <xdr:row>91</xdr:row>
                    <xdr:rowOff>6350</xdr:rowOff>
                  </from>
                  <to>
                    <xdr:col>7</xdr:col>
                    <xdr:colOff>1085850</xdr:colOff>
                    <xdr:row>92</xdr:row>
                    <xdr:rowOff>19050</xdr:rowOff>
                  </to>
                </anchor>
              </controlPr>
            </control>
          </mc:Choice>
        </mc:AlternateContent>
        <mc:AlternateContent xmlns:mc="http://schemas.openxmlformats.org/markup-compatibility/2006">
          <mc:Choice Requires="x14">
            <control shapeId="2606696" r:id="rId115" name="Drop Down 3688">
              <controlPr defaultSize="0" autoLine="0" autoPict="0">
                <anchor moveWithCells="1">
                  <from>
                    <xdr:col>3</xdr:col>
                    <xdr:colOff>400050</xdr:colOff>
                    <xdr:row>121</xdr:row>
                    <xdr:rowOff>0</xdr:rowOff>
                  </from>
                  <to>
                    <xdr:col>3</xdr:col>
                    <xdr:colOff>1085850</xdr:colOff>
                    <xdr:row>121</xdr:row>
                    <xdr:rowOff>165100</xdr:rowOff>
                  </to>
                </anchor>
              </controlPr>
            </control>
          </mc:Choice>
        </mc:AlternateContent>
        <mc:AlternateContent xmlns:mc="http://schemas.openxmlformats.org/markup-compatibility/2006">
          <mc:Choice Requires="x14">
            <control shapeId="2606697" r:id="rId116" name="Drop Down 3689">
              <controlPr defaultSize="0" autoLine="0" autoPict="0">
                <anchor moveWithCells="1">
                  <from>
                    <xdr:col>5</xdr:col>
                    <xdr:colOff>393700</xdr:colOff>
                    <xdr:row>121</xdr:row>
                    <xdr:rowOff>12700</xdr:rowOff>
                  </from>
                  <to>
                    <xdr:col>5</xdr:col>
                    <xdr:colOff>1085850</xdr:colOff>
                    <xdr:row>121</xdr:row>
                    <xdr:rowOff>190500</xdr:rowOff>
                  </to>
                </anchor>
              </controlPr>
            </control>
          </mc:Choice>
        </mc:AlternateContent>
        <mc:AlternateContent xmlns:mc="http://schemas.openxmlformats.org/markup-compatibility/2006">
          <mc:Choice Requires="x14">
            <control shapeId="2606698" r:id="rId117" name="Drop Down 3690">
              <controlPr defaultSize="0" autoLine="0" autoPict="0">
                <anchor moveWithCells="1">
                  <from>
                    <xdr:col>7</xdr:col>
                    <xdr:colOff>393700</xdr:colOff>
                    <xdr:row>121</xdr:row>
                    <xdr:rowOff>6350</xdr:rowOff>
                  </from>
                  <to>
                    <xdr:col>7</xdr:col>
                    <xdr:colOff>1085850</xdr:colOff>
                    <xdr:row>121</xdr:row>
                    <xdr:rowOff>190500</xdr:rowOff>
                  </to>
                </anchor>
              </controlPr>
            </control>
          </mc:Choice>
        </mc:AlternateContent>
        <mc:AlternateContent xmlns:mc="http://schemas.openxmlformats.org/markup-compatibility/2006">
          <mc:Choice Requires="x14">
            <control shapeId="2606699" r:id="rId118" name="Drop Down 3691">
              <controlPr defaultSize="0" autoLine="0" autoPict="0">
                <anchor moveWithCells="1">
                  <from>
                    <xdr:col>3</xdr:col>
                    <xdr:colOff>400050</xdr:colOff>
                    <xdr:row>122</xdr:row>
                    <xdr:rowOff>0</xdr:rowOff>
                  </from>
                  <to>
                    <xdr:col>3</xdr:col>
                    <xdr:colOff>1085850</xdr:colOff>
                    <xdr:row>123</xdr:row>
                    <xdr:rowOff>12700</xdr:rowOff>
                  </to>
                </anchor>
              </controlPr>
            </control>
          </mc:Choice>
        </mc:AlternateContent>
        <mc:AlternateContent xmlns:mc="http://schemas.openxmlformats.org/markup-compatibility/2006">
          <mc:Choice Requires="x14">
            <control shapeId="2606700" r:id="rId119" name="Drop Down 3692">
              <controlPr defaultSize="0" autoLine="0" autoPict="0">
                <anchor moveWithCells="1">
                  <from>
                    <xdr:col>5</xdr:col>
                    <xdr:colOff>393700</xdr:colOff>
                    <xdr:row>122</xdr:row>
                    <xdr:rowOff>12700</xdr:rowOff>
                  </from>
                  <to>
                    <xdr:col>5</xdr:col>
                    <xdr:colOff>1085850</xdr:colOff>
                    <xdr:row>123</xdr:row>
                    <xdr:rowOff>31750</xdr:rowOff>
                  </to>
                </anchor>
              </controlPr>
            </control>
          </mc:Choice>
        </mc:AlternateContent>
        <mc:AlternateContent xmlns:mc="http://schemas.openxmlformats.org/markup-compatibility/2006">
          <mc:Choice Requires="x14">
            <control shapeId="2606701" r:id="rId120" name="Drop Down 3693">
              <controlPr defaultSize="0" autoLine="0" autoPict="0">
                <anchor moveWithCells="1">
                  <from>
                    <xdr:col>7</xdr:col>
                    <xdr:colOff>393700</xdr:colOff>
                    <xdr:row>122</xdr:row>
                    <xdr:rowOff>6350</xdr:rowOff>
                  </from>
                  <to>
                    <xdr:col>7</xdr:col>
                    <xdr:colOff>1085850</xdr:colOff>
                    <xdr:row>123</xdr:row>
                    <xdr:rowOff>31750</xdr:rowOff>
                  </to>
                </anchor>
              </controlPr>
            </control>
          </mc:Choice>
        </mc:AlternateContent>
        <mc:AlternateContent xmlns:mc="http://schemas.openxmlformats.org/markup-compatibility/2006">
          <mc:Choice Requires="x14">
            <control shapeId="2606702" r:id="rId121" name="Drop Down 3694">
              <controlPr defaultSize="0" autoLine="0" autoPict="0">
                <anchor moveWithCells="1">
                  <from>
                    <xdr:col>3</xdr:col>
                    <xdr:colOff>400050</xdr:colOff>
                    <xdr:row>124</xdr:row>
                    <xdr:rowOff>0</xdr:rowOff>
                  </from>
                  <to>
                    <xdr:col>3</xdr:col>
                    <xdr:colOff>1085850</xdr:colOff>
                    <xdr:row>124</xdr:row>
                    <xdr:rowOff>165100</xdr:rowOff>
                  </to>
                </anchor>
              </controlPr>
            </control>
          </mc:Choice>
        </mc:AlternateContent>
        <mc:AlternateContent xmlns:mc="http://schemas.openxmlformats.org/markup-compatibility/2006">
          <mc:Choice Requires="x14">
            <control shapeId="2606703" r:id="rId122" name="Drop Down 3695">
              <controlPr defaultSize="0" autoLine="0" autoPict="0">
                <anchor moveWithCells="1">
                  <from>
                    <xdr:col>5</xdr:col>
                    <xdr:colOff>393700</xdr:colOff>
                    <xdr:row>124</xdr:row>
                    <xdr:rowOff>12700</xdr:rowOff>
                  </from>
                  <to>
                    <xdr:col>5</xdr:col>
                    <xdr:colOff>1085850</xdr:colOff>
                    <xdr:row>124</xdr:row>
                    <xdr:rowOff>190500</xdr:rowOff>
                  </to>
                </anchor>
              </controlPr>
            </control>
          </mc:Choice>
        </mc:AlternateContent>
        <mc:AlternateContent xmlns:mc="http://schemas.openxmlformats.org/markup-compatibility/2006">
          <mc:Choice Requires="x14">
            <control shapeId="2606704" r:id="rId123" name="Drop Down 3696">
              <controlPr defaultSize="0" autoLine="0" autoPict="0">
                <anchor moveWithCells="1">
                  <from>
                    <xdr:col>7</xdr:col>
                    <xdr:colOff>393700</xdr:colOff>
                    <xdr:row>124</xdr:row>
                    <xdr:rowOff>6350</xdr:rowOff>
                  </from>
                  <to>
                    <xdr:col>7</xdr:col>
                    <xdr:colOff>1085850</xdr:colOff>
                    <xdr:row>124</xdr:row>
                    <xdr:rowOff>190500</xdr:rowOff>
                  </to>
                </anchor>
              </controlPr>
            </control>
          </mc:Choice>
        </mc:AlternateContent>
        <mc:AlternateContent xmlns:mc="http://schemas.openxmlformats.org/markup-compatibility/2006">
          <mc:Choice Requires="x14">
            <control shapeId="2606705" r:id="rId124" name="Drop Down 3697">
              <controlPr defaultSize="0" autoLine="0" autoPict="0">
                <anchor moveWithCells="1">
                  <from>
                    <xdr:col>3</xdr:col>
                    <xdr:colOff>400050</xdr:colOff>
                    <xdr:row>125</xdr:row>
                    <xdr:rowOff>0</xdr:rowOff>
                  </from>
                  <to>
                    <xdr:col>3</xdr:col>
                    <xdr:colOff>1085850</xdr:colOff>
                    <xdr:row>125</xdr:row>
                    <xdr:rowOff>165100</xdr:rowOff>
                  </to>
                </anchor>
              </controlPr>
            </control>
          </mc:Choice>
        </mc:AlternateContent>
        <mc:AlternateContent xmlns:mc="http://schemas.openxmlformats.org/markup-compatibility/2006">
          <mc:Choice Requires="x14">
            <control shapeId="2606706" r:id="rId125" name="Drop Down 3698">
              <controlPr defaultSize="0" autoLine="0" autoPict="0">
                <anchor moveWithCells="1">
                  <from>
                    <xdr:col>5</xdr:col>
                    <xdr:colOff>393700</xdr:colOff>
                    <xdr:row>125</xdr:row>
                    <xdr:rowOff>12700</xdr:rowOff>
                  </from>
                  <to>
                    <xdr:col>5</xdr:col>
                    <xdr:colOff>1085850</xdr:colOff>
                    <xdr:row>125</xdr:row>
                    <xdr:rowOff>184150</xdr:rowOff>
                  </to>
                </anchor>
              </controlPr>
            </control>
          </mc:Choice>
        </mc:AlternateContent>
        <mc:AlternateContent xmlns:mc="http://schemas.openxmlformats.org/markup-compatibility/2006">
          <mc:Choice Requires="x14">
            <control shapeId="2606707" r:id="rId126" name="Drop Down 3699">
              <controlPr defaultSize="0" autoLine="0" autoPict="0">
                <anchor moveWithCells="1">
                  <from>
                    <xdr:col>7</xdr:col>
                    <xdr:colOff>393700</xdr:colOff>
                    <xdr:row>125</xdr:row>
                    <xdr:rowOff>6350</xdr:rowOff>
                  </from>
                  <to>
                    <xdr:col>7</xdr:col>
                    <xdr:colOff>1085850</xdr:colOff>
                    <xdr:row>125</xdr:row>
                    <xdr:rowOff>184150</xdr:rowOff>
                  </to>
                </anchor>
              </controlPr>
            </control>
          </mc:Choice>
        </mc:AlternateContent>
        <mc:AlternateContent xmlns:mc="http://schemas.openxmlformats.org/markup-compatibility/2006">
          <mc:Choice Requires="x14">
            <control shapeId="2606708" r:id="rId127" name="Drop Down 3700">
              <controlPr defaultSize="0" autoLine="0" autoPict="0">
                <anchor moveWithCells="1">
                  <from>
                    <xdr:col>3</xdr:col>
                    <xdr:colOff>400050</xdr:colOff>
                    <xdr:row>126</xdr:row>
                    <xdr:rowOff>0</xdr:rowOff>
                  </from>
                  <to>
                    <xdr:col>3</xdr:col>
                    <xdr:colOff>1085850</xdr:colOff>
                    <xdr:row>126</xdr:row>
                    <xdr:rowOff>165100</xdr:rowOff>
                  </to>
                </anchor>
              </controlPr>
            </control>
          </mc:Choice>
        </mc:AlternateContent>
        <mc:AlternateContent xmlns:mc="http://schemas.openxmlformats.org/markup-compatibility/2006">
          <mc:Choice Requires="x14">
            <control shapeId="2606709" r:id="rId128" name="Drop Down 3701">
              <controlPr defaultSize="0" autoLine="0" autoPict="0">
                <anchor moveWithCells="1">
                  <from>
                    <xdr:col>5</xdr:col>
                    <xdr:colOff>393700</xdr:colOff>
                    <xdr:row>126</xdr:row>
                    <xdr:rowOff>12700</xdr:rowOff>
                  </from>
                  <to>
                    <xdr:col>5</xdr:col>
                    <xdr:colOff>1085850</xdr:colOff>
                    <xdr:row>126</xdr:row>
                    <xdr:rowOff>184150</xdr:rowOff>
                  </to>
                </anchor>
              </controlPr>
            </control>
          </mc:Choice>
        </mc:AlternateContent>
        <mc:AlternateContent xmlns:mc="http://schemas.openxmlformats.org/markup-compatibility/2006">
          <mc:Choice Requires="x14">
            <control shapeId="2606710" r:id="rId129" name="Drop Down 3702">
              <controlPr defaultSize="0" autoLine="0" autoPict="0">
                <anchor moveWithCells="1">
                  <from>
                    <xdr:col>7</xdr:col>
                    <xdr:colOff>393700</xdr:colOff>
                    <xdr:row>126</xdr:row>
                    <xdr:rowOff>6350</xdr:rowOff>
                  </from>
                  <to>
                    <xdr:col>7</xdr:col>
                    <xdr:colOff>1085850</xdr:colOff>
                    <xdr:row>126</xdr:row>
                    <xdr:rowOff>184150</xdr:rowOff>
                  </to>
                </anchor>
              </controlPr>
            </control>
          </mc:Choice>
        </mc:AlternateContent>
        <mc:AlternateContent xmlns:mc="http://schemas.openxmlformats.org/markup-compatibility/2006">
          <mc:Choice Requires="x14">
            <control shapeId="2606711" r:id="rId130" name="Drop Down 3703">
              <controlPr defaultSize="0" autoLine="0" autoPict="0">
                <anchor moveWithCells="1">
                  <from>
                    <xdr:col>3</xdr:col>
                    <xdr:colOff>400050</xdr:colOff>
                    <xdr:row>156</xdr:row>
                    <xdr:rowOff>0</xdr:rowOff>
                  </from>
                  <to>
                    <xdr:col>3</xdr:col>
                    <xdr:colOff>1085850</xdr:colOff>
                    <xdr:row>157</xdr:row>
                    <xdr:rowOff>0</xdr:rowOff>
                  </to>
                </anchor>
              </controlPr>
            </control>
          </mc:Choice>
        </mc:AlternateContent>
        <mc:AlternateContent xmlns:mc="http://schemas.openxmlformats.org/markup-compatibility/2006">
          <mc:Choice Requires="x14">
            <control shapeId="2606712" r:id="rId131" name="Drop Down 3704">
              <controlPr defaultSize="0" autoLine="0" autoPict="0">
                <anchor moveWithCells="1">
                  <from>
                    <xdr:col>5</xdr:col>
                    <xdr:colOff>393700</xdr:colOff>
                    <xdr:row>156</xdr:row>
                    <xdr:rowOff>12700</xdr:rowOff>
                  </from>
                  <to>
                    <xdr:col>5</xdr:col>
                    <xdr:colOff>1085850</xdr:colOff>
                    <xdr:row>157</xdr:row>
                    <xdr:rowOff>31750</xdr:rowOff>
                  </to>
                </anchor>
              </controlPr>
            </control>
          </mc:Choice>
        </mc:AlternateContent>
        <mc:AlternateContent xmlns:mc="http://schemas.openxmlformats.org/markup-compatibility/2006">
          <mc:Choice Requires="x14">
            <control shapeId="2606713" r:id="rId132" name="Drop Down 3705">
              <controlPr defaultSize="0" autoLine="0" autoPict="0">
                <anchor moveWithCells="1">
                  <from>
                    <xdr:col>7</xdr:col>
                    <xdr:colOff>393700</xdr:colOff>
                    <xdr:row>156</xdr:row>
                    <xdr:rowOff>6350</xdr:rowOff>
                  </from>
                  <to>
                    <xdr:col>7</xdr:col>
                    <xdr:colOff>1085850</xdr:colOff>
                    <xdr:row>157</xdr:row>
                    <xdr:rowOff>31750</xdr:rowOff>
                  </to>
                </anchor>
              </controlPr>
            </control>
          </mc:Choice>
        </mc:AlternateContent>
        <mc:AlternateContent xmlns:mc="http://schemas.openxmlformats.org/markup-compatibility/2006">
          <mc:Choice Requires="x14">
            <control shapeId="2606714" r:id="rId133" name="Drop Down 3706">
              <controlPr defaultSize="0" autoLine="0" autoPict="0">
                <anchor moveWithCells="1">
                  <from>
                    <xdr:col>3</xdr:col>
                    <xdr:colOff>400050</xdr:colOff>
                    <xdr:row>157</xdr:row>
                    <xdr:rowOff>0</xdr:rowOff>
                  </from>
                  <to>
                    <xdr:col>3</xdr:col>
                    <xdr:colOff>1085850</xdr:colOff>
                    <xdr:row>158</xdr:row>
                    <xdr:rowOff>0</xdr:rowOff>
                  </to>
                </anchor>
              </controlPr>
            </control>
          </mc:Choice>
        </mc:AlternateContent>
        <mc:AlternateContent xmlns:mc="http://schemas.openxmlformats.org/markup-compatibility/2006">
          <mc:Choice Requires="x14">
            <control shapeId="2606715" r:id="rId134" name="Drop Down 3707">
              <controlPr defaultSize="0" autoLine="0" autoPict="0">
                <anchor moveWithCells="1">
                  <from>
                    <xdr:col>5</xdr:col>
                    <xdr:colOff>393700</xdr:colOff>
                    <xdr:row>157</xdr:row>
                    <xdr:rowOff>12700</xdr:rowOff>
                  </from>
                  <to>
                    <xdr:col>5</xdr:col>
                    <xdr:colOff>1085850</xdr:colOff>
                    <xdr:row>158</xdr:row>
                    <xdr:rowOff>19050</xdr:rowOff>
                  </to>
                </anchor>
              </controlPr>
            </control>
          </mc:Choice>
        </mc:AlternateContent>
        <mc:AlternateContent xmlns:mc="http://schemas.openxmlformats.org/markup-compatibility/2006">
          <mc:Choice Requires="x14">
            <control shapeId="2606716" r:id="rId135" name="Drop Down 3708">
              <controlPr defaultSize="0" autoLine="0" autoPict="0">
                <anchor moveWithCells="1">
                  <from>
                    <xdr:col>7</xdr:col>
                    <xdr:colOff>393700</xdr:colOff>
                    <xdr:row>157</xdr:row>
                    <xdr:rowOff>6350</xdr:rowOff>
                  </from>
                  <to>
                    <xdr:col>7</xdr:col>
                    <xdr:colOff>1085850</xdr:colOff>
                    <xdr:row>158</xdr:row>
                    <xdr:rowOff>19050</xdr:rowOff>
                  </to>
                </anchor>
              </controlPr>
            </control>
          </mc:Choice>
        </mc:AlternateContent>
        <mc:AlternateContent xmlns:mc="http://schemas.openxmlformats.org/markup-compatibility/2006">
          <mc:Choice Requires="x14">
            <control shapeId="2606717" r:id="rId136" name="Drop Down 3709">
              <controlPr defaultSize="0" autoLine="0" autoPict="0">
                <anchor moveWithCells="1">
                  <from>
                    <xdr:col>3</xdr:col>
                    <xdr:colOff>400050</xdr:colOff>
                    <xdr:row>159</xdr:row>
                    <xdr:rowOff>0</xdr:rowOff>
                  </from>
                  <to>
                    <xdr:col>3</xdr:col>
                    <xdr:colOff>1085850</xdr:colOff>
                    <xdr:row>160</xdr:row>
                    <xdr:rowOff>0</xdr:rowOff>
                  </to>
                </anchor>
              </controlPr>
            </control>
          </mc:Choice>
        </mc:AlternateContent>
        <mc:AlternateContent xmlns:mc="http://schemas.openxmlformats.org/markup-compatibility/2006">
          <mc:Choice Requires="x14">
            <control shapeId="2606718" r:id="rId137" name="Drop Down 3710">
              <controlPr defaultSize="0" autoLine="0" autoPict="0">
                <anchor moveWithCells="1">
                  <from>
                    <xdr:col>5</xdr:col>
                    <xdr:colOff>393700</xdr:colOff>
                    <xdr:row>159</xdr:row>
                    <xdr:rowOff>12700</xdr:rowOff>
                  </from>
                  <to>
                    <xdr:col>5</xdr:col>
                    <xdr:colOff>1085850</xdr:colOff>
                    <xdr:row>160</xdr:row>
                    <xdr:rowOff>31750</xdr:rowOff>
                  </to>
                </anchor>
              </controlPr>
            </control>
          </mc:Choice>
        </mc:AlternateContent>
        <mc:AlternateContent xmlns:mc="http://schemas.openxmlformats.org/markup-compatibility/2006">
          <mc:Choice Requires="x14">
            <control shapeId="2606719" r:id="rId138" name="Drop Down 3711">
              <controlPr defaultSize="0" autoLine="0" autoPict="0">
                <anchor moveWithCells="1">
                  <from>
                    <xdr:col>7</xdr:col>
                    <xdr:colOff>393700</xdr:colOff>
                    <xdr:row>159</xdr:row>
                    <xdr:rowOff>6350</xdr:rowOff>
                  </from>
                  <to>
                    <xdr:col>7</xdr:col>
                    <xdr:colOff>1085850</xdr:colOff>
                    <xdr:row>160</xdr:row>
                    <xdr:rowOff>31750</xdr:rowOff>
                  </to>
                </anchor>
              </controlPr>
            </control>
          </mc:Choice>
        </mc:AlternateContent>
        <mc:AlternateContent xmlns:mc="http://schemas.openxmlformats.org/markup-compatibility/2006">
          <mc:Choice Requires="x14">
            <control shapeId="2606720" r:id="rId139" name="Drop Down 3712">
              <controlPr defaultSize="0" autoLine="0" autoPict="0">
                <anchor moveWithCells="1">
                  <from>
                    <xdr:col>3</xdr:col>
                    <xdr:colOff>400050</xdr:colOff>
                    <xdr:row>160</xdr:row>
                    <xdr:rowOff>0</xdr:rowOff>
                  </from>
                  <to>
                    <xdr:col>3</xdr:col>
                    <xdr:colOff>1085850</xdr:colOff>
                    <xdr:row>160</xdr:row>
                    <xdr:rowOff>165100</xdr:rowOff>
                  </to>
                </anchor>
              </controlPr>
            </control>
          </mc:Choice>
        </mc:AlternateContent>
        <mc:AlternateContent xmlns:mc="http://schemas.openxmlformats.org/markup-compatibility/2006">
          <mc:Choice Requires="x14">
            <control shapeId="2606721" r:id="rId140" name="Drop Down 3713">
              <controlPr defaultSize="0" autoLine="0" autoPict="0">
                <anchor moveWithCells="1">
                  <from>
                    <xdr:col>5</xdr:col>
                    <xdr:colOff>393700</xdr:colOff>
                    <xdr:row>160</xdr:row>
                    <xdr:rowOff>12700</xdr:rowOff>
                  </from>
                  <to>
                    <xdr:col>5</xdr:col>
                    <xdr:colOff>1085850</xdr:colOff>
                    <xdr:row>161</xdr:row>
                    <xdr:rowOff>12700</xdr:rowOff>
                  </to>
                </anchor>
              </controlPr>
            </control>
          </mc:Choice>
        </mc:AlternateContent>
        <mc:AlternateContent xmlns:mc="http://schemas.openxmlformats.org/markup-compatibility/2006">
          <mc:Choice Requires="x14">
            <control shapeId="2606722" r:id="rId141" name="Drop Down 3714">
              <controlPr defaultSize="0" autoLine="0" autoPict="0">
                <anchor moveWithCells="1">
                  <from>
                    <xdr:col>7</xdr:col>
                    <xdr:colOff>393700</xdr:colOff>
                    <xdr:row>160</xdr:row>
                    <xdr:rowOff>6350</xdr:rowOff>
                  </from>
                  <to>
                    <xdr:col>7</xdr:col>
                    <xdr:colOff>1085850</xdr:colOff>
                    <xdr:row>161</xdr:row>
                    <xdr:rowOff>12700</xdr:rowOff>
                  </to>
                </anchor>
              </controlPr>
            </control>
          </mc:Choice>
        </mc:AlternateContent>
        <mc:AlternateContent xmlns:mc="http://schemas.openxmlformats.org/markup-compatibility/2006">
          <mc:Choice Requires="x14">
            <control shapeId="2606723" r:id="rId142" name="Drop Down 3715">
              <controlPr defaultSize="0" autoLine="0" autoPict="0">
                <anchor moveWithCells="1">
                  <from>
                    <xdr:col>3</xdr:col>
                    <xdr:colOff>400050</xdr:colOff>
                    <xdr:row>161</xdr:row>
                    <xdr:rowOff>0</xdr:rowOff>
                  </from>
                  <to>
                    <xdr:col>3</xdr:col>
                    <xdr:colOff>1085850</xdr:colOff>
                    <xdr:row>161</xdr:row>
                    <xdr:rowOff>165100</xdr:rowOff>
                  </to>
                </anchor>
              </controlPr>
            </control>
          </mc:Choice>
        </mc:AlternateContent>
        <mc:AlternateContent xmlns:mc="http://schemas.openxmlformats.org/markup-compatibility/2006">
          <mc:Choice Requires="x14">
            <control shapeId="2606724" r:id="rId143" name="Drop Down 3716">
              <controlPr defaultSize="0" autoLine="0" autoPict="0">
                <anchor moveWithCells="1">
                  <from>
                    <xdr:col>5</xdr:col>
                    <xdr:colOff>393700</xdr:colOff>
                    <xdr:row>161</xdr:row>
                    <xdr:rowOff>12700</xdr:rowOff>
                  </from>
                  <to>
                    <xdr:col>5</xdr:col>
                    <xdr:colOff>1085850</xdr:colOff>
                    <xdr:row>162</xdr:row>
                    <xdr:rowOff>12700</xdr:rowOff>
                  </to>
                </anchor>
              </controlPr>
            </control>
          </mc:Choice>
        </mc:AlternateContent>
        <mc:AlternateContent xmlns:mc="http://schemas.openxmlformats.org/markup-compatibility/2006">
          <mc:Choice Requires="x14">
            <control shapeId="2606725" r:id="rId144" name="Drop Down 3717">
              <controlPr defaultSize="0" autoLine="0" autoPict="0">
                <anchor moveWithCells="1">
                  <from>
                    <xdr:col>7</xdr:col>
                    <xdr:colOff>393700</xdr:colOff>
                    <xdr:row>161</xdr:row>
                    <xdr:rowOff>6350</xdr:rowOff>
                  </from>
                  <to>
                    <xdr:col>7</xdr:col>
                    <xdr:colOff>1085850</xdr:colOff>
                    <xdr:row>162</xdr:row>
                    <xdr:rowOff>12700</xdr:rowOff>
                  </to>
                </anchor>
              </controlPr>
            </control>
          </mc:Choice>
        </mc:AlternateContent>
        <mc:AlternateContent xmlns:mc="http://schemas.openxmlformats.org/markup-compatibility/2006">
          <mc:Choice Requires="x14">
            <control shapeId="2606731" r:id="rId145" name="Drop Down 3723">
              <controlPr defaultSize="0" autoLine="0" autoPict="0">
                <anchor moveWithCells="1">
                  <from>
                    <xdr:col>3</xdr:col>
                    <xdr:colOff>400050</xdr:colOff>
                    <xdr:row>191</xdr:row>
                    <xdr:rowOff>0</xdr:rowOff>
                  </from>
                  <to>
                    <xdr:col>3</xdr:col>
                    <xdr:colOff>1085850</xdr:colOff>
                    <xdr:row>192</xdr:row>
                    <xdr:rowOff>12700</xdr:rowOff>
                  </to>
                </anchor>
              </controlPr>
            </control>
          </mc:Choice>
        </mc:AlternateContent>
        <mc:AlternateContent xmlns:mc="http://schemas.openxmlformats.org/markup-compatibility/2006">
          <mc:Choice Requires="x14">
            <control shapeId="2606732" r:id="rId146" name="Drop Down 3724">
              <controlPr defaultSize="0" autoLine="0" autoPict="0">
                <anchor moveWithCells="1">
                  <from>
                    <xdr:col>5</xdr:col>
                    <xdr:colOff>393700</xdr:colOff>
                    <xdr:row>191</xdr:row>
                    <xdr:rowOff>12700</xdr:rowOff>
                  </from>
                  <to>
                    <xdr:col>5</xdr:col>
                    <xdr:colOff>1085850</xdr:colOff>
                    <xdr:row>192</xdr:row>
                    <xdr:rowOff>12700</xdr:rowOff>
                  </to>
                </anchor>
              </controlPr>
            </control>
          </mc:Choice>
        </mc:AlternateContent>
        <mc:AlternateContent xmlns:mc="http://schemas.openxmlformats.org/markup-compatibility/2006">
          <mc:Choice Requires="x14">
            <control shapeId="2606733" r:id="rId147" name="Drop Down 3725">
              <controlPr defaultSize="0" autoLine="0" autoPict="0">
                <anchor moveWithCells="1">
                  <from>
                    <xdr:col>7</xdr:col>
                    <xdr:colOff>393700</xdr:colOff>
                    <xdr:row>191</xdr:row>
                    <xdr:rowOff>6350</xdr:rowOff>
                  </from>
                  <to>
                    <xdr:col>7</xdr:col>
                    <xdr:colOff>1085850</xdr:colOff>
                    <xdr:row>192</xdr:row>
                    <xdr:rowOff>12700</xdr:rowOff>
                  </to>
                </anchor>
              </controlPr>
            </control>
          </mc:Choice>
        </mc:AlternateContent>
        <mc:AlternateContent xmlns:mc="http://schemas.openxmlformats.org/markup-compatibility/2006">
          <mc:Choice Requires="x14">
            <control shapeId="2606734" r:id="rId148" name="Drop Down 3726">
              <controlPr defaultSize="0" autoLine="0" autoPict="0">
                <anchor moveWithCells="1">
                  <from>
                    <xdr:col>3</xdr:col>
                    <xdr:colOff>400050</xdr:colOff>
                    <xdr:row>192</xdr:row>
                    <xdr:rowOff>0</xdr:rowOff>
                  </from>
                  <to>
                    <xdr:col>3</xdr:col>
                    <xdr:colOff>1085850</xdr:colOff>
                    <xdr:row>193</xdr:row>
                    <xdr:rowOff>12700</xdr:rowOff>
                  </to>
                </anchor>
              </controlPr>
            </control>
          </mc:Choice>
        </mc:AlternateContent>
        <mc:AlternateContent xmlns:mc="http://schemas.openxmlformats.org/markup-compatibility/2006">
          <mc:Choice Requires="x14">
            <control shapeId="2606735" r:id="rId149" name="Drop Down 3727">
              <controlPr defaultSize="0" autoLine="0" autoPict="0">
                <anchor moveWithCells="1">
                  <from>
                    <xdr:col>5</xdr:col>
                    <xdr:colOff>393700</xdr:colOff>
                    <xdr:row>192</xdr:row>
                    <xdr:rowOff>12700</xdr:rowOff>
                  </from>
                  <to>
                    <xdr:col>5</xdr:col>
                    <xdr:colOff>1085850</xdr:colOff>
                    <xdr:row>193</xdr:row>
                    <xdr:rowOff>12700</xdr:rowOff>
                  </to>
                </anchor>
              </controlPr>
            </control>
          </mc:Choice>
        </mc:AlternateContent>
        <mc:AlternateContent xmlns:mc="http://schemas.openxmlformats.org/markup-compatibility/2006">
          <mc:Choice Requires="x14">
            <control shapeId="2606736" r:id="rId150" name="Drop Down 3728">
              <controlPr defaultSize="0" autoLine="0" autoPict="0">
                <anchor moveWithCells="1">
                  <from>
                    <xdr:col>7</xdr:col>
                    <xdr:colOff>393700</xdr:colOff>
                    <xdr:row>192</xdr:row>
                    <xdr:rowOff>6350</xdr:rowOff>
                  </from>
                  <to>
                    <xdr:col>7</xdr:col>
                    <xdr:colOff>1085850</xdr:colOff>
                    <xdr:row>193</xdr:row>
                    <xdr:rowOff>12700</xdr:rowOff>
                  </to>
                </anchor>
              </controlPr>
            </control>
          </mc:Choice>
        </mc:AlternateContent>
        <mc:AlternateContent xmlns:mc="http://schemas.openxmlformats.org/markup-compatibility/2006">
          <mc:Choice Requires="x14">
            <control shapeId="2606737" r:id="rId151" name="Drop Down 3729">
              <controlPr defaultSize="0" autoLine="0" autoPict="0">
                <anchor moveWithCells="1">
                  <from>
                    <xdr:col>3</xdr:col>
                    <xdr:colOff>400050</xdr:colOff>
                    <xdr:row>194</xdr:row>
                    <xdr:rowOff>0</xdr:rowOff>
                  </from>
                  <to>
                    <xdr:col>3</xdr:col>
                    <xdr:colOff>1085850</xdr:colOff>
                    <xdr:row>195</xdr:row>
                    <xdr:rowOff>12700</xdr:rowOff>
                  </to>
                </anchor>
              </controlPr>
            </control>
          </mc:Choice>
        </mc:AlternateContent>
        <mc:AlternateContent xmlns:mc="http://schemas.openxmlformats.org/markup-compatibility/2006">
          <mc:Choice Requires="x14">
            <control shapeId="2606738" r:id="rId152" name="Drop Down 3730">
              <controlPr defaultSize="0" autoLine="0" autoPict="0">
                <anchor moveWithCells="1">
                  <from>
                    <xdr:col>5</xdr:col>
                    <xdr:colOff>393700</xdr:colOff>
                    <xdr:row>194</xdr:row>
                    <xdr:rowOff>12700</xdr:rowOff>
                  </from>
                  <to>
                    <xdr:col>5</xdr:col>
                    <xdr:colOff>1085850</xdr:colOff>
                    <xdr:row>195</xdr:row>
                    <xdr:rowOff>12700</xdr:rowOff>
                  </to>
                </anchor>
              </controlPr>
            </control>
          </mc:Choice>
        </mc:AlternateContent>
        <mc:AlternateContent xmlns:mc="http://schemas.openxmlformats.org/markup-compatibility/2006">
          <mc:Choice Requires="x14">
            <control shapeId="2606739" r:id="rId153" name="Drop Down 3731">
              <controlPr defaultSize="0" autoLine="0" autoPict="0">
                <anchor moveWithCells="1">
                  <from>
                    <xdr:col>7</xdr:col>
                    <xdr:colOff>393700</xdr:colOff>
                    <xdr:row>194</xdr:row>
                    <xdr:rowOff>6350</xdr:rowOff>
                  </from>
                  <to>
                    <xdr:col>7</xdr:col>
                    <xdr:colOff>1085850</xdr:colOff>
                    <xdr:row>195</xdr:row>
                    <xdr:rowOff>12700</xdr:rowOff>
                  </to>
                </anchor>
              </controlPr>
            </control>
          </mc:Choice>
        </mc:AlternateContent>
        <mc:AlternateContent xmlns:mc="http://schemas.openxmlformats.org/markup-compatibility/2006">
          <mc:Choice Requires="x14">
            <control shapeId="2606740" r:id="rId154" name="Drop Down 3732">
              <controlPr defaultSize="0" autoLine="0" autoPict="0">
                <anchor moveWithCells="1">
                  <from>
                    <xdr:col>3</xdr:col>
                    <xdr:colOff>400050</xdr:colOff>
                    <xdr:row>195</xdr:row>
                    <xdr:rowOff>0</xdr:rowOff>
                  </from>
                  <to>
                    <xdr:col>3</xdr:col>
                    <xdr:colOff>1085850</xdr:colOff>
                    <xdr:row>196</xdr:row>
                    <xdr:rowOff>12700</xdr:rowOff>
                  </to>
                </anchor>
              </controlPr>
            </control>
          </mc:Choice>
        </mc:AlternateContent>
        <mc:AlternateContent xmlns:mc="http://schemas.openxmlformats.org/markup-compatibility/2006">
          <mc:Choice Requires="x14">
            <control shapeId="2606741" r:id="rId155" name="Drop Down 3733">
              <controlPr defaultSize="0" autoLine="0" autoPict="0">
                <anchor moveWithCells="1">
                  <from>
                    <xdr:col>5</xdr:col>
                    <xdr:colOff>393700</xdr:colOff>
                    <xdr:row>195</xdr:row>
                    <xdr:rowOff>12700</xdr:rowOff>
                  </from>
                  <to>
                    <xdr:col>5</xdr:col>
                    <xdr:colOff>1085850</xdr:colOff>
                    <xdr:row>196</xdr:row>
                    <xdr:rowOff>12700</xdr:rowOff>
                  </to>
                </anchor>
              </controlPr>
            </control>
          </mc:Choice>
        </mc:AlternateContent>
        <mc:AlternateContent xmlns:mc="http://schemas.openxmlformats.org/markup-compatibility/2006">
          <mc:Choice Requires="x14">
            <control shapeId="2606742" r:id="rId156" name="Drop Down 3734">
              <controlPr defaultSize="0" autoLine="0" autoPict="0">
                <anchor moveWithCells="1">
                  <from>
                    <xdr:col>7</xdr:col>
                    <xdr:colOff>393700</xdr:colOff>
                    <xdr:row>195</xdr:row>
                    <xdr:rowOff>6350</xdr:rowOff>
                  </from>
                  <to>
                    <xdr:col>7</xdr:col>
                    <xdr:colOff>1085850</xdr:colOff>
                    <xdr:row>196</xdr:row>
                    <xdr:rowOff>12700</xdr:rowOff>
                  </to>
                </anchor>
              </controlPr>
            </control>
          </mc:Choice>
        </mc:AlternateContent>
        <mc:AlternateContent xmlns:mc="http://schemas.openxmlformats.org/markup-compatibility/2006">
          <mc:Choice Requires="x14">
            <control shapeId="2606743" r:id="rId157" name="Drop Down 3735">
              <controlPr defaultSize="0" autoLine="0" autoPict="0">
                <anchor moveWithCells="1">
                  <from>
                    <xdr:col>3</xdr:col>
                    <xdr:colOff>400050</xdr:colOff>
                    <xdr:row>196</xdr:row>
                    <xdr:rowOff>0</xdr:rowOff>
                  </from>
                  <to>
                    <xdr:col>3</xdr:col>
                    <xdr:colOff>1085850</xdr:colOff>
                    <xdr:row>197</xdr:row>
                    <xdr:rowOff>12700</xdr:rowOff>
                  </to>
                </anchor>
              </controlPr>
            </control>
          </mc:Choice>
        </mc:AlternateContent>
        <mc:AlternateContent xmlns:mc="http://schemas.openxmlformats.org/markup-compatibility/2006">
          <mc:Choice Requires="x14">
            <control shapeId="2606744" r:id="rId158" name="Drop Down 3736">
              <controlPr defaultSize="0" autoLine="0" autoPict="0">
                <anchor moveWithCells="1">
                  <from>
                    <xdr:col>5</xdr:col>
                    <xdr:colOff>393700</xdr:colOff>
                    <xdr:row>196</xdr:row>
                    <xdr:rowOff>12700</xdr:rowOff>
                  </from>
                  <to>
                    <xdr:col>5</xdr:col>
                    <xdr:colOff>1085850</xdr:colOff>
                    <xdr:row>197</xdr:row>
                    <xdr:rowOff>12700</xdr:rowOff>
                  </to>
                </anchor>
              </controlPr>
            </control>
          </mc:Choice>
        </mc:AlternateContent>
        <mc:AlternateContent xmlns:mc="http://schemas.openxmlformats.org/markup-compatibility/2006">
          <mc:Choice Requires="x14">
            <control shapeId="2606745" r:id="rId159" name="Drop Down 3737">
              <controlPr defaultSize="0" autoLine="0" autoPict="0">
                <anchor moveWithCells="1">
                  <from>
                    <xdr:col>7</xdr:col>
                    <xdr:colOff>393700</xdr:colOff>
                    <xdr:row>196</xdr:row>
                    <xdr:rowOff>6350</xdr:rowOff>
                  </from>
                  <to>
                    <xdr:col>7</xdr:col>
                    <xdr:colOff>1085850</xdr:colOff>
                    <xdr:row>197</xdr:row>
                    <xdr:rowOff>12700</xdr:rowOff>
                  </to>
                </anchor>
              </controlPr>
            </control>
          </mc:Choice>
        </mc:AlternateContent>
        <mc:AlternateContent xmlns:mc="http://schemas.openxmlformats.org/markup-compatibility/2006">
          <mc:Choice Requires="x14">
            <control shapeId="2606746" r:id="rId160" name="Drop Down 3738">
              <controlPr defaultSize="0" autoLine="0" autoPict="0">
                <anchor moveWithCells="1">
                  <from>
                    <xdr:col>5</xdr:col>
                    <xdr:colOff>393700</xdr:colOff>
                    <xdr:row>52</xdr:row>
                    <xdr:rowOff>12700</xdr:rowOff>
                  </from>
                  <to>
                    <xdr:col>5</xdr:col>
                    <xdr:colOff>1085850</xdr:colOff>
                    <xdr:row>53</xdr:row>
                    <xdr:rowOff>12700</xdr:rowOff>
                  </to>
                </anchor>
              </controlPr>
            </control>
          </mc:Choice>
        </mc:AlternateContent>
        <mc:AlternateContent xmlns:mc="http://schemas.openxmlformats.org/markup-compatibility/2006">
          <mc:Choice Requires="x14">
            <control shapeId="2606747" r:id="rId161" name="Drop Down 3739">
              <controlPr defaultSize="0" autoLine="0" autoPict="0">
                <anchor moveWithCells="1">
                  <from>
                    <xdr:col>7</xdr:col>
                    <xdr:colOff>393700</xdr:colOff>
                    <xdr:row>52</xdr:row>
                    <xdr:rowOff>6350</xdr:rowOff>
                  </from>
                  <to>
                    <xdr:col>7</xdr:col>
                    <xdr:colOff>1085850</xdr:colOff>
                    <xdr:row>53</xdr:row>
                    <xdr:rowOff>12700</xdr:rowOff>
                  </to>
                </anchor>
              </controlPr>
            </control>
          </mc:Choice>
        </mc:AlternateContent>
        <mc:AlternateContent xmlns:mc="http://schemas.openxmlformats.org/markup-compatibility/2006">
          <mc:Choice Requires="x14">
            <control shapeId="2606748" r:id="rId162" name="Drop Down 3740">
              <controlPr defaultSize="0" autoLine="0" autoPict="0">
                <anchor moveWithCells="1">
                  <from>
                    <xdr:col>3</xdr:col>
                    <xdr:colOff>406400</xdr:colOff>
                    <xdr:row>53</xdr:row>
                    <xdr:rowOff>0</xdr:rowOff>
                  </from>
                  <to>
                    <xdr:col>3</xdr:col>
                    <xdr:colOff>1098550</xdr:colOff>
                    <xdr:row>54</xdr:row>
                    <xdr:rowOff>0</xdr:rowOff>
                  </to>
                </anchor>
              </controlPr>
            </control>
          </mc:Choice>
        </mc:AlternateContent>
        <mc:AlternateContent xmlns:mc="http://schemas.openxmlformats.org/markup-compatibility/2006">
          <mc:Choice Requires="x14">
            <control shapeId="2606749" r:id="rId163" name="Drop Down 3741">
              <controlPr defaultSize="0" autoLine="0" autoPict="0">
                <anchor moveWithCells="1">
                  <from>
                    <xdr:col>5</xdr:col>
                    <xdr:colOff>393700</xdr:colOff>
                    <xdr:row>53</xdr:row>
                    <xdr:rowOff>12700</xdr:rowOff>
                  </from>
                  <to>
                    <xdr:col>5</xdr:col>
                    <xdr:colOff>1085850</xdr:colOff>
                    <xdr:row>54</xdr:row>
                    <xdr:rowOff>12700</xdr:rowOff>
                  </to>
                </anchor>
              </controlPr>
            </control>
          </mc:Choice>
        </mc:AlternateContent>
        <mc:AlternateContent xmlns:mc="http://schemas.openxmlformats.org/markup-compatibility/2006">
          <mc:Choice Requires="x14">
            <control shapeId="2606750" r:id="rId164" name="Drop Down 3742">
              <controlPr defaultSize="0" autoLine="0" autoPict="0">
                <anchor moveWithCells="1">
                  <from>
                    <xdr:col>7</xdr:col>
                    <xdr:colOff>393700</xdr:colOff>
                    <xdr:row>53</xdr:row>
                    <xdr:rowOff>12700</xdr:rowOff>
                  </from>
                  <to>
                    <xdr:col>7</xdr:col>
                    <xdr:colOff>1085850</xdr:colOff>
                    <xdr:row>54</xdr:row>
                    <xdr:rowOff>12700</xdr:rowOff>
                  </to>
                </anchor>
              </controlPr>
            </control>
          </mc:Choice>
        </mc:AlternateContent>
        <mc:AlternateContent xmlns:mc="http://schemas.openxmlformats.org/markup-compatibility/2006">
          <mc:Choice Requires="x14">
            <control shapeId="2606751" r:id="rId165" name="Drop Down 3743">
              <controlPr defaultSize="0" autoLine="0" autoPict="0">
                <anchor moveWithCells="1">
                  <from>
                    <xdr:col>3</xdr:col>
                    <xdr:colOff>400050</xdr:colOff>
                    <xdr:row>87</xdr:row>
                    <xdr:rowOff>0</xdr:rowOff>
                  </from>
                  <to>
                    <xdr:col>3</xdr:col>
                    <xdr:colOff>1085850</xdr:colOff>
                    <xdr:row>88</xdr:row>
                    <xdr:rowOff>0</xdr:rowOff>
                  </to>
                </anchor>
              </controlPr>
            </control>
          </mc:Choice>
        </mc:AlternateContent>
        <mc:AlternateContent xmlns:mc="http://schemas.openxmlformats.org/markup-compatibility/2006">
          <mc:Choice Requires="x14">
            <control shapeId="2606752" r:id="rId166" name="Drop Down 3744">
              <controlPr defaultSize="0" autoLine="0" autoPict="0">
                <anchor moveWithCells="1">
                  <from>
                    <xdr:col>5</xdr:col>
                    <xdr:colOff>393700</xdr:colOff>
                    <xdr:row>87</xdr:row>
                    <xdr:rowOff>12700</xdr:rowOff>
                  </from>
                  <to>
                    <xdr:col>5</xdr:col>
                    <xdr:colOff>1085850</xdr:colOff>
                    <xdr:row>88</xdr:row>
                    <xdr:rowOff>19050</xdr:rowOff>
                  </to>
                </anchor>
              </controlPr>
            </control>
          </mc:Choice>
        </mc:AlternateContent>
        <mc:AlternateContent xmlns:mc="http://schemas.openxmlformats.org/markup-compatibility/2006">
          <mc:Choice Requires="x14">
            <control shapeId="2606753" r:id="rId167" name="Drop Down 3745">
              <controlPr defaultSize="0" autoLine="0" autoPict="0">
                <anchor moveWithCells="1">
                  <from>
                    <xdr:col>7</xdr:col>
                    <xdr:colOff>393700</xdr:colOff>
                    <xdr:row>87</xdr:row>
                    <xdr:rowOff>6350</xdr:rowOff>
                  </from>
                  <to>
                    <xdr:col>7</xdr:col>
                    <xdr:colOff>1085850</xdr:colOff>
                    <xdr:row>88</xdr:row>
                    <xdr:rowOff>19050</xdr:rowOff>
                  </to>
                </anchor>
              </controlPr>
            </control>
          </mc:Choice>
        </mc:AlternateContent>
        <mc:AlternateContent xmlns:mc="http://schemas.openxmlformats.org/markup-compatibility/2006">
          <mc:Choice Requires="x14">
            <control shapeId="2606754" r:id="rId168" name="Drop Down 3746">
              <controlPr defaultSize="0" autoLine="0" autoPict="0">
                <anchor moveWithCells="1">
                  <from>
                    <xdr:col>3</xdr:col>
                    <xdr:colOff>400050</xdr:colOff>
                    <xdr:row>88</xdr:row>
                    <xdr:rowOff>0</xdr:rowOff>
                  </from>
                  <to>
                    <xdr:col>3</xdr:col>
                    <xdr:colOff>1085850</xdr:colOff>
                    <xdr:row>89</xdr:row>
                    <xdr:rowOff>0</xdr:rowOff>
                  </to>
                </anchor>
              </controlPr>
            </control>
          </mc:Choice>
        </mc:AlternateContent>
        <mc:AlternateContent xmlns:mc="http://schemas.openxmlformats.org/markup-compatibility/2006">
          <mc:Choice Requires="x14">
            <control shapeId="2606755" r:id="rId169" name="Drop Down 3747">
              <controlPr defaultSize="0" autoLine="0" autoPict="0">
                <anchor moveWithCells="1">
                  <from>
                    <xdr:col>5</xdr:col>
                    <xdr:colOff>393700</xdr:colOff>
                    <xdr:row>88</xdr:row>
                    <xdr:rowOff>12700</xdr:rowOff>
                  </from>
                  <to>
                    <xdr:col>5</xdr:col>
                    <xdr:colOff>1085850</xdr:colOff>
                    <xdr:row>89</xdr:row>
                    <xdr:rowOff>19050</xdr:rowOff>
                  </to>
                </anchor>
              </controlPr>
            </control>
          </mc:Choice>
        </mc:AlternateContent>
        <mc:AlternateContent xmlns:mc="http://schemas.openxmlformats.org/markup-compatibility/2006">
          <mc:Choice Requires="x14">
            <control shapeId="2606756" r:id="rId170" name="Drop Down 3748">
              <controlPr defaultSize="0" autoLine="0" autoPict="0">
                <anchor moveWithCells="1">
                  <from>
                    <xdr:col>7</xdr:col>
                    <xdr:colOff>393700</xdr:colOff>
                    <xdr:row>88</xdr:row>
                    <xdr:rowOff>6350</xdr:rowOff>
                  </from>
                  <to>
                    <xdr:col>7</xdr:col>
                    <xdr:colOff>1085850</xdr:colOff>
                    <xdr:row>89</xdr:row>
                    <xdr:rowOff>19050</xdr:rowOff>
                  </to>
                </anchor>
              </controlPr>
            </control>
          </mc:Choice>
        </mc:AlternateContent>
        <mc:AlternateContent xmlns:mc="http://schemas.openxmlformats.org/markup-compatibility/2006">
          <mc:Choice Requires="x14">
            <control shapeId="2606757" r:id="rId171" name="Drop Down 3749">
              <controlPr defaultSize="0" autoLine="0" autoPict="0">
                <anchor moveWithCells="1">
                  <from>
                    <xdr:col>3</xdr:col>
                    <xdr:colOff>400050</xdr:colOff>
                    <xdr:row>122</xdr:row>
                    <xdr:rowOff>0</xdr:rowOff>
                  </from>
                  <to>
                    <xdr:col>3</xdr:col>
                    <xdr:colOff>1085850</xdr:colOff>
                    <xdr:row>123</xdr:row>
                    <xdr:rowOff>12700</xdr:rowOff>
                  </to>
                </anchor>
              </controlPr>
            </control>
          </mc:Choice>
        </mc:AlternateContent>
        <mc:AlternateContent xmlns:mc="http://schemas.openxmlformats.org/markup-compatibility/2006">
          <mc:Choice Requires="x14">
            <control shapeId="2606758" r:id="rId172" name="Drop Down 3750">
              <controlPr defaultSize="0" autoLine="0" autoPict="0">
                <anchor moveWithCells="1">
                  <from>
                    <xdr:col>5</xdr:col>
                    <xdr:colOff>393700</xdr:colOff>
                    <xdr:row>122</xdr:row>
                    <xdr:rowOff>12700</xdr:rowOff>
                  </from>
                  <to>
                    <xdr:col>5</xdr:col>
                    <xdr:colOff>1085850</xdr:colOff>
                    <xdr:row>123</xdr:row>
                    <xdr:rowOff>31750</xdr:rowOff>
                  </to>
                </anchor>
              </controlPr>
            </control>
          </mc:Choice>
        </mc:AlternateContent>
        <mc:AlternateContent xmlns:mc="http://schemas.openxmlformats.org/markup-compatibility/2006">
          <mc:Choice Requires="x14">
            <control shapeId="2606759" r:id="rId173" name="Drop Down 3751">
              <controlPr defaultSize="0" autoLine="0" autoPict="0">
                <anchor moveWithCells="1">
                  <from>
                    <xdr:col>7</xdr:col>
                    <xdr:colOff>393700</xdr:colOff>
                    <xdr:row>122</xdr:row>
                    <xdr:rowOff>6350</xdr:rowOff>
                  </from>
                  <to>
                    <xdr:col>7</xdr:col>
                    <xdr:colOff>1085850</xdr:colOff>
                    <xdr:row>123</xdr:row>
                    <xdr:rowOff>31750</xdr:rowOff>
                  </to>
                </anchor>
              </controlPr>
            </control>
          </mc:Choice>
        </mc:AlternateContent>
        <mc:AlternateContent xmlns:mc="http://schemas.openxmlformats.org/markup-compatibility/2006">
          <mc:Choice Requires="x14">
            <control shapeId="2606760" r:id="rId174" name="Drop Down 3752">
              <controlPr defaultSize="0" autoLine="0" autoPict="0">
                <anchor moveWithCells="1">
                  <from>
                    <xdr:col>3</xdr:col>
                    <xdr:colOff>400050</xdr:colOff>
                    <xdr:row>122</xdr:row>
                    <xdr:rowOff>0</xdr:rowOff>
                  </from>
                  <to>
                    <xdr:col>3</xdr:col>
                    <xdr:colOff>1085850</xdr:colOff>
                    <xdr:row>123</xdr:row>
                    <xdr:rowOff>12700</xdr:rowOff>
                  </to>
                </anchor>
              </controlPr>
            </control>
          </mc:Choice>
        </mc:AlternateContent>
        <mc:AlternateContent xmlns:mc="http://schemas.openxmlformats.org/markup-compatibility/2006">
          <mc:Choice Requires="x14">
            <control shapeId="2606761" r:id="rId175" name="Drop Down 3753">
              <controlPr defaultSize="0" autoLine="0" autoPict="0">
                <anchor moveWithCells="1">
                  <from>
                    <xdr:col>5</xdr:col>
                    <xdr:colOff>393700</xdr:colOff>
                    <xdr:row>122</xdr:row>
                    <xdr:rowOff>12700</xdr:rowOff>
                  </from>
                  <to>
                    <xdr:col>5</xdr:col>
                    <xdr:colOff>1085850</xdr:colOff>
                    <xdr:row>123</xdr:row>
                    <xdr:rowOff>31750</xdr:rowOff>
                  </to>
                </anchor>
              </controlPr>
            </control>
          </mc:Choice>
        </mc:AlternateContent>
        <mc:AlternateContent xmlns:mc="http://schemas.openxmlformats.org/markup-compatibility/2006">
          <mc:Choice Requires="x14">
            <control shapeId="2606762" r:id="rId176" name="Drop Down 3754">
              <controlPr defaultSize="0" autoLine="0" autoPict="0">
                <anchor moveWithCells="1">
                  <from>
                    <xdr:col>7</xdr:col>
                    <xdr:colOff>393700</xdr:colOff>
                    <xdr:row>122</xdr:row>
                    <xdr:rowOff>6350</xdr:rowOff>
                  </from>
                  <to>
                    <xdr:col>7</xdr:col>
                    <xdr:colOff>1085850</xdr:colOff>
                    <xdr:row>123</xdr:row>
                    <xdr:rowOff>31750</xdr:rowOff>
                  </to>
                </anchor>
              </controlPr>
            </control>
          </mc:Choice>
        </mc:AlternateContent>
        <mc:AlternateContent xmlns:mc="http://schemas.openxmlformats.org/markup-compatibility/2006">
          <mc:Choice Requires="x14">
            <control shapeId="2606763" r:id="rId177" name="Drop Down 3755">
              <controlPr defaultSize="0" autoLine="0" autoPict="0">
                <anchor moveWithCells="1">
                  <from>
                    <xdr:col>3</xdr:col>
                    <xdr:colOff>400050</xdr:colOff>
                    <xdr:row>123</xdr:row>
                    <xdr:rowOff>0</xdr:rowOff>
                  </from>
                  <to>
                    <xdr:col>3</xdr:col>
                    <xdr:colOff>1085850</xdr:colOff>
                    <xdr:row>124</xdr:row>
                    <xdr:rowOff>12700</xdr:rowOff>
                  </to>
                </anchor>
              </controlPr>
            </control>
          </mc:Choice>
        </mc:AlternateContent>
        <mc:AlternateContent xmlns:mc="http://schemas.openxmlformats.org/markup-compatibility/2006">
          <mc:Choice Requires="x14">
            <control shapeId="2606764" r:id="rId178" name="Drop Down 3756">
              <controlPr defaultSize="0" autoLine="0" autoPict="0">
                <anchor moveWithCells="1">
                  <from>
                    <xdr:col>5</xdr:col>
                    <xdr:colOff>393700</xdr:colOff>
                    <xdr:row>123</xdr:row>
                    <xdr:rowOff>12700</xdr:rowOff>
                  </from>
                  <to>
                    <xdr:col>5</xdr:col>
                    <xdr:colOff>1085850</xdr:colOff>
                    <xdr:row>124</xdr:row>
                    <xdr:rowOff>38100</xdr:rowOff>
                  </to>
                </anchor>
              </controlPr>
            </control>
          </mc:Choice>
        </mc:AlternateContent>
        <mc:AlternateContent xmlns:mc="http://schemas.openxmlformats.org/markup-compatibility/2006">
          <mc:Choice Requires="x14">
            <control shapeId="2606765" r:id="rId179" name="Drop Down 3757">
              <controlPr defaultSize="0" autoLine="0" autoPict="0">
                <anchor moveWithCells="1">
                  <from>
                    <xdr:col>7</xdr:col>
                    <xdr:colOff>393700</xdr:colOff>
                    <xdr:row>123</xdr:row>
                    <xdr:rowOff>6350</xdr:rowOff>
                  </from>
                  <to>
                    <xdr:col>7</xdr:col>
                    <xdr:colOff>1085850</xdr:colOff>
                    <xdr:row>124</xdr:row>
                    <xdr:rowOff>38100</xdr:rowOff>
                  </to>
                </anchor>
              </controlPr>
            </control>
          </mc:Choice>
        </mc:AlternateContent>
        <mc:AlternateContent xmlns:mc="http://schemas.openxmlformats.org/markup-compatibility/2006">
          <mc:Choice Requires="x14">
            <control shapeId="2606766" r:id="rId180" name="Drop Down 3758">
              <controlPr defaultSize="0" autoLine="0" autoPict="0">
                <anchor moveWithCells="1">
                  <from>
                    <xdr:col>3</xdr:col>
                    <xdr:colOff>400050</xdr:colOff>
                    <xdr:row>157</xdr:row>
                    <xdr:rowOff>0</xdr:rowOff>
                  </from>
                  <to>
                    <xdr:col>3</xdr:col>
                    <xdr:colOff>1085850</xdr:colOff>
                    <xdr:row>158</xdr:row>
                    <xdr:rowOff>0</xdr:rowOff>
                  </to>
                </anchor>
              </controlPr>
            </control>
          </mc:Choice>
        </mc:AlternateContent>
        <mc:AlternateContent xmlns:mc="http://schemas.openxmlformats.org/markup-compatibility/2006">
          <mc:Choice Requires="x14">
            <control shapeId="2606767" r:id="rId181" name="Drop Down 3759">
              <controlPr defaultSize="0" autoLine="0" autoPict="0">
                <anchor moveWithCells="1">
                  <from>
                    <xdr:col>5</xdr:col>
                    <xdr:colOff>393700</xdr:colOff>
                    <xdr:row>157</xdr:row>
                    <xdr:rowOff>12700</xdr:rowOff>
                  </from>
                  <to>
                    <xdr:col>5</xdr:col>
                    <xdr:colOff>1085850</xdr:colOff>
                    <xdr:row>158</xdr:row>
                    <xdr:rowOff>19050</xdr:rowOff>
                  </to>
                </anchor>
              </controlPr>
            </control>
          </mc:Choice>
        </mc:AlternateContent>
        <mc:AlternateContent xmlns:mc="http://schemas.openxmlformats.org/markup-compatibility/2006">
          <mc:Choice Requires="x14">
            <control shapeId="2606768" r:id="rId182" name="Drop Down 3760">
              <controlPr defaultSize="0" autoLine="0" autoPict="0">
                <anchor moveWithCells="1">
                  <from>
                    <xdr:col>7</xdr:col>
                    <xdr:colOff>393700</xdr:colOff>
                    <xdr:row>157</xdr:row>
                    <xdr:rowOff>6350</xdr:rowOff>
                  </from>
                  <to>
                    <xdr:col>7</xdr:col>
                    <xdr:colOff>1085850</xdr:colOff>
                    <xdr:row>158</xdr:row>
                    <xdr:rowOff>19050</xdr:rowOff>
                  </to>
                </anchor>
              </controlPr>
            </control>
          </mc:Choice>
        </mc:AlternateContent>
        <mc:AlternateContent xmlns:mc="http://schemas.openxmlformats.org/markup-compatibility/2006">
          <mc:Choice Requires="x14">
            <control shapeId="2606769" r:id="rId183" name="Drop Down 3761">
              <controlPr defaultSize="0" autoLine="0" autoPict="0">
                <anchor moveWithCells="1">
                  <from>
                    <xdr:col>3</xdr:col>
                    <xdr:colOff>400050</xdr:colOff>
                    <xdr:row>158</xdr:row>
                    <xdr:rowOff>0</xdr:rowOff>
                  </from>
                  <to>
                    <xdr:col>3</xdr:col>
                    <xdr:colOff>1085850</xdr:colOff>
                    <xdr:row>159</xdr:row>
                    <xdr:rowOff>0</xdr:rowOff>
                  </to>
                </anchor>
              </controlPr>
            </control>
          </mc:Choice>
        </mc:AlternateContent>
        <mc:AlternateContent xmlns:mc="http://schemas.openxmlformats.org/markup-compatibility/2006">
          <mc:Choice Requires="x14">
            <control shapeId="2606770" r:id="rId184" name="Drop Down 3762">
              <controlPr defaultSize="0" autoLine="0" autoPict="0">
                <anchor moveWithCells="1">
                  <from>
                    <xdr:col>5</xdr:col>
                    <xdr:colOff>393700</xdr:colOff>
                    <xdr:row>158</xdr:row>
                    <xdr:rowOff>12700</xdr:rowOff>
                  </from>
                  <to>
                    <xdr:col>5</xdr:col>
                    <xdr:colOff>1085850</xdr:colOff>
                    <xdr:row>159</xdr:row>
                    <xdr:rowOff>31750</xdr:rowOff>
                  </to>
                </anchor>
              </controlPr>
            </control>
          </mc:Choice>
        </mc:AlternateContent>
        <mc:AlternateContent xmlns:mc="http://schemas.openxmlformats.org/markup-compatibility/2006">
          <mc:Choice Requires="x14">
            <control shapeId="2606771" r:id="rId185" name="Drop Down 3763">
              <controlPr defaultSize="0" autoLine="0" autoPict="0">
                <anchor moveWithCells="1">
                  <from>
                    <xdr:col>7</xdr:col>
                    <xdr:colOff>393700</xdr:colOff>
                    <xdr:row>158</xdr:row>
                    <xdr:rowOff>6350</xdr:rowOff>
                  </from>
                  <to>
                    <xdr:col>7</xdr:col>
                    <xdr:colOff>1085850</xdr:colOff>
                    <xdr:row>159</xdr:row>
                    <xdr:rowOff>31750</xdr:rowOff>
                  </to>
                </anchor>
              </controlPr>
            </control>
          </mc:Choice>
        </mc:AlternateContent>
        <mc:AlternateContent xmlns:mc="http://schemas.openxmlformats.org/markup-compatibility/2006">
          <mc:Choice Requires="x14">
            <control shapeId="2606772" r:id="rId186" name="Drop Down 3764">
              <controlPr defaultSize="0" autoLine="0" autoPict="0">
                <anchor moveWithCells="1">
                  <from>
                    <xdr:col>5</xdr:col>
                    <xdr:colOff>393700</xdr:colOff>
                    <xdr:row>192</xdr:row>
                    <xdr:rowOff>12700</xdr:rowOff>
                  </from>
                  <to>
                    <xdr:col>5</xdr:col>
                    <xdr:colOff>1085850</xdr:colOff>
                    <xdr:row>193</xdr:row>
                    <xdr:rowOff>12700</xdr:rowOff>
                  </to>
                </anchor>
              </controlPr>
            </control>
          </mc:Choice>
        </mc:AlternateContent>
        <mc:AlternateContent xmlns:mc="http://schemas.openxmlformats.org/markup-compatibility/2006">
          <mc:Choice Requires="x14">
            <control shapeId="2606773" r:id="rId187" name="Drop Down 3765">
              <controlPr defaultSize="0" autoLine="0" autoPict="0">
                <anchor moveWithCells="1">
                  <from>
                    <xdr:col>7</xdr:col>
                    <xdr:colOff>393700</xdr:colOff>
                    <xdr:row>192</xdr:row>
                    <xdr:rowOff>6350</xdr:rowOff>
                  </from>
                  <to>
                    <xdr:col>7</xdr:col>
                    <xdr:colOff>1085850</xdr:colOff>
                    <xdr:row>193</xdr:row>
                    <xdr:rowOff>12700</xdr:rowOff>
                  </to>
                </anchor>
              </controlPr>
            </control>
          </mc:Choice>
        </mc:AlternateContent>
        <mc:AlternateContent xmlns:mc="http://schemas.openxmlformats.org/markup-compatibility/2006">
          <mc:Choice Requires="x14">
            <control shapeId="2606774" r:id="rId188" name="Drop Down 3766">
              <controlPr defaultSize="0" autoLine="0" autoPict="0">
                <anchor moveWithCells="1">
                  <from>
                    <xdr:col>3</xdr:col>
                    <xdr:colOff>400050</xdr:colOff>
                    <xdr:row>193</xdr:row>
                    <xdr:rowOff>0</xdr:rowOff>
                  </from>
                  <to>
                    <xdr:col>3</xdr:col>
                    <xdr:colOff>1085850</xdr:colOff>
                    <xdr:row>194</xdr:row>
                    <xdr:rowOff>12700</xdr:rowOff>
                  </to>
                </anchor>
              </controlPr>
            </control>
          </mc:Choice>
        </mc:AlternateContent>
        <mc:AlternateContent xmlns:mc="http://schemas.openxmlformats.org/markup-compatibility/2006">
          <mc:Choice Requires="x14">
            <control shapeId="2606775" r:id="rId189" name="Drop Down 3767">
              <controlPr defaultSize="0" autoLine="0" autoPict="0">
                <anchor moveWithCells="1">
                  <from>
                    <xdr:col>5</xdr:col>
                    <xdr:colOff>393700</xdr:colOff>
                    <xdr:row>193</xdr:row>
                    <xdr:rowOff>12700</xdr:rowOff>
                  </from>
                  <to>
                    <xdr:col>5</xdr:col>
                    <xdr:colOff>1085850</xdr:colOff>
                    <xdr:row>194</xdr:row>
                    <xdr:rowOff>12700</xdr:rowOff>
                  </to>
                </anchor>
              </controlPr>
            </control>
          </mc:Choice>
        </mc:AlternateContent>
        <mc:AlternateContent xmlns:mc="http://schemas.openxmlformats.org/markup-compatibility/2006">
          <mc:Choice Requires="x14">
            <control shapeId="2606776" r:id="rId190" name="Drop Down 3768">
              <controlPr defaultSize="0" autoLine="0" autoPict="0">
                <anchor moveWithCells="1">
                  <from>
                    <xdr:col>7</xdr:col>
                    <xdr:colOff>393700</xdr:colOff>
                    <xdr:row>193</xdr:row>
                    <xdr:rowOff>6350</xdr:rowOff>
                  </from>
                  <to>
                    <xdr:col>7</xdr:col>
                    <xdr:colOff>1085850</xdr:colOff>
                    <xdr:row>194</xdr:row>
                    <xdr:rowOff>12700</xdr:rowOff>
                  </to>
                </anchor>
              </controlPr>
            </control>
          </mc:Choice>
        </mc:AlternateContent>
      </controls>
    </mc:Choice>
  </mc:AlternateConten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7197BD-83CD-4B6F-81D1-555517F4C72C}">
  <dimension ref="A1:E24"/>
  <sheetViews>
    <sheetView workbookViewId="0">
      <selection activeCell="G12" sqref="G12"/>
    </sheetView>
  </sheetViews>
  <sheetFormatPr defaultRowHeight="12.5" x14ac:dyDescent="0.25"/>
  <cols>
    <col min="1" max="1" width="43.90625" style="219" bestFit="1" customWidth="1"/>
    <col min="2" max="2" width="10.453125" style="219" bestFit="1" customWidth="1"/>
    <col min="3" max="3" width="11.7265625" style="219" customWidth="1"/>
    <col min="4" max="4" width="12.54296875" style="219" customWidth="1"/>
    <col min="5" max="16384" width="8.7265625" style="219"/>
  </cols>
  <sheetData>
    <row r="1" spans="1:5" ht="13" x14ac:dyDescent="0.25">
      <c r="A1" s="249" t="s">
        <v>13</v>
      </c>
      <c r="B1" s="249" t="s">
        <v>98</v>
      </c>
      <c r="C1" s="249" t="s">
        <v>99</v>
      </c>
      <c r="D1" s="249" t="s">
        <v>100</v>
      </c>
      <c r="E1" s="262" t="s">
        <v>14</v>
      </c>
    </row>
    <row r="2" spans="1:5" ht="13" x14ac:dyDescent="0.25">
      <c r="A2" s="250" t="s">
        <v>15</v>
      </c>
      <c r="B2" s="250"/>
      <c r="C2" s="251"/>
      <c r="D2" s="251"/>
      <c r="E2" s="252"/>
    </row>
    <row r="3" spans="1:5" ht="14.5" x14ac:dyDescent="0.25">
      <c r="A3" s="253" t="s">
        <v>37</v>
      </c>
      <c r="B3" s="253" t="s">
        <v>101</v>
      </c>
      <c r="C3" s="254">
        <v>2880</v>
      </c>
      <c r="D3" s="254">
        <v>2880</v>
      </c>
      <c r="E3" s="252" t="s">
        <v>162</v>
      </c>
    </row>
    <row r="4" spans="1:5" x14ac:dyDescent="0.25">
      <c r="A4" s="253" t="s">
        <v>17</v>
      </c>
      <c r="B4" s="253" t="s">
        <v>102</v>
      </c>
      <c r="C4" s="251">
        <v>0.5</v>
      </c>
      <c r="D4" s="251">
        <v>0.5</v>
      </c>
      <c r="E4" s="255" t="s">
        <v>18</v>
      </c>
    </row>
    <row r="5" spans="1:5" ht="14.5" x14ac:dyDescent="0.25">
      <c r="A5" s="253" t="s">
        <v>19</v>
      </c>
      <c r="B5" s="253" t="s">
        <v>103</v>
      </c>
      <c r="C5" s="251">
        <v>6</v>
      </c>
      <c r="D5" s="251">
        <v>8</v>
      </c>
      <c r="E5" s="252" t="s">
        <v>163</v>
      </c>
    </row>
    <row r="6" spans="1:5" x14ac:dyDescent="0.25">
      <c r="A6" s="253" t="s">
        <v>20</v>
      </c>
      <c r="B6" s="253" t="s">
        <v>104</v>
      </c>
      <c r="C6" s="251">
        <v>4</v>
      </c>
      <c r="D6" s="251">
        <v>7</v>
      </c>
      <c r="E6" s="252" t="s">
        <v>21</v>
      </c>
    </row>
    <row r="7" spans="1:5" x14ac:dyDescent="0.25">
      <c r="A7" s="253" t="s">
        <v>22</v>
      </c>
      <c r="B7" s="253" t="s">
        <v>105</v>
      </c>
      <c r="C7" s="251">
        <v>1</v>
      </c>
      <c r="D7" s="251">
        <v>1</v>
      </c>
      <c r="E7" s="252" t="s">
        <v>21</v>
      </c>
    </row>
    <row r="8" spans="1:5" ht="14.5" x14ac:dyDescent="0.25">
      <c r="A8" s="253" t="s">
        <v>23</v>
      </c>
      <c r="B8" s="253" t="s">
        <v>106</v>
      </c>
      <c r="C8" s="256">
        <v>1.5200000000000001E-3</v>
      </c>
      <c r="D8" s="256">
        <v>1.6559999999999999E-3</v>
      </c>
      <c r="E8" s="252" t="s">
        <v>164</v>
      </c>
    </row>
    <row r="9" spans="1:5" x14ac:dyDescent="0.25">
      <c r="A9" s="253" t="s">
        <v>24</v>
      </c>
      <c r="B9" s="253" t="s">
        <v>107</v>
      </c>
      <c r="C9" s="251">
        <v>0.47</v>
      </c>
      <c r="D9" s="251">
        <v>0.47</v>
      </c>
      <c r="E9" s="255" t="s">
        <v>18</v>
      </c>
    </row>
    <row r="10" spans="1:5" x14ac:dyDescent="0.25">
      <c r="A10" s="253" t="s">
        <v>25</v>
      </c>
      <c r="B10" s="253" t="s">
        <v>108</v>
      </c>
      <c r="C10" s="251">
        <v>0.25</v>
      </c>
      <c r="D10" s="251">
        <v>0.25</v>
      </c>
      <c r="E10" s="255" t="s">
        <v>18</v>
      </c>
    </row>
    <row r="11" spans="1:5" x14ac:dyDescent="0.25">
      <c r="A11" s="253" t="s">
        <v>26</v>
      </c>
      <c r="B11" s="253" t="s">
        <v>109</v>
      </c>
      <c r="C11" s="257">
        <v>1</v>
      </c>
      <c r="D11" s="257">
        <v>1</v>
      </c>
      <c r="E11" s="255" t="s">
        <v>18</v>
      </c>
    </row>
    <row r="12" spans="1:5" x14ac:dyDescent="0.25">
      <c r="A12" s="253" t="s">
        <v>27</v>
      </c>
      <c r="B12" s="253" t="s">
        <v>110</v>
      </c>
      <c r="C12" s="254">
        <v>150</v>
      </c>
      <c r="D12" s="254">
        <v>140</v>
      </c>
      <c r="E12" s="258" t="s">
        <v>21</v>
      </c>
    </row>
    <row r="13" spans="1:5" ht="14.5" x14ac:dyDescent="0.25">
      <c r="A13" s="253" t="s">
        <v>28</v>
      </c>
      <c r="B13" s="253" t="s">
        <v>111</v>
      </c>
      <c r="C13" s="251">
        <v>5.0000000000000001E-3</v>
      </c>
      <c r="D13" s="251">
        <v>5.0000000000000001E-3</v>
      </c>
      <c r="E13" s="252" t="s">
        <v>165</v>
      </c>
    </row>
    <row r="14" spans="1:5" ht="25" x14ac:dyDescent="0.25">
      <c r="A14" s="253" t="s">
        <v>112</v>
      </c>
      <c r="B14" s="253" t="s">
        <v>113</v>
      </c>
      <c r="C14" s="251">
        <v>0</v>
      </c>
      <c r="D14" s="251">
        <v>0</v>
      </c>
      <c r="E14" s="252" t="s">
        <v>21</v>
      </c>
    </row>
    <row r="15" spans="1:5" x14ac:dyDescent="0.25">
      <c r="A15" s="253" t="s">
        <v>16</v>
      </c>
      <c r="B15" s="253" t="s">
        <v>114</v>
      </c>
      <c r="C15" s="251">
        <v>1</v>
      </c>
      <c r="D15" s="251">
        <v>1</v>
      </c>
      <c r="E15" s="252" t="s">
        <v>42</v>
      </c>
    </row>
    <row r="16" spans="1:5" x14ac:dyDescent="0.25">
      <c r="A16" s="253" t="s">
        <v>115</v>
      </c>
      <c r="B16" s="253" t="s">
        <v>116</v>
      </c>
      <c r="C16" s="251">
        <v>1</v>
      </c>
      <c r="D16" s="251">
        <v>1</v>
      </c>
      <c r="E16" s="252" t="s">
        <v>18</v>
      </c>
    </row>
    <row r="17" spans="1:5" ht="13" x14ac:dyDescent="0.25">
      <c r="A17" s="259" t="s">
        <v>29</v>
      </c>
      <c r="B17" s="259"/>
      <c r="C17" s="260"/>
      <c r="D17" s="260"/>
      <c r="E17" s="255"/>
    </row>
    <row r="18" spans="1:5" x14ac:dyDescent="0.25">
      <c r="A18" s="253" t="s">
        <v>30</v>
      </c>
      <c r="B18" s="253" t="s">
        <v>117</v>
      </c>
      <c r="C18" s="257">
        <v>3</v>
      </c>
      <c r="D18" s="257">
        <v>3</v>
      </c>
      <c r="E18" s="255" t="s">
        <v>18</v>
      </c>
    </row>
    <row r="19" spans="1:5" ht="13" x14ac:dyDescent="0.25">
      <c r="A19" s="259" t="s">
        <v>118</v>
      </c>
    </row>
    <row r="20" spans="1:5" x14ac:dyDescent="0.25">
      <c r="A20" s="253" t="s">
        <v>119</v>
      </c>
      <c r="B20" s="219" t="s">
        <v>120</v>
      </c>
      <c r="C20" s="219">
        <v>50</v>
      </c>
      <c r="D20" s="219">
        <v>50</v>
      </c>
      <c r="E20" s="219" t="s">
        <v>21</v>
      </c>
    </row>
    <row r="21" spans="1:5" x14ac:dyDescent="0.25">
      <c r="A21" s="219" t="s">
        <v>10</v>
      </c>
      <c r="B21" s="219" t="s">
        <v>121</v>
      </c>
      <c r="C21" s="219">
        <v>0</v>
      </c>
      <c r="D21" s="219">
        <v>0</v>
      </c>
      <c r="E21" s="252" t="s">
        <v>21</v>
      </c>
    </row>
    <row r="22" spans="1:5" x14ac:dyDescent="0.25">
      <c r="A22" s="219" t="s">
        <v>8</v>
      </c>
      <c r="B22" s="219" t="s">
        <v>122</v>
      </c>
      <c r="C22" s="219">
        <v>0</v>
      </c>
      <c r="D22" s="219">
        <v>0</v>
      </c>
      <c r="E22" s="252" t="s">
        <v>21</v>
      </c>
    </row>
    <row r="23" spans="1:5" x14ac:dyDescent="0.25">
      <c r="A23" s="261" t="s">
        <v>0</v>
      </c>
      <c r="B23" s="219" t="s">
        <v>123</v>
      </c>
      <c r="C23" s="219">
        <v>0</v>
      </c>
      <c r="D23" s="219">
        <v>0</v>
      </c>
      <c r="E23" s="252" t="s">
        <v>21</v>
      </c>
    </row>
    <row r="24" spans="1:5" x14ac:dyDescent="0.25">
      <c r="A24" s="219" t="s">
        <v>36</v>
      </c>
      <c r="B24" s="219" t="s">
        <v>124</v>
      </c>
      <c r="C24" s="219">
        <v>0</v>
      </c>
      <c r="D24" s="219">
        <v>0</v>
      </c>
      <c r="E24" s="252" t="s">
        <v>21</v>
      </c>
    </row>
  </sheetData>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00654A-2F25-4DEF-81A5-C4289EF6BCE3}">
  <dimension ref="A1:F10"/>
  <sheetViews>
    <sheetView workbookViewId="0">
      <selection activeCell="H4" sqref="H4"/>
    </sheetView>
  </sheetViews>
  <sheetFormatPr defaultRowHeight="12.5" x14ac:dyDescent="0.25"/>
  <cols>
    <col min="1" max="1" width="11.26953125" bestFit="1" customWidth="1"/>
    <col min="2" max="2" width="11.6328125" bestFit="1" customWidth="1"/>
    <col min="3" max="3" width="10" bestFit="1" customWidth="1"/>
    <col min="4" max="4" width="11.81640625" bestFit="1" customWidth="1"/>
    <col min="5" max="5" width="7.6328125" bestFit="1" customWidth="1"/>
    <col min="6" max="6" width="5.26953125" bestFit="1" customWidth="1"/>
  </cols>
  <sheetData>
    <row r="1" spans="1:6" ht="13" x14ac:dyDescent="0.3">
      <c r="A1" s="263" t="s">
        <v>125</v>
      </c>
      <c r="B1" s="263" t="s">
        <v>126</v>
      </c>
      <c r="C1" s="263" t="s">
        <v>127</v>
      </c>
      <c r="D1" s="263" t="s">
        <v>128</v>
      </c>
      <c r="E1" s="263" t="s">
        <v>129</v>
      </c>
      <c r="F1" s="263" t="s">
        <v>130</v>
      </c>
    </row>
    <row r="2" spans="1:6" x14ac:dyDescent="0.25">
      <c r="A2" t="s">
        <v>131</v>
      </c>
      <c r="B2" t="s">
        <v>132</v>
      </c>
      <c r="C2" t="s">
        <v>133</v>
      </c>
      <c r="D2">
        <f>LN(2)/E2</f>
        <v>0.34657359027997264</v>
      </c>
      <c r="E2">
        <v>2</v>
      </c>
      <c r="F2">
        <v>1</v>
      </c>
    </row>
    <row r="3" spans="1:6" x14ac:dyDescent="0.25">
      <c r="A3" t="s">
        <v>131</v>
      </c>
      <c r="B3" t="s">
        <v>134</v>
      </c>
      <c r="C3" t="s">
        <v>135</v>
      </c>
      <c r="D3">
        <f t="shared" ref="D3:D10" si="0">LN(2)/E3</f>
        <v>2.7725887222397813E-2</v>
      </c>
      <c r="E3">
        <v>25</v>
      </c>
      <c r="F3">
        <v>1</v>
      </c>
    </row>
    <row r="4" spans="1:6" x14ac:dyDescent="0.25">
      <c r="A4" t="s">
        <v>131</v>
      </c>
      <c r="B4" t="s">
        <v>136</v>
      </c>
      <c r="C4" t="s">
        <v>137</v>
      </c>
      <c r="D4">
        <f t="shared" si="0"/>
        <v>1.980420515885558E-2</v>
      </c>
      <c r="E4">
        <v>35</v>
      </c>
      <c r="F4">
        <v>1</v>
      </c>
    </row>
    <row r="5" spans="1:6" x14ac:dyDescent="0.25">
      <c r="A5" t="s">
        <v>131</v>
      </c>
      <c r="B5" t="s">
        <v>138</v>
      </c>
      <c r="C5" t="s">
        <v>139</v>
      </c>
      <c r="D5">
        <f t="shared" si="0"/>
        <v>0.24843984966306282</v>
      </c>
      <c r="E5">
        <v>2.79</v>
      </c>
      <c r="F5">
        <v>1</v>
      </c>
    </row>
    <row r="6" spans="1:6" x14ac:dyDescent="0.25">
      <c r="A6" t="s">
        <v>140</v>
      </c>
      <c r="B6" t="s">
        <v>141</v>
      </c>
      <c r="C6" t="s">
        <v>142</v>
      </c>
      <c r="D6">
        <f t="shared" si="0"/>
        <v>0.56353429313816694</v>
      </c>
      <c r="E6">
        <v>1.23</v>
      </c>
      <c r="F6">
        <v>1</v>
      </c>
    </row>
    <row r="7" spans="1:6" x14ac:dyDescent="0.25">
      <c r="A7" t="s">
        <v>140</v>
      </c>
      <c r="B7" t="s">
        <v>143</v>
      </c>
      <c r="C7" t="s">
        <v>144</v>
      </c>
      <c r="D7">
        <f t="shared" si="0"/>
        <v>5.3319013889226559E-2</v>
      </c>
      <c r="E7">
        <v>13</v>
      </c>
      <c r="F7">
        <v>1</v>
      </c>
    </row>
    <row r="8" spans="1:6" x14ac:dyDescent="0.25">
      <c r="A8" t="s">
        <v>140</v>
      </c>
      <c r="B8" t="s">
        <v>145</v>
      </c>
      <c r="C8" t="s">
        <v>146</v>
      </c>
      <c r="D8">
        <f t="shared" si="0"/>
        <v>3.6481430555786593E-2</v>
      </c>
      <c r="E8">
        <v>19</v>
      </c>
      <c r="F8">
        <v>1</v>
      </c>
    </row>
    <row r="9" spans="1:6" x14ac:dyDescent="0.25">
      <c r="A9" t="s">
        <v>140</v>
      </c>
      <c r="B9" t="s">
        <v>147</v>
      </c>
      <c r="C9" t="s">
        <v>148</v>
      </c>
      <c r="D9">
        <f t="shared" si="0"/>
        <v>0.24843984966306282</v>
      </c>
      <c r="E9">
        <v>2.79</v>
      </c>
      <c r="F9">
        <v>1</v>
      </c>
    </row>
    <row r="10" spans="1:6" x14ac:dyDescent="0.25">
      <c r="A10" t="s">
        <v>140</v>
      </c>
      <c r="B10" t="s">
        <v>149</v>
      </c>
      <c r="C10" t="s">
        <v>150</v>
      </c>
      <c r="D10">
        <f t="shared" si="0"/>
        <v>0.24843984966306282</v>
      </c>
      <c r="E10">
        <v>2.79</v>
      </c>
      <c r="F10">
        <v>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AA443B-76B7-4ADE-AD54-F5907BC420A4}">
  <dimension ref="A1:H16"/>
  <sheetViews>
    <sheetView workbookViewId="0">
      <selection activeCell="C16" sqref="C16"/>
    </sheetView>
  </sheetViews>
  <sheetFormatPr defaultRowHeight="12.5" x14ac:dyDescent="0.25"/>
  <cols>
    <col min="2" max="2" width="13.1796875" bestFit="1" customWidth="1"/>
    <col min="3" max="3" width="11.453125" bestFit="1" customWidth="1"/>
  </cols>
  <sheetData>
    <row r="1" spans="1:8" ht="13" x14ac:dyDescent="0.3">
      <c r="A1" s="263" t="s">
        <v>151</v>
      </c>
      <c r="B1" s="263" t="s">
        <v>152</v>
      </c>
      <c r="C1" s="263" t="s">
        <v>161</v>
      </c>
      <c r="D1" s="263" t="s">
        <v>153</v>
      </c>
      <c r="E1" s="263" t="s">
        <v>154</v>
      </c>
      <c r="F1" s="263" t="s">
        <v>155</v>
      </c>
      <c r="G1" s="263" t="s">
        <v>156</v>
      </c>
      <c r="H1" s="263" t="s">
        <v>157</v>
      </c>
    </row>
    <row r="2" spans="1:8" x14ac:dyDescent="0.25">
      <c r="A2" t="s">
        <v>116</v>
      </c>
      <c r="B2" t="s">
        <v>158</v>
      </c>
      <c r="C2" t="s">
        <v>100</v>
      </c>
      <c r="D2" s="220">
        <v>0.12550529999999999</v>
      </c>
      <c r="E2" s="220">
        <v>7.9110609999999998E-2</v>
      </c>
      <c r="F2" s="220">
        <v>-1.2173969999999999E-2</v>
      </c>
      <c r="G2" s="220">
        <v>9.8886739999999996E-4</v>
      </c>
      <c r="H2" s="220">
        <v>-2.749263E-5</v>
      </c>
    </row>
    <row r="3" spans="1:8" x14ac:dyDescent="0.25">
      <c r="A3" t="s">
        <v>159</v>
      </c>
      <c r="B3" t="s">
        <v>158</v>
      </c>
      <c r="C3" t="s">
        <v>100</v>
      </c>
      <c r="D3" s="220">
        <v>-1.8501139999999999E-3</v>
      </c>
      <c r="E3" s="220">
        <v>6.2660170000000001E-2</v>
      </c>
      <c r="F3" s="220">
        <v>-5.5241619999999998E-4</v>
      </c>
      <c r="G3" s="220">
        <v>2.6055509999999999E-5</v>
      </c>
      <c r="H3">
        <v>0</v>
      </c>
    </row>
    <row r="4" spans="1:8" x14ac:dyDescent="0.25">
      <c r="A4" t="s">
        <v>116</v>
      </c>
      <c r="B4" t="s">
        <v>160</v>
      </c>
      <c r="C4" t="s">
        <v>100</v>
      </c>
      <c r="D4" s="220">
        <v>7.2214650000000005E-2</v>
      </c>
      <c r="E4" s="220">
        <v>0.21171693999999999</v>
      </c>
      <c r="F4" s="220">
        <v>0.26354071000000001</v>
      </c>
      <c r="G4" s="220">
        <v>-9.9735950000000004E-2</v>
      </c>
      <c r="H4" s="220">
        <v>0</v>
      </c>
    </row>
    <row r="5" spans="1:8" x14ac:dyDescent="0.25">
      <c r="A5" t="s">
        <v>116</v>
      </c>
      <c r="B5" t="s">
        <v>158</v>
      </c>
      <c r="C5" t="s">
        <v>99</v>
      </c>
      <c r="D5" s="220">
        <v>0.1128803</v>
      </c>
      <c r="E5" s="220">
        <v>0.13783139999999999</v>
      </c>
      <c r="F5" s="220">
        <v>-2.4068889999999999E-2</v>
      </c>
      <c r="G5" s="220">
        <v>6.55287009E-2</v>
      </c>
      <c r="H5" s="220">
        <v>-7.7324819999999997E-5</v>
      </c>
    </row>
    <row r="6" spans="1:8" x14ac:dyDescent="0.25">
      <c r="A6" t="s">
        <v>159</v>
      </c>
      <c r="B6" t="s">
        <v>158</v>
      </c>
      <c r="C6" t="s">
        <v>99</v>
      </c>
      <c r="D6" s="220">
        <v>6.55287009E-2</v>
      </c>
      <c r="E6" s="220">
        <v>8.4521816E-2</v>
      </c>
      <c r="F6" s="220">
        <v>9.7538376000000006E-3</v>
      </c>
      <c r="G6" s="220">
        <v>-4.4453279999999998E-4</v>
      </c>
      <c r="H6" s="220">
        <v>0</v>
      </c>
    </row>
    <row r="7" spans="1:8" x14ac:dyDescent="0.25">
      <c r="A7" t="s">
        <v>116</v>
      </c>
      <c r="B7" t="s">
        <v>160</v>
      </c>
      <c r="C7" t="s">
        <v>99</v>
      </c>
      <c r="D7" s="220">
        <v>0.12530286199999999</v>
      </c>
      <c r="E7" s="220">
        <v>0.38619093199999999</v>
      </c>
      <c r="F7" s="220">
        <v>-7.2512729999999999E-3</v>
      </c>
      <c r="G7" s="220">
        <v>1.3542422E-2</v>
      </c>
      <c r="H7" s="220">
        <v>0</v>
      </c>
    </row>
    <row r="12" spans="1:8" x14ac:dyDescent="0.25">
      <c r="B12" s="220"/>
    </row>
    <row r="16" spans="1:8" x14ac:dyDescent="0.25">
      <c r="B16" s="220"/>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Forestry input data</vt:lpstr>
      <vt:lpstr>3PG parms</vt:lpstr>
      <vt:lpstr>Decay rate parms</vt:lpstr>
      <vt:lpstr>fE YC coefficients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Smith, Dr Joanne U.</dc:creator>
  <cp:lastModifiedBy>Jacob O'Sullivan</cp:lastModifiedBy>
  <cp:lastPrinted>2012-11-07T13:39:51Z</cp:lastPrinted>
  <dcterms:created xsi:type="dcterms:W3CDTF">1996-10-14T23:33:28Z</dcterms:created>
  <dcterms:modified xsi:type="dcterms:W3CDTF">2026-03-30T11:10:00Z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NewReviewCycle">
    <vt:lpwstr/>
  </property>
</Properties>
</file>