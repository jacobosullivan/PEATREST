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acob.osullivan\OneDrive - Forest Research\Turbines and trees\CCWoP\Templates\"/>
    </mc:Choice>
  </mc:AlternateContent>
  <xr:revisionPtr revIDLastSave="0" documentId="13_ncr:1_{F2B17E31-263F-4934-8665-C2C1CBF5E859}" xr6:coauthVersionLast="47" xr6:coauthVersionMax="47" xr10:uidLastSave="{00000000-0000-0000-0000-000000000000}"/>
  <bookViews>
    <workbookView xWindow="28680" yWindow="-120" windowWidth="29040" windowHeight="15720" xr2:uid="{95F37BCE-569E-4047-978A-D68535612C7C}"/>
  </bookViews>
  <sheets>
    <sheet name="Sheet1" sheetId="1" r:id="rId1"/>
    <sheet name="Over to underbark" sheetId="2" r:id="rId2"/>
    <sheet name="Sheet3" sheetId="4" r:id="rId3"/>
    <sheet name="CARBINE OUTPUTS" sheetId="3" state="hidden" r:id="rId4"/>
  </sheets>
  <definedNames>
    <definedName name="_xlnm._FilterDatabase" localSheetId="0" hidden="1">Sheet1!$A$2:$AG$459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4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J15" i="1" s="1"/>
  <c r="AH16" i="1"/>
  <c r="AI16" i="1" s="1"/>
  <c r="AH17" i="1"/>
  <c r="AI17" i="1" s="1"/>
  <c r="AH18" i="1"/>
  <c r="AH19" i="1"/>
  <c r="AH20" i="1"/>
  <c r="AH21" i="1"/>
  <c r="AH22" i="1"/>
  <c r="AH23" i="1"/>
  <c r="AH25" i="1"/>
  <c r="AH26" i="1"/>
  <c r="AI26" i="1" s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I38" i="1" s="1"/>
  <c r="AH39" i="1"/>
  <c r="AJ39" i="1" s="1"/>
  <c r="AH40" i="1"/>
  <c r="AI40" i="1" s="1"/>
  <c r="AH41" i="1"/>
  <c r="AH42" i="1"/>
  <c r="AH43" i="1"/>
  <c r="AH44" i="1"/>
  <c r="AI44" i="1" s="1"/>
  <c r="AH45" i="1"/>
  <c r="AH46" i="1"/>
  <c r="AH47" i="1"/>
  <c r="AH48" i="1"/>
  <c r="AH49" i="1"/>
  <c r="AH50" i="1"/>
  <c r="AH51" i="1"/>
  <c r="AH52" i="1"/>
  <c r="AH53" i="1"/>
  <c r="AJ53" i="1" s="1"/>
  <c r="AH54" i="1"/>
  <c r="AJ54" i="1" s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I74" i="1" s="1"/>
  <c r="AH75" i="1"/>
  <c r="AI75" i="1" s="1"/>
  <c r="AH76" i="1"/>
  <c r="AH77" i="1"/>
  <c r="AI77" i="1" s="1"/>
  <c r="AH78" i="1"/>
  <c r="AH79" i="1"/>
  <c r="AI79" i="1" s="1"/>
  <c r="AH80" i="1"/>
  <c r="AH81" i="1"/>
  <c r="AH82" i="1"/>
  <c r="AH83" i="1"/>
  <c r="AJ83" i="1" s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I110" i="1" s="1"/>
  <c r="AH111" i="1"/>
  <c r="AH112" i="1"/>
  <c r="AJ112" i="1" s="1"/>
  <c r="AH113" i="1"/>
  <c r="AH114" i="1"/>
  <c r="AH115" i="1"/>
  <c r="AH116" i="1"/>
  <c r="AH117" i="1"/>
  <c r="AH118" i="1"/>
  <c r="AH119" i="1"/>
  <c r="AH120" i="1"/>
  <c r="AH121" i="1"/>
  <c r="AH122" i="1"/>
  <c r="AI122" i="1" s="1"/>
  <c r="AH123" i="1"/>
  <c r="AI123" i="1" s="1"/>
  <c r="AH124" i="1"/>
  <c r="AI124" i="1" s="1"/>
  <c r="AH125" i="1"/>
  <c r="AH126" i="1"/>
  <c r="AI126" i="1" s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J142" i="1" s="1"/>
  <c r="AH143" i="1"/>
  <c r="AI143" i="1" s="1"/>
  <c r="AH144" i="1"/>
  <c r="AI144" i="1" s="1"/>
  <c r="AH145" i="1"/>
  <c r="AH146" i="1"/>
  <c r="AJ146" i="1" s="1"/>
  <c r="AH147" i="1"/>
  <c r="AI147" i="1" s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J160" i="1" s="1"/>
  <c r="AH161" i="1"/>
  <c r="AJ161" i="1" s="1"/>
  <c r="AH162" i="1"/>
  <c r="AH163" i="1"/>
  <c r="AH164" i="1"/>
  <c r="AH165" i="1"/>
  <c r="AH166" i="1"/>
  <c r="AH167" i="1"/>
  <c r="AH168" i="1"/>
  <c r="AH169" i="1"/>
  <c r="AH170" i="1"/>
  <c r="AI170" i="1" s="1"/>
  <c r="AH171" i="1"/>
  <c r="AI171" i="1" s="1"/>
  <c r="AH172" i="1"/>
  <c r="AI172" i="1" s="1"/>
  <c r="AH173" i="1"/>
  <c r="AI173" i="1" s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J190" i="1" s="1"/>
  <c r="AH191" i="1"/>
  <c r="AH192" i="1"/>
  <c r="AH193" i="1"/>
  <c r="AH194" i="1"/>
  <c r="AI194" i="1" s="1"/>
  <c r="AH195" i="1"/>
  <c r="AH196" i="1"/>
  <c r="AH197" i="1"/>
  <c r="AH198" i="1"/>
  <c r="AH199" i="1"/>
  <c r="AH200" i="1"/>
  <c r="AH201" i="1"/>
  <c r="AH202" i="1"/>
  <c r="AJ202" i="1" s="1"/>
  <c r="AH203" i="1"/>
  <c r="AH204" i="1"/>
  <c r="AH205" i="1"/>
  <c r="AH206" i="1"/>
  <c r="AH207" i="1"/>
  <c r="AI207" i="1" s="1"/>
  <c r="AH208" i="1"/>
  <c r="AI208" i="1" s="1"/>
  <c r="AH209" i="1"/>
  <c r="AI209" i="1" s="1"/>
  <c r="AH210" i="1"/>
  <c r="AI210" i="1" s="1"/>
  <c r="AH211" i="1"/>
  <c r="AH212" i="1"/>
  <c r="AI212" i="1" s="1"/>
  <c r="AH213" i="1"/>
  <c r="AI213" i="1" s="1"/>
  <c r="AH214" i="1"/>
  <c r="AI214" i="1" s="1"/>
  <c r="AH215" i="1"/>
  <c r="AH216" i="1"/>
  <c r="AH217" i="1"/>
  <c r="AH218" i="1"/>
  <c r="AJ218" i="1" s="1"/>
  <c r="AH219" i="1"/>
  <c r="AH220" i="1"/>
  <c r="AH221" i="1"/>
  <c r="AH222" i="1"/>
  <c r="AH223" i="1"/>
  <c r="AH224" i="1"/>
  <c r="AH225" i="1"/>
  <c r="AH226" i="1"/>
  <c r="AJ226" i="1" s="1"/>
  <c r="AH227" i="1"/>
  <c r="AI227" i="1" s="1"/>
  <c r="AH228" i="1"/>
  <c r="AI228" i="1" s="1"/>
  <c r="AH229" i="1"/>
  <c r="AH230" i="1"/>
  <c r="AH231" i="1"/>
  <c r="AH232" i="1"/>
  <c r="AH233" i="1"/>
  <c r="AH234" i="1"/>
  <c r="AI234" i="1" s="1"/>
  <c r="AH235" i="1"/>
  <c r="AH236" i="1"/>
  <c r="AI236" i="1" s="1"/>
  <c r="AH237" i="1"/>
  <c r="AJ237" i="1" s="1"/>
  <c r="AH238" i="1"/>
  <c r="AJ238" i="1" s="1"/>
  <c r="AH239" i="1"/>
  <c r="AH240" i="1"/>
  <c r="AH241" i="1"/>
  <c r="AH242" i="1"/>
  <c r="AJ242" i="1" s="1"/>
  <c r="AH243" i="1"/>
  <c r="AH244" i="1"/>
  <c r="AH245" i="1"/>
  <c r="AH246" i="1"/>
  <c r="AH247" i="1"/>
  <c r="AH248" i="1"/>
  <c r="AH249" i="1"/>
  <c r="AJ249" i="1" s="1"/>
  <c r="AH250" i="1"/>
  <c r="AJ250" i="1" s="1"/>
  <c r="AH251" i="1"/>
  <c r="AH252" i="1"/>
  <c r="AH253" i="1"/>
  <c r="AH254" i="1"/>
  <c r="AJ254" i="1" s="1"/>
  <c r="AH255" i="1"/>
  <c r="AI255" i="1" s="1"/>
  <c r="AH256" i="1"/>
  <c r="AH257" i="1"/>
  <c r="AH258" i="1"/>
  <c r="AI258" i="1" s="1"/>
  <c r="AH259" i="1"/>
  <c r="AH260" i="1"/>
  <c r="AH261" i="1"/>
  <c r="AH262" i="1"/>
  <c r="AH263" i="1"/>
  <c r="AH264" i="1"/>
  <c r="AH265" i="1"/>
  <c r="AH266" i="1"/>
  <c r="AJ266" i="1" s="1"/>
  <c r="AH267" i="1"/>
  <c r="AH268" i="1"/>
  <c r="AH269" i="1"/>
  <c r="AJ269" i="1" s="1"/>
  <c r="AH270" i="1"/>
  <c r="AH271" i="1"/>
  <c r="AH272" i="1"/>
  <c r="AH273" i="1"/>
  <c r="AJ273" i="1" s="1"/>
  <c r="AH274" i="1"/>
  <c r="AJ274" i="1" s="1"/>
  <c r="AH275" i="1"/>
  <c r="AH276" i="1"/>
  <c r="AH277" i="1"/>
  <c r="AH278" i="1"/>
  <c r="AJ278" i="1" s="1"/>
  <c r="AH279" i="1"/>
  <c r="AH280" i="1"/>
  <c r="AH281" i="1"/>
  <c r="AH282" i="1"/>
  <c r="AI282" i="1" s="1"/>
  <c r="AH283" i="1"/>
  <c r="AH284" i="1"/>
  <c r="AH285" i="1"/>
  <c r="AH286" i="1"/>
  <c r="AJ286" i="1" s="1"/>
  <c r="AH287" i="1"/>
  <c r="AH288" i="1"/>
  <c r="AH289" i="1"/>
  <c r="AH290" i="1"/>
  <c r="AJ290" i="1" s="1"/>
  <c r="AH291" i="1"/>
  <c r="AH292" i="1"/>
  <c r="AH293" i="1"/>
  <c r="AH294" i="1"/>
  <c r="AH295" i="1"/>
  <c r="AH296" i="1"/>
  <c r="AJ296" i="1" s="1"/>
  <c r="AH297" i="1"/>
  <c r="AH298" i="1"/>
  <c r="AH299" i="1"/>
  <c r="AH300" i="1"/>
  <c r="AH301" i="1"/>
  <c r="AH302" i="1"/>
  <c r="AJ302" i="1" s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I314" i="1" s="1"/>
  <c r="AH315" i="1"/>
  <c r="AJ315" i="1" s="1"/>
  <c r="AH316" i="1"/>
  <c r="AI316" i="1" s="1"/>
  <c r="AH317" i="1"/>
  <c r="AH318" i="1"/>
  <c r="AH319" i="1"/>
  <c r="AH320" i="1"/>
  <c r="AH321" i="1"/>
  <c r="AH322" i="1"/>
  <c r="AI322" i="1" s="1"/>
  <c r="AH323" i="1"/>
  <c r="AH324" i="1"/>
  <c r="AH325" i="1"/>
  <c r="AH326" i="1"/>
  <c r="AI326" i="1" s="1"/>
  <c r="AH327" i="1"/>
  <c r="AJ327" i="1" s="1"/>
  <c r="AH328" i="1"/>
  <c r="AH329" i="1"/>
  <c r="AH330" i="1"/>
  <c r="AH331" i="1"/>
  <c r="AH332" i="1"/>
  <c r="AH333" i="1"/>
  <c r="AI333" i="1" s="1"/>
  <c r="AH334" i="1"/>
  <c r="AJ334" i="1" s="1"/>
  <c r="AH335" i="1"/>
  <c r="AH336" i="1"/>
  <c r="AH337" i="1"/>
  <c r="AH338" i="1"/>
  <c r="AI338" i="1" s="1"/>
  <c r="AH339" i="1"/>
  <c r="AJ339" i="1" s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J351" i="1" s="1"/>
  <c r="AH352" i="1"/>
  <c r="AI352" i="1" s="1"/>
  <c r="AH353" i="1"/>
  <c r="AI353" i="1" s="1"/>
  <c r="AH354" i="1"/>
  <c r="AI354" i="1" s="1"/>
  <c r="AH355" i="1"/>
  <c r="AH356" i="1"/>
  <c r="AI356" i="1" s="1"/>
  <c r="AH357" i="1"/>
  <c r="AI357" i="1" s="1"/>
  <c r="AH358" i="1"/>
  <c r="AI358" i="1" s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J370" i="1" s="1"/>
  <c r="AH371" i="1"/>
  <c r="AH372" i="1"/>
  <c r="AI372" i="1" s="1"/>
  <c r="AH373" i="1"/>
  <c r="AI373" i="1" s="1"/>
  <c r="AH374" i="1"/>
  <c r="AH375" i="1"/>
  <c r="AJ375" i="1" s="1"/>
  <c r="AH376" i="1"/>
  <c r="AH377" i="1"/>
  <c r="AI377" i="1" s="1"/>
  <c r="AH378" i="1"/>
  <c r="AI378" i="1" s="1"/>
  <c r="AH379" i="1"/>
  <c r="AH380" i="1"/>
  <c r="AH381" i="1"/>
  <c r="AI381" i="1" s="1"/>
  <c r="AH382" i="1"/>
  <c r="AJ382" i="1" s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I396" i="1" s="1"/>
  <c r="AH397" i="1"/>
  <c r="AH398" i="1"/>
  <c r="AI398" i="1" s="1"/>
  <c r="AH399" i="1"/>
  <c r="AJ399" i="1" s="1"/>
  <c r="AH400" i="1"/>
  <c r="AH401" i="1"/>
  <c r="AH402" i="1"/>
  <c r="AI402" i="1" s="1"/>
  <c r="AH403" i="1"/>
  <c r="AH404" i="1"/>
  <c r="AI404" i="1" s="1"/>
  <c r="AH405" i="1"/>
  <c r="AI405" i="1" s="1"/>
  <c r="AH406" i="1"/>
  <c r="AJ406" i="1" s="1"/>
  <c r="AH407" i="1"/>
  <c r="AH408" i="1"/>
  <c r="AH409" i="1"/>
  <c r="AH410" i="1"/>
  <c r="AI410" i="1" s="1"/>
  <c r="AH411" i="1"/>
  <c r="AJ411" i="1" s="1"/>
  <c r="AH412" i="1"/>
  <c r="AH413" i="1"/>
  <c r="AH414" i="1"/>
  <c r="AH415" i="1"/>
  <c r="AH416" i="1"/>
  <c r="AH417" i="1"/>
  <c r="AJ417" i="1" s="1"/>
  <c r="AH418" i="1"/>
  <c r="AI418" i="1" s="1"/>
  <c r="AH419" i="1"/>
  <c r="AH420" i="1"/>
  <c r="AH421" i="1"/>
  <c r="AH422" i="1"/>
  <c r="AI422" i="1" s="1"/>
  <c r="AH423" i="1"/>
  <c r="AJ423" i="1" s="1"/>
  <c r="AH424" i="1"/>
  <c r="AI424" i="1" s="1"/>
  <c r="AH425" i="1"/>
  <c r="AI425" i="1" s="1"/>
  <c r="AH426" i="1"/>
  <c r="AI426" i="1" s="1"/>
  <c r="AH427" i="1"/>
  <c r="AH428" i="1"/>
  <c r="AH429" i="1"/>
  <c r="AH430" i="1"/>
  <c r="AJ430" i="1" s="1"/>
  <c r="AH431" i="1"/>
  <c r="AH432" i="1"/>
  <c r="AH433" i="1"/>
  <c r="AH434" i="1"/>
  <c r="AI434" i="1" s="1"/>
  <c r="AH435" i="1"/>
  <c r="AJ435" i="1" s="1"/>
  <c r="AH436" i="1"/>
  <c r="AH437" i="1"/>
  <c r="AI437" i="1" s="1"/>
  <c r="AH438" i="1"/>
  <c r="AH439" i="1"/>
  <c r="AH440" i="1"/>
  <c r="AH441" i="1"/>
  <c r="AH442" i="1"/>
  <c r="AH443" i="1"/>
  <c r="AH444" i="1"/>
  <c r="AH445" i="1"/>
  <c r="AH446" i="1"/>
  <c r="AI446" i="1" s="1"/>
  <c r="AH447" i="1"/>
  <c r="AJ447" i="1" s="1"/>
  <c r="AH448" i="1"/>
  <c r="AI448" i="1" s="1"/>
  <c r="AH449" i="1"/>
  <c r="AI449" i="1" s="1"/>
  <c r="AH450" i="1"/>
  <c r="AH451" i="1"/>
  <c r="AH452" i="1"/>
  <c r="AH453" i="1"/>
  <c r="AH454" i="1"/>
  <c r="AJ454" i="1" s="1"/>
  <c r="AH455" i="1"/>
  <c r="AH456" i="1"/>
  <c r="AI456" i="1" s="1"/>
  <c r="AH457" i="1"/>
  <c r="AI457" i="1" s="1"/>
  <c r="AH458" i="1"/>
  <c r="AI458" i="1" s="1"/>
  <c r="AH459" i="1"/>
  <c r="AI459" i="1" s="1"/>
  <c r="AH3" i="1"/>
  <c r="AJ310" i="1" l="1"/>
  <c r="AI178" i="1"/>
  <c r="AK178" i="1" s="1"/>
  <c r="AM178" i="1" s="1"/>
  <c r="AJ178" i="1"/>
  <c r="AJ118" i="1"/>
  <c r="AJ106" i="1"/>
  <c r="AJ94" i="1"/>
  <c r="AI70" i="1"/>
  <c r="AJ70" i="1"/>
  <c r="AK70" i="1"/>
  <c r="AM70" i="1" s="1"/>
  <c r="AJ46" i="1"/>
  <c r="AJ34" i="1"/>
  <c r="AJ22" i="1"/>
  <c r="AI382" i="1"/>
  <c r="AI339" i="1"/>
  <c r="AI286" i="1"/>
  <c r="AI262" i="1"/>
  <c r="AK262" i="1" s="1"/>
  <c r="AM262" i="1" s="1"/>
  <c r="AI237" i="1"/>
  <c r="AI130" i="1"/>
  <c r="AK130" i="1" s="1"/>
  <c r="AM130" i="1" s="1"/>
  <c r="AJ418" i="1"/>
  <c r="AJ297" i="1"/>
  <c r="AK286" i="1"/>
  <c r="AM286" i="1" s="1"/>
  <c r="AJ213" i="1"/>
  <c r="AK213" i="1"/>
  <c r="AM213" i="1" s="1"/>
  <c r="AJ201" i="1"/>
  <c r="AJ177" i="1"/>
  <c r="AI165" i="1"/>
  <c r="AK165" i="1"/>
  <c r="AM165" i="1" s="1"/>
  <c r="AJ153" i="1"/>
  <c r="AJ129" i="1"/>
  <c r="AJ117" i="1"/>
  <c r="AJ93" i="1"/>
  <c r="AJ81" i="1"/>
  <c r="AJ69" i="1"/>
  <c r="AJ45" i="1"/>
  <c r="AJ33" i="1"/>
  <c r="AJ21" i="1"/>
  <c r="AI315" i="1"/>
  <c r="AI285" i="1"/>
  <c r="AK285" i="1" s="1"/>
  <c r="AM285" i="1" s="1"/>
  <c r="AI261" i="1"/>
  <c r="AK261" i="1" s="1"/>
  <c r="AM261" i="1" s="1"/>
  <c r="AI190" i="1"/>
  <c r="AK190" i="1" s="1"/>
  <c r="AM190" i="1" s="1"/>
  <c r="AI146" i="1"/>
  <c r="AK146" i="1" s="1"/>
  <c r="AM146" i="1" s="1"/>
  <c r="AI129" i="1"/>
  <c r="AK129" i="1" s="1"/>
  <c r="AM129" i="1" s="1"/>
  <c r="AI106" i="1"/>
  <c r="AK106" i="1" s="1"/>
  <c r="AM106" i="1" s="1"/>
  <c r="AK382" i="1"/>
  <c r="AM382" i="1" s="1"/>
  <c r="AK237" i="1"/>
  <c r="AM237" i="1" s="1"/>
  <c r="AJ452" i="1"/>
  <c r="AJ428" i="1"/>
  <c r="AK404" i="1"/>
  <c r="AM404" i="1" s="1"/>
  <c r="AJ392" i="1"/>
  <c r="AJ380" i="1"/>
  <c r="AK356" i="1"/>
  <c r="AM356" i="1" s="1"/>
  <c r="AJ356" i="1"/>
  <c r="AJ344" i="1"/>
  <c r="AJ332" i="1"/>
  <c r="AJ284" i="1"/>
  <c r="AJ248" i="1"/>
  <c r="AK236" i="1"/>
  <c r="AM236" i="1" s="1"/>
  <c r="AJ236" i="1"/>
  <c r="AJ224" i="1"/>
  <c r="AK212" i="1"/>
  <c r="AM212" i="1" s="1"/>
  <c r="AJ200" i="1"/>
  <c r="AJ188" i="1"/>
  <c r="AJ176" i="1"/>
  <c r="AJ152" i="1"/>
  <c r="AJ140" i="1"/>
  <c r="AJ80" i="1"/>
  <c r="AJ68" i="1"/>
  <c r="AJ44" i="1"/>
  <c r="AK44" i="1"/>
  <c r="AM44" i="1" s="1"/>
  <c r="AJ20" i="1"/>
  <c r="AI447" i="1"/>
  <c r="AI380" i="1"/>
  <c r="AK380" i="1" s="1"/>
  <c r="AM380" i="1" s="1"/>
  <c r="AI334" i="1"/>
  <c r="AK334" i="1" s="1"/>
  <c r="AM334" i="1" s="1"/>
  <c r="AI284" i="1"/>
  <c r="AK284" i="1" s="1"/>
  <c r="AM284" i="1" s="1"/>
  <c r="AI260" i="1"/>
  <c r="AK260" i="1" s="1"/>
  <c r="AM260" i="1" s="1"/>
  <c r="AI189" i="1"/>
  <c r="AK189" i="1" s="1"/>
  <c r="AM189" i="1" s="1"/>
  <c r="AI128" i="1"/>
  <c r="AK128" i="1" s="1"/>
  <c r="AM128" i="1" s="1"/>
  <c r="AI105" i="1"/>
  <c r="AK105" i="1" s="1"/>
  <c r="AM105" i="1" s="1"/>
  <c r="AI39" i="1"/>
  <c r="AK39" i="1" s="1"/>
  <c r="AM39" i="1" s="1"/>
  <c r="AI10" i="1"/>
  <c r="AK10" i="1" s="1"/>
  <c r="AM10" i="1" s="1"/>
  <c r="AJ394" i="1"/>
  <c r="AJ79" i="1"/>
  <c r="AK79" i="1"/>
  <c r="AM79" i="1" s="1"/>
  <c r="AJ67" i="1"/>
  <c r="AJ55" i="1"/>
  <c r="AJ31" i="1"/>
  <c r="AJ19" i="1"/>
  <c r="AJ7" i="1"/>
  <c r="AI423" i="1"/>
  <c r="AK423" i="1" s="1"/>
  <c r="AM423" i="1" s="1"/>
  <c r="AI399" i="1"/>
  <c r="AK399" i="1" s="1"/>
  <c r="AM399" i="1" s="1"/>
  <c r="AI308" i="1"/>
  <c r="AK308" i="1" s="1"/>
  <c r="AM308" i="1" s="1"/>
  <c r="AI188" i="1"/>
  <c r="AK188" i="1" s="1"/>
  <c r="AM188" i="1" s="1"/>
  <c r="AI104" i="1"/>
  <c r="AK104" i="1" s="1"/>
  <c r="AM104" i="1" s="1"/>
  <c r="AI9" i="1"/>
  <c r="AK9" i="1" s="1"/>
  <c r="AM9" i="1" s="1"/>
  <c r="AJ387" i="1"/>
  <c r="AJ262" i="1"/>
  <c r="AJ130" i="1"/>
  <c r="AJ32" i="1"/>
  <c r="AJ438" i="1"/>
  <c r="AK426" i="1"/>
  <c r="AM426" i="1" s="1"/>
  <c r="AJ414" i="1"/>
  <c r="AJ402" i="1"/>
  <c r="AK402" i="1"/>
  <c r="AM402" i="1" s="1"/>
  <c r="AJ390" i="1"/>
  <c r="AK378" i="1"/>
  <c r="AM378" i="1" s="1"/>
  <c r="AJ378" i="1"/>
  <c r="AJ366" i="1"/>
  <c r="AK354" i="1"/>
  <c r="AM354" i="1" s="1"/>
  <c r="AJ354" i="1"/>
  <c r="AJ342" i="1"/>
  <c r="AJ306" i="1"/>
  <c r="AJ294" i="1"/>
  <c r="AJ282" i="1"/>
  <c r="AK282" i="1"/>
  <c r="AM282" i="1" s="1"/>
  <c r="AJ270" i="1"/>
  <c r="AJ258" i="1"/>
  <c r="AK258" i="1"/>
  <c r="AM258" i="1" s="1"/>
  <c r="AJ246" i="1"/>
  <c r="AK234" i="1"/>
  <c r="AM234" i="1" s="1"/>
  <c r="AJ234" i="1"/>
  <c r="AJ222" i="1"/>
  <c r="AJ210" i="1"/>
  <c r="AK210" i="1"/>
  <c r="AM210" i="1" s="1"/>
  <c r="AJ198" i="1"/>
  <c r="AJ186" i="1"/>
  <c r="AJ162" i="1"/>
  <c r="AJ150" i="1"/>
  <c r="AJ138" i="1"/>
  <c r="AK126" i="1"/>
  <c r="AM126" i="1" s="1"/>
  <c r="AJ114" i="1"/>
  <c r="AI102" i="1"/>
  <c r="AK102" i="1"/>
  <c r="AM102" i="1" s="1"/>
  <c r="AJ102" i="1"/>
  <c r="AI90" i="1"/>
  <c r="AK90" i="1"/>
  <c r="AM90" i="1" s="1"/>
  <c r="AJ90" i="1"/>
  <c r="AI78" i="1"/>
  <c r="AK78" i="1" s="1"/>
  <c r="AM78" i="1" s="1"/>
  <c r="AJ78" i="1"/>
  <c r="AI66" i="1"/>
  <c r="AK66" i="1"/>
  <c r="AM66" i="1" s="1"/>
  <c r="AI54" i="1"/>
  <c r="AK54" i="1"/>
  <c r="AM54" i="1" s="1"/>
  <c r="AI42" i="1"/>
  <c r="AK42" i="1" s="1"/>
  <c r="AM42" i="1" s="1"/>
  <c r="AJ42" i="1"/>
  <c r="AI30" i="1"/>
  <c r="AK30" i="1"/>
  <c r="AM30" i="1" s="1"/>
  <c r="AI18" i="1"/>
  <c r="AJ18" i="1"/>
  <c r="AK18" i="1"/>
  <c r="AM18" i="1" s="1"/>
  <c r="AI6" i="1"/>
  <c r="AK6" i="1"/>
  <c r="AM6" i="1" s="1"/>
  <c r="AJ6" i="1"/>
  <c r="AI438" i="1"/>
  <c r="AK438" i="1" s="1"/>
  <c r="AM438" i="1" s="1"/>
  <c r="AI332" i="1"/>
  <c r="AK332" i="1" s="1"/>
  <c r="AM332" i="1" s="1"/>
  <c r="AI306" i="1"/>
  <c r="AK306" i="1" s="1"/>
  <c r="AM306" i="1" s="1"/>
  <c r="AI278" i="1"/>
  <c r="AK278" i="1" s="1"/>
  <c r="AM278" i="1" s="1"/>
  <c r="AI186" i="1"/>
  <c r="AK186" i="1" s="1"/>
  <c r="AM186" i="1" s="1"/>
  <c r="AI164" i="1"/>
  <c r="AK164" i="1" s="1"/>
  <c r="AM164" i="1" s="1"/>
  <c r="AI142" i="1"/>
  <c r="AK142" i="1" s="1"/>
  <c r="AM142" i="1" s="1"/>
  <c r="AI94" i="1"/>
  <c r="AK94" i="1" s="1"/>
  <c r="AM94" i="1" s="1"/>
  <c r="AI69" i="1"/>
  <c r="AK69" i="1" s="1"/>
  <c r="AM69" i="1" s="1"/>
  <c r="AI34" i="1"/>
  <c r="AK34" i="1" s="1"/>
  <c r="AM34" i="1" s="1"/>
  <c r="AI8" i="1"/>
  <c r="AK8" i="1" s="1"/>
  <c r="AM8" i="1" s="1"/>
  <c r="AJ261" i="1"/>
  <c r="AJ126" i="1"/>
  <c r="AJ30" i="1"/>
  <c r="AK418" i="1"/>
  <c r="AM418" i="1" s="1"/>
  <c r="AK322" i="1"/>
  <c r="AM322" i="1" s="1"/>
  <c r="AJ377" i="1"/>
  <c r="AK377" i="1"/>
  <c r="AM377" i="1" s="1"/>
  <c r="AJ365" i="1"/>
  <c r="AJ353" i="1"/>
  <c r="AK353" i="1"/>
  <c r="AM353" i="1" s="1"/>
  <c r="AJ341" i="1"/>
  <c r="AI329" i="1"/>
  <c r="AK329" i="1"/>
  <c r="AM329" i="1" s="1"/>
  <c r="AJ329" i="1"/>
  <c r="AJ317" i="1"/>
  <c r="AJ305" i="1"/>
  <c r="AJ293" i="1"/>
  <c r="AJ281" i="1"/>
  <c r="AI269" i="1"/>
  <c r="AK269" i="1" s="1"/>
  <c r="AM269" i="1" s="1"/>
  <c r="AJ221" i="1"/>
  <c r="AJ209" i="1"/>
  <c r="AK209" i="1"/>
  <c r="AM209" i="1" s="1"/>
  <c r="AJ197" i="1"/>
  <c r="AJ185" i="1"/>
  <c r="AJ173" i="1"/>
  <c r="AK173" i="1"/>
  <c r="AM173" i="1" s="1"/>
  <c r="AI161" i="1"/>
  <c r="AK161" i="1" s="1"/>
  <c r="AM161" i="1" s="1"/>
  <c r="AJ149" i="1"/>
  <c r="AJ137" i="1"/>
  <c r="AI125" i="1"/>
  <c r="AK125" i="1"/>
  <c r="AM125" i="1" s="1"/>
  <c r="AJ125" i="1"/>
  <c r="AJ113" i="1"/>
  <c r="AK77" i="1"/>
  <c r="AM77" i="1" s="1"/>
  <c r="AJ65" i="1"/>
  <c r="AJ17" i="1"/>
  <c r="AK17" i="1"/>
  <c r="AM17" i="1" s="1"/>
  <c r="AJ5" i="1"/>
  <c r="AI351" i="1"/>
  <c r="AK351" i="1" s="1"/>
  <c r="AM351" i="1" s="1"/>
  <c r="AI330" i="1"/>
  <c r="AK330" i="1" s="1"/>
  <c r="AM330" i="1" s="1"/>
  <c r="AI305" i="1"/>
  <c r="AK305" i="1" s="1"/>
  <c r="AM305" i="1" s="1"/>
  <c r="AI274" i="1"/>
  <c r="AK274" i="1" s="1"/>
  <c r="AM274" i="1" s="1"/>
  <c r="AI254" i="1"/>
  <c r="AK254" i="1" s="1"/>
  <c r="AM254" i="1" s="1"/>
  <c r="AI226" i="1"/>
  <c r="AK226" i="1" s="1"/>
  <c r="AM226" i="1" s="1"/>
  <c r="AI185" i="1"/>
  <c r="AK185" i="1" s="1"/>
  <c r="AM185" i="1" s="1"/>
  <c r="AI162" i="1"/>
  <c r="AK162" i="1" s="1"/>
  <c r="AM162" i="1" s="1"/>
  <c r="AI141" i="1"/>
  <c r="AK141" i="1" s="1"/>
  <c r="AM141" i="1" s="1"/>
  <c r="AI93" i="1"/>
  <c r="AK93" i="1" s="1"/>
  <c r="AM93" i="1" s="1"/>
  <c r="AI68" i="1"/>
  <c r="AK68" i="1" s="1"/>
  <c r="AM68" i="1" s="1"/>
  <c r="AI33" i="1"/>
  <c r="AK33" i="1" s="1"/>
  <c r="AM33" i="1" s="1"/>
  <c r="AI5" i="1"/>
  <c r="AK5" i="1" s="1"/>
  <c r="AM5" i="1" s="1"/>
  <c r="AJ358" i="1"/>
  <c r="AK459" i="1"/>
  <c r="AM459" i="1" s="1"/>
  <c r="AK315" i="1"/>
  <c r="AM315" i="1" s="1"/>
  <c r="AK214" i="1"/>
  <c r="AM214" i="1" s="1"/>
  <c r="AI453" i="1"/>
  <c r="AK453" i="1"/>
  <c r="AM453" i="1" s="1"/>
  <c r="AJ453" i="1"/>
  <c r="AJ405" i="1"/>
  <c r="AK405" i="1"/>
  <c r="AM405" i="1" s="1"/>
  <c r="AJ393" i="1"/>
  <c r="AK381" i="1"/>
  <c r="AM381" i="1" s="1"/>
  <c r="AJ381" i="1"/>
  <c r="AJ369" i="1"/>
  <c r="AK357" i="1"/>
  <c r="AM357" i="1" s="1"/>
  <c r="AJ357" i="1"/>
  <c r="AJ333" i="1"/>
  <c r="AK333" i="1"/>
  <c r="AM333" i="1" s="1"/>
  <c r="AJ321" i="1"/>
  <c r="AI309" i="1"/>
  <c r="AK309" i="1" s="1"/>
  <c r="AM309" i="1" s="1"/>
  <c r="AJ309" i="1"/>
  <c r="AK449" i="1"/>
  <c r="AM449" i="1" s="1"/>
  <c r="AK437" i="1"/>
  <c r="AM437" i="1" s="1"/>
  <c r="AJ437" i="1"/>
  <c r="AJ425" i="1"/>
  <c r="AK425" i="1"/>
  <c r="AM425" i="1" s="1"/>
  <c r="AJ401" i="1"/>
  <c r="AJ448" i="1"/>
  <c r="AK448" i="1"/>
  <c r="AM448" i="1" s="1"/>
  <c r="AJ436" i="1"/>
  <c r="AK424" i="1"/>
  <c r="AM424" i="1" s="1"/>
  <c r="AJ424" i="1"/>
  <c r="AJ412" i="1"/>
  <c r="AJ364" i="1"/>
  <c r="AJ352" i="1"/>
  <c r="AK352" i="1"/>
  <c r="AM352" i="1" s="1"/>
  <c r="AJ328" i="1"/>
  <c r="AK316" i="1"/>
  <c r="AM316" i="1" s="1"/>
  <c r="AJ316" i="1"/>
  <c r="AJ304" i="1"/>
  <c r="AJ268" i="1"/>
  <c r="AJ220" i="1"/>
  <c r="AJ208" i="1"/>
  <c r="AK208" i="1"/>
  <c r="AM208" i="1" s="1"/>
  <c r="AJ196" i="1"/>
  <c r="AJ172" i="1"/>
  <c r="AK172" i="1"/>
  <c r="AM172" i="1" s="1"/>
  <c r="AJ148" i="1"/>
  <c r="AK124" i="1"/>
  <c r="AM124" i="1" s="1"/>
  <c r="AJ124" i="1"/>
  <c r="AI112" i="1"/>
  <c r="AK112" i="1" s="1"/>
  <c r="AM112" i="1" s="1"/>
  <c r="AJ100" i="1"/>
  <c r="AJ64" i="1"/>
  <c r="AJ52" i="1"/>
  <c r="AJ40" i="1"/>
  <c r="AK40" i="1"/>
  <c r="AM40" i="1" s="1"/>
  <c r="AJ16" i="1"/>
  <c r="AK16" i="1"/>
  <c r="AM16" i="1" s="1"/>
  <c r="AJ4" i="1"/>
  <c r="AI436" i="1"/>
  <c r="AK436" i="1" s="1"/>
  <c r="AM436" i="1" s="1"/>
  <c r="AI417" i="1"/>
  <c r="AK417" i="1" s="1"/>
  <c r="AM417" i="1" s="1"/>
  <c r="AI395" i="1"/>
  <c r="AK395" i="1" s="1"/>
  <c r="AM395" i="1" s="1"/>
  <c r="AI346" i="1"/>
  <c r="AK346" i="1" s="1"/>
  <c r="AM346" i="1" s="1"/>
  <c r="AI327" i="1"/>
  <c r="AK327" i="1" s="1"/>
  <c r="AM327" i="1" s="1"/>
  <c r="AI304" i="1"/>
  <c r="AK304" i="1" s="1"/>
  <c r="AM304" i="1" s="1"/>
  <c r="AI273" i="1"/>
  <c r="AK273" i="1" s="1"/>
  <c r="AM273" i="1" s="1"/>
  <c r="AI250" i="1"/>
  <c r="AK250" i="1" s="1"/>
  <c r="AM250" i="1" s="1"/>
  <c r="AI225" i="1"/>
  <c r="AK225" i="1" s="1"/>
  <c r="AM225" i="1" s="1"/>
  <c r="AI202" i="1"/>
  <c r="AK202" i="1" s="1"/>
  <c r="AM202" i="1" s="1"/>
  <c r="AI184" i="1"/>
  <c r="AK184" i="1" s="1"/>
  <c r="AM184" i="1" s="1"/>
  <c r="AI160" i="1"/>
  <c r="AK160" i="1" s="1"/>
  <c r="AM160" i="1" s="1"/>
  <c r="AI140" i="1"/>
  <c r="AK140" i="1" s="1"/>
  <c r="AM140" i="1" s="1"/>
  <c r="AI92" i="1"/>
  <c r="AK92" i="1" s="1"/>
  <c r="AM92" i="1" s="1"/>
  <c r="AI55" i="1"/>
  <c r="AK55" i="1" s="1"/>
  <c r="AM55" i="1" s="1"/>
  <c r="AI32" i="1"/>
  <c r="AK32" i="1" s="1"/>
  <c r="AM32" i="1" s="1"/>
  <c r="AI4" i="1"/>
  <c r="AK4" i="1" s="1"/>
  <c r="AM4" i="1" s="1"/>
  <c r="AJ346" i="1"/>
  <c r="AJ105" i="1"/>
  <c r="AJ303" i="1"/>
  <c r="AJ291" i="1"/>
  <c r="AJ267" i="1"/>
  <c r="AJ255" i="1"/>
  <c r="AK255" i="1"/>
  <c r="AM255" i="1" s="1"/>
  <c r="AJ231" i="1"/>
  <c r="AJ207" i="1"/>
  <c r="AK207" i="1"/>
  <c r="AM207" i="1" s="1"/>
  <c r="AJ195" i="1"/>
  <c r="AK171" i="1"/>
  <c r="AM171" i="1" s="1"/>
  <c r="AJ171" i="1"/>
  <c r="AJ159" i="1"/>
  <c r="AK147" i="1"/>
  <c r="AM147" i="1" s="1"/>
  <c r="AJ147" i="1"/>
  <c r="AK123" i="1"/>
  <c r="AM123" i="1" s="1"/>
  <c r="AJ123" i="1"/>
  <c r="AJ111" i="1"/>
  <c r="AI99" i="1"/>
  <c r="AK99" i="1" s="1"/>
  <c r="AM99" i="1" s="1"/>
  <c r="AJ99" i="1"/>
  <c r="AK75" i="1"/>
  <c r="AM75" i="1" s="1"/>
  <c r="AJ51" i="1"/>
  <c r="AI15" i="1"/>
  <c r="AK15" i="1"/>
  <c r="AM15" i="1" s="1"/>
  <c r="AI435" i="1"/>
  <c r="AI416" i="1"/>
  <c r="AK416" i="1" s="1"/>
  <c r="AM416" i="1" s="1"/>
  <c r="AI394" i="1"/>
  <c r="AK394" i="1" s="1"/>
  <c r="AM394" i="1" s="1"/>
  <c r="AI370" i="1"/>
  <c r="AK370" i="1" s="1"/>
  <c r="AM370" i="1" s="1"/>
  <c r="AI345" i="1"/>
  <c r="AK345" i="1" s="1"/>
  <c r="AM345" i="1" s="1"/>
  <c r="AI303" i="1"/>
  <c r="AK303" i="1" s="1"/>
  <c r="AM303" i="1" s="1"/>
  <c r="AI272" i="1"/>
  <c r="AK272" i="1" s="1"/>
  <c r="AM272" i="1" s="1"/>
  <c r="AI249" i="1"/>
  <c r="AI224" i="1"/>
  <c r="AK224" i="1" s="1"/>
  <c r="AM224" i="1" s="1"/>
  <c r="AI201" i="1"/>
  <c r="AK201" i="1" s="1"/>
  <c r="AM201" i="1" s="1"/>
  <c r="AI183" i="1"/>
  <c r="AK183" i="1" s="1"/>
  <c r="AM183" i="1" s="1"/>
  <c r="AI159" i="1"/>
  <c r="AK159" i="1" s="1"/>
  <c r="AM159" i="1" s="1"/>
  <c r="AI138" i="1"/>
  <c r="AK138" i="1" s="1"/>
  <c r="AM138" i="1" s="1"/>
  <c r="AI118" i="1"/>
  <c r="AK118" i="1" s="1"/>
  <c r="AM118" i="1" s="1"/>
  <c r="AI88" i="1"/>
  <c r="AK88" i="1" s="1"/>
  <c r="AM88" i="1" s="1"/>
  <c r="AI53" i="1"/>
  <c r="AK53" i="1" s="1"/>
  <c r="AM53" i="1" s="1"/>
  <c r="AJ3" i="1"/>
  <c r="AJ345" i="1"/>
  <c r="AJ225" i="1"/>
  <c r="AJ104" i="1"/>
  <c r="AK358" i="1"/>
  <c r="AM358" i="1" s="1"/>
  <c r="AJ446" i="1"/>
  <c r="AK446" i="1"/>
  <c r="AM446" i="1" s="1"/>
  <c r="AJ398" i="1"/>
  <c r="AK398" i="1"/>
  <c r="AM398" i="1" s="1"/>
  <c r="AJ194" i="1"/>
  <c r="AK194" i="1"/>
  <c r="AM194" i="1" s="1"/>
  <c r="AJ182" i="1"/>
  <c r="AJ170" i="1"/>
  <c r="AK170" i="1"/>
  <c r="AM170" i="1" s="1"/>
  <c r="AJ158" i="1"/>
  <c r="AJ134" i="1"/>
  <c r="AJ122" i="1"/>
  <c r="AK122" i="1"/>
  <c r="AM122" i="1" s="1"/>
  <c r="AJ110" i="1"/>
  <c r="AK110" i="1"/>
  <c r="AM110" i="1" s="1"/>
  <c r="AI98" i="1"/>
  <c r="AJ98" i="1"/>
  <c r="AK98" i="1"/>
  <c r="AM98" i="1" s="1"/>
  <c r="AK74" i="1"/>
  <c r="AM74" i="1" s="1"/>
  <c r="AJ38" i="1"/>
  <c r="AK38" i="1"/>
  <c r="AM38" i="1" s="1"/>
  <c r="AK26" i="1"/>
  <c r="AM26" i="1" s="1"/>
  <c r="AJ14" i="1"/>
  <c r="AI414" i="1"/>
  <c r="AK414" i="1" s="1"/>
  <c r="AM414" i="1" s="1"/>
  <c r="AI393" i="1"/>
  <c r="AK393" i="1" s="1"/>
  <c r="AM393" i="1" s="1"/>
  <c r="AI369" i="1"/>
  <c r="AK369" i="1" s="1"/>
  <c r="AM369" i="1" s="1"/>
  <c r="AI344" i="1"/>
  <c r="AK344" i="1" s="1"/>
  <c r="AM344" i="1" s="1"/>
  <c r="AI321" i="1"/>
  <c r="AK321" i="1" s="1"/>
  <c r="AM321" i="1" s="1"/>
  <c r="AI302" i="1"/>
  <c r="AK302" i="1" s="1"/>
  <c r="AM302" i="1" s="1"/>
  <c r="AI270" i="1"/>
  <c r="AK270" i="1" s="1"/>
  <c r="AM270" i="1" s="1"/>
  <c r="AI248" i="1"/>
  <c r="AK248" i="1" s="1"/>
  <c r="AM248" i="1" s="1"/>
  <c r="AI222" i="1"/>
  <c r="AK222" i="1" s="1"/>
  <c r="AM222" i="1" s="1"/>
  <c r="AI200" i="1"/>
  <c r="AK200" i="1" s="1"/>
  <c r="AM200" i="1" s="1"/>
  <c r="AI182" i="1"/>
  <c r="AK182" i="1" s="1"/>
  <c r="AM182" i="1" s="1"/>
  <c r="AI158" i="1"/>
  <c r="AK158" i="1" s="1"/>
  <c r="AM158" i="1" s="1"/>
  <c r="AI137" i="1"/>
  <c r="AK137" i="1" s="1"/>
  <c r="AM137" i="1" s="1"/>
  <c r="AI117" i="1"/>
  <c r="AK117" i="1" s="1"/>
  <c r="AM117" i="1" s="1"/>
  <c r="AI87" i="1"/>
  <c r="AK87" i="1" s="1"/>
  <c r="AM87" i="1" s="1"/>
  <c r="AI52" i="1"/>
  <c r="AK52" i="1" s="1"/>
  <c r="AM52" i="1" s="1"/>
  <c r="AI22" i="1"/>
  <c r="AK22" i="1" s="1"/>
  <c r="AM22" i="1" s="1"/>
  <c r="AJ459" i="1"/>
  <c r="AJ330" i="1"/>
  <c r="AJ92" i="1"/>
  <c r="AK447" i="1"/>
  <c r="AM447" i="1" s="1"/>
  <c r="AJ422" i="1"/>
  <c r="AK422" i="1"/>
  <c r="AM422" i="1" s="1"/>
  <c r="AJ374" i="1"/>
  <c r="AK326" i="1"/>
  <c r="AM326" i="1" s="1"/>
  <c r="AJ457" i="1"/>
  <c r="AK457" i="1"/>
  <c r="AM457" i="1" s="1"/>
  <c r="AJ409" i="1"/>
  <c r="AK373" i="1"/>
  <c r="AM373" i="1" s="1"/>
  <c r="AJ85" i="1"/>
  <c r="AJ61" i="1"/>
  <c r="AI430" i="1"/>
  <c r="AK430" i="1" s="1"/>
  <c r="AM430" i="1" s="1"/>
  <c r="AI411" i="1"/>
  <c r="AK411" i="1" s="1"/>
  <c r="AM411" i="1" s="1"/>
  <c r="AI392" i="1"/>
  <c r="AK392" i="1" s="1"/>
  <c r="AM392" i="1" s="1"/>
  <c r="AI368" i="1"/>
  <c r="AK368" i="1" s="1"/>
  <c r="AM368" i="1" s="1"/>
  <c r="AI342" i="1"/>
  <c r="AK342" i="1" s="1"/>
  <c r="AM342" i="1" s="1"/>
  <c r="AI320" i="1"/>
  <c r="AK320" i="1" s="1"/>
  <c r="AM320" i="1" s="1"/>
  <c r="AI294" i="1"/>
  <c r="AK294" i="1" s="1"/>
  <c r="AM294" i="1" s="1"/>
  <c r="AI268" i="1"/>
  <c r="AK268" i="1" s="1"/>
  <c r="AM268" i="1" s="1"/>
  <c r="AI246" i="1"/>
  <c r="AK246" i="1" s="1"/>
  <c r="AM246" i="1" s="1"/>
  <c r="AI221" i="1"/>
  <c r="AK221" i="1" s="1"/>
  <c r="AM221" i="1" s="1"/>
  <c r="AI198" i="1"/>
  <c r="AK198" i="1" s="1"/>
  <c r="AM198" i="1" s="1"/>
  <c r="AI177" i="1"/>
  <c r="AK177" i="1" s="1"/>
  <c r="AM177" i="1" s="1"/>
  <c r="AI150" i="1"/>
  <c r="AK150" i="1" s="1"/>
  <c r="AM150" i="1" s="1"/>
  <c r="AI136" i="1"/>
  <c r="AK136" i="1" s="1"/>
  <c r="AM136" i="1" s="1"/>
  <c r="AI116" i="1"/>
  <c r="AK116" i="1" s="1"/>
  <c r="AM116" i="1" s="1"/>
  <c r="AI82" i="1"/>
  <c r="AK82" i="1" s="1"/>
  <c r="AM82" i="1" s="1"/>
  <c r="AI51" i="1"/>
  <c r="AK51" i="1" s="1"/>
  <c r="AM51" i="1" s="1"/>
  <c r="AI21" i="1"/>
  <c r="AK21" i="1" s="1"/>
  <c r="AM21" i="1" s="1"/>
  <c r="AJ450" i="1"/>
  <c r="AJ326" i="1"/>
  <c r="AK396" i="1"/>
  <c r="AM396" i="1" s="1"/>
  <c r="AK372" i="1"/>
  <c r="AM372" i="1" s="1"/>
  <c r="AK228" i="1"/>
  <c r="AM228" i="1" s="1"/>
  <c r="AK144" i="1"/>
  <c r="AM144" i="1" s="1"/>
  <c r="AJ84" i="1"/>
  <c r="AI452" i="1"/>
  <c r="AK452" i="1" s="1"/>
  <c r="AM452" i="1" s="1"/>
  <c r="AI429" i="1"/>
  <c r="AK429" i="1" s="1"/>
  <c r="AM429" i="1" s="1"/>
  <c r="AI390" i="1"/>
  <c r="AK390" i="1" s="1"/>
  <c r="AM390" i="1" s="1"/>
  <c r="AI366" i="1"/>
  <c r="AK366" i="1" s="1"/>
  <c r="AM366" i="1" s="1"/>
  <c r="AI341" i="1"/>
  <c r="AK341" i="1" s="1"/>
  <c r="AM341" i="1" s="1"/>
  <c r="AI318" i="1"/>
  <c r="AK318" i="1" s="1"/>
  <c r="AM318" i="1" s="1"/>
  <c r="AI291" i="1"/>
  <c r="AK291" i="1" s="1"/>
  <c r="AM291" i="1" s="1"/>
  <c r="AI267" i="1"/>
  <c r="AK267" i="1" s="1"/>
  <c r="AM267" i="1" s="1"/>
  <c r="AI242" i="1"/>
  <c r="AK242" i="1" s="1"/>
  <c r="AM242" i="1" s="1"/>
  <c r="AI220" i="1"/>
  <c r="AK220" i="1" s="1"/>
  <c r="AM220" i="1" s="1"/>
  <c r="AI196" i="1"/>
  <c r="AK196" i="1" s="1"/>
  <c r="AM196" i="1" s="1"/>
  <c r="AI176" i="1"/>
  <c r="AK176" i="1" s="1"/>
  <c r="AM176" i="1" s="1"/>
  <c r="AI149" i="1"/>
  <c r="AK149" i="1" s="1"/>
  <c r="AM149" i="1" s="1"/>
  <c r="AI135" i="1"/>
  <c r="AK135" i="1" s="1"/>
  <c r="AM135" i="1" s="1"/>
  <c r="AI114" i="1"/>
  <c r="AK114" i="1" s="1"/>
  <c r="AM114" i="1" s="1"/>
  <c r="AI81" i="1"/>
  <c r="AK81" i="1" s="1"/>
  <c r="AM81" i="1" s="1"/>
  <c r="AI46" i="1"/>
  <c r="AK46" i="1" s="1"/>
  <c r="AM46" i="1" s="1"/>
  <c r="AI20" i="1"/>
  <c r="AK20" i="1" s="1"/>
  <c r="AM20" i="1" s="1"/>
  <c r="AJ440" i="1"/>
  <c r="AJ318" i="1"/>
  <c r="AJ189" i="1"/>
  <c r="AJ82" i="1"/>
  <c r="AK249" i="1"/>
  <c r="AM249" i="1" s="1"/>
  <c r="AJ458" i="1"/>
  <c r="AK458" i="1"/>
  <c r="AM458" i="1" s="1"/>
  <c r="AJ434" i="1"/>
  <c r="AK434" i="1"/>
  <c r="AM434" i="1" s="1"/>
  <c r="AJ410" i="1"/>
  <c r="AK410" i="1"/>
  <c r="AM410" i="1" s="1"/>
  <c r="AJ338" i="1"/>
  <c r="AK338" i="1"/>
  <c r="AM338" i="1" s="1"/>
  <c r="AJ314" i="1"/>
  <c r="AK314" i="1"/>
  <c r="AM314" i="1" s="1"/>
  <c r="AK456" i="1"/>
  <c r="AM456" i="1" s="1"/>
  <c r="AK227" i="1"/>
  <c r="AM227" i="1" s="1"/>
  <c r="AK143" i="1"/>
  <c r="AM143" i="1" s="1"/>
  <c r="AI450" i="1"/>
  <c r="AK450" i="1" s="1"/>
  <c r="AM450" i="1" s="1"/>
  <c r="AI428" i="1"/>
  <c r="AK428" i="1" s="1"/>
  <c r="AM428" i="1" s="1"/>
  <c r="AI406" i="1"/>
  <c r="AK406" i="1" s="1"/>
  <c r="AM406" i="1" s="1"/>
  <c r="AI386" i="1"/>
  <c r="AK386" i="1" s="1"/>
  <c r="AM386" i="1" s="1"/>
  <c r="AI340" i="1"/>
  <c r="AK340" i="1" s="1"/>
  <c r="AM340" i="1" s="1"/>
  <c r="AI317" i="1"/>
  <c r="AK317" i="1" s="1"/>
  <c r="AM317" i="1" s="1"/>
  <c r="AI290" i="1"/>
  <c r="AK290" i="1" s="1"/>
  <c r="AM290" i="1" s="1"/>
  <c r="AI266" i="1"/>
  <c r="AK266" i="1" s="1"/>
  <c r="AM266" i="1" s="1"/>
  <c r="AI238" i="1"/>
  <c r="AK238" i="1" s="1"/>
  <c r="AM238" i="1" s="1"/>
  <c r="AI195" i="1"/>
  <c r="AK195" i="1" s="1"/>
  <c r="AM195" i="1" s="1"/>
  <c r="AI174" i="1"/>
  <c r="AK174" i="1" s="1"/>
  <c r="AM174" i="1" s="1"/>
  <c r="AI148" i="1"/>
  <c r="AK148" i="1" s="1"/>
  <c r="AM148" i="1" s="1"/>
  <c r="AI134" i="1"/>
  <c r="AK134" i="1" s="1"/>
  <c r="AM134" i="1" s="1"/>
  <c r="AI111" i="1"/>
  <c r="AK111" i="1" s="1"/>
  <c r="AM111" i="1" s="1"/>
  <c r="AI80" i="1"/>
  <c r="AK80" i="1" s="1"/>
  <c r="AM80" i="1" s="1"/>
  <c r="AI45" i="1"/>
  <c r="AK45" i="1" s="1"/>
  <c r="AM45" i="1" s="1"/>
  <c r="AI19" i="1"/>
  <c r="AK19" i="1" s="1"/>
  <c r="AM19" i="1" s="1"/>
  <c r="AJ426" i="1"/>
  <c r="AJ308" i="1"/>
  <c r="AJ174" i="1"/>
  <c r="AJ66" i="1"/>
  <c r="AK435" i="1"/>
  <c r="AM435" i="1" s="1"/>
  <c r="AK339" i="1"/>
  <c r="AM339" i="1" s="1"/>
  <c r="AI445" i="1"/>
  <c r="AK445" i="1" s="1"/>
  <c r="AM445" i="1" s="1"/>
  <c r="AJ445" i="1"/>
  <c r="AJ433" i="1"/>
  <c r="AI433" i="1"/>
  <c r="AK433" i="1" s="1"/>
  <c r="AM433" i="1" s="1"/>
  <c r="AJ421" i="1"/>
  <c r="AI421" i="1"/>
  <c r="AK421" i="1" s="1"/>
  <c r="AM421" i="1" s="1"/>
  <c r="AJ397" i="1"/>
  <c r="AI397" i="1"/>
  <c r="AK397" i="1" s="1"/>
  <c r="AM397" i="1" s="1"/>
  <c r="AJ385" i="1"/>
  <c r="AI385" i="1"/>
  <c r="AK385" i="1" s="1"/>
  <c r="AM385" i="1" s="1"/>
  <c r="AJ373" i="1"/>
  <c r="AI361" i="1"/>
  <c r="AK361" i="1" s="1"/>
  <c r="AM361" i="1" s="1"/>
  <c r="AJ361" i="1"/>
  <c r="AI349" i="1"/>
  <c r="AK349" i="1" s="1"/>
  <c r="AM349" i="1" s="1"/>
  <c r="AJ349" i="1"/>
  <c r="AJ337" i="1"/>
  <c r="AI337" i="1"/>
  <c r="AK337" i="1" s="1"/>
  <c r="AM337" i="1" s="1"/>
  <c r="AJ325" i="1"/>
  <c r="AI325" i="1"/>
  <c r="AK325" i="1" s="1"/>
  <c r="AM325" i="1" s="1"/>
  <c r="AI313" i="1"/>
  <c r="AK313" i="1" s="1"/>
  <c r="AM313" i="1" s="1"/>
  <c r="AJ313" i="1"/>
  <c r="AJ301" i="1"/>
  <c r="AI301" i="1"/>
  <c r="AK301" i="1" s="1"/>
  <c r="AM301" i="1" s="1"/>
  <c r="AJ289" i="1"/>
  <c r="AI289" i="1"/>
  <c r="AK289" i="1" s="1"/>
  <c r="AM289" i="1" s="1"/>
  <c r="AJ277" i="1"/>
  <c r="AI277" i="1"/>
  <c r="AK277" i="1" s="1"/>
  <c r="AM277" i="1" s="1"/>
  <c r="AI265" i="1"/>
  <c r="AK265" i="1" s="1"/>
  <c r="AM265" i="1" s="1"/>
  <c r="AJ265" i="1"/>
  <c r="AI253" i="1"/>
  <c r="AK253" i="1" s="1"/>
  <c r="AM253" i="1" s="1"/>
  <c r="AJ253" i="1"/>
  <c r="AJ241" i="1"/>
  <c r="AI241" i="1"/>
  <c r="AK241" i="1" s="1"/>
  <c r="AM241" i="1" s="1"/>
  <c r="AJ229" i="1"/>
  <c r="AI229" i="1"/>
  <c r="AK229" i="1" s="1"/>
  <c r="AM229" i="1" s="1"/>
  <c r="AI217" i="1"/>
  <c r="AK217" i="1" s="1"/>
  <c r="AM217" i="1" s="1"/>
  <c r="AJ217" i="1"/>
  <c r="AI205" i="1"/>
  <c r="AK205" i="1" s="1"/>
  <c r="AM205" i="1" s="1"/>
  <c r="AJ205" i="1"/>
  <c r="AJ193" i="1"/>
  <c r="AI193" i="1"/>
  <c r="AK193" i="1" s="1"/>
  <c r="AM193" i="1" s="1"/>
  <c r="AJ181" i="1"/>
  <c r="AI181" i="1"/>
  <c r="AK181" i="1" s="1"/>
  <c r="AM181" i="1" s="1"/>
  <c r="AJ169" i="1"/>
  <c r="AI169" i="1"/>
  <c r="AK169" i="1" s="1"/>
  <c r="AM169" i="1" s="1"/>
  <c r="AJ157" i="1"/>
  <c r="AI157" i="1"/>
  <c r="AK157" i="1" s="1"/>
  <c r="AM157" i="1" s="1"/>
  <c r="AI145" i="1"/>
  <c r="AK145" i="1" s="1"/>
  <c r="AM145" i="1" s="1"/>
  <c r="AJ145" i="1"/>
  <c r="AJ133" i="1"/>
  <c r="AI133" i="1"/>
  <c r="AK133" i="1" s="1"/>
  <c r="AM133" i="1" s="1"/>
  <c r="AJ121" i="1"/>
  <c r="AI121" i="1"/>
  <c r="AK121" i="1" s="1"/>
  <c r="AM121" i="1" s="1"/>
  <c r="AJ109" i="1"/>
  <c r="AI109" i="1"/>
  <c r="AK109" i="1" s="1"/>
  <c r="AM109" i="1" s="1"/>
  <c r="AJ97" i="1"/>
  <c r="AI85" i="1"/>
  <c r="AK85" i="1" s="1"/>
  <c r="AM85" i="1" s="1"/>
  <c r="AJ73" i="1"/>
  <c r="AI73" i="1"/>
  <c r="AK73" i="1" s="1"/>
  <c r="AM73" i="1" s="1"/>
  <c r="AI61" i="1"/>
  <c r="AK61" i="1" s="1"/>
  <c r="AM61" i="1" s="1"/>
  <c r="AJ49" i="1"/>
  <c r="AI49" i="1"/>
  <c r="AK49" i="1" s="1"/>
  <c r="AM49" i="1" s="1"/>
  <c r="AI37" i="1"/>
  <c r="AK37" i="1" s="1"/>
  <c r="AM37" i="1" s="1"/>
  <c r="AJ37" i="1"/>
  <c r="AJ25" i="1"/>
  <c r="AI25" i="1"/>
  <c r="AK25" i="1" s="1"/>
  <c r="AM25" i="1" s="1"/>
  <c r="AI13" i="1"/>
  <c r="AK13" i="1" s="1"/>
  <c r="AM13" i="1" s="1"/>
  <c r="AJ13" i="1"/>
  <c r="AI97" i="1"/>
  <c r="AK97" i="1" s="1"/>
  <c r="AM97" i="1" s="1"/>
  <c r="AJ456" i="1"/>
  <c r="AJ444" i="1"/>
  <c r="AI444" i="1"/>
  <c r="AK444" i="1" s="1"/>
  <c r="AM444" i="1" s="1"/>
  <c r="AJ432" i="1"/>
  <c r="AI432" i="1"/>
  <c r="AK432" i="1" s="1"/>
  <c r="AM432" i="1" s="1"/>
  <c r="AI420" i="1"/>
  <c r="AK420" i="1" s="1"/>
  <c r="AM420" i="1" s="1"/>
  <c r="AJ420" i="1"/>
  <c r="AJ396" i="1"/>
  <c r="AJ384" i="1"/>
  <c r="AI384" i="1"/>
  <c r="AK384" i="1" s="1"/>
  <c r="AM384" i="1" s="1"/>
  <c r="AJ372" i="1"/>
  <c r="AJ360" i="1"/>
  <c r="AI360" i="1"/>
  <c r="AK360" i="1" s="1"/>
  <c r="AM360" i="1" s="1"/>
  <c r="AI348" i="1"/>
  <c r="AK348" i="1" s="1"/>
  <c r="AM348" i="1" s="1"/>
  <c r="AJ348" i="1"/>
  <c r="AJ336" i="1"/>
  <c r="AI336" i="1"/>
  <c r="AK336" i="1" s="1"/>
  <c r="AM336" i="1" s="1"/>
  <c r="AJ324" i="1"/>
  <c r="AI324" i="1"/>
  <c r="AK324" i="1" s="1"/>
  <c r="AM324" i="1" s="1"/>
  <c r="AJ312" i="1"/>
  <c r="AI312" i="1"/>
  <c r="AK312" i="1" s="1"/>
  <c r="AM312" i="1" s="1"/>
  <c r="AI300" i="1"/>
  <c r="AK300" i="1" s="1"/>
  <c r="AM300" i="1" s="1"/>
  <c r="AJ300" i="1"/>
  <c r="AJ288" i="1"/>
  <c r="AJ276" i="1"/>
  <c r="AI276" i="1"/>
  <c r="AK276" i="1" s="1"/>
  <c r="AM276" i="1" s="1"/>
  <c r="AJ264" i="1"/>
  <c r="AI252" i="1"/>
  <c r="AK252" i="1" s="1"/>
  <c r="AM252" i="1" s="1"/>
  <c r="AJ252" i="1"/>
  <c r="AJ240" i="1"/>
  <c r="AI240" i="1"/>
  <c r="AK240" i="1" s="1"/>
  <c r="AM240" i="1" s="1"/>
  <c r="AJ228" i="1"/>
  <c r="AJ216" i="1"/>
  <c r="AI216" i="1"/>
  <c r="AK216" i="1" s="1"/>
  <c r="AM216" i="1" s="1"/>
  <c r="AI204" i="1"/>
  <c r="AK204" i="1" s="1"/>
  <c r="AM204" i="1" s="1"/>
  <c r="AJ204" i="1"/>
  <c r="AI192" i="1"/>
  <c r="AK192" i="1" s="1"/>
  <c r="AM192" i="1" s="1"/>
  <c r="AJ192" i="1"/>
  <c r="AJ180" i="1"/>
  <c r="AI180" i="1"/>
  <c r="AK180" i="1" s="1"/>
  <c r="AM180" i="1" s="1"/>
  <c r="AJ168" i="1"/>
  <c r="AI168" i="1"/>
  <c r="AK168" i="1" s="1"/>
  <c r="AM168" i="1" s="1"/>
  <c r="AJ156" i="1"/>
  <c r="AI156" i="1"/>
  <c r="AK156" i="1" s="1"/>
  <c r="AM156" i="1" s="1"/>
  <c r="AJ144" i="1"/>
  <c r="AI132" i="1"/>
  <c r="AK132" i="1" s="1"/>
  <c r="AM132" i="1" s="1"/>
  <c r="AJ132" i="1"/>
  <c r="AJ120" i="1"/>
  <c r="AI120" i="1"/>
  <c r="AK120" i="1" s="1"/>
  <c r="AM120" i="1" s="1"/>
  <c r="AJ108" i="1"/>
  <c r="AI108" i="1"/>
  <c r="AK108" i="1" s="1"/>
  <c r="AM108" i="1" s="1"/>
  <c r="AJ96" i="1"/>
  <c r="AI84" i="1"/>
  <c r="AK84" i="1" s="1"/>
  <c r="AM84" i="1" s="1"/>
  <c r="AJ72" i="1"/>
  <c r="AI72" i="1"/>
  <c r="AK72" i="1" s="1"/>
  <c r="AM72" i="1" s="1"/>
  <c r="AJ60" i="1"/>
  <c r="AI60" i="1"/>
  <c r="AK60" i="1" s="1"/>
  <c r="AM60" i="1" s="1"/>
  <c r="AJ48" i="1"/>
  <c r="AI48" i="1"/>
  <c r="AK48" i="1" s="1"/>
  <c r="AM48" i="1" s="1"/>
  <c r="AJ36" i="1"/>
  <c r="AI36" i="1"/>
  <c r="AK36" i="1" s="1"/>
  <c r="AM36" i="1" s="1"/>
  <c r="AI24" i="1"/>
  <c r="AK24" i="1" s="1"/>
  <c r="AJ24" i="1"/>
  <c r="AJ12" i="1"/>
  <c r="AI12" i="1"/>
  <c r="AK12" i="1" s="1"/>
  <c r="AM12" i="1" s="1"/>
  <c r="AI96" i="1"/>
  <c r="AK96" i="1" s="1"/>
  <c r="AM96" i="1" s="1"/>
  <c r="AJ455" i="1"/>
  <c r="AI455" i="1"/>
  <c r="AK455" i="1" s="1"/>
  <c r="AM455" i="1" s="1"/>
  <c r="AJ443" i="1"/>
  <c r="AI443" i="1"/>
  <c r="AK443" i="1" s="1"/>
  <c r="AM443" i="1" s="1"/>
  <c r="AJ431" i="1"/>
  <c r="AI431" i="1"/>
  <c r="AK431" i="1" s="1"/>
  <c r="AM431" i="1" s="1"/>
  <c r="AI419" i="1"/>
  <c r="AK419" i="1" s="1"/>
  <c r="AM419" i="1" s="1"/>
  <c r="AJ419" i="1"/>
  <c r="AI407" i="1"/>
  <c r="AK407" i="1" s="1"/>
  <c r="AM407" i="1" s="1"/>
  <c r="AJ407" i="1"/>
  <c r="AJ395" i="1"/>
  <c r="AJ383" i="1"/>
  <c r="AI383" i="1"/>
  <c r="AK383" i="1" s="1"/>
  <c r="AM383" i="1" s="1"/>
  <c r="AJ371" i="1"/>
  <c r="AI371" i="1"/>
  <c r="AK371" i="1" s="1"/>
  <c r="AM371" i="1" s="1"/>
  <c r="AJ359" i="1"/>
  <c r="AI359" i="1"/>
  <c r="AK359" i="1" s="1"/>
  <c r="AM359" i="1" s="1"/>
  <c r="AJ347" i="1"/>
  <c r="AI347" i="1"/>
  <c r="AK347" i="1" s="1"/>
  <c r="AM347" i="1" s="1"/>
  <c r="AJ335" i="1"/>
  <c r="AI335" i="1"/>
  <c r="AK335" i="1" s="1"/>
  <c r="AM335" i="1" s="1"/>
  <c r="AI323" i="1"/>
  <c r="AK323" i="1" s="1"/>
  <c r="AM323" i="1" s="1"/>
  <c r="AJ323" i="1"/>
  <c r="AJ311" i="1"/>
  <c r="AI311" i="1"/>
  <c r="AK311" i="1" s="1"/>
  <c r="AM311" i="1" s="1"/>
  <c r="AJ299" i="1"/>
  <c r="AI299" i="1"/>
  <c r="AK299" i="1" s="1"/>
  <c r="AM299" i="1" s="1"/>
  <c r="AJ287" i="1"/>
  <c r="AJ275" i="1"/>
  <c r="AI275" i="1"/>
  <c r="AK275" i="1" s="1"/>
  <c r="AM275" i="1" s="1"/>
  <c r="AJ263" i="1"/>
  <c r="AI263" i="1"/>
  <c r="AK263" i="1" s="1"/>
  <c r="AM263" i="1" s="1"/>
  <c r="AI251" i="1"/>
  <c r="AK251" i="1" s="1"/>
  <c r="AM251" i="1" s="1"/>
  <c r="AJ251" i="1"/>
  <c r="AJ239" i="1"/>
  <c r="AI239" i="1"/>
  <c r="AK239" i="1" s="1"/>
  <c r="AM239" i="1" s="1"/>
  <c r="AJ227" i="1"/>
  <c r="AJ215" i="1"/>
  <c r="AI215" i="1"/>
  <c r="AK215" i="1" s="1"/>
  <c r="AM215" i="1" s="1"/>
  <c r="AI203" i="1"/>
  <c r="AK203" i="1" s="1"/>
  <c r="AM203" i="1" s="1"/>
  <c r="AJ203" i="1"/>
  <c r="AI191" i="1"/>
  <c r="AK191" i="1" s="1"/>
  <c r="AM191" i="1" s="1"/>
  <c r="AJ191" i="1"/>
  <c r="AJ179" i="1"/>
  <c r="AI179" i="1"/>
  <c r="AK179" i="1" s="1"/>
  <c r="AM179" i="1" s="1"/>
  <c r="AJ167" i="1"/>
  <c r="AI167" i="1"/>
  <c r="AK167" i="1" s="1"/>
  <c r="AM167" i="1" s="1"/>
  <c r="AJ155" i="1"/>
  <c r="AI155" i="1"/>
  <c r="AK155" i="1" s="1"/>
  <c r="AM155" i="1" s="1"/>
  <c r="AJ143" i="1"/>
  <c r="AJ131" i="1"/>
  <c r="AI131" i="1"/>
  <c r="AK131" i="1" s="1"/>
  <c r="AM131" i="1" s="1"/>
  <c r="AJ119" i="1"/>
  <c r="AI119" i="1"/>
  <c r="AK119" i="1" s="1"/>
  <c r="AM119" i="1" s="1"/>
  <c r="AJ107" i="1"/>
  <c r="AI107" i="1"/>
  <c r="AK107" i="1" s="1"/>
  <c r="AM107" i="1" s="1"/>
  <c r="AJ95" i="1"/>
  <c r="AI95" i="1"/>
  <c r="AK95" i="1" s="1"/>
  <c r="AM95" i="1" s="1"/>
  <c r="AI83" i="1"/>
  <c r="AK83" i="1" s="1"/>
  <c r="AM83" i="1" s="1"/>
  <c r="AJ71" i="1"/>
  <c r="AI71" i="1"/>
  <c r="AK71" i="1" s="1"/>
  <c r="AM71" i="1" s="1"/>
  <c r="AJ59" i="1"/>
  <c r="AI59" i="1"/>
  <c r="AK59" i="1" s="1"/>
  <c r="AM59" i="1" s="1"/>
  <c r="AJ47" i="1"/>
  <c r="AI47" i="1"/>
  <c r="AK47" i="1" s="1"/>
  <c r="AM47" i="1" s="1"/>
  <c r="AJ35" i="1"/>
  <c r="AI35" i="1"/>
  <c r="AK35" i="1" s="1"/>
  <c r="AM35" i="1" s="1"/>
  <c r="AJ23" i="1"/>
  <c r="AI11" i="1"/>
  <c r="AK11" i="1" s="1"/>
  <c r="AM11" i="1" s="1"/>
  <c r="AJ11" i="1"/>
  <c r="AI409" i="1"/>
  <c r="AK409" i="1" s="1"/>
  <c r="AM409" i="1" s="1"/>
  <c r="AI408" i="1"/>
  <c r="AK408" i="1" s="1"/>
  <c r="AM408" i="1" s="1"/>
  <c r="AJ408" i="1"/>
  <c r="AI288" i="1"/>
  <c r="AK288" i="1" s="1"/>
  <c r="AM288" i="1" s="1"/>
  <c r="AI287" i="1"/>
  <c r="AK287" i="1" s="1"/>
  <c r="AM287" i="1" s="1"/>
  <c r="AI23" i="1"/>
  <c r="AK23" i="1" s="1"/>
  <c r="AM23" i="1" s="1"/>
  <c r="AI264" i="1"/>
  <c r="AK264" i="1" s="1"/>
  <c r="AM264" i="1" s="1"/>
  <c r="AJ451" i="1"/>
  <c r="AI451" i="1"/>
  <c r="AK451" i="1" s="1"/>
  <c r="AM451" i="1" s="1"/>
  <c r="AJ439" i="1"/>
  <c r="AI439" i="1"/>
  <c r="AK439" i="1" s="1"/>
  <c r="AM439" i="1" s="1"/>
  <c r="AJ427" i="1"/>
  <c r="AI427" i="1"/>
  <c r="AK427" i="1" s="1"/>
  <c r="AM427" i="1" s="1"/>
  <c r="AJ415" i="1"/>
  <c r="AI415" i="1"/>
  <c r="AK415" i="1" s="1"/>
  <c r="AM415" i="1" s="1"/>
  <c r="AJ403" i="1"/>
  <c r="AI403" i="1"/>
  <c r="AK403" i="1" s="1"/>
  <c r="AM403" i="1" s="1"/>
  <c r="AJ391" i="1"/>
  <c r="AI391" i="1"/>
  <c r="AK391" i="1" s="1"/>
  <c r="AM391" i="1" s="1"/>
  <c r="AJ379" i="1"/>
  <c r="AI379" i="1"/>
  <c r="AK379" i="1" s="1"/>
  <c r="AM379" i="1" s="1"/>
  <c r="AJ367" i="1"/>
  <c r="AI367" i="1"/>
  <c r="AK367" i="1" s="1"/>
  <c r="AM367" i="1" s="1"/>
  <c r="AJ355" i="1"/>
  <c r="AI355" i="1"/>
  <c r="AK355" i="1" s="1"/>
  <c r="AM355" i="1" s="1"/>
  <c r="AJ343" i="1"/>
  <c r="AI343" i="1"/>
  <c r="AK343" i="1" s="1"/>
  <c r="AM343" i="1" s="1"/>
  <c r="AJ331" i="1"/>
  <c r="AI331" i="1"/>
  <c r="AK331" i="1" s="1"/>
  <c r="AM331" i="1" s="1"/>
  <c r="AJ319" i="1"/>
  <c r="AI319" i="1"/>
  <c r="AK319" i="1" s="1"/>
  <c r="AM319" i="1" s="1"/>
  <c r="AJ307" i="1"/>
  <c r="AI307" i="1"/>
  <c r="AK307" i="1" s="1"/>
  <c r="AM307" i="1" s="1"/>
  <c r="AJ295" i="1"/>
  <c r="AI295" i="1"/>
  <c r="AK295" i="1" s="1"/>
  <c r="AM295" i="1" s="1"/>
  <c r="AJ283" i="1"/>
  <c r="AI283" i="1"/>
  <c r="AK283" i="1" s="1"/>
  <c r="AM283" i="1" s="1"/>
  <c r="AJ271" i="1"/>
  <c r="AI271" i="1"/>
  <c r="AK271" i="1" s="1"/>
  <c r="AM271" i="1" s="1"/>
  <c r="AJ259" i="1"/>
  <c r="AI259" i="1"/>
  <c r="AK259" i="1" s="1"/>
  <c r="AM259" i="1" s="1"/>
  <c r="AJ247" i="1"/>
  <c r="AI247" i="1"/>
  <c r="AK247" i="1" s="1"/>
  <c r="AM247" i="1" s="1"/>
  <c r="AJ235" i="1"/>
  <c r="AI235" i="1"/>
  <c r="AK235" i="1" s="1"/>
  <c r="AM235" i="1" s="1"/>
  <c r="AJ223" i="1"/>
  <c r="AI223" i="1"/>
  <c r="AK223" i="1" s="1"/>
  <c r="AM223" i="1" s="1"/>
  <c r="AJ211" i="1"/>
  <c r="AI211" i="1"/>
  <c r="AK211" i="1" s="1"/>
  <c r="AM211" i="1" s="1"/>
  <c r="AJ199" i="1"/>
  <c r="AI199" i="1"/>
  <c r="AK199" i="1" s="1"/>
  <c r="AM199" i="1" s="1"/>
  <c r="AJ187" i="1"/>
  <c r="AI187" i="1"/>
  <c r="AK187" i="1" s="1"/>
  <c r="AM187" i="1" s="1"/>
  <c r="AJ175" i="1"/>
  <c r="AI175" i="1"/>
  <c r="AK175" i="1" s="1"/>
  <c r="AM175" i="1" s="1"/>
  <c r="AJ163" i="1"/>
  <c r="AI163" i="1"/>
  <c r="AK163" i="1" s="1"/>
  <c r="AM163" i="1" s="1"/>
  <c r="AJ151" i="1"/>
  <c r="AI151" i="1"/>
  <c r="AK151" i="1" s="1"/>
  <c r="AM151" i="1" s="1"/>
  <c r="AJ139" i="1"/>
  <c r="AI139" i="1"/>
  <c r="AK139" i="1" s="1"/>
  <c r="AM139" i="1" s="1"/>
  <c r="AJ127" i="1"/>
  <c r="AI127" i="1"/>
  <c r="AK127" i="1" s="1"/>
  <c r="AM127" i="1" s="1"/>
  <c r="AJ115" i="1"/>
  <c r="AI115" i="1"/>
  <c r="AK115" i="1" s="1"/>
  <c r="AM115" i="1" s="1"/>
  <c r="AJ103" i="1"/>
  <c r="AI103" i="1"/>
  <c r="AK103" i="1" s="1"/>
  <c r="AM103" i="1" s="1"/>
  <c r="AJ91" i="1"/>
  <c r="AJ43" i="1"/>
  <c r="AI43" i="1"/>
  <c r="AK43" i="1" s="1"/>
  <c r="AM43" i="1" s="1"/>
  <c r="AI91" i="1"/>
  <c r="AK91" i="1" s="1"/>
  <c r="AM91" i="1" s="1"/>
  <c r="AI413" i="1"/>
  <c r="AK413" i="1" s="1"/>
  <c r="AM413" i="1" s="1"/>
  <c r="AJ413" i="1"/>
  <c r="AI401" i="1"/>
  <c r="AK401" i="1" s="1"/>
  <c r="AM401" i="1" s="1"/>
  <c r="AJ389" i="1"/>
  <c r="AI389" i="1"/>
  <c r="AK389" i="1" s="1"/>
  <c r="AM389" i="1" s="1"/>
  <c r="AJ257" i="1"/>
  <c r="AI257" i="1"/>
  <c r="AK257" i="1" s="1"/>
  <c r="AM257" i="1" s="1"/>
  <c r="AJ245" i="1"/>
  <c r="AI245" i="1"/>
  <c r="AK245" i="1" s="1"/>
  <c r="AM245" i="1" s="1"/>
  <c r="AJ233" i="1"/>
  <c r="AI113" i="1"/>
  <c r="AK113" i="1" s="1"/>
  <c r="AM113" i="1" s="1"/>
  <c r="AJ101" i="1"/>
  <c r="AI89" i="1"/>
  <c r="AK89" i="1" s="1"/>
  <c r="AM89" i="1" s="1"/>
  <c r="AJ89" i="1"/>
  <c r="AI41" i="1"/>
  <c r="AK41" i="1" s="1"/>
  <c r="AM41" i="1" s="1"/>
  <c r="AJ41" i="1"/>
  <c r="AI29" i="1"/>
  <c r="AK29" i="1" s="1"/>
  <c r="AM29" i="1" s="1"/>
  <c r="AI67" i="1"/>
  <c r="AK67" i="1" s="1"/>
  <c r="AM67" i="1" s="1"/>
  <c r="AJ449" i="1"/>
  <c r="AI400" i="1"/>
  <c r="AK400" i="1" s="1"/>
  <c r="AM400" i="1" s="1"/>
  <c r="AJ400" i="1"/>
  <c r="AI388" i="1"/>
  <c r="AK388" i="1" s="1"/>
  <c r="AM388" i="1" s="1"/>
  <c r="AJ376" i="1"/>
  <c r="AI376" i="1"/>
  <c r="AK376" i="1" s="1"/>
  <c r="AM376" i="1" s="1"/>
  <c r="AJ340" i="1"/>
  <c r="AJ292" i="1"/>
  <c r="AJ256" i="1"/>
  <c r="AI256" i="1"/>
  <c r="AK256" i="1" s="1"/>
  <c r="AM256" i="1" s="1"/>
  <c r="AI244" i="1"/>
  <c r="AK244" i="1" s="1"/>
  <c r="AM244" i="1" s="1"/>
  <c r="AJ244" i="1"/>
  <c r="AJ232" i="1"/>
  <c r="AI232" i="1"/>
  <c r="AK232" i="1" s="1"/>
  <c r="AM232" i="1" s="1"/>
  <c r="AJ184" i="1"/>
  <c r="AJ136" i="1"/>
  <c r="AI100" i="1"/>
  <c r="AK100" i="1" s="1"/>
  <c r="AM100" i="1" s="1"/>
  <c r="AJ88" i="1"/>
  <c r="AI76" i="1"/>
  <c r="AK76" i="1" s="1"/>
  <c r="AM76" i="1" s="1"/>
  <c r="AJ76" i="1"/>
  <c r="AI28" i="1"/>
  <c r="AK28" i="1" s="1"/>
  <c r="AM28" i="1" s="1"/>
  <c r="AJ28" i="1"/>
  <c r="AI281" i="1"/>
  <c r="AK281" i="1" s="1"/>
  <c r="AM281" i="1" s="1"/>
  <c r="AI65" i="1"/>
  <c r="AK65" i="1" s="1"/>
  <c r="AM65" i="1" s="1"/>
  <c r="AI31" i="1"/>
  <c r="AK31" i="1" s="1"/>
  <c r="AM31" i="1" s="1"/>
  <c r="AJ77" i="1"/>
  <c r="AI387" i="1"/>
  <c r="AK387" i="1" s="1"/>
  <c r="AM387" i="1" s="1"/>
  <c r="AI375" i="1"/>
  <c r="AK375" i="1" s="1"/>
  <c r="AM375" i="1" s="1"/>
  <c r="AJ363" i="1"/>
  <c r="AI363" i="1"/>
  <c r="AK363" i="1" s="1"/>
  <c r="AM363" i="1" s="1"/>
  <c r="AI243" i="1"/>
  <c r="AK243" i="1" s="1"/>
  <c r="AM243" i="1" s="1"/>
  <c r="AJ243" i="1"/>
  <c r="AI231" i="1"/>
  <c r="AK231" i="1" s="1"/>
  <c r="AM231" i="1" s="1"/>
  <c r="AJ219" i="1"/>
  <c r="AI219" i="1"/>
  <c r="AK219" i="1" s="1"/>
  <c r="AM219" i="1" s="1"/>
  <c r="AJ183" i="1"/>
  <c r="AJ135" i="1"/>
  <c r="AJ87" i="1"/>
  <c r="AJ75" i="1"/>
  <c r="AI63" i="1"/>
  <c r="AK63" i="1" s="1"/>
  <c r="AM63" i="1" s="1"/>
  <c r="AJ63" i="1"/>
  <c r="AI27" i="1"/>
  <c r="AK27" i="1" s="1"/>
  <c r="AM27" i="1" s="1"/>
  <c r="AJ27" i="1"/>
  <c r="AI3" i="1"/>
  <c r="AI365" i="1"/>
  <c r="AK365" i="1" s="1"/>
  <c r="AM365" i="1" s="1"/>
  <c r="AI293" i="1"/>
  <c r="AK293" i="1" s="1"/>
  <c r="AM293" i="1" s="1"/>
  <c r="AI280" i="1"/>
  <c r="AK280" i="1" s="1"/>
  <c r="AM280" i="1" s="1"/>
  <c r="AI64" i="1"/>
  <c r="AK64" i="1" s="1"/>
  <c r="AM64" i="1" s="1"/>
  <c r="AJ280" i="1"/>
  <c r="AJ386" i="1"/>
  <c r="AI374" i="1"/>
  <c r="AK374" i="1" s="1"/>
  <c r="AM374" i="1" s="1"/>
  <c r="AI362" i="1"/>
  <c r="AK362" i="1" s="1"/>
  <c r="AM362" i="1" s="1"/>
  <c r="AJ350" i="1"/>
  <c r="AI350" i="1"/>
  <c r="AK350" i="1" s="1"/>
  <c r="AM350" i="1" s="1"/>
  <c r="AI230" i="1"/>
  <c r="AK230" i="1" s="1"/>
  <c r="AM230" i="1" s="1"/>
  <c r="AJ230" i="1"/>
  <c r="AI218" i="1"/>
  <c r="AK218" i="1" s="1"/>
  <c r="AM218" i="1" s="1"/>
  <c r="AJ206" i="1"/>
  <c r="AI206" i="1"/>
  <c r="AK206" i="1" s="1"/>
  <c r="AM206" i="1" s="1"/>
  <c r="AJ86" i="1"/>
  <c r="AI86" i="1"/>
  <c r="AK86" i="1" s="1"/>
  <c r="AM86" i="1" s="1"/>
  <c r="AJ74" i="1"/>
  <c r="AJ62" i="1"/>
  <c r="AI50" i="1"/>
  <c r="AK50" i="1" s="1"/>
  <c r="AM50" i="1" s="1"/>
  <c r="AJ50" i="1"/>
  <c r="AJ26" i="1"/>
  <c r="AI14" i="1"/>
  <c r="AK14" i="1" s="1"/>
  <c r="AM14" i="1" s="1"/>
  <c r="AI412" i="1"/>
  <c r="AK412" i="1" s="1"/>
  <c r="AM412" i="1" s="1"/>
  <c r="AI364" i="1"/>
  <c r="AK364" i="1" s="1"/>
  <c r="AM364" i="1" s="1"/>
  <c r="AI328" i="1"/>
  <c r="AK328" i="1" s="1"/>
  <c r="AM328" i="1" s="1"/>
  <c r="AI292" i="1"/>
  <c r="AK292" i="1" s="1"/>
  <c r="AM292" i="1" s="1"/>
  <c r="AI279" i="1"/>
  <c r="AK279" i="1" s="1"/>
  <c r="AM279" i="1" s="1"/>
  <c r="AI233" i="1"/>
  <c r="AK233" i="1" s="1"/>
  <c r="AM233" i="1" s="1"/>
  <c r="AI197" i="1"/>
  <c r="AK197" i="1" s="1"/>
  <c r="AM197" i="1" s="1"/>
  <c r="AI101" i="1"/>
  <c r="AK101" i="1" s="1"/>
  <c r="AM101" i="1" s="1"/>
  <c r="AI62" i="1"/>
  <c r="AK62" i="1" s="1"/>
  <c r="AM62" i="1" s="1"/>
  <c r="AI7" i="1"/>
  <c r="AK7" i="1" s="1"/>
  <c r="AM7" i="1" s="1"/>
  <c r="AJ388" i="1"/>
  <c r="AJ362" i="1"/>
  <c r="AJ279" i="1"/>
  <c r="AJ29" i="1"/>
  <c r="AJ442" i="1"/>
  <c r="AJ298" i="1"/>
  <c r="AJ154" i="1"/>
  <c r="AJ10" i="1"/>
  <c r="AI442" i="1"/>
  <c r="AK442" i="1" s="1"/>
  <c r="AM442" i="1" s="1"/>
  <c r="AI298" i="1"/>
  <c r="AK298" i="1" s="1"/>
  <c r="AM298" i="1" s="1"/>
  <c r="AI154" i="1"/>
  <c r="AK154" i="1" s="1"/>
  <c r="AM154" i="1" s="1"/>
  <c r="AI58" i="1"/>
  <c r="AK58" i="1" s="1"/>
  <c r="AM58" i="1" s="1"/>
  <c r="AJ322" i="1"/>
  <c r="AJ214" i="1"/>
  <c r="AJ166" i="1"/>
  <c r="AJ58" i="1"/>
  <c r="AJ429" i="1"/>
  <c r="AJ285" i="1"/>
  <c r="AJ141" i="1"/>
  <c r="AI454" i="1"/>
  <c r="AK454" i="1" s="1"/>
  <c r="AM454" i="1" s="1"/>
  <c r="AI441" i="1"/>
  <c r="AK441" i="1" s="1"/>
  <c r="AM441" i="1" s="1"/>
  <c r="AI310" i="1"/>
  <c r="AK310" i="1" s="1"/>
  <c r="AM310" i="1" s="1"/>
  <c r="AI297" i="1"/>
  <c r="AK297" i="1" s="1"/>
  <c r="AM297" i="1" s="1"/>
  <c r="AI166" i="1"/>
  <c r="AK166" i="1" s="1"/>
  <c r="AM166" i="1" s="1"/>
  <c r="AI153" i="1"/>
  <c r="AK153" i="1" s="1"/>
  <c r="AM153" i="1" s="1"/>
  <c r="AI57" i="1"/>
  <c r="AK57" i="1" s="1"/>
  <c r="AM57" i="1" s="1"/>
  <c r="AJ165" i="1"/>
  <c r="AJ57" i="1"/>
  <c r="AJ9" i="1"/>
  <c r="AJ416" i="1"/>
  <c r="AJ404" i="1"/>
  <c r="AJ272" i="1"/>
  <c r="AJ260" i="1"/>
  <c r="AJ128" i="1"/>
  <c r="AJ116" i="1"/>
  <c r="AI440" i="1"/>
  <c r="AK440" i="1" s="1"/>
  <c r="AM440" i="1" s="1"/>
  <c r="AI296" i="1"/>
  <c r="AK296" i="1" s="1"/>
  <c r="AM296" i="1" s="1"/>
  <c r="AI152" i="1"/>
  <c r="AK152" i="1" s="1"/>
  <c r="AM152" i="1" s="1"/>
  <c r="AI56" i="1"/>
  <c r="AK56" i="1" s="1"/>
  <c r="AM56" i="1" s="1"/>
  <c r="AJ441" i="1"/>
  <c r="AJ368" i="1"/>
  <c r="AJ320" i="1"/>
  <c r="AJ212" i="1"/>
  <c r="AJ164" i="1"/>
  <c r="AJ56" i="1"/>
  <c r="AJ8" i="1"/>
  <c r="AK3" i="1" l="1"/>
  <c r="AM3" i="1" s="1"/>
  <c r="AM24" i="1"/>
  <c r="L508" i="3"/>
  <c r="M508" i="3" s="1"/>
  <c r="N508" i="3" s="1"/>
  <c r="L509" i="3"/>
  <c r="M509" i="3" s="1"/>
  <c r="N509" i="3" s="1"/>
  <c r="L510" i="3"/>
  <c r="M510" i="3" s="1"/>
  <c r="N510" i="3" s="1"/>
  <c r="L511" i="3"/>
  <c r="M511" i="3" s="1"/>
  <c r="N511" i="3" s="1"/>
  <c r="L512" i="3"/>
  <c r="M512" i="3" s="1"/>
  <c r="N512" i="3" s="1"/>
  <c r="L513" i="3"/>
  <c r="M513" i="3" s="1"/>
  <c r="N513" i="3" s="1"/>
  <c r="L514" i="3"/>
  <c r="M514" i="3" s="1"/>
  <c r="N514" i="3" s="1"/>
  <c r="L515" i="3"/>
  <c r="M515" i="3" s="1"/>
  <c r="N515" i="3" s="1"/>
  <c r="L516" i="3"/>
  <c r="M516" i="3" s="1"/>
  <c r="N516" i="3" s="1"/>
  <c r="L517" i="3"/>
  <c r="M517" i="3" s="1"/>
  <c r="N517" i="3" s="1"/>
  <c r="L518" i="3"/>
  <c r="M518" i="3" s="1"/>
  <c r="N518" i="3" s="1"/>
  <c r="L519" i="3"/>
  <c r="M519" i="3" s="1"/>
  <c r="N519" i="3" s="1"/>
  <c r="L520" i="3"/>
  <c r="M520" i="3" s="1"/>
  <c r="N520" i="3" s="1"/>
  <c r="L521" i="3"/>
  <c r="M521" i="3" s="1"/>
  <c r="N521" i="3" s="1"/>
  <c r="L522" i="3"/>
  <c r="M522" i="3" s="1"/>
  <c r="N522" i="3" s="1"/>
  <c r="L523" i="3"/>
  <c r="M523" i="3" s="1"/>
  <c r="N523" i="3" s="1"/>
  <c r="L524" i="3"/>
  <c r="M524" i="3" s="1"/>
  <c r="N524" i="3" s="1"/>
  <c r="L525" i="3"/>
  <c r="M525" i="3" s="1"/>
  <c r="N525" i="3" s="1"/>
  <c r="L526" i="3"/>
  <c r="M526" i="3" s="1"/>
  <c r="N526" i="3" s="1"/>
  <c r="L527" i="3"/>
  <c r="M527" i="3" s="1"/>
  <c r="N527" i="3" s="1"/>
  <c r="L528" i="3"/>
  <c r="M528" i="3" s="1"/>
  <c r="N528" i="3" s="1"/>
  <c r="L529" i="3"/>
  <c r="M529" i="3" s="1"/>
  <c r="N529" i="3" s="1"/>
  <c r="L530" i="3"/>
  <c r="M530" i="3" s="1"/>
  <c r="N530" i="3" s="1"/>
  <c r="L531" i="3"/>
  <c r="M531" i="3" s="1"/>
  <c r="N531" i="3" s="1"/>
  <c r="L532" i="3"/>
  <c r="M532" i="3" s="1"/>
  <c r="N532" i="3" s="1"/>
  <c r="L533" i="3"/>
  <c r="M533" i="3" s="1"/>
  <c r="N533" i="3" s="1"/>
  <c r="L534" i="3"/>
  <c r="M534" i="3" s="1"/>
  <c r="N534" i="3" s="1"/>
  <c r="L535" i="3"/>
  <c r="M535" i="3" s="1"/>
  <c r="N535" i="3" s="1"/>
  <c r="L536" i="3"/>
  <c r="M536" i="3" s="1"/>
  <c r="N536" i="3" s="1"/>
  <c r="L537" i="3"/>
  <c r="M537" i="3" s="1"/>
  <c r="L538" i="3"/>
  <c r="M538" i="3" s="1"/>
  <c r="N538" i="3" s="1"/>
  <c r="L539" i="3"/>
  <c r="M539" i="3" s="1"/>
  <c r="N539" i="3" s="1"/>
  <c r="L540" i="3"/>
  <c r="M540" i="3" s="1"/>
  <c r="N540" i="3" s="1"/>
  <c r="L541" i="3"/>
  <c r="M541" i="3" s="1"/>
  <c r="N541" i="3" s="1"/>
  <c r="L542" i="3"/>
  <c r="M542" i="3" s="1"/>
  <c r="N542" i="3" s="1"/>
  <c r="L543" i="3"/>
  <c r="M543" i="3" s="1"/>
  <c r="N543" i="3" s="1"/>
  <c r="L544" i="3"/>
  <c r="M544" i="3" s="1"/>
  <c r="N544" i="3" s="1"/>
  <c r="L545" i="3"/>
  <c r="M545" i="3" s="1"/>
  <c r="N545" i="3" s="1"/>
  <c r="L546" i="3"/>
  <c r="M546" i="3" s="1"/>
  <c r="N546" i="3" s="1"/>
  <c r="L547" i="3"/>
  <c r="M547" i="3" s="1"/>
  <c r="N547" i="3" s="1"/>
  <c r="L548" i="3"/>
  <c r="M548" i="3" s="1"/>
  <c r="N548" i="3" s="1"/>
  <c r="L549" i="3"/>
  <c r="M549" i="3" s="1"/>
  <c r="N549" i="3" s="1"/>
  <c r="L550" i="3"/>
  <c r="M550" i="3" s="1"/>
  <c r="N550" i="3" s="1"/>
  <c r="L551" i="3"/>
  <c r="M551" i="3" s="1"/>
  <c r="N551" i="3" s="1"/>
  <c r="L552" i="3"/>
  <c r="M552" i="3" s="1"/>
  <c r="N552" i="3" s="1"/>
  <c r="L553" i="3"/>
  <c r="M553" i="3" s="1"/>
  <c r="N553" i="3" s="1"/>
  <c r="L554" i="3"/>
  <c r="M554" i="3" s="1"/>
  <c r="N554" i="3" s="1"/>
  <c r="L555" i="3"/>
  <c r="M555" i="3" s="1"/>
  <c r="N555" i="3" s="1"/>
  <c r="L556" i="3"/>
  <c r="L557" i="3"/>
  <c r="M557" i="3" s="1"/>
  <c r="N557" i="3" s="1"/>
  <c r="L558" i="3"/>
  <c r="M558" i="3" s="1"/>
  <c r="N558" i="3" s="1"/>
  <c r="L559" i="3"/>
  <c r="M559" i="3" s="1"/>
  <c r="N559" i="3" s="1"/>
  <c r="L560" i="3"/>
  <c r="M560" i="3" s="1"/>
  <c r="N560" i="3" s="1"/>
  <c r="L561" i="3"/>
  <c r="M561" i="3" s="1"/>
  <c r="N561" i="3" s="1"/>
  <c r="L562" i="3"/>
  <c r="M562" i="3" s="1"/>
  <c r="N562" i="3" s="1"/>
  <c r="L563" i="3"/>
  <c r="M563" i="3" s="1"/>
  <c r="N563" i="3" s="1"/>
  <c r="L564" i="3"/>
  <c r="M564" i="3" s="1"/>
  <c r="N564" i="3" s="1"/>
  <c r="L565" i="3"/>
  <c r="M565" i="3" s="1"/>
  <c r="N565" i="3" s="1"/>
  <c r="L566" i="3"/>
  <c r="M566" i="3" s="1"/>
  <c r="N566" i="3" s="1"/>
  <c r="L567" i="3"/>
  <c r="L568" i="3"/>
  <c r="M568" i="3" s="1"/>
  <c r="N568" i="3" s="1"/>
  <c r="L569" i="3"/>
  <c r="M569" i="3" s="1"/>
  <c r="N569" i="3" s="1"/>
  <c r="L570" i="3"/>
  <c r="M570" i="3" s="1"/>
  <c r="N570" i="3" s="1"/>
  <c r="L571" i="3"/>
  <c r="M571" i="3" s="1"/>
  <c r="N571" i="3" s="1"/>
  <c r="L572" i="3"/>
  <c r="M572" i="3" s="1"/>
  <c r="N572" i="3" s="1"/>
  <c r="L573" i="3"/>
  <c r="M573" i="3" s="1"/>
  <c r="N573" i="3" s="1"/>
  <c r="L574" i="3"/>
  <c r="M574" i="3" s="1"/>
  <c r="N574" i="3" s="1"/>
  <c r="L575" i="3"/>
  <c r="M575" i="3" s="1"/>
  <c r="N575" i="3" s="1"/>
  <c r="L576" i="3"/>
  <c r="M576" i="3" s="1"/>
  <c r="N576" i="3" s="1"/>
  <c r="L577" i="3"/>
  <c r="M577" i="3" s="1"/>
  <c r="N577" i="3" s="1"/>
  <c r="L578" i="3"/>
  <c r="M578" i="3" s="1"/>
  <c r="N578" i="3" s="1"/>
  <c r="L579" i="3"/>
  <c r="M579" i="3" s="1"/>
  <c r="N579" i="3" s="1"/>
  <c r="L580" i="3"/>
  <c r="M580" i="3" s="1"/>
  <c r="N580" i="3" s="1"/>
  <c r="L581" i="3"/>
  <c r="M581" i="3" s="1"/>
  <c r="N581" i="3" s="1"/>
  <c r="L582" i="3"/>
  <c r="M582" i="3" s="1"/>
  <c r="N582" i="3" s="1"/>
  <c r="L583" i="3"/>
  <c r="M583" i="3" s="1"/>
  <c r="N583" i="3" s="1"/>
  <c r="L584" i="3"/>
  <c r="M584" i="3" s="1"/>
  <c r="N584" i="3" s="1"/>
  <c r="L585" i="3"/>
  <c r="M585" i="3" s="1"/>
  <c r="N585" i="3" s="1"/>
  <c r="L586" i="3"/>
  <c r="M586" i="3" s="1"/>
  <c r="N586" i="3" s="1"/>
  <c r="L587" i="3"/>
  <c r="M587" i="3" s="1"/>
  <c r="N587" i="3" s="1"/>
  <c r="L588" i="3"/>
  <c r="M588" i="3" s="1"/>
  <c r="N588" i="3" s="1"/>
  <c r="L589" i="3"/>
  <c r="M589" i="3" s="1"/>
  <c r="N589" i="3" s="1"/>
  <c r="L590" i="3"/>
  <c r="M590" i="3" s="1"/>
  <c r="N590" i="3" s="1"/>
  <c r="L591" i="3"/>
  <c r="M591" i="3" s="1"/>
  <c r="N591" i="3" s="1"/>
  <c r="L592" i="3"/>
  <c r="M592" i="3" s="1"/>
  <c r="N592" i="3" s="1"/>
  <c r="L593" i="3"/>
  <c r="M593" i="3" s="1"/>
  <c r="N593" i="3" s="1"/>
  <c r="L594" i="3"/>
  <c r="M594" i="3" s="1"/>
  <c r="N594" i="3" s="1"/>
  <c r="L595" i="3"/>
  <c r="M595" i="3" s="1"/>
  <c r="N595" i="3" s="1"/>
  <c r="L596" i="3"/>
  <c r="M596" i="3" s="1"/>
  <c r="N596" i="3" s="1"/>
  <c r="L597" i="3"/>
  <c r="M597" i="3" s="1"/>
  <c r="N597" i="3" s="1"/>
  <c r="L598" i="3"/>
  <c r="M598" i="3" s="1"/>
  <c r="N598" i="3" s="1"/>
  <c r="L599" i="3"/>
  <c r="M599" i="3" s="1"/>
  <c r="N599" i="3" s="1"/>
  <c r="L600" i="3"/>
  <c r="M600" i="3" s="1"/>
  <c r="N600" i="3" s="1"/>
  <c r="L601" i="3"/>
  <c r="M601" i="3" s="1"/>
  <c r="N601" i="3" s="1"/>
  <c r="L602" i="3"/>
  <c r="M602" i="3" s="1"/>
  <c r="N602" i="3" s="1"/>
  <c r="L603" i="3"/>
  <c r="M603" i="3" s="1"/>
  <c r="N603" i="3" s="1"/>
  <c r="L604" i="3"/>
  <c r="L605" i="3"/>
  <c r="M605" i="3" s="1"/>
  <c r="N605" i="3" s="1"/>
  <c r="L606" i="3"/>
  <c r="M606" i="3" s="1"/>
  <c r="N606" i="3" s="1"/>
  <c r="L607" i="3"/>
  <c r="M607" i="3" s="1"/>
  <c r="N607" i="3" s="1"/>
  <c r="L608" i="3"/>
  <c r="M608" i="3" s="1"/>
  <c r="N608" i="3" s="1"/>
  <c r="L609" i="3"/>
  <c r="M609" i="3" s="1"/>
  <c r="N609" i="3" s="1"/>
  <c r="L610" i="3"/>
  <c r="M610" i="3" s="1"/>
  <c r="N610" i="3" s="1"/>
  <c r="L611" i="3"/>
  <c r="M611" i="3" s="1"/>
  <c r="N611" i="3" s="1"/>
  <c r="L612" i="3"/>
  <c r="M612" i="3" s="1"/>
  <c r="N612" i="3" s="1"/>
  <c r="L613" i="3"/>
  <c r="M613" i="3" s="1"/>
  <c r="N613" i="3" s="1"/>
  <c r="L614" i="3"/>
  <c r="M614" i="3" s="1"/>
  <c r="N614" i="3" s="1"/>
  <c r="L615" i="3"/>
  <c r="M615" i="3" s="1"/>
  <c r="N615" i="3" s="1"/>
  <c r="L616" i="3"/>
  <c r="M616" i="3" s="1"/>
  <c r="N616" i="3" s="1"/>
  <c r="L617" i="3"/>
  <c r="M617" i="3" s="1"/>
  <c r="N617" i="3" s="1"/>
  <c r="L618" i="3"/>
  <c r="M618" i="3" s="1"/>
  <c r="N618" i="3" s="1"/>
  <c r="L619" i="3"/>
  <c r="M619" i="3" s="1"/>
  <c r="N619" i="3" s="1"/>
  <c r="L620" i="3"/>
  <c r="M620" i="3" s="1"/>
  <c r="N620" i="3" s="1"/>
  <c r="L621" i="3"/>
  <c r="M621" i="3" s="1"/>
  <c r="N621" i="3" s="1"/>
  <c r="L622" i="3"/>
  <c r="M622" i="3" s="1"/>
  <c r="N622" i="3" s="1"/>
  <c r="L623" i="3"/>
  <c r="M623" i="3" s="1"/>
  <c r="N623" i="3" s="1"/>
  <c r="L624" i="3"/>
  <c r="M624" i="3" s="1"/>
  <c r="N624" i="3" s="1"/>
  <c r="L625" i="3"/>
  <c r="M625" i="3" s="1"/>
  <c r="N625" i="3" s="1"/>
  <c r="L626" i="3"/>
  <c r="M626" i="3" s="1"/>
  <c r="N626" i="3" s="1"/>
  <c r="L627" i="3"/>
  <c r="M627" i="3" s="1"/>
  <c r="N627" i="3" s="1"/>
  <c r="L628" i="3"/>
  <c r="M628" i="3" s="1"/>
  <c r="N628" i="3" s="1"/>
  <c r="L629" i="3"/>
  <c r="M629" i="3" s="1"/>
  <c r="N629" i="3" s="1"/>
  <c r="L630" i="3"/>
  <c r="M630" i="3" s="1"/>
  <c r="N630" i="3" s="1"/>
  <c r="L631" i="3"/>
  <c r="M631" i="3" s="1"/>
  <c r="N631" i="3" s="1"/>
  <c r="L632" i="3"/>
  <c r="M632" i="3" s="1"/>
  <c r="N632" i="3" s="1"/>
  <c r="L633" i="3"/>
  <c r="M633" i="3" s="1"/>
  <c r="N633" i="3" s="1"/>
  <c r="L634" i="3"/>
  <c r="M634" i="3" s="1"/>
  <c r="N634" i="3" s="1"/>
  <c r="L635" i="3"/>
  <c r="M635" i="3" s="1"/>
  <c r="N635" i="3" s="1"/>
  <c r="L636" i="3"/>
  <c r="M636" i="3" s="1"/>
  <c r="N636" i="3" s="1"/>
  <c r="L637" i="3"/>
  <c r="M637" i="3" s="1"/>
  <c r="N637" i="3" s="1"/>
  <c r="L638" i="3"/>
  <c r="M638" i="3" s="1"/>
  <c r="N638" i="3" s="1"/>
  <c r="L639" i="3"/>
  <c r="M639" i="3" s="1"/>
  <c r="N639" i="3" s="1"/>
  <c r="L640" i="3"/>
  <c r="M640" i="3" s="1"/>
  <c r="N640" i="3" s="1"/>
  <c r="L641" i="3"/>
  <c r="M641" i="3" s="1"/>
  <c r="N641" i="3" s="1"/>
  <c r="L642" i="3"/>
  <c r="M642" i="3" s="1"/>
  <c r="N642" i="3" s="1"/>
  <c r="L643" i="3"/>
  <c r="M643" i="3" s="1"/>
  <c r="N643" i="3" s="1"/>
  <c r="L644" i="3"/>
  <c r="M644" i="3" s="1"/>
  <c r="N644" i="3" s="1"/>
  <c r="L645" i="3"/>
  <c r="M645" i="3" s="1"/>
  <c r="N645" i="3" s="1"/>
  <c r="L646" i="3"/>
  <c r="M646" i="3" s="1"/>
  <c r="N646" i="3" s="1"/>
  <c r="L647" i="3"/>
  <c r="M647" i="3" s="1"/>
  <c r="N647" i="3" s="1"/>
  <c r="L648" i="3"/>
  <c r="M648" i="3" s="1"/>
  <c r="N648" i="3" s="1"/>
  <c r="L649" i="3"/>
  <c r="M649" i="3" s="1"/>
  <c r="N649" i="3" s="1"/>
  <c r="L650" i="3"/>
  <c r="M650" i="3" s="1"/>
  <c r="N650" i="3" s="1"/>
  <c r="L651" i="3"/>
  <c r="M651" i="3" s="1"/>
  <c r="N651" i="3" s="1"/>
  <c r="L652" i="3"/>
  <c r="M652" i="3" s="1"/>
  <c r="N652" i="3" s="1"/>
  <c r="L653" i="3"/>
  <c r="M653" i="3" s="1"/>
  <c r="N653" i="3" s="1"/>
  <c r="L654" i="3"/>
  <c r="M654" i="3" s="1"/>
  <c r="N654" i="3" s="1"/>
  <c r="L655" i="3"/>
  <c r="M655" i="3" s="1"/>
  <c r="N655" i="3" s="1"/>
  <c r="L656" i="3"/>
  <c r="M656" i="3" s="1"/>
  <c r="N656" i="3" s="1"/>
  <c r="L657" i="3"/>
  <c r="M657" i="3" s="1"/>
  <c r="N657" i="3" s="1"/>
  <c r="L658" i="3"/>
  <c r="M658" i="3" s="1"/>
  <c r="N658" i="3" s="1"/>
  <c r="L659" i="3"/>
  <c r="M659" i="3" s="1"/>
  <c r="N659" i="3" s="1"/>
  <c r="L660" i="3"/>
  <c r="M660" i="3" s="1"/>
  <c r="N660" i="3" s="1"/>
  <c r="L661" i="3"/>
  <c r="M661" i="3" s="1"/>
  <c r="N661" i="3" s="1"/>
  <c r="L662" i="3"/>
  <c r="M662" i="3" s="1"/>
  <c r="N662" i="3" s="1"/>
  <c r="L663" i="3"/>
  <c r="M663" i="3" s="1"/>
  <c r="N663" i="3" s="1"/>
  <c r="L664" i="3"/>
  <c r="M664" i="3" s="1"/>
  <c r="N664" i="3" s="1"/>
  <c r="L665" i="3"/>
  <c r="M665" i="3" s="1"/>
  <c r="N665" i="3" s="1"/>
  <c r="L666" i="3"/>
  <c r="M666" i="3" s="1"/>
  <c r="N666" i="3" s="1"/>
  <c r="L667" i="3"/>
  <c r="M667" i="3" s="1"/>
  <c r="N667" i="3" s="1"/>
  <c r="L668" i="3"/>
  <c r="M668" i="3" s="1"/>
  <c r="N668" i="3" s="1"/>
  <c r="L669" i="3"/>
  <c r="M669" i="3" s="1"/>
  <c r="N669" i="3" s="1"/>
  <c r="L670" i="3"/>
  <c r="M670" i="3" s="1"/>
  <c r="N670" i="3" s="1"/>
  <c r="L671" i="3"/>
  <c r="M671" i="3" s="1"/>
  <c r="N671" i="3" s="1"/>
  <c r="L672" i="3"/>
  <c r="M672" i="3" s="1"/>
  <c r="N672" i="3" s="1"/>
  <c r="L673" i="3"/>
  <c r="M673" i="3" s="1"/>
  <c r="N673" i="3" s="1"/>
  <c r="L674" i="3"/>
  <c r="M674" i="3" s="1"/>
  <c r="N674" i="3" s="1"/>
  <c r="L675" i="3"/>
  <c r="L676" i="3"/>
  <c r="M676" i="3" s="1"/>
  <c r="N676" i="3" s="1"/>
  <c r="L677" i="3"/>
  <c r="M677" i="3" s="1"/>
  <c r="N677" i="3" s="1"/>
  <c r="L678" i="3"/>
  <c r="M678" i="3" s="1"/>
  <c r="N678" i="3" s="1"/>
  <c r="L679" i="3"/>
  <c r="M679" i="3" s="1"/>
  <c r="N679" i="3" s="1"/>
  <c r="L680" i="3"/>
  <c r="M680" i="3" s="1"/>
  <c r="N680" i="3" s="1"/>
  <c r="L681" i="3"/>
  <c r="M681" i="3" s="1"/>
  <c r="N681" i="3" s="1"/>
  <c r="L682" i="3"/>
  <c r="M682" i="3" s="1"/>
  <c r="N682" i="3" s="1"/>
  <c r="L683" i="3"/>
  <c r="M683" i="3" s="1"/>
  <c r="N683" i="3" s="1"/>
  <c r="L684" i="3"/>
  <c r="M684" i="3" s="1"/>
  <c r="N684" i="3" s="1"/>
  <c r="L685" i="3"/>
  <c r="M685" i="3" s="1"/>
  <c r="N685" i="3" s="1"/>
  <c r="L686" i="3"/>
  <c r="M686" i="3" s="1"/>
  <c r="N686" i="3" s="1"/>
  <c r="L687" i="3"/>
  <c r="M687" i="3" s="1"/>
  <c r="N687" i="3" s="1"/>
  <c r="L688" i="3"/>
  <c r="M688" i="3" s="1"/>
  <c r="N688" i="3" s="1"/>
  <c r="L689" i="3"/>
  <c r="M689" i="3" s="1"/>
  <c r="N689" i="3" s="1"/>
  <c r="L690" i="3"/>
  <c r="M690" i="3" s="1"/>
  <c r="N690" i="3" s="1"/>
  <c r="L691" i="3"/>
  <c r="M691" i="3" s="1"/>
  <c r="N691" i="3" s="1"/>
  <c r="L692" i="3"/>
  <c r="M692" i="3" s="1"/>
  <c r="N692" i="3" s="1"/>
  <c r="L693" i="3"/>
  <c r="M693" i="3" s="1"/>
  <c r="N693" i="3" s="1"/>
  <c r="L694" i="3"/>
  <c r="M694" i="3" s="1"/>
  <c r="N694" i="3" s="1"/>
  <c r="L695" i="3"/>
  <c r="M695" i="3" s="1"/>
  <c r="N695" i="3" s="1"/>
  <c r="L696" i="3"/>
  <c r="M696" i="3" s="1"/>
  <c r="N696" i="3" s="1"/>
  <c r="L697" i="3"/>
  <c r="M697" i="3" s="1"/>
  <c r="N697" i="3" s="1"/>
  <c r="L698" i="3"/>
  <c r="M698" i="3" s="1"/>
  <c r="N698" i="3" s="1"/>
  <c r="L699" i="3"/>
  <c r="L700" i="3"/>
  <c r="M700" i="3" s="1"/>
  <c r="N700" i="3" s="1"/>
  <c r="L701" i="3"/>
  <c r="M701" i="3" s="1"/>
  <c r="N701" i="3" s="1"/>
  <c r="L702" i="3"/>
  <c r="M702" i="3" s="1"/>
  <c r="N702" i="3" s="1"/>
  <c r="L703" i="3"/>
  <c r="M703" i="3" s="1"/>
  <c r="N703" i="3" s="1"/>
  <c r="L704" i="3"/>
  <c r="M704" i="3" s="1"/>
  <c r="N704" i="3" s="1"/>
  <c r="L705" i="3"/>
  <c r="M705" i="3" s="1"/>
  <c r="N705" i="3" s="1"/>
  <c r="L706" i="3"/>
  <c r="M706" i="3" s="1"/>
  <c r="N706" i="3" s="1"/>
  <c r="L707" i="3"/>
  <c r="M707" i="3" s="1"/>
  <c r="N707" i="3" s="1"/>
  <c r="L708" i="3"/>
  <c r="M708" i="3" s="1"/>
  <c r="N708" i="3" s="1"/>
  <c r="L709" i="3"/>
  <c r="M709" i="3" s="1"/>
  <c r="N709" i="3" s="1"/>
  <c r="L710" i="3"/>
  <c r="M710" i="3" s="1"/>
  <c r="N710" i="3" s="1"/>
  <c r="L711" i="3"/>
  <c r="M711" i="3" s="1"/>
  <c r="N711" i="3" s="1"/>
  <c r="L712" i="3"/>
  <c r="M712" i="3" s="1"/>
  <c r="N712" i="3" s="1"/>
  <c r="L713" i="3"/>
  <c r="M713" i="3" s="1"/>
  <c r="N713" i="3" s="1"/>
  <c r="L714" i="3"/>
  <c r="M714" i="3" s="1"/>
  <c r="N714" i="3" s="1"/>
  <c r="L715" i="3"/>
  <c r="M715" i="3" s="1"/>
  <c r="N715" i="3" s="1"/>
  <c r="L716" i="3"/>
  <c r="M716" i="3" s="1"/>
  <c r="N716" i="3" s="1"/>
  <c r="L717" i="3"/>
  <c r="M717" i="3" s="1"/>
  <c r="N717" i="3" s="1"/>
  <c r="L718" i="3"/>
  <c r="M718" i="3" s="1"/>
  <c r="N718" i="3" s="1"/>
  <c r="L719" i="3"/>
  <c r="M719" i="3" s="1"/>
  <c r="N719" i="3" s="1"/>
  <c r="L720" i="3"/>
  <c r="M720" i="3" s="1"/>
  <c r="N720" i="3" s="1"/>
  <c r="L721" i="3"/>
  <c r="M721" i="3" s="1"/>
  <c r="N721" i="3" s="1"/>
  <c r="L722" i="3"/>
  <c r="M722" i="3" s="1"/>
  <c r="N722" i="3" s="1"/>
  <c r="L723" i="3"/>
  <c r="M723" i="3" s="1"/>
  <c r="N723" i="3" s="1"/>
  <c r="L724" i="3"/>
  <c r="M724" i="3" s="1"/>
  <c r="N724" i="3" s="1"/>
  <c r="L725" i="3"/>
  <c r="M725" i="3" s="1"/>
  <c r="N725" i="3" s="1"/>
  <c r="L726" i="3"/>
  <c r="M726" i="3" s="1"/>
  <c r="N726" i="3" s="1"/>
  <c r="L727" i="3"/>
  <c r="M727" i="3" s="1"/>
  <c r="N727" i="3" s="1"/>
  <c r="L728" i="3"/>
  <c r="M728" i="3" s="1"/>
  <c r="N728" i="3" s="1"/>
  <c r="L729" i="3"/>
  <c r="M729" i="3" s="1"/>
  <c r="N729" i="3" s="1"/>
  <c r="L730" i="3"/>
  <c r="M730" i="3" s="1"/>
  <c r="N730" i="3" s="1"/>
  <c r="L731" i="3"/>
  <c r="M731" i="3" s="1"/>
  <c r="N731" i="3" s="1"/>
  <c r="L732" i="3"/>
  <c r="M732" i="3" s="1"/>
  <c r="N732" i="3" s="1"/>
  <c r="L733" i="3"/>
  <c r="M733" i="3" s="1"/>
  <c r="N733" i="3" s="1"/>
  <c r="L734" i="3"/>
  <c r="M734" i="3" s="1"/>
  <c r="N734" i="3" s="1"/>
  <c r="L735" i="3"/>
  <c r="M735" i="3" s="1"/>
  <c r="N735" i="3" s="1"/>
  <c r="L736" i="3"/>
  <c r="M736" i="3" s="1"/>
  <c r="N736" i="3" s="1"/>
  <c r="L737" i="3"/>
  <c r="M737" i="3" s="1"/>
  <c r="N737" i="3" s="1"/>
  <c r="L738" i="3"/>
  <c r="M738" i="3" s="1"/>
  <c r="N738" i="3" s="1"/>
  <c r="L739" i="3"/>
  <c r="M739" i="3" s="1"/>
  <c r="N739" i="3" s="1"/>
  <c r="L740" i="3"/>
  <c r="M740" i="3" s="1"/>
  <c r="N740" i="3" s="1"/>
  <c r="L741" i="3"/>
  <c r="M741" i="3" s="1"/>
  <c r="N741" i="3" s="1"/>
  <c r="L742" i="3"/>
  <c r="M742" i="3" s="1"/>
  <c r="N742" i="3" s="1"/>
  <c r="L743" i="3"/>
  <c r="M743" i="3" s="1"/>
  <c r="N743" i="3" s="1"/>
  <c r="L744" i="3"/>
  <c r="M744" i="3" s="1"/>
  <c r="N744" i="3" s="1"/>
  <c r="L745" i="3"/>
  <c r="M745" i="3" s="1"/>
  <c r="N745" i="3" s="1"/>
  <c r="L746" i="3"/>
  <c r="M746" i="3" s="1"/>
  <c r="N746" i="3" s="1"/>
  <c r="L747" i="3"/>
  <c r="M747" i="3" s="1"/>
  <c r="N747" i="3" s="1"/>
  <c r="L748" i="3"/>
  <c r="M748" i="3" s="1"/>
  <c r="N748" i="3" s="1"/>
  <c r="L749" i="3"/>
  <c r="M749" i="3" s="1"/>
  <c r="N749" i="3" s="1"/>
  <c r="L750" i="3"/>
  <c r="M750" i="3" s="1"/>
  <c r="N750" i="3" s="1"/>
  <c r="L751" i="3"/>
  <c r="M751" i="3" s="1"/>
  <c r="N751" i="3" s="1"/>
  <c r="L752" i="3"/>
  <c r="M752" i="3" s="1"/>
  <c r="N752" i="3" s="1"/>
  <c r="L753" i="3"/>
  <c r="M753" i="3" s="1"/>
  <c r="N753" i="3" s="1"/>
  <c r="L754" i="3"/>
  <c r="M754" i="3" s="1"/>
  <c r="N754" i="3" s="1"/>
  <c r="L755" i="3"/>
  <c r="M755" i="3" s="1"/>
  <c r="N755" i="3" s="1"/>
  <c r="L756" i="3"/>
  <c r="M756" i="3" s="1"/>
  <c r="N756" i="3" s="1"/>
  <c r="L757" i="3"/>
  <c r="M757" i="3" s="1"/>
  <c r="N757" i="3" s="1"/>
  <c r="L758" i="3"/>
  <c r="M758" i="3" s="1"/>
  <c r="N758" i="3" s="1"/>
  <c r="L759" i="3"/>
  <c r="M759" i="3" s="1"/>
  <c r="N759" i="3" s="1"/>
  <c r="L760" i="3"/>
  <c r="M760" i="3" s="1"/>
  <c r="N760" i="3" s="1"/>
  <c r="L761" i="3"/>
  <c r="M761" i="3" s="1"/>
  <c r="N761" i="3" s="1"/>
  <c r="L762" i="3"/>
  <c r="M762" i="3" s="1"/>
  <c r="N762" i="3" s="1"/>
  <c r="L763" i="3"/>
  <c r="M763" i="3" s="1"/>
  <c r="N763" i="3" s="1"/>
  <c r="L764" i="3"/>
  <c r="M764" i="3" s="1"/>
  <c r="N764" i="3" s="1"/>
  <c r="L765" i="3"/>
  <c r="M765" i="3" s="1"/>
  <c r="N765" i="3" s="1"/>
  <c r="L766" i="3"/>
  <c r="M766" i="3" s="1"/>
  <c r="N766" i="3" s="1"/>
  <c r="L767" i="3"/>
  <c r="M767" i="3" s="1"/>
  <c r="N767" i="3" s="1"/>
  <c r="L768" i="3"/>
  <c r="M768" i="3" s="1"/>
  <c r="N768" i="3" s="1"/>
  <c r="L769" i="3"/>
  <c r="M769" i="3" s="1"/>
  <c r="N769" i="3" s="1"/>
  <c r="L770" i="3"/>
  <c r="M770" i="3" s="1"/>
  <c r="N770" i="3" s="1"/>
  <c r="L771" i="3"/>
  <c r="M771" i="3" s="1"/>
  <c r="N771" i="3" s="1"/>
  <c r="L772" i="3"/>
  <c r="M772" i="3" s="1"/>
  <c r="N772" i="3" s="1"/>
  <c r="L773" i="3"/>
  <c r="M773" i="3" s="1"/>
  <c r="N773" i="3" s="1"/>
  <c r="L774" i="3"/>
  <c r="M774" i="3" s="1"/>
  <c r="N774" i="3" s="1"/>
  <c r="L775" i="3"/>
  <c r="M775" i="3" s="1"/>
  <c r="N775" i="3" s="1"/>
  <c r="L776" i="3"/>
  <c r="M776" i="3" s="1"/>
  <c r="N776" i="3" s="1"/>
  <c r="L777" i="3"/>
  <c r="M777" i="3" s="1"/>
  <c r="N777" i="3" s="1"/>
  <c r="L778" i="3"/>
  <c r="M778" i="3" s="1"/>
  <c r="N778" i="3" s="1"/>
  <c r="L779" i="3"/>
  <c r="M779" i="3" s="1"/>
  <c r="N779" i="3" s="1"/>
  <c r="L780" i="3"/>
  <c r="M780" i="3" s="1"/>
  <c r="N780" i="3" s="1"/>
  <c r="L781" i="3"/>
  <c r="M781" i="3" s="1"/>
  <c r="N781" i="3" s="1"/>
  <c r="L782" i="3"/>
  <c r="M782" i="3" s="1"/>
  <c r="N782" i="3" s="1"/>
  <c r="L783" i="3"/>
  <c r="M783" i="3" s="1"/>
  <c r="N783" i="3" s="1"/>
  <c r="L784" i="3"/>
  <c r="M784" i="3" s="1"/>
  <c r="N784" i="3" s="1"/>
  <c r="L785" i="3"/>
  <c r="M785" i="3" s="1"/>
  <c r="N785" i="3" s="1"/>
  <c r="L786" i="3"/>
  <c r="M786" i="3" s="1"/>
  <c r="N786" i="3" s="1"/>
  <c r="L787" i="3"/>
  <c r="M787" i="3" s="1"/>
  <c r="N787" i="3" s="1"/>
  <c r="L788" i="3"/>
  <c r="M788" i="3" s="1"/>
  <c r="N788" i="3" s="1"/>
  <c r="L789" i="3"/>
  <c r="M789" i="3" s="1"/>
  <c r="N789" i="3" s="1"/>
  <c r="L790" i="3"/>
  <c r="M790" i="3" s="1"/>
  <c r="N790" i="3" s="1"/>
  <c r="L791" i="3"/>
  <c r="M791" i="3" s="1"/>
  <c r="N791" i="3" s="1"/>
  <c r="L792" i="3"/>
  <c r="M792" i="3" s="1"/>
  <c r="N792" i="3" s="1"/>
  <c r="L793" i="3"/>
  <c r="M793" i="3" s="1"/>
  <c r="N793" i="3" s="1"/>
  <c r="L794" i="3"/>
  <c r="M794" i="3" s="1"/>
  <c r="N794" i="3" s="1"/>
  <c r="L795" i="3"/>
  <c r="M795" i="3" s="1"/>
  <c r="N795" i="3" s="1"/>
  <c r="L796" i="3"/>
  <c r="M796" i="3" s="1"/>
  <c r="N796" i="3" s="1"/>
  <c r="L797" i="3"/>
  <c r="M797" i="3" s="1"/>
  <c r="N797" i="3" s="1"/>
  <c r="L798" i="3"/>
  <c r="M798" i="3" s="1"/>
  <c r="N798" i="3" s="1"/>
  <c r="L799" i="3"/>
  <c r="M799" i="3" s="1"/>
  <c r="N799" i="3" s="1"/>
  <c r="L800" i="3"/>
  <c r="M800" i="3" s="1"/>
  <c r="N800" i="3" s="1"/>
  <c r="L801" i="3"/>
  <c r="M801" i="3" s="1"/>
  <c r="N801" i="3" s="1"/>
  <c r="L802" i="3"/>
  <c r="M802" i="3" s="1"/>
  <c r="N802" i="3" s="1"/>
  <c r="L803" i="3"/>
  <c r="M803" i="3" s="1"/>
  <c r="N803" i="3" s="1"/>
  <c r="L804" i="3"/>
  <c r="M804" i="3" s="1"/>
  <c r="N804" i="3" s="1"/>
  <c r="L805" i="3"/>
  <c r="M805" i="3" s="1"/>
  <c r="N805" i="3" s="1"/>
  <c r="L806" i="3"/>
  <c r="M806" i="3" s="1"/>
  <c r="N806" i="3" s="1"/>
  <c r="L807" i="3"/>
  <c r="M807" i="3" s="1"/>
  <c r="N807" i="3" s="1"/>
  <c r="L808" i="3"/>
  <c r="M808" i="3" s="1"/>
  <c r="N808" i="3" s="1"/>
  <c r="L809" i="3"/>
  <c r="M809" i="3" s="1"/>
  <c r="N809" i="3" s="1"/>
  <c r="L810" i="3"/>
  <c r="M810" i="3" s="1"/>
  <c r="N810" i="3" s="1"/>
  <c r="L811" i="3"/>
  <c r="M811" i="3" s="1"/>
  <c r="N811" i="3" s="1"/>
  <c r="L812" i="3"/>
  <c r="M812" i="3" s="1"/>
  <c r="N812" i="3" s="1"/>
  <c r="L813" i="3"/>
  <c r="M813" i="3" s="1"/>
  <c r="N813" i="3" s="1"/>
  <c r="L814" i="3"/>
  <c r="M814" i="3" s="1"/>
  <c r="N814" i="3" s="1"/>
  <c r="L815" i="3"/>
  <c r="M815" i="3" s="1"/>
  <c r="N815" i="3" s="1"/>
  <c r="L816" i="3"/>
  <c r="M816" i="3" s="1"/>
  <c r="N816" i="3" s="1"/>
  <c r="L817" i="3"/>
  <c r="M817" i="3" s="1"/>
  <c r="N817" i="3" s="1"/>
  <c r="L818" i="3"/>
  <c r="M818" i="3" s="1"/>
  <c r="N818" i="3" s="1"/>
  <c r="L819" i="3"/>
  <c r="M819" i="3" s="1"/>
  <c r="N819" i="3" s="1"/>
  <c r="L820" i="3"/>
  <c r="M820" i="3" s="1"/>
  <c r="N820" i="3" s="1"/>
  <c r="L821" i="3"/>
  <c r="M821" i="3" s="1"/>
  <c r="N821" i="3" s="1"/>
  <c r="L822" i="3"/>
  <c r="M822" i="3" s="1"/>
  <c r="N822" i="3" s="1"/>
  <c r="L823" i="3"/>
  <c r="M823" i="3" s="1"/>
  <c r="N823" i="3" s="1"/>
  <c r="L824" i="3"/>
  <c r="M824" i="3" s="1"/>
  <c r="N824" i="3" s="1"/>
  <c r="L825" i="3"/>
  <c r="M825" i="3" s="1"/>
  <c r="N825" i="3" s="1"/>
  <c r="L826" i="3"/>
  <c r="M826" i="3" s="1"/>
  <c r="N826" i="3" s="1"/>
  <c r="L827" i="3"/>
  <c r="M827" i="3" s="1"/>
  <c r="N827" i="3" s="1"/>
  <c r="L828" i="3"/>
  <c r="M828" i="3" s="1"/>
  <c r="N828" i="3" s="1"/>
  <c r="L829" i="3"/>
  <c r="M829" i="3" s="1"/>
  <c r="N829" i="3" s="1"/>
  <c r="L830" i="3"/>
  <c r="M830" i="3" s="1"/>
  <c r="N830" i="3" s="1"/>
  <c r="L831" i="3"/>
  <c r="M831" i="3" s="1"/>
  <c r="N831" i="3" s="1"/>
  <c r="L832" i="3"/>
  <c r="M832" i="3" s="1"/>
  <c r="N832" i="3" s="1"/>
  <c r="L833" i="3"/>
  <c r="M833" i="3" s="1"/>
  <c r="N833" i="3" s="1"/>
  <c r="L834" i="3"/>
  <c r="M834" i="3" s="1"/>
  <c r="N834" i="3" s="1"/>
  <c r="L835" i="3"/>
  <c r="M835" i="3" s="1"/>
  <c r="N835" i="3" s="1"/>
  <c r="L836" i="3"/>
  <c r="M836" i="3" s="1"/>
  <c r="N836" i="3" s="1"/>
  <c r="L837" i="3"/>
  <c r="M837" i="3" s="1"/>
  <c r="N837" i="3" s="1"/>
  <c r="L838" i="3"/>
  <c r="M838" i="3" s="1"/>
  <c r="N838" i="3" s="1"/>
  <c r="L839" i="3"/>
  <c r="M839" i="3" s="1"/>
  <c r="N839" i="3" s="1"/>
  <c r="L840" i="3"/>
  <c r="M840" i="3" s="1"/>
  <c r="N840" i="3" s="1"/>
  <c r="L841" i="3"/>
  <c r="M841" i="3" s="1"/>
  <c r="N841" i="3" s="1"/>
  <c r="L842" i="3"/>
  <c r="M842" i="3" s="1"/>
  <c r="N842" i="3" s="1"/>
  <c r="L843" i="3"/>
  <c r="M843" i="3" s="1"/>
  <c r="N843" i="3" s="1"/>
  <c r="L844" i="3"/>
  <c r="M844" i="3" s="1"/>
  <c r="N844" i="3" s="1"/>
  <c r="L845" i="3"/>
  <c r="M845" i="3" s="1"/>
  <c r="N845" i="3" s="1"/>
  <c r="L846" i="3"/>
  <c r="M846" i="3" s="1"/>
  <c r="N846" i="3" s="1"/>
  <c r="L847" i="3"/>
  <c r="M847" i="3" s="1"/>
  <c r="N847" i="3" s="1"/>
  <c r="L848" i="3"/>
  <c r="M848" i="3" s="1"/>
  <c r="N848" i="3" s="1"/>
  <c r="L849" i="3"/>
  <c r="M849" i="3" s="1"/>
  <c r="N849" i="3" s="1"/>
  <c r="L850" i="3"/>
  <c r="M850" i="3" s="1"/>
  <c r="N850" i="3" s="1"/>
  <c r="L851" i="3"/>
  <c r="M851" i="3" s="1"/>
  <c r="N851" i="3" s="1"/>
  <c r="L852" i="3"/>
  <c r="M852" i="3" s="1"/>
  <c r="N852" i="3" s="1"/>
  <c r="L853" i="3"/>
  <c r="M853" i="3" s="1"/>
  <c r="N853" i="3" s="1"/>
  <c r="L854" i="3"/>
  <c r="M854" i="3" s="1"/>
  <c r="N854" i="3" s="1"/>
  <c r="L855" i="3"/>
  <c r="M855" i="3" s="1"/>
  <c r="N855" i="3" s="1"/>
  <c r="L856" i="3"/>
  <c r="M856" i="3" s="1"/>
  <c r="N856" i="3" s="1"/>
  <c r="L857" i="3"/>
  <c r="M857" i="3" s="1"/>
  <c r="N857" i="3" s="1"/>
  <c r="L858" i="3"/>
  <c r="M858" i="3" s="1"/>
  <c r="N858" i="3" s="1"/>
  <c r="L859" i="3"/>
  <c r="M859" i="3" s="1"/>
  <c r="N859" i="3" s="1"/>
  <c r="L860" i="3"/>
  <c r="M860" i="3" s="1"/>
  <c r="N860" i="3" s="1"/>
  <c r="L861" i="3"/>
  <c r="M861" i="3" s="1"/>
  <c r="N861" i="3" s="1"/>
  <c r="L862" i="3"/>
  <c r="M862" i="3" s="1"/>
  <c r="N862" i="3" s="1"/>
  <c r="L863" i="3"/>
  <c r="M863" i="3" s="1"/>
  <c r="N863" i="3" s="1"/>
  <c r="L864" i="3"/>
  <c r="M864" i="3" s="1"/>
  <c r="N864" i="3" s="1"/>
  <c r="L865" i="3"/>
  <c r="M865" i="3" s="1"/>
  <c r="N865" i="3" s="1"/>
  <c r="L866" i="3"/>
  <c r="M866" i="3" s="1"/>
  <c r="N866" i="3" s="1"/>
  <c r="L867" i="3"/>
  <c r="L868" i="3"/>
  <c r="M868" i="3" s="1"/>
  <c r="N868" i="3" s="1"/>
  <c r="L869" i="3"/>
  <c r="M869" i="3" s="1"/>
  <c r="N869" i="3" s="1"/>
  <c r="L870" i="3"/>
  <c r="M870" i="3" s="1"/>
  <c r="N870" i="3" s="1"/>
  <c r="L871" i="3"/>
  <c r="M871" i="3" s="1"/>
  <c r="N871" i="3" s="1"/>
  <c r="L872" i="3"/>
  <c r="L873" i="3"/>
  <c r="M873" i="3" s="1"/>
  <c r="N873" i="3" s="1"/>
  <c r="L874" i="3"/>
  <c r="M874" i="3" s="1"/>
  <c r="N874" i="3" s="1"/>
  <c r="L875" i="3"/>
  <c r="M875" i="3" s="1"/>
  <c r="N875" i="3" s="1"/>
  <c r="L876" i="3"/>
  <c r="M876" i="3" s="1"/>
  <c r="N876" i="3" s="1"/>
  <c r="L877" i="3"/>
  <c r="M877" i="3" s="1"/>
  <c r="N877" i="3" s="1"/>
  <c r="L878" i="3"/>
  <c r="M878" i="3" s="1"/>
  <c r="N878" i="3" s="1"/>
  <c r="L879" i="3"/>
  <c r="M879" i="3" s="1"/>
  <c r="N879" i="3" s="1"/>
  <c r="L880" i="3"/>
  <c r="M880" i="3" s="1"/>
  <c r="N880" i="3" s="1"/>
  <c r="L881" i="3"/>
  <c r="M881" i="3" s="1"/>
  <c r="N881" i="3" s="1"/>
  <c r="L882" i="3"/>
  <c r="M882" i="3" s="1"/>
  <c r="N882" i="3" s="1"/>
  <c r="L883" i="3"/>
  <c r="M883" i="3" s="1"/>
  <c r="N883" i="3" s="1"/>
  <c r="L884" i="3"/>
  <c r="M884" i="3" s="1"/>
  <c r="N884" i="3" s="1"/>
  <c r="L885" i="3"/>
  <c r="M885" i="3" s="1"/>
  <c r="N885" i="3" s="1"/>
  <c r="L886" i="3"/>
  <c r="M886" i="3" s="1"/>
  <c r="N886" i="3" s="1"/>
  <c r="L887" i="3"/>
  <c r="M887" i="3" s="1"/>
  <c r="N887" i="3" s="1"/>
  <c r="L888" i="3"/>
  <c r="M888" i="3" s="1"/>
  <c r="N888" i="3" s="1"/>
  <c r="L889" i="3"/>
  <c r="M889" i="3" s="1"/>
  <c r="N889" i="3" s="1"/>
  <c r="L890" i="3"/>
  <c r="M890" i="3" s="1"/>
  <c r="N890" i="3" s="1"/>
  <c r="L891" i="3"/>
  <c r="M891" i="3" s="1"/>
  <c r="N891" i="3" s="1"/>
  <c r="L892" i="3"/>
  <c r="M892" i="3" s="1"/>
  <c r="N892" i="3" s="1"/>
  <c r="L893" i="3"/>
  <c r="M893" i="3" s="1"/>
  <c r="N893" i="3" s="1"/>
  <c r="L894" i="3"/>
  <c r="M894" i="3" s="1"/>
  <c r="N894" i="3" s="1"/>
  <c r="L895" i="3"/>
  <c r="M895" i="3" s="1"/>
  <c r="N895" i="3" s="1"/>
  <c r="L896" i="3"/>
  <c r="M896" i="3" s="1"/>
  <c r="N896" i="3" s="1"/>
  <c r="L897" i="3"/>
  <c r="M897" i="3" s="1"/>
  <c r="N897" i="3" s="1"/>
  <c r="L898" i="3"/>
  <c r="M898" i="3" s="1"/>
  <c r="N898" i="3" s="1"/>
  <c r="L899" i="3"/>
  <c r="M899" i="3" s="1"/>
  <c r="N899" i="3" s="1"/>
  <c r="L900" i="3"/>
  <c r="M900" i="3" s="1"/>
  <c r="N900" i="3" s="1"/>
  <c r="L901" i="3"/>
  <c r="M901" i="3" s="1"/>
  <c r="N901" i="3" s="1"/>
  <c r="L902" i="3"/>
  <c r="M902" i="3" s="1"/>
  <c r="N902" i="3" s="1"/>
  <c r="L903" i="3"/>
  <c r="M903" i="3" s="1"/>
  <c r="N903" i="3" s="1"/>
  <c r="L904" i="3"/>
  <c r="M904" i="3" s="1"/>
  <c r="N904" i="3" s="1"/>
  <c r="L905" i="3"/>
  <c r="M905" i="3" s="1"/>
  <c r="N905" i="3" s="1"/>
  <c r="L906" i="3"/>
  <c r="M906" i="3" s="1"/>
  <c r="N906" i="3" s="1"/>
  <c r="L907" i="3"/>
  <c r="M907" i="3" s="1"/>
  <c r="N907" i="3" s="1"/>
  <c r="L908" i="3"/>
  <c r="M908" i="3" s="1"/>
  <c r="N908" i="3" s="1"/>
  <c r="L909" i="3"/>
  <c r="M909" i="3" s="1"/>
  <c r="N909" i="3" s="1"/>
  <c r="L910" i="3"/>
  <c r="M910" i="3" s="1"/>
  <c r="N910" i="3" s="1"/>
  <c r="L2" i="3"/>
  <c r="M2" i="3" s="1"/>
  <c r="N2" i="3" s="1"/>
  <c r="L3" i="3"/>
  <c r="M3" i="3" s="1"/>
  <c r="N3" i="3" s="1"/>
  <c r="L4" i="3"/>
  <c r="M4" i="3" s="1"/>
  <c r="N4" i="3" s="1"/>
  <c r="L5" i="3"/>
  <c r="M5" i="3" s="1"/>
  <c r="N5" i="3" s="1"/>
  <c r="L6" i="3"/>
  <c r="M6" i="3" s="1"/>
  <c r="N6" i="3" s="1"/>
  <c r="L7" i="3"/>
  <c r="M7" i="3" s="1"/>
  <c r="N7" i="3" s="1"/>
  <c r="L8" i="3"/>
  <c r="M8" i="3" s="1"/>
  <c r="N8" i="3" s="1"/>
  <c r="L9" i="3"/>
  <c r="M9" i="3" s="1"/>
  <c r="N9" i="3" s="1"/>
  <c r="L10" i="3"/>
  <c r="M10" i="3" s="1"/>
  <c r="N10" i="3" s="1"/>
  <c r="L11" i="3"/>
  <c r="M11" i="3" s="1"/>
  <c r="N11" i="3" s="1"/>
  <c r="L12" i="3"/>
  <c r="M12" i="3" s="1"/>
  <c r="N12" i="3" s="1"/>
  <c r="L13" i="3"/>
  <c r="M13" i="3" s="1"/>
  <c r="N13" i="3" s="1"/>
  <c r="L14" i="3"/>
  <c r="M14" i="3" s="1"/>
  <c r="N14" i="3" s="1"/>
  <c r="L15" i="3"/>
  <c r="M15" i="3" s="1"/>
  <c r="N15" i="3" s="1"/>
  <c r="L16" i="3"/>
  <c r="M16" i="3" s="1"/>
  <c r="N16" i="3" s="1"/>
  <c r="L17" i="3"/>
  <c r="M17" i="3" s="1"/>
  <c r="N17" i="3" s="1"/>
  <c r="L18" i="3"/>
  <c r="M18" i="3" s="1"/>
  <c r="N18" i="3" s="1"/>
  <c r="L19" i="3"/>
  <c r="M19" i="3" s="1"/>
  <c r="N19" i="3" s="1"/>
  <c r="L20" i="3"/>
  <c r="M20" i="3" s="1"/>
  <c r="N20" i="3" s="1"/>
  <c r="L21" i="3"/>
  <c r="M21" i="3" s="1"/>
  <c r="N21" i="3" s="1"/>
  <c r="L22" i="3"/>
  <c r="M22" i="3" s="1"/>
  <c r="N22" i="3" s="1"/>
  <c r="L23" i="3"/>
  <c r="M23" i="3" s="1"/>
  <c r="N23" i="3" s="1"/>
  <c r="L24" i="3"/>
  <c r="M24" i="3" s="1"/>
  <c r="N24" i="3" s="1"/>
  <c r="L25" i="3"/>
  <c r="M25" i="3" s="1"/>
  <c r="N25" i="3" s="1"/>
  <c r="L26" i="3"/>
  <c r="M26" i="3" s="1"/>
  <c r="N26" i="3" s="1"/>
  <c r="L27" i="3"/>
  <c r="M27" i="3" s="1"/>
  <c r="N27" i="3" s="1"/>
  <c r="L28" i="3"/>
  <c r="M28" i="3" s="1"/>
  <c r="N28" i="3" s="1"/>
  <c r="L29" i="3"/>
  <c r="M29" i="3" s="1"/>
  <c r="N29" i="3" s="1"/>
  <c r="L30" i="3"/>
  <c r="M30" i="3" s="1"/>
  <c r="N30" i="3" s="1"/>
  <c r="L31" i="3"/>
  <c r="M31" i="3" s="1"/>
  <c r="N31" i="3" s="1"/>
  <c r="L32" i="3"/>
  <c r="M32" i="3" s="1"/>
  <c r="N32" i="3" s="1"/>
  <c r="L33" i="3"/>
  <c r="M33" i="3" s="1"/>
  <c r="N33" i="3" s="1"/>
  <c r="L34" i="3"/>
  <c r="M34" i="3" s="1"/>
  <c r="N34" i="3" s="1"/>
  <c r="L35" i="3"/>
  <c r="M35" i="3" s="1"/>
  <c r="N35" i="3" s="1"/>
  <c r="L36" i="3"/>
  <c r="M36" i="3" s="1"/>
  <c r="N36" i="3" s="1"/>
  <c r="L37" i="3"/>
  <c r="M37" i="3" s="1"/>
  <c r="N37" i="3" s="1"/>
  <c r="L38" i="3"/>
  <c r="M38" i="3" s="1"/>
  <c r="N38" i="3" s="1"/>
  <c r="L39" i="3"/>
  <c r="M39" i="3" s="1"/>
  <c r="N39" i="3" s="1"/>
  <c r="L40" i="3"/>
  <c r="M40" i="3" s="1"/>
  <c r="N40" i="3" s="1"/>
  <c r="L41" i="3"/>
  <c r="M41" i="3" s="1"/>
  <c r="N41" i="3" s="1"/>
  <c r="L42" i="3"/>
  <c r="M42" i="3" s="1"/>
  <c r="N42" i="3" s="1"/>
  <c r="L43" i="3"/>
  <c r="M43" i="3" s="1"/>
  <c r="N43" i="3" s="1"/>
  <c r="L44" i="3"/>
  <c r="M44" i="3" s="1"/>
  <c r="N44" i="3" s="1"/>
  <c r="L45" i="3"/>
  <c r="M45" i="3" s="1"/>
  <c r="N45" i="3" s="1"/>
  <c r="L46" i="3"/>
  <c r="M46" i="3" s="1"/>
  <c r="N46" i="3" s="1"/>
  <c r="L47" i="3"/>
  <c r="M47" i="3" s="1"/>
  <c r="N47" i="3" s="1"/>
  <c r="L48" i="3"/>
  <c r="M48" i="3" s="1"/>
  <c r="N48" i="3" s="1"/>
  <c r="L49" i="3"/>
  <c r="M49" i="3" s="1"/>
  <c r="N49" i="3" s="1"/>
  <c r="L50" i="3"/>
  <c r="M50" i="3" s="1"/>
  <c r="N50" i="3" s="1"/>
  <c r="L51" i="3"/>
  <c r="M51" i="3" s="1"/>
  <c r="N51" i="3" s="1"/>
  <c r="L52" i="3"/>
  <c r="M52" i="3" s="1"/>
  <c r="N52" i="3" s="1"/>
  <c r="L53" i="3"/>
  <c r="M53" i="3" s="1"/>
  <c r="N53" i="3" s="1"/>
  <c r="L54" i="3"/>
  <c r="M54" i="3" s="1"/>
  <c r="N54" i="3" s="1"/>
  <c r="L55" i="3"/>
  <c r="M55" i="3" s="1"/>
  <c r="N55" i="3" s="1"/>
  <c r="L56" i="3"/>
  <c r="M56" i="3" s="1"/>
  <c r="N56" i="3" s="1"/>
  <c r="L57" i="3"/>
  <c r="M57" i="3" s="1"/>
  <c r="N57" i="3" s="1"/>
  <c r="L58" i="3"/>
  <c r="M58" i="3" s="1"/>
  <c r="N58" i="3" s="1"/>
  <c r="L59" i="3"/>
  <c r="M59" i="3" s="1"/>
  <c r="N59" i="3" s="1"/>
  <c r="L60" i="3"/>
  <c r="M60" i="3" s="1"/>
  <c r="N60" i="3" s="1"/>
  <c r="L61" i="3"/>
  <c r="M61" i="3" s="1"/>
  <c r="N61" i="3" s="1"/>
  <c r="L62" i="3"/>
  <c r="M62" i="3" s="1"/>
  <c r="N62" i="3" s="1"/>
  <c r="L63" i="3"/>
  <c r="M63" i="3" s="1"/>
  <c r="N63" i="3" s="1"/>
  <c r="L64" i="3"/>
  <c r="M64" i="3" s="1"/>
  <c r="N64" i="3" s="1"/>
  <c r="L65" i="3"/>
  <c r="M65" i="3" s="1"/>
  <c r="N65" i="3" s="1"/>
  <c r="L66" i="3"/>
  <c r="M66" i="3" s="1"/>
  <c r="N66" i="3" s="1"/>
  <c r="L67" i="3"/>
  <c r="M67" i="3" s="1"/>
  <c r="N67" i="3" s="1"/>
  <c r="L68" i="3"/>
  <c r="M68" i="3" s="1"/>
  <c r="N68" i="3" s="1"/>
  <c r="L69" i="3"/>
  <c r="M69" i="3" s="1"/>
  <c r="N69" i="3" s="1"/>
  <c r="L70" i="3"/>
  <c r="M70" i="3" s="1"/>
  <c r="N70" i="3" s="1"/>
  <c r="L71" i="3"/>
  <c r="M71" i="3" s="1"/>
  <c r="N71" i="3" s="1"/>
  <c r="L72" i="3"/>
  <c r="M72" i="3" s="1"/>
  <c r="N72" i="3" s="1"/>
  <c r="L73" i="3"/>
  <c r="M73" i="3" s="1"/>
  <c r="N73" i="3" s="1"/>
  <c r="L74" i="3"/>
  <c r="M74" i="3" s="1"/>
  <c r="N74" i="3" s="1"/>
  <c r="L75" i="3"/>
  <c r="M75" i="3" s="1"/>
  <c r="N75" i="3" s="1"/>
  <c r="L76" i="3"/>
  <c r="M76" i="3" s="1"/>
  <c r="N76" i="3" s="1"/>
  <c r="L77" i="3"/>
  <c r="M77" i="3" s="1"/>
  <c r="N77" i="3" s="1"/>
  <c r="L78" i="3"/>
  <c r="M78" i="3" s="1"/>
  <c r="N78" i="3" s="1"/>
  <c r="L79" i="3"/>
  <c r="M79" i="3" s="1"/>
  <c r="N79" i="3" s="1"/>
  <c r="L80" i="3"/>
  <c r="M80" i="3" s="1"/>
  <c r="N80" i="3" s="1"/>
  <c r="L81" i="3"/>
  <c r="M81" i="3" s="1"/>
  <c r="N81" i="3" s="1"/>
  <c r="L82" i="3"/>
  <c r="M82" i="3" s="1"/>
  <c r="N82" i="3" s="1"/>
  <c r="L83" i="3"/>
  <c r="M83" i="3" s="1"/>
  <c r="N83" i="3" s="1"/>
  <c r="L84" i="3"/>
  <c r="M84" i="3" s="1"/>
  <c r="N84" i="3" s="1"/>
  <c r="L85" i="3"/>
  <c r="M85" i="3" s="1"/>
  <c r="N85" i="3" s="1"/>
  <c r="L86" i="3"/>
  <c r="M86" i="3" s="1"/>
  <c r="N86" i="3" s="1"/>
  <c r="L87" i="3"/>
  <c r="M87" i="3" s="1"/>
  <c r="N87" i="3" s="1"/>
  <c r="L88" i="3"/>
  <c r="M88" i="3" s="1"/>
  <c r="N88" i="3" s="1"/>
  <c r="L89" i="3"/>
  <c r="M89" i="3" s="1"/>
  <c r="N89" i="3" s="1"/>
  <c r="L90" i="3"/>
  <c r="M90" i="3" s="1"/>
  <c r="N90" i="3" s="1"/>
  <c r="L91" i="3"/>
  <c r="M91" i="3" s="1"/>
  <c r="N91" i="3" s="1"/>
  <c r="L92" i="3"/>
  <c r="M92" i="3" s="1"/>
  <c r="N92" i="3" s="1"/>
  <c r="L93" i="3"/>
  <c r="M93" i="3" s="1"/>
  <c r="N93" i="3" s="1"/>
  <c r="L94" i="3"/>
  <c r="M94" i="3" s="1"/>
  <c r="N94" i="3" s="1"/>
  <c r="L95" i="3"/>
  <c r="M95" i="3" s="1"/>
  <c r="N95" i="3" s="1"/>
  <c r="L96" i="3"/>
  <c r="M96" i="3" s="1"/>
  <c r="N96" i="3" s="1"/>
  <c r="L97" i="3"/>
  <c r="M97" i="3" s="1"/>
  <c r="N97" i="3" s="1"/>
  <c r="L98" i="3"/>
  <c r="M98" i="3" s="1"/>
  <c r="N98" i="3" s="1"/>
  <c r="L99" i="3"/>
  <c r="M99" i="3" s="1"/>
  <c r="N99" i="3" s="1"/>
  <c r="L100" i="3"/>
  <c r="M100" i="3" s="1"/>
  <c r="N100" i="3" s="1"/>
  <c r="L101" i="3"/>
  <c r="M101" i="3" s="1"/>
  <c r="N101" i="3" s="1"/>
  <c r="L102" i="3"/>
  <c r="M102" i="3" s="1"/>
  <c r="N102" i="3" s="1"/>
  <c r="L103" i="3"/>
  <c r="M103" i="3" s="1"/>
  <c r="N103" i="3" s="1"/>
  <c r="L104" i="3"/>
  <c r="M104" i="3" s="1"/>
  <c r="N104" i="3" s="1"/>
  <c r="L105" i="3"/>
  <c r="M105" i="3" s="1"/>
  <c r="N105" i="3" s="1"/>
  <c r="L106" i="3"/>
  <c r="M106" i="3" s="1"/>
  <c r="N106" i="3" s="1"/>
  <c r="L107" i="3"/>
  <c r="M107" i="3" s="1"/>
  <c r="N107" i="3" s="1"/>
  <c r="L108" i="3"/>
  <c r="M108" i="3" s="1"/>
  <c r="N108" i="3" s="1"/>
  <c r="L109" i="3"/>
  <c r="M109" i="3" s="1"/>
  <c r="N109" i="3" s="1"/>
  <c r="L110" i="3"/>
  <c r="M110" i="3" s="1"/>
  <c r="N110" i="3" s="1"/>
  <c r="L111" i="3"/>
  <c r="M111" i="3" s="1"/>
  <c r="N111" i="3" s="1"/>
  <c r="L112" i="3"/>
  <c r="M112" i="3" s="1"/>
  <c r="N112" i="3" s="1"/>
  <c r="L113" i="3"/>
  <c r="M113" i="3" s="1"/>
  <c r="N113" i="3" s="1"/>
  <c r="L114" i="3"/>
  <c r="M114" i="3" s="1"/>
  <c r="N114" i="3" s="1"/>
  <c r="L115" i="3"/>
  <c r="M115" i="3" s="1"/>
  <c r="N115" i="3" s="1"/>
  <c r="L116" i="3"/>
  <c r="M116" i="3" s="1"/>
  <c r="N116" i="3" s="1"/>
  <c r="L117" i="3"/>
  <c r="M117" i="3" s="1"/>
  <c r="N117" i="3" s="1"/>
  <c r="L118" i="3"/>
  <c r="M118" i="3" s="1"/>
  <c r="N118" i="3" s="1"/>
  <c r="L119" i="3"/>
  <c r="M119" i="3" s="1"/>
  <c r="N119" i="3" s="1"/>
  <c r="L120" i="3"/>
  <c r="M120" i="3" s="1"/>
  <c r="N120" i="3" s="1"/>
  <c r="L121" i="3"/>
  <c r="M121" i="3" s="1"/>
  <c r="N121" i="3" s="1"/>
  <c r="L122" i="3"/>
  <c r="M122" i="3" s="1"/>
  <c r="N122" i="3" s="1"/>
  <c r="L123" i="3"/>
  <c r="M123" i="3" s="1"/>
  <c r="N123" i="3" s="1"/>
  <c r="L124" i="3"/>
  <c r="M124" i="3" s="1"/>
  <c r="N124" i="3" s="1"/>
  <c r="L125" i="3"/>
  <c r="M125" i="3" s="1"/>
  <c r="N125" i="3" s="1"/>
  <c r="L126" i="3"/>
  <c r="M126" i="3" s="1"/>
  <c r="N126" i="3" s="1"/>
  <c r="L127" i="3"/>
  <c r="M127" i="3" s="1"/>
  <c r="N127" i="3" s="1"/>
  <c r="L128" i="3"/>
  <c r="M128" i="3" s="1"/>
  <c r="N128" i="3" s="1"/>
  <c r="L129" i="3"/>
  <c r="M129" i="3" s="1"/>
  <c r="N129" i="3" s="1"/>
  <c r="L130" i="3"/>
  <c r="M130" i="3" s="1"/>
  <c r="N130" i="3" s="1"/>
  <c r="L131" i="3"/>
  <c r="M131" i="3" s="1"/>
  <c r="N131" i="3" s="1"/>
  <c r="L132" i="3"/>
  <c r="M132" i="3" s="1"/>
  <c r="N132" i="3" s="1"/>
  <c r="L133" i="3"/>
  <c r="M133" i="3" s="1"/>
  <c r="N133" i="3" s="1"/>
  <c r="L134" i="3"/>
  <c r="M134" i="3" s="1"/>
  <c r="N134" i="3" s="1"/>
  <c r="L135" i="3"/>
  <c r="M135" i="3" s="1"/>
  <c r="N135" i="3" s="1"/>
  <c r="L136" i="3"/>
  <c r="M136" i="3" s="1"/>
  <c r="N136" i="3" s="1"/>
  <c r="L137" i="3"/>
  <c r="M137" i="3" s="1"/>
  <c r="N137" i="3" s="1"/>
  <c r="L138" i="3"/>
  <c r="M138" i="3" s="1"/>
  <c r="N138" i="3" s="1"/>
  <c r="L139" i="3"/>
  <c r="M139" i="3" s="1"/>
  <c r="N139" i="3" s="1"/>
  <c r="L140" i="3"/>
  <c r="M140" i="3" s="1"/>
  <c r="N140" i="3" s="1"/>
  <c r="L141" i="3"/>
  <c r="M141" i="3" s="1"/>
  <c r="N141" i="3" s="1"/>
  <c r="L142" i="3"/>
  <c r="M142" i="3" s="1"/>
  <c r="N142" i="3" s="1"/>
  <c r="L143" i="3"/>
  <c r="M143" i="3" s="1"/>
  <c r="N143" i="3" s="1"/>
  <c r="L144" i="3"/>
  <c r="M144" i="3" s="1"/>
  <c r="N144" i="3" s="1"/>
  <c r="L145" i="3"/>
  <c r="M145" i="3" s="1"/>
  <c r="N145" i="3" s="1"/>
  <c r="L146" i="3"/>
  <c r="M146" i="3" s="1"/>
  <c r="N146" i="3" s="1"/>
  <c r="L147" i="3"/>
  <c r="M147" i="3" s="1"/>
  <c r="N147" i="3" s="1"/>
  <c r="L148" i="3"/>
  <c r="M148" i="3" s="1"/>
  <c r="N148" i="3" s="1"/>
  <c r="L149" i="3"/>
  <c r="M149" i="3" s="1"/>
  <c r="N149" i="3" s="1"/>
  <c r="L150" i="3"/>
  <c r="M150" i="3" s="1"/>
  <c r="N150" i="3" s="1"/>
  <c r="L151" i="3"/>
  <c r="M151" i="3" s="1"/>
  <c r="N151" i="3" s="1"/>
  <c r="L152" i="3"/>
  <c r="M152" i="3" s="1"/>
  <c r="N152" i="3" s="1"/>
  <c r="L153" i="3"/>
  <c r="M153" i="3" s="1"/>
  <c r="N153" i="3" s="1"/>
  <c r="L154" i="3"/>
  <c r="M154" i="3" s="1"/>
  <c r="N154" i="3" s="1"/>
  <c r="L155" i="3"/>
  <c r="M155" i="3" s="1"/>
  <c r="N155" i="3" s="1"/>
  <c r="L156" i="3"/>
  <c r="M156" i="3" s="1"/>
  <c r="N156" i="3" s="1"/>
  <c r="L157" i="3"/>
  <c r="M157" i="3" s="1"/>
  <c r="N157" i="3" s="1"/>
  <c r="L158" i="3"/>
  <c r="M158" i="3" s="1"/>
  <c r="N158" i="3" s="1"/>
  <c r="L159" i="3"/>
  <c r="M159" i="3" s="1"/>
  <c r="N159" i="3" s="1"/>
  <c r="L160" i="3"/>
  <c r="M160" i="3" s="1"/>
  <c r="N160" i="3" s="1"/>
  <c r="L161" i="3"/>
  <c r="M161" i="3" s="1"/>
  <c r="N161" i="3" s="1"/>
  <c r="L162" i="3"/>
  <c r="M162" i="3" s="1"/>
  <c r="N162" i="3" s="1"/>
  <c r="L163" i="3"/>
  <c r="M163" i="3" s="1"/>
  <c r="N163" i="3" s="1"/>
  <c r="L164" i="3"/>
  <c r="M164" i="3" s="1"/>
  <c r="N164" i="3" s="1"/>
  <c r="L165" i="3"/>
  <c r="M165" i="3" s="1"/>
  <c r="N165" i="3" s="1"/>
  <c r="L166" i="3"/>
  <c r="M166" i="3" s="1"/>
  <c r="N166" i="3" s="1"/>
  <c r="L167" i="3"/>
  <c r="M167" i="3" s="1"/>
  <c r="N167" i="3" s="1"/>
  <c r="L168" i="3"/>
  <c r="M168" i="3" s="1"/>
  <c r="N168" i="3" s="1"/>
  <c r="L169" i="3"/>
  <c r="M169" i="3" s="1"/>
  <c r="N169" i="3" s="1"/>
  <c r="L170" i="3"/>
  <c r="M170" i="3" s="1"/>
  <c r="N170" i="3" s="1"/>
  <c r="L171" i="3"/>
  <c r="M171" i="3" s="1"/>
  <c r="N171" i="3" s="1"/>
  <c r="L172" i="3"/>
  <c r="M172" i="3" s="1"/>
  <c r="N172" i="3" s="1"/>
  <c r="L173" i="3"/>
  <c r="M173" i="3" s="1"/>
  <c r="N173" i="3" s="1"/>
  <c r="L174" i="3"/>
  <c r="M174" i="3" s="1"/>
  <c r="N174" i="3" s="1"/>
  <c r="L175" i="3"/>
  <c r="M175" i="3" s="1"/>
  <c r="N175" i="3" s="1"/>
  <c r="L176" i="3"/>
  <c r="M176" i="3" s="1"/>
  <c r="N176" i="3" s="1"/>
  <c r="L177" i="3"/>
  <c r="M177" i="3" s="1"/>
  <c r="N177" i="3" s="1"/>
  <c r="L178" i="3"/>
  <c r="M178" i="3" s="1"/>
  <c r="N178" i="3" s="1"/>
  <c r="L179" i="3"/>
  <c r="M179" i="3" s="1"/>
  <c r="N179" i="3" s="1"/>
  <c r="L180" i="3"/>
  <c r="M180" i="3" s="1"/>
  <c r="N180" i="3" s="1"/>
  <c r="L181" i="3"/>
  <c r="M181" i="3" s="1"/>
  <c r="N181" i="3" s="1"/>
  <c r="L182" i="3"/>
  <c r="M182" i="3" s="1"/>
  <c r="N182" i="3" s="1"/>
  <c r="L183" i="3"/>
  <c r="M183" i="3" s="1"/>
  <c r="N183" i="3" s="1"/>
  <c r="L184" i="3"/>
  <c r="M184" i="3" s="1"/>
  <c r="N184" i="3" s="1"/>
  <c r="L185" i="3"/>
  <c r="M185" i="3" s="1"/>
  <c r="N185" i="3" s="1"/>
  <c r="L186" i="3"/>
  <c r="M186" i="3" s="1"/>
  <c r="N186" i="3" s="1"/>
  <c r="L187" i="3"/>
  <c r="M187" i="3" s="1"/>
  <c r="N187" i="3" s="1"/>
  <c r="L188" i="3"/>
  <c r="M188" i="3" s="1"/>
  <c r="N188" i="3" s="1"/>
  <c r="L189" i="3"/>
  <c r="M189" i="3" s="1"/>
  <c r="N189" i="3" s="1"/>
  <c r="L190" i="3"/>
  <c r="M190" i="3" s="1"/>
  <c r="N190" i="3" s="1"/>
  <c r="L191" i="3"/>
  <c r="M191" i="3" s="1"/>
  <c r="N191" i="3" s="1"/>
  <c r="L192" i="3"/>
  <c r="M192" i="3" s="1"/>
  <c r="N192" i="3" s="1"/>
  <c r="L193" i="3"/>
  <c r="M193" i="3" s="1"/>
  <c r="N193" i="3" s="1"/>
  <c r="L194" i="3"/>
  <c r="M194" i="3" s="1"/>
  <c r="N194" i="3" s="1"/>
  <c r="L195" i="3"/>
  <c r="M195" i="3" s="1"/>
  <c r="N195" i="3" s="1"/>
  <c r="L196" i="3"/>
  <c r="M196" i="3" s="1"/>
  <c r="N196" i="3" s="1"/>
  <c r="L197" i="3"/>
  <c r="M197" i="3" s="1"/>
  <c r="N197" i="3" s="1"/>
  <c r="L198" i="3"/>
  <c r="M198" i="3" s="1"/>
  <c r="N198" i="3" s="1"/>
  <c r="L199" i="3"/>
  <c r="M199" i="3" s="1"/>
  <c r="N199" i="3" s="1"/>
  <c r="L200" i="3"/>
  <c r="M200" i="3" s="1"/>
  <c r="N200" i="3" s="1"/>
  <c r="L201" i="3"/>
  <c r="M201" i="3" s="1"/>
  <c r="N201" i="3" s="1"/>
  <c r="L202" i="3"/>
  <c r="M202" i="3" s="1"/>
  <c r="N202" i="3" s="1"/>
  <c r="L203" i="3"/>
  <c r="M203" i="3" s="1"/>
  <c r="N203" i="3" s="1"/>
  <c r="L204" i="3"/>
  <c r="M204" i="3" s="1"/>
  <c r="N204" i="3" s="1"/>
  <c r="L205" i="3"/>
  <c r="M205" i="3" s="1"/>
  <c r="N205" i="3" s="1"/>
  <c r="L206" i="3"/>
  <c r="M206" i="3" s="1"/>
  <c r="N206" i="3" s="1"/>
  <c r="L207" i="3"/>
  <c r="M207" i="3" s="1"/>
  <c r="N207" i="3" s="1"/>
  <c r="L208" i="3"/>
  <c r="M208" i="3" s="1"/>
  <c r="N208" i="3" s="1"/>
  <c r="L209" i="3"/>
  <c r="M209" i="3" s="1"/>
  <c r="N209" i="3" s="1"/>
  <c r="L210" i="3"/>
  <c r="M210" i="3" s="1"/>
  <c r="N210" i="3" s="1"/>
  <c r="L211" i="3"/>
  <c r="M211" i="3" s="1"/>
  <c r="N211" i="3" s="1"/>
  <c r="L212" i="3"/>
  <c r="M212" i="3" s="1"/>
  <c r="N212" i="3" s="1"/>
  <c r="L213" i="3"/>
  <c r="M213" i="3" s="1"/>
  <c r="N213" i="3" s="1"/>
  <c r="L214" i="3"/>
  <c r="M214" i="3" s="1"/>
  <c r="N214" i="3" s="1"/>
  <c r="L215" i="3"/>
  <c r="M215" i="3" s="1"/>
  <c r="N215" i="3" s="1"/>
  <c r="L216" i="3"/>
  <c r="M216" i="3" s="1"/>
  <c r="N216" i="3" s="1"/>
  <c r="L217" i="3"/>
  <c r="M217" i="3" s="1"/>
  <c r="N217" i="3" s="1"/>
  <c r="L218" i="3"/>
  <c r="M218" i="3" s="1"/>
  <c r="N218" i="3" s="1"/>
  <c r="L219" i="3"/>
  <c r="M219" i="3" s="1"/>
  <c r="N219" i="3" s="1"/>
  <c r="L220" i="3"/>
  <c r="M220" i="3" s="1"/>
  <c r="N220" i="3" s="1"/>
  <c r="L221" i="3"/>
  <c r="M221" i="3" s="1"/>
  <c r="N221" i="3" s="1"/>
  <c r="L222" i="3"/>
  <c r="M222" i="3" s="1"/>
  <c r="N222" i="3" s="1"/>
  <c r="L223" i="3"/>
  <c r="M223" i="3" s="1"/>
  <c r="N223" i="3" s="1"/>
  <c r="L224" i="3"/>
  <c r="M224" i="3" s="1"/>
  <c r="N224" i="3" s="1"/>
  <c r="L225" i="3"/>
  <c r="M225" i="3" s="1"/>
  <c r="N225" i="3" s="1"/>
  <c r="L226" i="3"/>
  <c r="M226" i="3" s="1"/>
  <c r="N226" i="3" s="1"/>
  <c r="L227" i="3"/>
  <c r="M227" i="3" s="1"/>
  <c r="N227" i="3" s="1"/>
  <c r="L228" i="3"/>
  <c r="M228" i="3" s="1"/>
  <c r="N228" i="3" s="1"/>
  <c r="L229" i="3"/>
  <c r="M229" i="3" s="1"/>
  <c r="N229" i="3" s="1"/>
  <c r="L230" i="3"/>
  <c r="M230" i="3" s="1"/>
  <c r="N230" i="3" s="1"/>
  <c r="L231" i="3"/>
  <c r="M231" i="3" s="1"/>
  <c r="N231" i="3" s="1"/>
  <c r="L232" i="3"/>
  <c r="M232" i="3" s="1"/>
  <c r="N232" i="3" s="1"/>
  <c r="L233" i="3"/>
  <c r="M233" i="3" s="1"/>
  <c r="N233" i="3" s="1"/>
  <c r="L234" i="3"/>
  <c r="M234" i="3" s="1"/>
  <c r="N234" i="3" s="1"/>
  <c r="L235" i="3"/>
  <c r="M235" i="3" s="1"/>
  <c r="N235" i="3" s="1"/>
  <c r="L236" i="3"/>
  <c r="M236" i="3" s="1"/>
  <c r="N236" i="3" s="1"/>
  <c r="L237" i="3"/>
  <c r="M237" i="3" s="1"/>
  <c r="N237" i="3" s="1"/>
  <c r="L238" i="3"/>
  <c r="M238" i="3" s="1"/>
  <c r="N238" i="3" s="1"/>
  <c r="L239" i="3"/>
  <c r="M239" i="3" s="1"/>
  <c r="N239" i="3" s="1"/>
  <c r="L240" i="3"/>
  <c r="M240" i="3" s="1"/>
  <c r="N240" i="3" s="1"/>
  <c r="L241" i="3"/>
  <c r="M241" i="3" s="1"/>
  <c r="N241" i="3" s="1"/>
  <c r="L242" i="3"/>
  <c r="M242" i="3" s="1"/>
  <c r="N242" i="3" s="1"/>
  <c r="L243" i="3"/>
  <c r="M243" i="3" s="1"/>
  <c r="N243" i="3" s="1"/>
  <c r="L244" i="3"/>
  <c r="M244" i="3" s="1"/>
  <c r="N244" i="3" s="1"/>
  <c r="L245" i="3"/>
  <c r="M245" i="3" s="1"/>
  <c r="N245" i="3" s="1"/>
  <c r="L246" i="3"/>
  <c r="M246" i="3" s="1"/>
  <c r="N246" i="3" s="1"/>
  <c r="L247" i="3"/>
  <c r="M247" i="3" s="1"/>
  <c r="N247" i="3" s="1"/>
  <c r="L248" i="3"/>
  <c r="M248" i="3" s="1"/>
  <c r="N248" i="3" s="1"/>
  <c r="L249" i="3"/>
  <c r="M249" i="3" s="1"/>
  <c r="N249" i="3" s="1"/>
  <c r="L250" i="3"/>
  <c r="M250" i="3" s="1"/>
  <c r="N250" i="3" s="1"/>
  <c r="L251" i="3"/>
  <c r="M251" i="3" s="1"/>
  <c r="N251" i="3" s="1"/>
  <c r="L252" i="3"/>
  <c r="M252" i="3" s="1"/>
  <c r="N252" i="3" s="1"/>
  <c r="L253" i="3"/>
  <c r="M253" i="3" s="1"/>
  <c r="N253" i="3" s="1"/>
  <c r="L254" i="3"/>
  <c r="M254" i="3" s="1"/>
  <c r="N254" i="3" s="1"/>
  <c r="L255" i="3"/>
  <c r="M255" i="3" s="1"/>
  <c r="N255" i="3" s="1"/>
  <c r="L256" i="3"/>
  <c r="M256" i="3" s="1"/>
  <c r="N256" i="3" s="1"/>
  <c r="L257" i="3"/>
  <c r="L258" i="3"/>
  <c r="M258" i="3" s="1"/>
  <c r="N258" i="3" s="1"/>
  <c r="L259" i="3"/>
  <c r="M259" i="3" s="1"/>
  <c r="N259" i="3" s="1"/>
  <c r="L260" i="3"/>
  <c r="M260" i="3" s="1"/>
  <c r="N260" i="3" s="1"/>
  <c r="L261" i="3"/>
  <c r="M261" i="3" s="1"/>
  <c r="N261" i="3" s="1"/>
  <c r="L262" i="3"/>
  <c r="M262" i="3" s="1"/>
  <c r="N262" i="3" s="1"/>
  <c r="L263" i="3"/>
  <c r="M263" i="3" s="1"/>
  <c r="N263" i="3" s="1"/>
  <c r="L264" i="3"/>
  <c r="M264" i="3" s="1"/>
  <c r="N264" i="3" s="1"/>
  <c r="L265" i="3"/>
  <c r="M265" i="3" s="1"/>
  <c r="N265" i="3" s="1"/>
  <c r="L266" i="3"/>
  <c r="M266" i="3" s="1"/>
  <c r="N266" i="3" s="1"/>
  <c r="L267" i="3"/>
  <c r="M267" i="3" s="1"/>
  <c r="N267" i="3" s="1"/>
  <c r="L268" i="3"/>
  <c r="M268" i="3" s="1"/>
  <c r="N268" i="3" s="1"/>
  <c r="L269" i="3"/>
  <c r="M269" i="3" s="1"/>
  <c r="N269" i="3" s="1"/>
  <c r="L270" i="3"/>
  <c r="L271" i="3"/>
  <c r="M271" i="3" s="1"/>
  <c r="N271" i="3" s="1"/>
  <c r="L272" i="3"/>
  <c r="M272" i="3" s="1"/>
  <c r="N272" i="3" s="1"/>
  <c r="L273" i="3"/>
  <c r="M273" i="3" s="1"/>
  <c r="N273" i="3" s="1"/>
  <c r="L274" i="3"/>
  <c r="M274" i="3" s="1"/>
  <c r="N274" i="3" s="1"/>
  <c r="L275" i="3"/>
  <c r="M275" i="3" s="1"/>
  <c r="N275" i="3" s="1"/>
  <c r="L276" i="3"/>
  <c r="M276" i="3" s="1"/>
  <c r="N276" i="3" s="1"/>
  <c r="L277" i="3"/>
  <c r="M277" i="3" s="1"/>
  <c r="N277" i="3" s="1"/>
  <c r="L278" i="3"/>
  <c r="M278" i="3" s="1"/>
  <c r="N278" i="3" s="1"/>
  <c r="L279" i="3"/>
  <c r="M279" i="3" s="1"/>
  <c r="N279" i="3" s="1"/>
  <c r="L280" i="3"/>
  <c r="M280" i="3" s="1"/>
  <c r="N280" i="3" s="1"/>
  <c r="L281" i="3"/>
  <c r="M281" i="3" s="1"/>
  <c r="N281" i="3" s="1"/>
  <c r="L282" i="3"/>
  <c r="M282" i="3" s="1"/>
  <c r="N282" i="3" s="1"/>
  <c r="L283" i="3"/>
  <c r="L284" i="3"/>
  <c r="M284" i="3" s="1"/>
  <c r="N284" i="3" s="1"/>
  <c r="L285" i="3"/>
  <c r="M285" i="3" s="1"/>
  <c r="N285" i="3" s="1"/>
  <c r="L286" i="3"/>
  <c r="M286" i="3" s="1"/>
  <c r="N286" i="3" s="1"/>
  <c r="L287" i="3"/>
  <c r="M287" i="3" s="1"/>
  <c r="N287" i="3" s="1"/>
  <c r="L288" i="3"/>
  <c r="M288" i="3" s="1"/>
  <c r="N288" i="3" s="1"/>
  <c r="L289" i="3"/>
  <c r="M289" i="3" s="1"/>
  <c r="N289" i="3" s="1"/>
  <c r="L290" i="3"/>
  <c r="M290" i="3" s="1"/>
  <c r="N290" i="3" s="1"/>
  <c r="L291" i="3"/>
  <c r="M291" i="3" s="1"/>
  <c r="N291" i="3" s="1"/>
  <c r="L292" i="3"/>
  <c r="M292" i="3" s="1"/>
  <c r="N292" i="3" s="1"/>
  <c r="L293" i="3"/>
  <c r="M293" i="3" s="1"/>
  <c r="N293" i="3" s="1"/>
  <c r="L294" i="3"/>
  <c r="M294" i="3" s="1"/>
  <c r="N294" i="3" s="1"/>
  <c r="L295" i="3"/>
  <c r="M295" i="3" s="1"/>
  <c r="N295" i="3" s="1"/>
  <c r="L296" i="3"/>
  <c r="M296" i="3" s="1"/>
  <c r="N296" i="3" s="1"/>
  <c r="L297" i="3"/>
  <c r="M297" i="3" s="1"/>
  <c r="N297" i="3" s="1"/>
  <c r="L298" i="3"/>
  <c r="M298" i="3" s="1"/>
  <c r="N298" i="3" s="1"/>
  <c r="L299" i="3"/>
  <c r="M299" i="3" s="1"/>
  <c r="N299" i="3" s="1"/>
  <c r="L300" i="3"/>
  <c r="M300" i="3" s="1"/>
  <c r="N300" i="3" s="1"/>
  <c r="L301" i="3"/>
  <c r="M301" i="3" s="1"/>
  <c r="N301" i="3" s="1"/>
  <c r="L302" i="3"/>
  <c r="M302" i="3" s="1"/>
  <c r="N302" i="3" s="1"/>
  <c r="L303" i="3"/>
  <c r="M303" i="3" s="1"/>
  <c r="N303" i="3" s="1"/>
  <c r="L304" i="3"/>
  <c r="M304" i="3" s="1"/>
  <c r="N304" i="3" s="1"/>
  <c r="L305" i="3"/>
  <c r="M305" i="3" s="1"/>
  <c r="N305" i="3" s="1"/>
  <c r="L306" i="3"/>
  <c r="M306" i="3" s="1"/>
  <c r="N306" i="3" s="1"/>
  <c r="L307" i="3"/>
  <c r="M307" i="3" s="1"/>
  <c r="N307" i="3" s="1"/>
  <c r="L308" i="3"/>
  <c r="M308" i="3" s="1"/>
  <c r="N308" i="3" s="1"/>
  <c r="L309" i="3"/>
  <c r="M309" i="3" s="1"/>
  <c r="N309" i="3" s="1"/>
  <c r="L310" i="3"/>
  <c r="M310" i="3" s="1"/>
  <c r="N310" i="3" s="1"/>
  <c r="L311" i="3"/>
  <c r="M311" i="3" s="1"/>
  <c r="N311" i="3" s="1"/>
  <c r="L312" i="3"/>
  <c r="M312" i="3" s="1"/>
  <c r="N312" i="3" s="1"/>
  <c r="L313" i="3"/>
  <c r="M313" i="3" s="1"/>
  <c r="N313" i="3" s="1"/>
  <c r="L314" i="3"/>
  <c r="M314" i="3" s="1"/>
  <c r="N314" i="3" s="1"/>
  <c r="L315" i="3"/>
  <c r="M315" i="3" s="1"/>
  <c r="N315" i="3" s="1"/>
  <c r="L316" i="3"/>
  <c r="M316" i="3" s="1"/>
  <c r="N316" i="3" s="1"/>
  <c r="L317" i="3"/>
  <c r="M317" i="3" s="1"/>
  <c r="N317" i="3" s="1"/>
  <c r="L318" i="3"/>
  <c r="M318" i="3" s="1"/>
  <c r="N318" i="3" s="1"/>
  <c r="L319" i="3"/>
  <c r="M319" i="3" s="1"/>
  <c r="N319" i="3" s="1"/>
  <c r="L320" i="3"/>
  <c r="M320" i="3" s="1"/>
  <c r="N320" i="3" s="1"/>
  <c r="L321" i="3"/>
  <c r="M321" i="3" s="1"/>
  <c r="N321" i="3" s="1"/>
  <c r="L322" i="3"/>
  <c r="M322" i="3" s="1"/>
  <c r="N322" i="3" s="1"/>
  <c r="L323" i="3"/>
  <c r="M323" i="3" s="1"/>
  <c r="N323" i="3" s="1"/>
  <c r="L324" i="3"/>
  <c r="M324" i="3" s="1"/>
  <c r="N324" i="3" s="1"/>
  <c r="L325" i="3"/>
  <c r="M325" i="3" s="1"/>
  <c r="N325" i="3" s="1"/>
  <c r="L326" i="3"/>
  <c r="M326" i="3" s="1"/>
  <c r="N326" i="3" s="1"/>
  <c r="L327" i="3"/>
  <c r="M327" i="3" s="1"/>
  <c r="N327" i="3" s="1"/>
  <c r="L328" i="3"/>
  <c r="M328" i="3" s="1"/>
  <c r="N328" i="3" s="1"/>
  <c r="L329" i="3"/>
  <c r="M329" i="3" s="1"/>
  <c r="N329" i="3" s="1"/>
  <c r="L330" i="3"/>
  <c r="M330" i="3" s="1"/>
  <c r="N330" i="3" s="1"/>
  <c r="L331" i="3"/>
  <c r="M331" i="3" s="1"/>
  <c r="N331" i="3" s="1"/>
  <c r="L332" i="3"/>
  <c r="M332" i="3" s="1"/>
  <c r="N332" i="3" s="1"/>
  <c r="L333" i="3"/>
  <c r="M333" i="3" s="1"/>
  <c r="N333" i="3" s="1"/>
  <c r="L334" i="3"/>
  <c r="M334" i="3" s="1"/>
  <c r="N334" i="3" s="1"/>
  <c r="L335" i="3"/>
  <c r="M335" i="3" s="1"/>
  <c r="N335" i="3" s="1"/>
  <c r="L336" i="3"/>
  <c r="M336" i="3" s="1"/>
  <c r="N336" i="3" s="1"/>
  <c r="L337" i="3"/>
  <c r="M337" i="3" s="1"/>
  <c r="N337" i="3" s="1"/>
  <c r="L338" i="3"/>
  <c r="M338" i="3" s="1"/>
  <c r="N338" i="3" s="1"/>
  <c r="L339" i="3"/>
  <c r="M339" i="3" s="1"/>
  <c r="N339" i="3" s="1"/>
  <c r="L340" i="3"/>
  <c r="M340" i="3" s="1"/>
  <c r="N340" i="3" s="1"/>
  <c r="L341" i="3"/>
  <c r="M341" i="3" s="1"/>
  <c r="N341" i="3" s="1"/>
  <c r="L342" i="3"/>
  <c r="M342" i="3" s="1"/>
  <c r="N342" i="3" s="1"/>
  <c r="L343" i="3"/>
  <c r="M343" i="3" s="1"/>
  <c r="N343" i="3" s="1"/>
  <c r="L344" i="3"/>
  <c r="M344" i="3" s="1"/>
  <c r="N344" i="3" s="1"/>
  <c r="L345" i="3"/>
  <c r="M345" i="3" s="1"/>
  <c r="N345" i="3" s="1"/>
  <c r="L346" i="3"/>
  <c r="M346" i="3" s="1"/>
  <c r="N346" i="3" s="1"/>
  <c r="L347" i="3"/>
  <c r="M347" i="3" s="1"/>
  <c r="N347" i="3" s="1"/>
  <c r="L348" i="3"/>
  <c r="M348" i="3" s="1"/>
  <c r="N348" i="3" s="1"/>
  <c r="L349" i="3"/>
  <c r="M349" i="3" s="1"/>
  <c r="N349" i="3" s="1"/>
  <c r="L350" i="3"/>
  <c r="M350" i="3" s="1"/>
  <c r="N350" i="3" s="1"/>
  <c r="L351" i="3"/>
  <c r="M351" i="3" s="1"/>
  <c r="N351" i="3" s="1"/>
  <c r="L352" i="3"/>
  <c r="M352" i="3" s="1"/>
  <c r="N352" i="3" s="1"/>
  <c r="L353" i="3"/>
  <c r="M353" i="3" s="1"/>
  <c r="N353" i="3" s="1"/>
  <c r="L354" i="3"/>
  <c r="M354" i="3" s="1"/>
  <c r="N354" i="3" s="1"/>
  <c r="L355" i="3"/>
  <c r="M355" i="3" s="1"/>
  <c r="N355" i="3" s="1"/>
  <c r="L356" i="3"/>
  <c r="M356" i="3" s="1"/>
  <c r="N356" i="3" s="1"/>
  <c r="L357" i="3"/>
  <c r="M357" i="3" s="1"/>
  <c r="N357" i="3" s="1"/>
  <c r="L358" i="3"/>
  <c r="M358" i="3" s="1"/>
  <c r="N358" i="3" s="1"/>
  <c r="L359" i="3"/>
  <c r="M359" i="3" s="1"/>
  <c r="N359" i="3" s="1"/>
  <c r="L360" i="3"/>
  <c r="M360" i="3" s="1"/>
  <c r="N360" i="3" s="1"/>
  <c r="L361" i="3"/>
  <c r="M361" i="3" s="1"/>
  <c r="N361" i="3" s="1"/>
  <c r="L362" i="3"/>
  <c r="M362" i="3" s="1"/>
  <c r="N362" i="3" s="1"/>
  <c r="L363" i="3"/>
  <c r="M363" i="3" s="1"/>
  <c r="N363" i="3" s="1"/>
  <c r="L364" i="3"/>
  <c r="M364" i="3" s="1"/>
  <c r="N364" i="3" s="1"/>
  <c r="L365" i="3"/>
  <c r="M365" i="3" s="1"/>
  <c r="N365" i="3" s="1"/>
  <c r="L366" i="3"/>
  <c r="M366" i="3" s="1"/>
  <c r="N366" i="3" s="1"/>
  <c r="L367" i="3"/>
  <c r="M367" i="3" s="1"/>
  <c r="N367" i="3" s="1"/>
  <c r="L368" i="3"/>
  <c r="M368" i="3" s="1"/>
  <c r="N368" i="3" s="1"/>
  <c r="L369" i="3"/>
  <c r="M369" i="3" s="1"/>
  <c r="N369" i="3" s="1"/>
  <c r="L370" i="3"/>
  <c r="M370" i="3" s="1"/>
  <c r="N370" i="3" s="1"/>
  <c r="L371" i="3"/>
  <c r="M371" i="3" s="1"/>
  <c r="N371" i="3" s="1"/>
  <c r="L372" i="3"/>
  <c r="M372" i="3" s="1"/>
  <c r="N372" i="3" s="1"/>
  <c r="L373" i="3"/>
  <c r="M373" i="3" s="1"/>
  <c r="N373" i="3" s="1"/>
  <c r="L374" i="3"/>
  <c r="M374" i="3" s="1"/>
  <c r="N374" i="3" s="1"/>
  <c r="L375" i="3"/>
  <c r="M375" i="3" s="1"/>
  <c r="N375" i="3" s="1"/>
  <c r="L376" i="3"/>
  <c r="M376" i="3" s="1"/>
  <c r="N376" i="3" s="1"/>
  <c r="L377" i="3"/>
  <c r="M377" i="3" s="1"/>
  <c r="N377" i="3" s="1"/>
  <c r="L378" i="3"/>
  <c r="M378" i="3" s="1"/>
  <c r="N378" i="3" s="1"/>
  <c r="L379" i="3"/>
  <c r="M379" i="3" s="1"/>
  <c r="N379" i="3" s="1"/>
  <c r="L380" i="3"/>
  <c r="M380" i="3" s="1"/>
  <c r="N380" i="3" s="1"/>
  <c r="L381" i="3"/>
  <c r="M381" i="3" s="1"/>
  <c r="N381" i="3" s="1"/>
  <c r="L382" i="3"/>
  <c r="M382" i="3" s="1"/>
  <c r="N382" i="3" s="1"/>
  <c r="L383" i="3"/>
  <c r="M383" i="3" s="1"/>
  <c r="N383" i="3" s="1"/>
  <c r="L384" i="3"/>
  <c r="M384" i="3" s="1"/>
  <c r="N384" i="3" s="1"/>
  <c r="L385" i="3"/>
  <c r="M385" i="3" s="1"/>
  <c r="N385" i="3" s="1"/>
  <c r="L386" i="3"/>
  <c r="M386" i="3" s="1"/>
  <c r="N386" i="3" s="1"/>
  <c r="L387" i="3"/>
  <c r="M387" i="3" s="1"/>
  <c r="N387" i="3" s="1"/>
  <c r="L388" i="3"/>
  <c r="M388" i="3" s="1"/>
  <c r="N388" i="3" s="1"/>
  <c r="L389" i="3"/>
  <c r="M389" i="3" s="1"/>
  <c r="N389" i="3" s="1"/>
  <c r="L390" i="3"/>
  <c r="M390" i="3" s="1"/>
  <c r="N390" i="3" s="1"/>
  <c r="L391" i="3"/>
  <c r="M391" i="3" s="1"/>
  <c r="N391" i="3" s="1"/>
  <c r="L392" i="3"/>
  <c r="M392" i="3" s="1"/>
  <c r="N392" i="3" s="1"/>
  <c r="L393" i="3"/>
  <c r="M393" i="3" s="1"/>
  <c r="N393" i="3" s="1"/>
  <c r="L394" i="3"/>
  <c r="M394" i="3" s="1"/>
  <c r="N394" i="3" s="1"/>
  <c r="L395" i="3"/>
  <c r="M395" i="3" s="1"/>
  <c r="N395" i="3" s="1"/>
  <c r="L396" i="3"/>
  <c r="M396" i="3" s="1"/>
  <c r="N396" i="3" s="1"/>
  <c r="L397" i="3"/>
  <c r="M397" i="3" s="1"/>
  <c r="N397" i="3" s="1"/>
  <c r="L398" i="3"/>
  <c r="M398" i="3" s="1"/>
  <c r="N398" i="3" s="1"/>
  <c r="L399" i="3"/>
  <c r="M399" i="3" s="1"/>
  <c r="N399" i="3" s="1"/>
  <c r="L400" i="3"/>
  <c r="M400" i="3" s="1"/>
  <c r="N400" i="3" s="1"/>
  <c r="L401" i="3"/>
  <c r="M401" i="3" s="1"/>
  <c r="N401" i="3" s="1"/>
  <c r="L402" i="3"/>
  <c r="M402" i="3" s="1"/>
  <c r="N402" i="3" s="1"/>
  <c r="L403" i="3"/>
  <c r="M403" i="3" s="1"/>
  <c r="N403" i="3" s="1"/>
  <c r="L404" i="3"/>
  <c r="M404" i="3" s="1"/>
  <c r="N404" i="3" s="1"/>
  <c r="L405" i="3"/>
  <c r="M405" i="3" s="1"/>
  <c r="N405" i="3" s="1"/>
  <c r="L406" i="3"/>
  <c r="M406" i="3" s="1"/>
  <c r="N406" i="3" s="1"/>
  <c r="L407" i="3"/>
  <c r="M407" i="3" s="1"/>
  <c r="N407" i="3" s="1"/>
  <c r="L408" i="3"/>
  <c r="M408" i="3" s="1"/>
  <c r="N408" i="3" s="1"/>
  <c r="L409" i="3"/>
  <c r="M409" i="3" s="1"/>
  <c r="N409" i="3" s="1"/>
  <c r="L410" i="3"/>
  <c r="M410" i="3" s="1"/>
  <c r="N410" i="3" s="1"/>
  <c r="L411" i="3"/>
  <c r="M411" i="3" s="1"/>
  <c r="N411" i="3" s="1"/>
  <c r="L412" i="3"/>
  <c r="M412" i="3" s="1"/>
  <c r="N412" i="3" s="1"/>
  <c r="L413" i="3"/>
  <c r="M413" i="3" s="1"/>
  <c r="N413" i="3" s="1"/>
  <c r="L414" i="3"/>
  <c r="M414" i="3" s="1"/>
  <c r="N414" i="3" s="1"/>
  <c r="L415" i="3"/>
  <c r="M415" i="3" s="1"/>
  <c r="N415" i="3" s="1"/>
  <c r="L416" i="3"/>
  <c r="M416" i="3" s="1"/>
  <c r="N416" i="3" s="1"/>
  <c r="L417" i="3"/>
  <c r="M417" i="3" s="1"/>
  <c r="N417" i="3" s="1"/>
  <c r="L418" i="3"/>
  <c r="M418" i="3" s="1"/>
  <c r="N418" i="3" s="1"/>
  <c r="L419" i="3"/>
  <c r="M419" i="3" s="1"/>
  <c r="N419" i="3" s="1"/>
  <c r="L420" i="3"/>
  <c r="M420" i="3" s="1"/>
  <c r="N420" i="3" s="1"/>
  <c r="L421" i="3"/>
  <c r="M421" i="3" s="1"/>
  <c r="N421" i="3" s="1"/>
  <c r="L422" i="3"/>
  <c r="M422" i="3" s="1"/>
  <c r="N422" i="3" s="1"/>
  <c r="L423" i="3"/>
  <c r="M423" i="3" s="1"/>
  <c r="N423" i="3" s="1"/>
  <c r="L424" i="3"/>
  <c r="M424" i="3" s="1"/>
  <c r="N424" i="3" s="1"/>
  <c r="L425" i="3"/>
  <c r="M425" i="3" s="1"/>
  <c r="N425" i="3" s="1"/>
  <c r="L426" i="3"/>
  <c r="M426" i="3" s="1"/>
  <c r="N426" i="3" s="1"/>
  <c r="L427" i="3"/>
  <c r="M427" i="3" s="1"/>
  <c r="N427" i="3" s="1"/>
  <c r="L428" i="3"/>
  <c r="M428" i="3" s="1"/>
  <c r="N428" i="3" s="1"/>
  <c r="L429" i="3"/>
  <c r="M429" i="3" s="1"/>
  <c r="N429" i="3" s="1"/>
  <c r="L430" i="3"/>
  <c r="M430" i="3" s="1"/>
  <c r="N430" i="3" s="1"/>
  <c r="L431" i="3"/>
  <c r="M431" i="3" s="1"/>
  <c r="N431" i="3" s="1"/>
  <c r="L432" i="3"/>
  <c r="M432" i="3" s="1"/>
  <c r="N432" i="3" s="1"/>
  <c r="L433" i="3"/>
  <c r="M433" i="3" s="1"/>
  <c r="N433" i="3" s="1"/>
  <c r="L434" i="3"/>
  <c r="M434" i="3" s="1"/>
  <c r="N434" i="3" s="1"/>
  <c r="L435" i="3"/>
  <c r="M435" i="3" s="1"/>
  <c r="N435" i="3" s="1"/>
  <c r="L436" i="3"/>
  <c r="M436" i="3" s="1"/>
  <c r="N436" i="3" s="1"/>
  <c r="L437" i="3"/>
  <c r="M437" i="3" s="1"/>
  <c r="N437" i="3" s="1"/>
  <c r="L438" i="3"/>
  <c r="M438" i="3" s="1"/>
  <c r="N438" i="3" s="1"/>
  <c r="L439" i="3"/>
  <c r="M439" i="3" s="1"/>
  <c r="N439" i="3" s="1"/>
  <c r="L440" i="3"/>
  <c r="M440" i="3" s="1"/>
  <c r="N440" i="3" s="1"/>
  <c r="L441" i="3"/>
  <c r="M441" i="3" s="1"/>
  <c r="N441" i="3" s="1"/>
  <c r="L442" i="3"/>
  <c r="M442" i="3" s="1"/>
  <c r="N442" i="3" s="1"/>
  <c r="L443" i="3"/>
  <c r="M443" i="3" s="1"/>
  <c r="N443" i="3" s="1"/>
  <c r="L444" i="3"/>
  <c r="M444" i="3" s="1"/>
  <c r="N444" i="3" s="1"/>
  <c r="L445" i="3"/>
  <c r="M445" i="3" s="1"/>
  <c r="N445" i="3" s="1"/>
  <c r="L446" i="3"/>
  <c r="M446" i="3" s="1"/>
  <c r="N446" i="3" s="1"/>
  <c r="L447" i="3"/>
  <c r="M447" i="3" s="1"/>
  <c r="N447" i="3" s="1"/>
  <c r="L448" i="3"/>
  <c r="M448" i="3" s="1"/>
  <c r="N448" i="3" s="1"/>
  <c r="L449" i="3"/>
  <c r="M449" i="3" s="1"/>
  <c r="N449" i="3" s="1"/>
  <c r="L450" i="3"/>
  <c r="M450" i="3" s="1"/>
  <c r="N450" i="3" s="1"/>
  <c r="L451" i="3"/>
  <c r="M451" i="3" s="1"/>
  <c r="N451" i="3" s="1"/>
  <c r="L452" i="3"/>
  <c r="M452" i="3" s="1"/>
  <c r="N452" i="3" s="1"/>
  <c r="L453" i="3"/>
  <c r="M453" i="3" s="1"/>
  <c r="N453" i="3" s="1"/>
  <c r="L454" i="3"/>
  <c r="M454" i="3" s="1"/>
  <c r="N454" i="3" s="1"/>
  <c r="L455" i="3"/>
  <c r="M455" i="3" s="1"/>
  <c r="N455" i="3" s="1"/>
  <c r="L456" i="3"/>
  <c r="M456" i="3" s="1"/>
  <c r="N456" i="3" s="1"/>
  <c r="L457" i="3"/>
  <c r="M457" i="3" s="1"/>
  <c r="N457" i="3" s="1"/>
  <c r="L458" i="3"/>
  <c r="M458" i="3" s="1"/>
  <c r="N458" i="3" s="1"/>
  <c r="L459" i="3"/>
  <c r="M459" i="3" s="1"/>
  <c r="N459" i="3" s="1"/>
  <c r="L460" i="3"/>
  <c r="M460" i="3" s="1"/>
  <c r="N460" i="3" s="1"/>
  <c r="L461" i="3"/>
  <c r="M461" i="3" s="1"/>
  <c r="N461" i="3" s="1"/>
  <c r="L462" i="3"/>
  <c r="M462" i="3" s="1"/>
  <c r="N462" i="3" s="1"/>
  <c r="L463" i="3"/>
  <c r="M463" i="3" s="1"/>
  <c r="N463" i="3" s="1"/>
  <c r="L464" i="3"/>
  <c r="M464" i="3" s="1"/>
  <c r="N464" i="3" s="1"/>
  <c r="L465" i="3"/>
  <c r="M465" i="3" s="1"/>
  <c r="N465" i="3" s="1"/>
  <c r="L466" i="3"/>
  <c r="M466" i="3" s="1"/>
  <c r="N466" i="3" s="1"/>
  <c r="L467" i="3"/>
  <c r="M467" i="3" s="1"/>
  <c r="N467" i="3" s="1"/>
  <c r="L468" i="3"/>
  <c r="M468" i="3" s="1"/>
  <c r="N468" i="3" s="1"/>
  <c r="L469" i="3"/>
  <c r="M469" i="3" s="1"/>
  <c r="N469" i="3" s="1"/>
  <c r="L470" i="3"/>
  <c r="M470" i="3" s="1"/>
  <c r="N470" i="3" s="1"/>
  <c r="L471" i="3"/>
  <c r="M471" i="3" s="1"/>
  <c r="N471" i="3" s="1"/>
  <c r="L472" i="3"/>
  <c r="M472" i="3" s="1"/>
  <c r="N472" i="3" s="1"/>
  <c r="L473" i="3"/>
  <c r="M473" i="3" s="1"/>
  <c r="N473" i="3" s="1"/>
  <c r="L474" i="3"/>
  <c r="M474" i="3" s="1"/>
  <c r="N474" i="3" s="1"/>
  <c r="L475" i="3"/>
  <c r="M475" i="3" s="1"/>
  <c r="N475" i="3" s="1"/>
  <c r="L476" i="3"/>
  <c r="M476" i="3" s="1"/>
  <c r="N476" i="3" s="1"/>
  <c r="L477" i="3"/>
  <c r="M477" i="3" s="1"/>
  <c r="N477" i="3" s="1"/>
  <c r="L478" i="3"/>
  <c r="M478" i="3" s="1"/>
  <c r="N478" i="3" s="1"/>
  <c r="L479" i="3"/>
  <c r="M479" i="3" s="1"/>
  <c r="N479" i="3" s="1"/>
  <c r="L480" i="3"/>
  <c r="M480" i="3" s="1"/>
  <c r="N480" i="3" s="1"/>
  <c r="L481" i="3"/>
  <c r="M481" i="3" s="1"/>
  <c r="N481" i="3" s="1"/>
  <c r="L482" i="3"/>
  <c r="M482" i="3" s="1"/>
  <c r="N482" i="3" s="1"/>
  <c r="L483" i="3"/>
  <c r="M483" i="3" s="1"/>
  <c r="N483" i="3" s="1"/>
  <c r="L484" i="3"/>
  <c r="M484" i="3" s="1"/>
  <c r="N484" i="3" s="1"/>
  <c r="L485" i="3"/>
  <c r="M485" i="3" s="1"/>
  <c r="N485" i="3" s="1"/>
  <c r="L486" i="3"/>
  <c r="M486" i="3" s="1"/>
  <c r="N486" i="3" s="1"/>
  <c r="L487" i="3"/>
  <c r="M487" i="3" s="1"/>
  <c r="N487" i="3" s="1"/>
  <c r="L488" i="3"/>
  <c r="M488" i="3" s="1"/>
  <c r="N488" i="3" s="1"/>
  <c r="L489" i="3"/>
  <c r="M489" i="3" s="1"/>
  <c r="N489" i="3" s="1"/>
  <c r="L490" i="3"/>
  <c r="M490" i="3" s="1"/>
  <c r="N490" i="3" s="1"/>
  <c r="L491" i="3"/>
  <c r="M491" i="3" s="1"/>
  <c r="N491" i="3" s="1"/>
  <c r="L492" i="3"/>
  <c r="M492" i="3" s="1"/>
  <c r="N492" i="3" s="1"/>
  <c r="L493" i="3"/>
  <c r="M493" i="3" s="1"/>
  <c r="N493" i="3" s="1"/>
  <c r="L494" i="3"/>
  <c r="M494" i="3" s="1"/>
  <c r="N494" i="3" s="1"/>
  <c r="L495" i="3"/>
  <c r="M495" i="3" s="1"/>
  <c r="N495" i="3" s="1"/>
  <c r="L496" i="3"/>
  <c r="M496" i="3" s="1"/>
  <c r="N496" i="3" s="1"/>
  <c r="L497" i="3"/>
  <c r="M497" i="3" s="1"/>
  <c r="N497" i="3" s="1"/>
  <c r="L498" i="3"/>
  <c r="M498" i="3" s="1"/>
  <c r="N498" i="3" s="1"/>
  <c r="L499" i="3"/>
  <c r="M499" i="3" s="1"/>
  <c r="N499" i="3" s="1"/>
  <c r="L500" i="3"/>
  <c r="M500" i="3" s="1"/>
  <c r="N500" i="3" s="1"/>
  <c r="L501" i="3"/>
  <c r="M501" i="3" s="1"/>
  <c r="N501" i="3" s="1"/>
  <c r="L502" i="3"/>
  <c r="M502" i="3" s="1"/>
  <c r="N502" i="3" s="1"/>
  <c r="L503" i="3"/>
  <c r="M503" i="3" s="1"/>
  <c r="N503" i="3" s="1"/>
  <c r="L504" i="3"/>
  <c r="M504" i="3" s="1"/>
  <c r="N504" i="3" s="1"/>
  <c r="L505" i="3"/>
  <c r="M505" i="3" s="1"/>
  <c r="N505" i="3" s="1"/>
  <c r="L506" i="3"/>
  <c r="M506" i="3" s="1"/>
  <c r="N506" i="3" s="1"/>
  <c r="L507" i="3"/>
  <c r="M507" i="3" s="1"/>
  <c r="N507" i="3" s="1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O537" i="3" l="1"/>
  <c r="N537" i="3"/>
  <c r="O503" i="3"/>
  <c r="O491" i="3"/>
  <c r="O479" i="3"/>
  <c r="O467" i="3"/>
  <c r="O455" i="3"/>
  <c r="O443" i="3"/>
  <c r="O431" i="3"/>
  <c r="O419" i="3"/>
  <c r="O407" i="3"/>
  <c r="O395" i="3"/>
  <c r="O383" i="3"/>
  <c r="O371" i="3"/>
  <c r="O359" i="3"/>
  <c r="O347" i="3"/>
  <c r="O335" i="3"/>
  <c r="O323" i="3"/>
  <c r="O311" i="3"/>
  <c r="O299" i="3"/>
  <c r="O287" i="3"/>
  <c r="O275" i="3"/>
  <c r="O263" i="3"/>
  <c r="O251" i="3"/>
  <c r="O239" i="3"/>
  <c r="O227" i="3"/>
  <c r="O215" i="3"/>
  <c r="O203" i="3"/>
  <c r="O191" i="3"/>
  <c r="O179" i="3"/>
  <c r="O167" i="3"/>
  <c r="O155" i="3"/>
  <c r="O143" i="3"/>
  <c r="O131" i="3"/>
  <c r="O119" i="3"/>
  <c r="O107" i="3"/>
  <c r="O95" i="3"/>
  <c r="O83" i="3"/>
  <c r="O71" i="3"/>
  <c r="O59" i="3"/>
  <c r="O47" i="3"/>
  <c r="O35" i="3"/>
  <c r="O23" i="3"/>
  <c r="O11" i="3"/>
  <c r="O901" i="3"/>
  <c r="O889" i="3"/>
  <c r="O877" i="3"/>
  <c r="O865" i="3"/>
  <c r="O853" i="3"/>
  <c r="O841" i="3"/>
  <c r="O829" i="3"/>
  <c r="O817" i="3"/>
  <c r="O805" i="3"/>
  <c r="O793" i="3"/>
  <c r="O781" i="3"/>
  <c r="O769" i="3"/>
  <c r="O757" i="3"/>
  <c r="O745" i="3"/>
  <c r="O733" i="3"/>
  <c r="O721" i="3"/>
  <c r="O709" i="3"/>
  <c r="O697" i="3"/>
  <c r="O685" i="3"/>
  <c r="O673" i="3"/>
  <c r="O661" i="3"/>
  <c r="O649" i="3"/>
  <c r="O637" i="3"/>
  <c r="O625" i="3"/>
  <c r="O613" i="3"/>
  <c r="O601" i="3"/>
  <c r="O589" i="3"/>
  <c r="O577" i="3"/>
  <c r="O565" i="3"/>
  <c r="O553" i="3"/>
  <c r="O541" i="3"/>
  <c r="O529" i="3"/>
  <c r="O517" i="3"/>
  <c r="O684" i="3"/>
  <c r="O672" i="3"/>
  <c r="O660" i="3"/>
  <c r="O648" i="3"/>
  <c r="O636" i="3"/>
  <c r="O624" i="3"/>
  <c r="O612" i="3"/>
  <c r="O600" i="3"/>
  <c r="O588" i="3"/>
  <c r="O576" i="3"/>
  <c r="O564" i="3"/>
  <c r="O552" i="3"/>
  <c r="O540" i="3"/>
  <c r="O528" i="3"/>
  <c r="O516" i="3"/>
  <c r="O731" i="3"/>
  <c r="O719" i="3"/>
  <c r="O707" i="3"/>
  <c r="O695" i="3"/>
  <c r="O683" i="3"/>
  <c r="O671" i="3"/>
  <c r="O659" i="3"/>
  <c r="O647" i="3"/>
  <c r="O635" i="3"/>
  <c r="O623" i="3"/>
  <c r="O611" i="3"/>
  <c r="O599" i="3"/>
  <c r="O587" i="3"/>
  <c r="O575" i="3"/>
  <c r="O563" i="3"/>
  <c r="O551" i="3"/>
  <c r="O539" i="3"/>
  <c r="O527" i="3"/>
  <c r="O515" i="3"/>
  <c r="O394" i="3"/>
  <c r="O538" i="3"/>
  <c r="O526" i="3"/>
  <c r="O514" i="3"/>
  <c r="O370" i="3"/>
  <c r="O22" i="3"/>
  <c r="O876" i="3"/>
  <c r="O828" i="3"/>
  <c r="O792" i="3"/>
  <c r="O768" i="3"/>
  <c r="O744" i="3"/>
  <c r="O708" i="3"/>
  <c r="O465" i="3"/>
  <c r="O429" i="3"/>
  <c r="O369" i="3"/>
  <c r="O309" i="3"/>
  <c r="O249" i="3"/>
  <c r="O201" i="3"/>
  <c r="O153" i="3"/>
  <c r="O105" i="3"/>
  <c r="O45" i="3"/>
  <c r="O875" i="3"/>
  <c r="O815" i="3"/>
  <c r="O743" i="3"/>
  <c r="O391" i="3"/>
  <c r="O379" i="3"/>
  <c r="O367" i="3"/>
  <c r="O355" i="3"/>
  <c r="O343" i="3"/>
  <c r="O331" i="3"/>
  <c r="O319" i="3"/>
  <c r="O307" i="3"/>
  <c r="O295" i="3"/>
  <c r="O271" i="3"/>
  <c r="O259" i="3"/>
  <c r="O247" i="3"/>
  <c r="O235" i="3"/>
  <c r="O223" i="3"/>
  <c r="O211" i="3"/>
  <c r="O199" i="3"/>
  <c r="O187" i="3"/>
  <c r="O175" i="3"/>
  <c r="O163" i="3"/>
  <c r="O151" i="3"/>
  <c r="O139" i="3"/>
  <c r="O127" i="3"/>
  <c r="O115" i="3"/>
  <c r="O103" i="3"/>
  <c r="O91" i="3"/>
  <c r="O79" i="3"/>
  <c r="O67" i="3"/>
  <c r="O55" i="3"/>
  <c r="O43" i="3"/>
  <c r="O31" i="3"/>
  <c r="O19" i="3"/>
  <c r="O7" i="3"/>
  <c r="O909" i="3"/>
  <c r="O897" i="3"/>
  <c r="O885" i="3"/>
  <c r="O873" i="3"/>
  <c r="O861" i="3"/>
  <c r="O849" i="3"/>
  <c r="O837" i="3"/>
  <c r="O825" i="3"/>
  <c r="O813" i="3"/>
  <c r="O801" i="3"/>
  <c r="O789" i="3"/>
  <c r="O777" i="3"/>
  <c r="O765" i="3"/>
  <c r="O753" i="3"/>
  <c r="O741" i="3"/>
  <c r="O729" i="3"/>
  <c r="O717" i="3"/>
  <c r="O705" i="3"/>
  <c r="O693" i="3"/>
  <c r="O681" i="3"/>
  <c r="O669" i="3"/>
  <c r="O657" i="3"/>
  <c r="O645" i="3"/>
  <c r="O633" i="3"/>
  <c r="O621" i="3"/>
  <c r="O609" i="3"/>
  <c r="O597" i="3"/>
  <c r="O585" i="3"/>
  <c r="O573" i="3"/>
  <c r="O561" i="3"/>
  <c r="O549" i="3"/>
  <c r="O525" i="3"/>
  <c r="O513" i="3"/>
  <c r="O346" i="3"/>
  <c r="O322" i="3"/>
  <c r="O298" i="3"/>
  <c r="O274" i="3"/>
  <c r="O250" i="3"/>
  <c r="O226" i="3"/>
  <c r="O202" i="3"/>
  <c r="O178" i="3"/>
  <c r="O154" i="3"/>
  <c r="O130" i="3"/>
  <c r="O106" i="3"/>
  <c r="O94" i="3"/>
  <c r="O70" i="3"/>
  <c r="O46" i="3"/>
  <c r="O10" i="3"/>
  <c r="O888" i="3"/>
  <c r="O864" i="3"/>
  <c r="O840" i="3"/>
  <c r="O816" i="3"/>
  <c r="O780" i="3"/>
  <c r="O756" i="3"/>
  <c r="O696" i="3"/>
  <c r="O477" i="3"/>
  <c r="O417" i="3"/>
  <c r="O381" i="3"/>
  <c r="O321" i="3"/>
  <c r="O273" i="3"/>
  <c r="O213" i="3"/>
  <c r="O165" i="3"/>
  <c r="O117" i="3"/>
  <c r="O69" i="3"/>
  <c r="O21" i="3"/>
  <c r="O887" i="3"/>
  <c r="O851" i="3"/>
  <c r="O827" i="3"/>
  <c r="O767" i="3"/>
  <c r="O368" i="3"/>
  <c r="O332" i="3"/>
  <c r="O308" i="3"/>
  <c r="O284" i="3"/>
  <c r="O260" i="3"/>
  <c r="O236" i="3"/>
  <c r="O224" i="3"/>
  <c r="O200" i="3"/>
  <c r="O176" i="3"/>
  <c r="O140" i="3"/>
  <c r="O116" i="3"/>
  <c r="O92" i="3"/>
  <c r="O80" i="3"/>
  <c r="O44" i="3"/>
  <c r="O20" i="3"/>
  <c r="O910" i="3"/>
  <c r="O886" i="3"/>
  <c r="O862" i="3"/>
  <c r="O838" i="3"/>
  <c r="O814" i="3"/>
  <c r="O802" i="3"/>
  <c r="O778" i="3"/>
  <c r="O766" i="3"/>
  <c r="O754" i="3"/>
  <c r="O730" i="3"/>
  <c r="O718" i="3"/>
  <c r="O706" i="3"/>
  <c r="O694" i="3"/>
  <c r="O682" i="3"/>
  <c r="O670" i="3"/>
  <c r="O658" i="3"/>
  <c r="O646" i="3"/>
  <c r="O634" i="3"/>
  <c r="O622" i="3"/>
  <c r="O610" i="3"/>
  <c r="O598" i="3"/>
  <c r="O586" i="3"/>
  <c r="O574" i="3"/>
  <c r="O550" i="3"/>
  <c r="O499" i="3"/>
  <c r="O475" i="3"/>
  <c r="O463" i="3"/>
  <c r="O451" i="3"/>
  <c r="O439" i="3"/>
  <c r="O427" i="3"/>
  <c r="O498" i="3"/>
  <c r="O486" i="3"/>
  <c r="O462" i="3"/>
  <c r="O450" i="3"/>
  <c r="O438" i="3"/>
  <c r="O426" i="3"/>
  <c r="O414" i="3"/>
  <c r="O402" i="3"/>
  <c r="O390" i="3"/>
  <c r="O378" i="3"/>
  <c r="O366" i="3"/>
  <c r="O354" i="3"/>
  <c r="O342" i="3"/>
  <c r="O330" i="3"/>
  <c r="O318" i="3"/>
  <c r="O306" i="3"/>
  <c r="O294" i="3"/>
  <c r="O282" i="3"/>
  <c r="O258" i="3"/>
  <c r="O246" i="3"/>
  <c r="O234" i="3"/>
  <c r="O222" i="3"/>
  <c r="O210" i="3"/>
  <c r="O198" i="3"/>
  <c r="O186" i="3"/>
  <c r="O174" i="3"/>
  <c r="O162" i="3"/>
  <c r="O150" i="3"/>
  <c r="O138" i="3"/>
  <c r="O126" i="3"/>
  <c r="O114" i="3"/>
  <c r="O102" i="3"/>
  <c r="O90" i="3"/>
  <c r="O78" i="3"/>
  <c r="O66" i="3"/>
  <c r="O54" i="3"/>
  <c r="O42" i="3"/>
  <c r="O30" i="3"/>
  <c r="O18" i="3"/>
  <c r="O6" i="3"/>
  <c r="O908" i="3"/>
  <c r="O896" i="3"/>
  <c r="O884" i="3"/>
  <c r="O860" i="3"/>
  <c r="O848" i="3"/>
  <c r="O836" i="3"/>
  <c r="O824" i="3"/>
  <c r="O812" i="3"/>
  <c r="O800" i="3"/>
  <c r="O788" i="3"/>
  <c r="O776" i="3"/>
  <c r="O764" i="3"/>
  <c r="O752" i="3"/>
  <c r="O740" i="3"/>
  <c r="O728" i="3"/>
  <c r="O716" i="3"/>
  <c r="O704" i="3"/>
  <c r="O692" i="3"/>
  <c r="O680" i="3"/>
  <c r="O668" i="3"/>
  <c r="O656" i="3"/>
  <c r="O644" i="3"/>
  <c r="O632" i="3"/>
  <c r="O620" i="3"/>
  <c r="O608" i="3"/>
  <c r="O596" i="3"/>
  <c r="O584" i="3"/>
  <c r="O572" i="3"/>
  <c r="O560" i="3"/>
  <c r="O548" i="3"/>
  <c r="O536" i="3"/>
  <c r="O524" i="3"/>
  <c r="O512" i="3"/>
  <c r="O406" i="3"/>
  <c r="O497" i="3"/>
  <c r="O485" i="3"/>
  <c r="O473" i="3"/>
  <c r="O461" i="3"/>
  <c r="O449" i="3"/>
  <c r="O437" i="3"/>
  <c r="O425" i="3"/>
  <c r="O413" i="3"/>
  <c r="O401" i="3"/>
  <c r="O389" i="3"/>
  <c r="O377" i="3"/>
  <c r="O365" i="3"/>
  <c r="O353" i="3"/>
  <c r="O341" i="3"/>
  <c r="O329" i="3"/>
  <c r="O317" i="3"/>
  <c r="O305" i="3"/>
  <c r="O293" i="3"/>
  <c r="O281" i="3"/>
  <c r="O269" i="3"/>
  <c r="O245" i="3"/>
  <c r="O233" i="3"/>
  <c r="O221" i="3"/>
  <c r="O209" i="3"/>
  <c r="O197" i="3"/>
  <c r="O185" i="3"/>
  <c r="O173" i="3"/>
  <c r="O161" i="3"/>
  <c r="O149" i="3"/>
  <c r="O137" i="3"/>
  <c r="O125" i="3"/>
  <c r="O113" i="3"/>
  <c r="O101" i="3"/>
  <c r="O89" i="3"/>
  <c r="O77" i="3"/>
  <c r="O65" i="3"/>
  <c r="O53" i="3"/>
  <c r="O41" i="3"/>
  <c r="O29" i="3"/>
  <c r="O17" i="3"/>
  <c r="O5" i="3"/>
  <c r="O907" i="3"/>
  <c r="O895" i="3"/>
  <c r="O883" i="3"/>
  <c r="O871" i="3"/>
  <c r="O859" i="3"/>
  <c r="O847" i="3"/>
  <c r="O835" i="3"/>
  <c r="O823" i="3"/>
  <c r="O811" i="3"/>
  <c r="O799" i="3"/>
  <c r="O787" i="3"/>
  <c r="O775" i="3"/>
  <c r="O763" i="3"/>
  <c r="O751" i="3"/>
  <c r="O739" i="3"/>
  <c r="O727" i="3"/>
  <c r="O715" i="3"/>
  <c r="O703" i="3"/>
  <c r="O691" i="3"/>
  <c r="O679" i="3"/>
  <c r="O667" i="3"/>
  <c r="O655" i="3"/>
  <c r="O643" i="3"/>
  <c r="O631" i="3"/>
  <c r="O619" i="3"/>
  <c r="O607" i="3"/>
  <c r="O595" i="3"/>
  <c r="O583" i="3"/>
  <c r="O571" i="3"/>
  <c r="O559" i="3"/>
  <c r="O547" i="3"/>
  <c r="O535" i="3"/>
  <c r="O523" i="3"/>
  <c r="O732" i="3"/>
  <c r="O501" i="3"/>
  <c r="O453" i="3"/>
  <c r="O405" i="3"/>
  <c r="O357" i="3"/>
  <c r="O333" i="3"/>
  <c r="O285" i="3"/>
  <c r="O237" i="3"/>
  <c r="O189" i="3"/>
  <c r="O141" i="3"/>
  <c r="O81" i="3"/>
  <c r="O33" i="3"/>
  <c r="O899" i="3"/>
  <c r="O839" i="3"/>
  <c r="O791" i="3"/>
  <c r="O779" i="3"/>
  <c r="O500" i="3"/>
  <c r="O488" i="3"/>
  <c r="O476" i="3"/>
  <c r="O464" i="3"/>
  <c r="O452" i="3"/>
  <c r="O440" i="3"/>
  <c r="O428" i="3"/>
  <c r="O416" i="3"/>
  <c r="O404" i="3"/>
  <c r="O392" i="3"/>
  <c r="O380" i="3"/>
  <c r="O356" i="3"/>
  <c r="O344" i="3"/>
  <c r="O320" i="3"/>
  <c r="O296" i="3"/>
  <c r="O272" i="3"/>
  <c r="O248" i="3"/>
  <c r="O212" i="3"/>
  <c r="O188" i="3"/>
  <c r="O164" i="3"/>
  <c r="O152" i="3"/>
  <c r="O128" i="3"/>
  <c r="O104" i="3"/>
  <c r="O68" i="3"/>
  <c r="O56" i="3"/>
  <c r="O32" i="3"/>
  <c r="O8" i="3"/>
  <c r="O898" i="3"/>
  <c r="O874" i="3"/>
  <c r="O850" i="3"/>
  <c r="O826" i="3"/>
  <c r="O790" i="3"/>
  <c r="O742" i="3"/>
  <c r="O562" i="3"/>
  <c r="O487" i="3"/>
  <c r="O415" i="3"/>
  <c r="O403" i="3"/>
  <c r="O474" i="3"/>
  <c r="O822" i="3"/>
  <c r="O810" i="3"/>
  <c r="O798" i="3"/>
  <c r="O786" i="3"/>
  <c r="O774" i="3"/>
  <c r="O762" i="3"/>
  <c r="O750" i="3"/>
  <c r="O738" i="3"/>
  <c r="O726" i="3"/>
  <c r="O714" i="3"/>
  <c r="O702" i="3"/>
  <c r="O690" i="3"/>
  <c r="O678" i="3"/>
  <c r="O666" i="3"/>
  <c r="O654" i="3"/>
  <c r="O642" i="3"/>
  <c r="O630" i="3"/>
  <c r="O618" i="3"/>
  <c r="O606" i="3"/>
  <c r="O594" i="3"/>
  <c r="O582" i="3"/>
  <c r="O570" i="3"/>
  <c r="O558" i="3"/>
  <c r="O546" i="3"/>
  <c r="O534" i="3"/>
  <c r="O522" i="3"/>
  <c r="O382" i="3"/>
  <c r="O496" i="3"/>
  <c r="O484" i="3"/>
  <c r="O472" i="3"/>
  <c r="O460" i="3"/>
  <c r="O448" i="3"/>
  <c r="O436" i="3"/>
  <c r="O424" i="3"/>
  <c r="O412" i="3"/>
  <c r="O400" i="3"/>
  <c r="O388" i="3"/>
  <c r="O376" i="3"/>
  <c r="O364" i="3"/>
  <c r="O352" i="3"/>
  <c r="O340" i="3"/>
  <c r="O328" i="3"/>
  <c r="O316" i="3"/>
  <c r="O304" i="3"/>
  <c r="O292" i="3"/>
  <c r="O280" i="3"/>
  <c r="O268" i="3"/>
  <c r="O256" i="3"/>
  <c r="O244" i="3"/>
  <c r="O232" i="3"/>
  <c r="O220" i="3"/>
  <c r="O208" i="3"/>
  <c r="O196" i="3"/>
  <c r="O184" i="3"/>
  <c r="O172" i="3"/>
  <c r="O160" i="3"/>
  <c r="O148" i="3"/>
  <c r="O136" i="3"/>
  <c r="O124" i="3"/>
  <c r="O112" i="3"/>
  <c r="O100" i="3"/>
  <c r="O88" i="3"/>
  <c r="O76" i="3"/>
  <c r="O64" i="3"/>
  <c r="O52" i="3"/>
  <c r="O40" i="3"/>
  <c r="O28" i="3"/>
  <c r="O16" i="3"/>
  <c r="O4" i="3"/>
  <c r="O906" i="3"/>
  <c r="O894" i="3"/>
  <c r="O882" i="3"/>
  <c r="O870" i="3"/>
  <c r="O858" i="3"/>
  <c r="O846" i="3"/>
  <c r="O834" i="3"/>
  <c r="O495" i="3"/>
  <c r="O483" i="3"/>
  <c r="O471" i="3"/>
  <c r="O459" i="3"/>
  <c r="O447" i="3"/>
  <c r="O435" i="3"/>
  <c r="O423" i="3"/>
  <c r="O411" i="3"/>
  <c r="O399" i="3"/>
  <c r="O387" i="3"/>
  <c r="O375" i="3"/>
  <c r="O363" i="3"/>
  <c r="O351" i="3"/>
  <c r="O339" i="3"/>
  <c r="O327" i="3"/>
  <c r="O315" i="3"/>
  <c r="O303" i="3"/>
  <c r="O291" i="3"/>
  <c r="O279" i="3"/>
  <c r="O267" i="3"/>
  <c r="O255" i="3"/>
  <c r="O243" i="3"/>
  <c r="O231" i="3"/>
  <c r="O219" i="3"/>
  <c r="O207" i="3"/>
  <c r="O195" i="3"/>
  <c r="O183" i="3"/>
  <c r="O171" i="3"/>
  <c r="O159" i="3"/>
  <c r="O147" i="3"/>
  <c r="O135" i="3"/>
  <c r="O123" i="3"/>
  <c r="O111" i="3"/>
  <c r="O99" i="3"/>
  <c r="O87" i="3"/>
  <c r="O75" i="3"/>
  <c r="O63" i="3"/>
  <c r="O51" i="3"/>
  <c r="O39" i="3"/>
  <c r="O27" i="3"/>
  <c r="O15" i="3"/>
  <c r="O3" i="3"/>
  <c r="O905" i="3"/>
  <c r="O893" i="3"/>
  <c r="O881" i="3"/>
  <c r="O869" i="3"/>
  <c r="O857" i="3"/>
  <c r="O845" i="3"/>
  <c r="O833" i="3"/>
  <c r="O821" i="3"/>
  <c r="O809" i="3"/>
  <c r="O797" i="3"/>
  <c r="O785" i="3"/>
  <c r="O773" i="3"/>
  <c r="O761" i="3"/>
  <c r="O749" i="3"/>
  <c r="O737" i="3"/>
  <c r="O725" i="3"/>
  <c r="O713" i="3"/>
  <c r="O701" i="3"/>
  <c r="O689" i="3"/>
  <c r="O677" i="3"/>
  <c r="O665" i="3"/>
  <c r="O653" i="3"/>
  <c r="O641" i="3"/>
  <c r="O629" i="3"/>
  <c r="O617" i="3"/>
  <c r="O605" i="3"/>
  <c r="O593" i="3"/>
  <c r="O581" i="3"/>
  <c r="O569" i="3"/>
  <c r="O557" i="3"/>
  <c r="O545" i="3"/>
  <c r="O533" i="3"/>
  <c r="O521" i="3"/>
  <c r="O502" i="3"/>
  <c r="O490" i="3"/>
  <c r="O478" i="3"/>
  <c r="O466" i="3"/>
  <c r="O454" i="3"/>
  <c r="O442" i="3"/>
  <c r="O430" i="3"/>
  <c r="O418" i="3"/>
  <c r="O358" i="3"/>
  <c r="O334" i="3"/>
  <c r="O310" i="3"/>
  <c r="O286" i="3"/>
  <c r="O262" i="3"/>
  <c r="O238" i="3"/>
  <c r="O214" i="3"/>
  <c r="O190" i="3"/>
  <c r="O166" i="3"/>
  <c r="O142" i="3"/>
  <c r="O118" i="3"/>
  <c r="O82" i="3"/>
  <c r="O58" i="3"/>
  <c r="O34" i="3"/>
  <c r="O900" i="3"/>
  <c r="O852" i="3"/>
  <c r="O804" i="3"/>
  <c r="O720" i="3"/>
  <c r="O489" i="3"/>
  <c r="O441" i="3"/>
  <c r="O393" i="3"/>
  <c r="O345" i="3"/>
  <c r="O297" i="3"/>
  <c r="O261" i="3"/>
  <c r="O225" i="3"/>
  <c r="O177" i="3"/>
  <c r="O129" i="3"/>
  <c r="O93" i="3"/>
  <c r="O57" i="3"/>
  <c r="O9" i="3"/>
  <c r="O863" i="3"/>
  <c r="O803" i="3"/>
  <c r="O755" i="3"/>
  <c r="O506" i="3"/>
  <c r="O494" i="3"/>
  <c r="O482" i="3"/>
  <c r="O470" i="3"/>
  <c r="O458" i="3"/>
  <c r="O446" i="3"/>
  <c r="O434" i="3"/>
  <c r="O422" i="3"/>
  <c r="O410" i="3"/>
  <c r="O398" i="3"/>
  <c r="O386" i="3"/>
  <c r="O374" i="3"/>
  <c r="O362" i="3"/>
  <c r="O350" i="3"/>
  <c r="O338" i="3"/>
  <c r="O326" i="3"/>
  <c r="O314" i="3"/>
  <c r="O302" i="3"/>
  <c r="O290" i="3"/>
  <c r="O278" i="3"/>
  <c r="O266" i="3"/>
  <c r="O254" i="3"/>
  <c r="O242" i="3"/>
  <c r="O230" i="3"/>
  <c r="O218" i="3"/>
  <c r="O206" i="3"/>
  <c r="O194" i="3"/>
  <c r="O182" i="3"/>
  <c r="O170" i="3"/>
  <c r="O158" i="3"/>
  <c r="O146" i="3"/>
  <c r="O134" i="3"/>
  <c r="O122" i="3"/>
  <c r="O110" i="3"/>
  <c r="O98" i="3"/>
  <c r="O86" i="3"/>
  <c r="O74" i="3"/>
  <c r="O62" i="3"/>
  <c r="O50" i="3"/>
  <c r="O38" i="3"/>
  <c r="O26" i="3"/>
  <c r="O14" i="3"/>
  <c r="O2" i="3"/>
  <c r="O904" i="3"/>
  <c r="O892" i="3"/>
  <c r="O880" i="3"/>
  <c r="O868" i="3"/>
  <c r="O856" i="3"/>
  <c r="O844" i="3"/>
  <c r="O832" i="3"/>
  <c r="O820" i="3"/>
  <c r="O808" i="3"/>
  <c r="O796" i="3"/>
  <c r="O784" i="3"/>
  <c r="O772" i="3"/>
  <c r="O760" i="3"/>
  <c r="O748" i="3"/>
  <c r="O736" i="3"/>
  <c r="O724" i="3"/>
  <c r="O712" i="3"/>
  <c r="O700" i="3"/>
  <c r="O688" i="3"/>
  <c r="O676" i="3"/>
  <c r="O664" i="3"/>
  <c r="O652" i="3"/>
  <c r="O640" i="3"/>
  <c r="O628" i="3"/>
  <c r="O616" i="3"/>
  <c r="O592" i="3"/>
  <c r="O580" i="3"/>
  <c r="O568" i="3"/>
  <c r="O544" i="3"/>
  <c r="O532" i="3"/>
  <c r="O520" i="3"/>
  <c r="O505" i="3"/>
  <c r="O493" i="3"/>
  <c r="O481" i="3"/>
  <c r="O469" i="3"/>
  <c r="O457" i="3"/>
  <c r="O445" i="3"/>
  <c r="O433" i="3"/>
  <c r="O421" i="3"/>
  <c r="O409" i="3"/>
  <c r="O397" i="3"/>
  <c r="O385" i="3"/>
  <c r="O373" i="3"/>
  <c r="O361" i="3"/>
  <c r="O349" i="3"/>
  <c r="O337" i="3"/>
  <c r="O325" i="3"/>
  <c r="O313" i="3"/>
  <c r="O301" i="3"/>
  <c r="O289" i="3"/>
  <c r="O277" i="3"/>
  <c r="O265" i="3"/>
  <c r="O253" i="3"/>
  <c r="O241" i="3"/>
  <c r="O229" i="3"/>
  <c r="O217" i="3"/>
  <c r="O205" i="3"/>
  <c r="O193" i="3"/>
  <c r="O181" i="3"/>
  <c r="O169" i="3"/>
  <c r="O157" i="3"/>
  <c r="O145" i="3"/>
  <c r="O133" i="3"/>
  <c r="O121" i="3"/>
  <c r="O109" i="3"/>
  <c r="O97" i="3"/>
  <c r="O85" i="3"/>
  <c r="O73" i="3"/>
  <c r="O61" i="3"/>
  <c r="O49" i="3"/>
  <c r="O37" i="3"/>
  <c r="O25" i="3"/>
  <c r="O13" i="3"/>
  <c r="O903" i="3"/>
  <c r="O891" i="3"/>
  <c r="O879" i="3"/>
  <c r="O855" i="3"/>
  <c r="O843" i="3"/>
  <c r="O831" i="3"/>
  <c r="O819" i="3"/>
  <c r="O807" i="3"/>
  <c r="O795" i="3"/>
  <c r="O783" i="3"/>
  <c r="O771" i="3"/>
  <c r="O759" i="3"/>
  <c r="O747" i="3"/>
  <c r="O735" i="3"/>
  <c r="O723" i="3"/>
  <c r="O711" i="3"/>
  <c r="O687" i="3"/>
  <c r="O663" i="3"/>
  <c r="O651" i="3"/>
  <c r="O639" i="3"/>
  <c r="O627" i="3"/>
  <c r="O615" i="3"/>
  <c r="O603" i="3"/>
  <c r="O591" i="3"/>
  <c r="O579" i="3"/>
  <c r="O555" i="3"/>
  <c r="O543" i="3"/>
  <c r="O531" i="3"/>
  <c r="O519" i="3"/>
  <c r="O504" i="3"/>
  <c r="O492" i="3"/>
  <c r="O480" i="3"/>
  <c r="O468" i="3"/>
  <c r="O456" i="3"/>
  <c r="O444" i="3"/>
  <c r="O432" i="3"/>
  <c r="O420" i="3"/>
  <c r="O408" i="3"/>
  <c r="O396" i="3"/>
  <c r="O384" i="3"/>
  <c r="O372" i="3"/>
  <c r="O360" i="3"/>
  <c r="O348" i="3"/>
  <c r="O336" i="3"/>
  <c r="O324" i="3"/>
  <c r="O312" i="3"/>
  <c r="O300" i="3"/>
  <c r="O288" i="3"/>
  <c r="O276" i="3"/>
  <c r="O264" i="3"/>
  <c r="O252" i="3"/>
  <c r="O240" i="3"/>
  <c r="O228" i="3"/>
  <c r="O216" i="3"/>
  <c r="O204" i="3"/>
  <c r="O192" i="3"/>
  <c r="O180" i="3"/>
  <c r="O168" i="3"/>
  <c r="O156" i="3"/>
  <c r="O144" i="3"/>
  <c r="O132" i="3"/>
  <c r="O120" i="3"/>
  <c r="O108" i="3"/>
  <c r="O96" i="3"/>
  <c r="O84" i="3"/>
  <c r="O72" i="3"/>
  <c r="O60" i="3"/>
  <c r="O48" i="3"/>
  <c r="O36" i="3"/>
  <c r="O24" i="3"/>
  <c r="O12" i="3"/>
  <c r="O902" i="3"/>
  <c r="O890" i="3"/>
  <c r="O878" i="3"/>
  <c r="O866" i="3"/>
  <c r="O854" i="3"/>
  <c r="O842" i="3"/>
  <c r="O830" i="3"/>
  <c r="O818" i="3"/>
  <c r="O806" i="3"/>
  <c r="O794" i="3"/>
  <c r="O782" i="3"/>
  <c r="O770" i="3"/>
  <c r="O758" i="3"/>
  <c r="O746" i="3"/>
  <c r="O734" i="3"/>
  <c r="O722" i="3"/>
  <c r="O710" i="3"/>
  <c r="O698" i="3"/>
  <c r="O686" i="3"/>
  <c r="O674" i="3"/>
  <c r="O662" i="3"/>
  <c r="O650" i="3"/>
  <c r="O638" i="3"/>
  <c r="O626" i="3"/>
  <c r="O614" i="3"/>
  <c r="O602" i="3"/>
  <c r="O590" i="3"/>
  <c r="O578" i="3"/>
  <c r="O566" i="3"/>
  <c r="O554" i="3"/>
  <c r="O542" i="3"/>
  <c r="O530" i="3"/>
  <c r="O518" i="3"/>
  <c r="M867" i="3"/>
  <c r="N867" i="3" s="1"/>
  <c r="M699" i="3"/>
  <c r="N699" i="3" s="1"/>
  <c r="M675" i="3"/>
  <c r="N675" i="3" s="1"/>
  <c r="M567" i="3"/>
  <c r="N567" i="3" s="1"/>
  <c r="M283" i="3"/>
  <c r="N283" i="3" s="1"/>
  <c r="M270" i="3"/>
  <c r="N270" i="3" s="1"/>
  <c r="M872" i="3"/>
  <c r="N872" i="3" s="1"/>
  <c r="M257" i="3"/>
  <c r="N257" i="3" s="1"/>
  <c r="O511" i="3"/>
  <c r="O510" i="3"/>
  <c r="O507" i="3"/>
  <c r="O509" i="3"/>
  <c r="M604" i="3"/>
  <c r="N604" i="3" s="1"/>
  <c r="M556" i="3"/>
  <c r="N556" i="3" s="1"/>
  <c r="O508" i="3"/>
  <c r="T297" i="1"/>
  <c r="U297" i="1"/>
  <c r="V297" i="1"/>
  <c r="W297" i="1" s="1"/>
  <c r="T298" i="1"/>
  <c r="U298" i="1"/>
  <c r="V298" i="1"/>
  <c r="X298" i="1" s="1"/>
  <c r="AB298" i="1" s="1"/>
  <c r="AE298" i="1" s="1"/>
  <c r="T299" i="1"/>
  <c r="U299" i="1"/>
  <c r="V299" i="1"/>
  <c r="Y299" i="1" s="1"/>
  <c r="T300" i="1"/>
  <c r="U300" i="1"/>
  <c r="V300" i="1"/>
  <c r="W300" i="1" s="1"/>
  <c r="T301" i="1"/>
  <c r="U301" i="1"/>
  <c r="V301" i="1"/>
  <c r="Y301" i="1" s="1"/>
  <c r="T302" i="1"/>
  <c r="U302" i="1"/>
  <c r="V302" i="1"/>
  <c r="X302" i="1" s="1"/>
  <c r="AB302" i="1" s="1"/>
  <c r="AE302" i="1" s="1"/>
  <c r="T303" i="1"/>
  <c r="U303" i="1"/>
  <c r="V303" i="1"/>
  <c r="X303" i="1" s="1"/>
  <c r="AB303" i="1" s="1"/>
  <c r="AE303" i="1" s="1"/>
  <c r="T304" i="1"/>
  <c r="U304" i="1"/>
  <c r="V304" i="1"/>
  <c r="W304" i="1" s="1"/>
  <c r="T305" i="1"/>
  <c r="U305" i="1"/>
  <c r="V305" i="1"/>
  <c r="X305" i="1" s="1"/>
  <c r="AB305" i="1" s="1"/>
  <c r="AE305" i="1" s="1"/>
  <c r="T306" i="1"/>
  <c r="U306" i="1"/>
  <c r="V306" i="1"/>
  <c r="X306" i="1" s="1"/>
  <c r="AB306" i="1" s="1"/>
  <c r="AE306" i="1" s="1"/>
  <c r="T307" i="1"/>
  <c r="U307" i="1"/>
  <c r="V307" i="1"/>
  <c r="T308" i="1"/>
  <c r="U308" i="1"/>
  <c r="V308" i="1"/>
  <c r="X308" i="1" s="1"/>
  <c r="AB308" i="1" s="1"/>
  <c r="AE308" i="1" s="1"/>
  <c r="T309" i="1"/>
  <c r="U309" i="1"/>
  <c r="V309" i="1"/>
  <c r="Y309" i="1" s="1"/>
  <c r="T310" i="1"/>
  <c r="U310" i="1"/>
  <c r="V310" i="1"/>
  <c r="W310" i="1" s="1"/>
  <c r="T311" i="1"/>
  <c r="U311" i="1"/>
  <c r="V311" i="1"/>
  <c r="X311" i="1" s="1"/>
  <c r="AB311" i="1" s="1"/>
  <c r="AE311" i="1" s="1"/>
  <c r="T312" i="1"/>
  <c r="U312" i="1"/>
  <c r="V312" i="1"/>
  <c r="Y312" i="1" s="1"/>
  <c r="T313" i="1"/>
  <c r="U313" i="1"/>
  <c r="V313" i="1"/>
  <c r="W313" i="1" s="1"/>
  <c r="T314" i="1"/>
  <c r="U314" i="1"/>
  <c r="V314" i="1"/>
  <c r="Y314" i="1" s="1"/>
  <c r="T315" i="1"/>
  <c r="U315" i="1"/>
  <c r="V315" i="1"/>
  <c r="W315" i="1" s="1"/>
  <c r="T316" i="1"/>
  <c r="U316" i="1"/>
  <c r="V316" i="1"/>
  <c r="W316" i="1" s="1"/>
  <c r="T317" i="1"/>
  <c r="U317" i="1"/>
  <c r="V317" i="1"/>
  <c r="Y317" i="1" s="1"/>
  <c r="T318" i="1"/>
  <c r="U318" i="1"/>
  <c r="V318" i="1"/>
  <c r="X318" i="1" s="1"/>
  <c r="AB318" i="1" s="1"/>
  <c r="AE318" i="1" s="1"/>
  <c r="T319" i="1"/>
  <c r="U319" i="1"/>
  <c r="V319" i="1"/>
  <c r="W319" i="1" s="1"/>
  <c r="T320" i="1"/>
  <c r="U320" i="1"/>
  <c r="V320" i="1"/>
  <c r="Y320" i="1" s="1"/>
  <c r="T321" i="1"/>
  <c r="U321" i="1"/>
  <c r="V321" i="1"/>
  <c r="X321" i="1" s="1"/>
  <c r="AB321" i="1" s="1"/>
  <c r="AE321" i="1" s="1"/>
  <c r="T322" i="1"/>
  <c r="U322" i="1"/>
  <c r="V322" i="1"/>
  <c r="T323" i="1"/>
  <c r="U323" i="1"/>
  <c r="V323" i="1"/>
  <c r="W323" i="1" s="1"/>
  <c r="T324" i="1"/>
  <c r="U324" i="1"/>
  <c r="V324" i="1"/>
  <c r="W324" i="1" s="1"/>
  <c r="T325" i="1"/>
  <c r="U325" i="1"/>
  <c r="V325" i="1"/>
  <c r="T326" i="1"/>
  <c r="U326" i="1"/>
  <c r="V326" i="1"/>
  <c r="W326" i="1" s="1"/>
  <c r="T327" i="1"/>
  <c r="U327" i="1"/>
  <c r="V327" i="1"/>
  <c r="T328" i="1"/>
  <c r="U328" i="1"/>
  <c r="V328" i="1"/>
  <c r="X328" i="1" s="1"/>
  <c r="AB328" i="1" s="1"/>
  <c r="AE328" i="1" s="1"/>
  <c r="T329" i="1"/>
  <c r="U329" i="1"/>
  <c r="V329" i="1"/>
  <c r="X329" i="1" s="1"/>
  <c r="AB329" i="1" s="1"/>
  <c r="AE329" i="1" s="1"/>
  <c r="T330" i="1"/>
  <c r="U330" i="1"/>
  <c r="V330" i="1"/>
  <c r="W330" i="1" s="1"/>
  <c r="T331" i="1"/>
  <c r="U331" i="1"/>
  <c r="V331" i="1"/>
  <c r="W331" i="1" s="1"/>
  <c r="T332" i="1"/>
  <c r="U332" i="1"/>
  <c r="V332" i="1"/>
  <c r="W332" i="1" s="1"/>
  <c r="T333" i="1"/>
  <c r="U333" i="1"/>
  <c r="V333" i="1"/>
  <c r="Y333" i="1" s="1"/>
  <c r="T334" i="1"/>
  <c r="U334" i="1"/>
  <c r="V334" i="1"/>
  <c r="Y334" i="1" s="1"/>
  <c r="T335" i="1"/>
  <c r="U335" i="1"/>
  <c r="V335" i="1"/>
  <c r="T336" i="1"/>
  <c r="U336" i="1"/>
  <c r="V336" i="1"/>
  <c r="T337" i="1"/>
  <c r="U337" i="1"/>
  <c r="V337" i="1"/>
  <c r="W337" i="1" s="1"/>
  <c r="T338" i="1"/>
  <c r="U338" i="1"/>
  <c r="V338" i="1"/>
  <c r="W338" i="1" s="1"/>
  <c r="T339" i="1"/>
  <c r="U339" i="1"/>
  <c r="V339" i="1"/>
  <c r="Y339" i="1" s="1"/>
  <c r="T340" i="1"/>
  <c r="U340" i="1"/>
  <c r="V340" i="1"/>
  <c r="W340" i="1" s="1"/>
  <c r="T341" i="1"/>
  <c r="U341" i="1"/>
  <c r="V341" i="1"/>
  <c r="X341" i="1" s="1"/>
  <c r="AB341" i="1" s="1"/>
  <c r="AE341" i="1" s="1"/>
  <c r="T342" i="1"/>
  <c r="U342" i="1"/>
  <c r="V342" i="1"/>
  <c r="W342" i="1" s="1"/>
  <c r="T343" i="1"/>
  <c r="U343" i="1"/>
  <c r="V343" i="1"/>
  <c r="W343" i="1" s="1"/>
  <c r="T344" i="1"/>
  <c r="U344" i="1"/>
  <c r="V344" i="1"/>
  <c r="X344" i="1" s="1"/>
  <c r="AB344" i="1" s="1"/>
  <c r="AE344" i="1" s="1"/>
  <c r="T345" i="1"/>
  <c r="U345" i="1"/>
  <c r="V345" i="1"/>
  <c r="W345" i="1" s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X350" i="1" s="1"/>
  <c r="AB350" i="1" s="1"/>
  <c r="AE350" i="1" s="1"/>
  <c r="T351" i="1"/>
  <c r="U351" i="1"/>
  <c r="V351" i="1"/>
  <c r="W351" i="1" s="1"/>
  <c r="T352" i="1"/>
  <c r="U352" i="1"/>
  <c r="V352" i="1"/>
  <c r="W352" i="1" s="1"/>
  <c r="T353" i="1"/>
  <c r="U353" i="1"/>
  <c r="V353" i="1"/>
  <c r="T354" i="1"/>
  <c r="U354" i="1"/>
  <c r="V354" i="1"/>
  <c r="X354" i="1" s="1"/>
  <c r="AB354" i="1" s="1"/>
  <c r="AE354" i="1" s="1"/>
  <c r="T355" i="1"/>
  <c r="U355" i="1"/>
  <c r="V355" i="1"/>
  <c r="W355" i="1" s="1"/>
  <c r="T356" i="1"/>
  <c r="U356" i="1"/>
  <c r="V356" i="1"/>
  <c r="W356" i="1" s="1"/>
  <c r="T357" i="1"/>
  <c r="U357" i="1"/>
  <c r="V357" i="1"/>
  <c r="W357" i="1" s="1"/>
  <c r="T358" i="1"/>
  <c r="U358" i="1"/>
  <c r="V358" i="1"/>
  <c r="T359" i="1"/>
  <c r="U359" i="1"/>
  <c r="V359" i="1"/>
  <c r="X359" i="1" s="1"/>
  <c r="AB359" i="1" s="1"/>
  <c r="AE359" i="1" s="1"/>
  <c r="T360" i="1"/>
  <c r="U360" i="1"/>
  <c r="V360" i="1"/>
  <c r="W360" i="1" s="1"/>
  <c r="T361" i="1"/>
  <c r="U361" i="1"/>
  <c r="V361" i="1"/>
  <c r="X361" i="1" s="1"/>
  <c r="AB361" i="1" s="1"/>
  <c r="AE361" i="1" s="1"/>
  <c r="T362" i="1"/>
  <c r="U362" i="1"/>
  <c r="V362" i="1"/>
  <c r="T363" i="1"/>
  <c r="U363" i="1"/>
  <c r="V363" i="1"/>
  <c r="Y363" i="1" s="1"/>
  <c r="T364" i="1"/>
  <c r="U364" i="1"/>
  <c r="V364" i="1"/>
  <c r="X364" i="1" s="1"/>
  <c r="AB364" i="1" s="1"/>
  <c r="AE364" i="1" s="1"/>
  <c r="T365" i="1"/>
  <c r="U365" i="1"/>
  <c r="V365" i="1"/>
  <c r="W365" i="1" s="1"/>
  <c r="T366" i="1"/>
  <c r="U366" i="1"/>
  <c r="V366" i="1"/>
  <c r="W366" i="1" s="1"/>
  <c r="T367" i="1"/>
  <c r="U367" i="1"/>
  <c r="V367" i="1"/>
  <c r="T368" i="1"/>
  <c r="U368" i="1"/>
  <c r="V368" i="1"/>
  <c r="X368" i="1" s="1"/>
  <c r="T369" i="1"/>
  <c r="U369" i="1"/>
  <c r="V369" i="1"/>
  <c r="X369" i="1" s="1"/>
  <c r="AB369" i="1" s="1"/>
  <c r="AE369" i="1" s="1"/>
  <c r="T370" i="1"/>
  <c r="U370" i="1"/>
  <c r="V370" i="1"/>
  <c r="X370" i="1" s="1"/>
  <c r="AB370" i="1" s="1"/>
  <c r="AE370" i="1" s="1"/>
  <c r="T371" i="1"/>
  <c r="U371" i="1"/>
  <c r="V371" i="1"/>
  <c r="T372" i="1"/>
  <c r="U372" i="1"/>
  <c r="V372" i="1"/>
  <c r="Y372" i="1" s="1"/>
  <c r="T373" i="1"/>
  <c r="U373" i="1"/>
  <c r="V373" i="1"/>
  <c r="X373" i="1" s="1"/>
  <c r="AB373" i="1" s="1"/>
  <c r="AE373" i="1" s="1"/>
  <c r="T374" i="1"/>
  <c r="U374" i="1"/>
  <c r="V374" i="1"/>
  <c r="Y374" i="1" s="1"/>
  <c r="T375" i="1"/>
  <c r="U375" i="1"/>
  <c r="V375" i="1"/>
  <c r="W375" i="1" s="1"/>
  <c r="T376" i="1"/>
  <c r="U376" i="1"/>
  <c r="V376" i="1"/>
  <c r="W376" i="1" s="1"/>
  <c r="T377" i="1"/>
  <c r="U377" i="1"/>
  <c r="V377" i="1"/>
  <c r="X377" i="1" s="1"/>
  <c r="AB377" i="1" s="1"/>
  <c r="AE377" i="1" s="1"/>
  <c r="T378" i="1"/>
  <c r="U378" i="1"/>
  <c r="V378" i="1"/>
  <c r="W378" i="1" s="1"/>
  <c r="T379" i="1"/>
  <c r="U379" i="1"/>
  <c r="V379" i="1"/>
  <c r="Y379" i="1" s="1"/>
  <c r="T380" i="1"/>
  <c r="U380" i="1"/>
  <c r="V380" i="1"/>
  <c r="T381" i="1"/>
  <c r="U381" i="1"/>
  <c r="V381" i="1"/>
  <c r="X381" i="1" s="1"/>
  <c r="AB381" i="1" s="1"/>
  <c r="AE381" i="1" s="1"/>
  <c r="T382" i="1"/>
  <c r="U382" i="1"/>
  <c r="V382" i="1"/>
  <c r="W382" i="1" s="1"/>
  <c r="T383" i="1"/>
  <c r="U383" i="1"/>
  <c r="V383" i="1"/>
  <c r="T384" i="1"/>
  <c r="U384" i="1"/>
  <c r="V384" i="1"/>
  <c r="T385" i="1"/>
  <c r="U385" i="1"/>
  <c r="V385" i="1"/>
  <c r="Y385" i="1" s="1"/>
  <c r="T386" i="1"/>
  <c r="U386" i="1"/>
  <c r="V386" i="1"/>
  <c r="W386" i="1" s="1"/>
  <c r="T387" i="1"/>
  <c r="U387" i="1"/>
  <c r="V387" i="1"/>
  <c r="W387" i="1" s="1"/>
  <c r="T388" i="1"/>
  <c r="U388" i="1"/>
  <c r="V388" i="1"/>
  <c r="W388" i="1" s="1"/>
  <c r="T389" i="1"/>
  <c r="U389" i="1"/>
  <c r="V389" i="1"/>
  <c r="Y389" i="1" s="1"/>
  <c r="T390" i="1"/>
  <c r="U390" i="1"/>
  <c r="V390" i="1"/>
  <c r="X390" i="1" s="1"/>
  <c r="AB390" i="1" s="1"/>
  <c r="AE390" i="1" s="1"/>
  <c r="T391" i="1"/>
  <c r="U391" i="1"/>
  <c r="V391" i="1"/>
  <c r="W391" i="1" s="1"/>
  <c r="T392" i="1"/>
  <c r="U392" i="1"/>
  <c r="V392" i="1"/>
  <c r="W392" i="1" s="1"/>
  <c r="T393" i="1"/>
  <c r="U393" i="1"/>
  <c r="V393" i="1"/>
  <c r="X393" i="1" s="1"/>
  <c r="AB393" i="1" s="1"/>
  <c r="AE393" i="1" s="1"/>
  <c r="T394" i="1"/>
  <c r="U394" i="1"/>
  <c r="V394" i="1"/>
  <c r="T395" i="1"/>
  <c r="U395" i="1"/>
  <c r="V395" i="1"/>
  <c r="T396" i="1"/>
  <c r="U396" i="1"/>
  <c r="V396" i="1"/>
  <c r="W396" i="1" s="1"/>
  <c r="T397" i="1"/>
  <c r="U397" i="1"/>
  <c r="V397" i="1"/>
  <c r="X397" i="1" s="1"/>
  <c r="AB397" i="1" s="1"/>
  <c r="AE397" i="1" s="1"/>
  <c r="T398" i="1"/>
  <c r="U398" i="1"/>
  <c r="V398" i="1"/>
  <c r="Y398" i="1" s="1"/>
  <c r="T399" i="1"/>
  <c r="U399" i="1"/>
  <c r="V399" i="1"/>
  <c r="X399" i="1" s="1"/>
  <c r="AB399" i="1" s="1"/>
  <c r="AE399" i="1" s="1"/>
  <c r="T400" i="1"/>
  <c r="U400" i="1"/>
  <c r="V400" i="1"/>
  <c r="W400" i="1" s="1"/>
  <c r="T401" i="1"/>
  <c r="U401" i="1"/>
  <c r="V401" i="1"/>
  <c r="Y401" i="1" s="1"/>
  <c r="T402" i="1"/>
  <c r="U402" i="1"/>
  <c r="V402" i="1"/>
  <c r="X402" i="1" s="1"/>
  <c r="AB402" i="1" s="1"/>
  <c r="AE402" i="1" s="1"/>
  <c r="T403" i="1"/>
  <c r="U403" i="1"/>
  <c r="V403" i="1"/>
  <c r="X403" i="1" s="1"/>
  <c r="AB403" i="1" s="1"/>
  <c r="AE403" i="1" s="1"/>
  <c r="T404" i="1"/>
  <c r="U404" i="1"/>
  <c r="V404" i="1"/>
  <c r="T405" i="1"/>
  <c r="U405" i="1"/>
  <c r="V405" i="1"/>
  <c r="T406" i="1"/>
  <c r="U406" i="1"/>
  <c r="V406" i="1"/>
  <c r="W406" i="1" s="1"/>
  <c r="T407" i="1"/>
  <c r="U407" i="1"/>
  <c r="V407" i="1"/>
  <c r="X407" i="1" s="1"/>
  <c r="AB407" i="1" s="1"/>
  <c r="AE407" i="1" s="1"/>
  <c r="T408" i="1"/>
  <c r="U408" i="1"/>
  <c r="V408" i="1"/>
  <c r="W408" i="1" s="1"/>
  <c r="T409" i="1"/>
  <c r="U409" i="1"/>
  <c r="V409" i="1"/>
  <c r="T410" i="1"/>
  <c r="U410" i="1"/>
  <c r="V410" i="1"/>
  <c r="Y410" i="1" s="1"/>
  <c r="T411" i="1"/>
  <c r="U411" i="1"/>
  <c r="V411" i="1"/>
  <c r="Y411" i="1" s="1"/>
  <c r="T412" i="1"/>
  <c r="U412" i="1"/>
  <c r="V412" i="1"/>
  <c r="W412" i="1" s="1"/>
  <c r="T413" i="1"/>
  <c r="U413" i="1"/>
  <c r="V413" i="1"/>
  <c r="T414" i="1"/>
  <c r="U414" i="1"/>
  <c r="V414" i="1"/>
  <c r="Y414" i="1" s="1"/>
  <c r="T415" i="1"/>
  <c r="U415" i="1"/>
  <c r="V415" i="1"/>
  <c r="W415" i="1" s="1"/>
  <c r="T416" i="1"/>
  <c r="U416" i="1"/>
  <c r="V416" i="1"/>
  <c r="T417" i="1"/>
  <c r="U417" i="1"/>
  <c r="V417" i="1"/>
  <c r="Y417" i="1" s="1"/>
  <c r="T418" i="1"/>
  <c r="U418" i="1"/>
  <c r="V418" i="1"/>
  <c r="X418" i="1" s="1"/>
  <c r="AB418" i="1" s="1"/>
  <c r="AE418" i="1" s="1"/>
  <c r="T419" i="1"/>
  <c r="U419" i="1"/>
  <c r="V419" i="1"/>
  <c r="Y419" i="1" s="1"/>
  <c r="T420" i="1"/>
  <c r="U420" i="1"/>
  <c r="V420" i="1"/>
  <c r="T421" i="1"/>
  <c r="U421" i="1"/>
  <c r="V421" i="1"/>
  <c r="T422" i="1"/>
  <c r="U422" i="1"/>
  <c r="V422" i="1"/>
  <c r="Y422" i="1" s="1"/>
  <c r="T423" i="1"/>
  <c r="U423" i="1"/>
  <c r="V423" i="1"/>
  <c r="W423" i="1" s="1"/>
  <c r="T424" i="1"/>
  <c r="U424" i="1"/>
  <c r="V424" i="1"/>
  <c r="W424" i="1" s="1"/>
  <c r="T425" i="1"/>
  <c r="U425" i="1"/>
  <c r="V425" i="1"/>
  <c r="T426" i="1"/>
  <c r="U426" i="1"/>
  <c r="V426" i="1"/>
  <c r="X426" i="1" s="1"/>
  <c r="T427" i="1"/>
  <c r="U427" i="1"/>
  <c r="V427" i="1"/>
  <c r="T428" i="1"/>
  <c r="U428" i="1"/>
  <c r="V428" i="1"/>
  <c r="X428" i="1" s="1"/>
  <c r="AB428" i="1" s="1"/>
  <c r="AE428" i="1" s="1"/>
  <c r="T429" i="1"/>
  <c r="U429" i="1"/>
  <c r="V429" i="1"/>
  <c r="Y429" i="1" s="1"/>
  <c r="T430" i="1"/>
  <c r="U430" i="1"/>
  <c r="V430" i="1"/>
  <c r="X430" i="1" s="1"/>
  <c r="AB430" i="1" s="1"/>
  <c r="AE430" i="1" s="1"/>
  <c r="T431" i="1"/>
  <c r="U431" i="1"/>
  <c r="V431" i="1"/>
  <c r="X431" i="1" s="1"/>
  <c r="AB431" i="1" s="1"/>
  <c r="AE431" i="1" s="1"/>
  <c r="T432" i="1"/>
  <c r="U432" i="1"/>
  <c r="V432" i="1"/>
  <c r="X432" i="1" s="1"/>
  <c r="AB432" i="1" s="1"/>
  <c r="AE432" i="1" s="1"/>
  <c r="T433" i="1"/>
  <c r="U433" i="1"/>
  <c r="V433" i="1"/>
  <c r="W433" i="1" s="1"/>
  <c r="T434" i="1"/>
  <c r="U434" i="1"/>
  <c r="V434" i="1"/>
  <c r="X434" i="1" s="1"/>
  <c r="AB434" i="1" s="1"/>
  <c r="AE434" i="1" s="1"/>
  <c r="T435" i="1"/>
  <c r="U435" i="1"/>
  <c r="V435" i="1"/>
  <c r="X435" i="1" s="1"/>
  <c r="AB435" i="1" s="1"/>
  <c r="AE435" i="1" s="1"/>
  <c r="T436" i="1"/>
  <c r="U436" i="1"/>
  <c r="V436" i="1"/>
  <c r="T437" i="1"/>
  <c r="U437" i="1"/>
  <c r="V437" i="1"/>
  <c r="X437" i="1" s="1"/>
  <c r="AB437" i="1" s="1"/>
  <c r="AE437" i="1" s="1"/>
  <c r="T438" i="1"/>
  <c r="U438" i="1"/>
  <c r="V438" i="1"/>
  <c r="X438" i="1" s="1"/>
  <c r="AB438" i="1" s="1"/>
  <c r="AE438" i="1" s="1"/>
  <c r="T439" i="1"/>
  <c r="U439" i="1"/>
  <c r="V439" i="1"/>
  <c r="W439" i="1" s="1"/>
  <c r="T440" i="1"/>
  <c r="U440" i="1"/>
  <c r="V440" i="1"/>
  <c r="W440" i="1" s="1"/>
  <c r="T441" i="1"/>
  <c r="U441" i="1"/>
  <c r="V441" i="1"/>
  <c r="X441" i="1" s="1"/>
  <c r="AB441" i="1" s="1"/>
  <c r="AE441" i="1" s="1"/>
  <c r="T442" i="1"/>
  <c r="U442" i="1"/>
  <c r="V442" i="1"/>
  <c r="W442" i="1" s="1"/>
  <c r="T443" i="1"/>
  <c r="U443" i="1"/>
  <c r="V443" i="1"/>
  <c r="T444" i="1"/>
  <c r="U444" i="1"/>
  <c r="V444" i="1"/>
  <c r="T445" i="1"/>
  <c r="U445" i="1"/>
  <c r="V445" i="1"/>
  <c r="Y445" i="1" s="1"/>
  <c r="T446" i="1"/>
  <c r="U446" i="1"/>
  <c r="V446" i="1"/>
  <c r="W446" i="1" s="1"/>
  <c r="T447" i="1"/>
  <c r="U447" i="1"/>
  <c r="V447" i="1"/>
  <c r="T448" i="1"/>
  <c r="U448" i="1"/>
  <c r="V448" i="1"/>
  <c r="X448" i="1" s="1"/>
  <c r="AB448" i="1" s="1"/>
  <c r="AE448" i="1" s="1"/>
  <c r="T449" i="1"/>
  <c r="U449" i="1"/>
  <c r="V449" i="1"/>
  <c r="W449" i="1" s="1"/>
  <c r="T450" i="1"/>
  <c r="U450" i="1"/>
  <c r="V450" i="1"/>
  <c r="Y450" i="1" s="1"/>
  <c r="T451" i="1"/>
  <c r="U451" i="1"/>
  <c r="V451" i="1"/>
  <c r="W451" i="1" s="1"/>
  <c r="T452" i="1"/>
  <c r="U452" i="1"/>
  <c r="V452" i="1"/>
  <c r="T453" i="1"/>
  <c r="U453" i="1"/>
  <c r="V453" i="1"/>
  <c r="X453" i="1" s="1"/>
  <c r="AB453" i="1" s="1"/>
  <c r="AE453" i="1" s="1"/>
  <c r="T454" i="1"/>
  <c r="U454" i="1"/>
  <c r="V454" i="1"/>
  <c r="Y454" i="1" s="1"/>
  <c r="T455" i="1"/>
  <c r="U455" i="1"/>
  <c r="V455" i="1"/>
  <c r="W455" i="1" s="1"/>
  <c r="T456" i="1"/>
  <c r="U456" i="1"/>
  <c r="V456" i="1"/>
  <c r="X456" i="1" s="1"/>
  <c r="AB456" i="1" s="1"/>
  <c r="AE456" i="1" s="1"/>
  <c r="T457" i="1"/>
  <c r="U457" i="1"/>
  <c r="V457" i="1"/>
  <c r="Y457" i="1" s="1"/>
  <c r="T458" i="1"/>
  <c r="U458" i="1"/>
  <c r="V458" i="1"/>
  <c r="T459" i="1"/>
  <c r="U459" i="1"/>
  <c r="V459" i="1"/>
  <c r="X459" i="1" s="1"/>
  <c r="AB459" i="1" s="1"/>
  <c r="AE459" i="1" s="1"/>
  <c r="V64" i="1"/>
  <c r="W64" i="1" s="1"/>
  <c r="V65" i="1"/>
  <c r="W65" i="1" s="1"/>
  <c r="V66" i="1"/>
  <c r="W66" i="1" s="1"/>
  <c r="V67" i="1"/>
  <c r="V68" i="1"/>
  <c r="V69" i="1"/>
  <c r="V70" i="1"/>
  <c r="Y70" i="1" s="1"/>
  <c r="V71" i="1"/>
  <c r="V72" i="1"/>
  <c r="Y72" i="1" s="1"/>
  <c r="V73" i="1"/>
  <c r="Y73" i="1" s="1"/>
  <c r="V74" i="1"/>
  <c r="Y74" i="1" s="1"/>
  <c r="V75" i="1"/>
  <c r="X75" i="1" s="1"/>
  <c r="AB75" i="1" s="1"/>
  <c r="AE75" i="1" s="1"/>
  <c r="V76" i="1"/>
  <c r="Y76" i="1" s="1"/>
  <c r="V77" i="1"/>
  <c r="W77" i="1" s="1"/>
  <c r="V78" i="1"/>
  <c r="X78" i="1" s="1"/>
  <c r="AB78" i="1" s="1"/>
  <c r="AE78" i="1" s="1"/>
  <c r="V79" i="1"/>
  <c r="Y79" i="1" s="1"/>
  <c r="V80" i="1"/>
  <c r="V81" i="1"/>
  <c r="W81" i="1" s="1"/>
  <c r="V82" i="1"/>
  <c r="Y82" i="1" s="1"/>
  <c r="V83" i="1"/>
  <c r="V84" i="1"/>
  <c r="X84" i="1" s="1"/>
  <c r="AB84" i="1" s="1"/>
  <c r="AE84" i="1" s="1"/>
  <c r="V85" i="1"/>
  <c r="Y85" i="1" s="1"/>
  <c r="V86" i="1"/>
  <c r="Y86" i="1" s="1"/>
  <c r="V87" i="1"/>
  <c r="X87" i="1" s="1"/>
  <c r="AB87" i="1" s="1"/>
  <c r="AE87" i="1" s="1"/>
  <c r="V88" i="1"/>
  <c r="Y88" i="1" s="1"/>
  <c r="V89" i="1"/>
  <c r="X89" i="1" s="1"/>
  <c r="AB89" i="1" s="1"/>
  <c r="AE89" i="1" s="1"/>
  <c r="V90" i="1"/>
  <c r="W90" i="1" s="1"/>
  <c r="V91" i="1"/>
  <c r="V92" i="1"/>
  <c r="X92" i="1" s="1"/>
  <c r="AB92" i="1" s="1"/>
  <c r="AE92" i="1" s="1"/>
  <c r="V93" i="1"/>
  <c r="Y93" i="1" s="1"/>
  <c r="V94" i="1"/>
  <c r="Y94" i="1" s="1"/>
  <c r="V95" i="1"/>
  <c r="W95" i="1" s="1"/>
  <c r="V96" i="1"/>
  <c r="Y96" i="1" s="1"/>
  <c r="V97" i="1"/>
  <c r="Y97" i="1" s="1"/>
  <c r="V98" i="1"/>
  <c r="V99" i="1"/>
  <c r="X99" i="1" s="1"/>
  <c r="AB99" i="1" s="1"/>
  <c r="AE99" i="1" s="1"/>
  <c r="V100" i="1"/>
  <c r="Y100" i="1" s="1"/>
  <c r="V101" i="1"/>
  <c r="X101" i="1" s="1"/>
  <c r="AB101" i="1" s="1"/>
  <c r="AE101" i="1" s="1"/>
  <c r="V102" i="1"/>
  <c r="X102" i="1" s="1"/>
  <c r="AB102" i="1" s="1"/>
  <c r="AE102" i="1" s="1"/>
  <c r="V103" i="1"/>
  <c r="X103" i="1" s="1"/>
  <c r="AB103" i="1" s="1"/>
  <c r="AE103" i="1" s="1"/>
  <c r="V104" i="1"/>
  <c r="X104" i="1" s="1"/>
  <c r="AB104" i="1" s="1"/>
  <c r="AE104" i="1" s="1"/>
  <c r="V105" i="1"/>
  <c r="X105" i="1" s="1"/>
  <c r="AB105" i="1" s="1"/>
  <c r="AE105" i="1" s="1"/>
  <c r="V106" i="1"/>
  <c r="V107" i="1"/>
  <c r="X107" i="1" s="1"/>
  <c r="AB107" i="1" s="1"/>
  <c r="AE107" i="1" s="1"/>
  <c r="V108" i="1"/>
  <c r="V109" i="1"/>
  <c r="W109" i="1" s="1"/>
  <c r="V110" i="1"/>
  <c r="V111" i="1"/>
  <c r="Y111" i="1" s="1"/>
  <c r="V112" i="1"/>
  <c r="Y112" i="1" s="1"/>
  <c r="V113" i="1"/>
  <c r="X113" i="1" s="1"/>
  <c r="AB113" i="1" s="1"/>
  <c r="AE113" i="1" s="1"/>
  <c r="V114" i="1"/>
  <c r="W114" i="1" s="1"/>
  <c r="V115" i="1"/>
  <c r="Y115" i="1" s="1"/>
  <c r="V116" i="1"/>
  <c r="V117" i="1"/>
  <c r="W117" i="1" s="1"/>
  <c r="V118" i="1"/>
  <c r="W118" i="1" s="1"/>
  <c r="V119" i="1"/>
  <c r="X119" i="1" s="1"/>
  <c r="AB119" i="1" s="1"/>
  <c r="AE119" i="1" s="1"/>
  <c r="V120" i="1"/>
  <c r="Y120" i="1" s="1"/>
  <c r="V121" i="1"/>
  <c r="Y121" i="1" s="1"/>
  <c r="V122" i="1"/>
  <c r="W122" i="1"/>
  <c r="V123" i="1"/>
  <c r="W123" i="1" s="1"/>
  <c r="V124" i="1"/>
  <c r="W124" i="1" s="1"/>
  <c r="V125" i="1"/>
  <c r="X125" i="1" s="1"/>
  <c r="AB125" i="1" s="1"/>
  <c r="AE125" i="1" s="1"/>
  <c r="V126" i="1"/>
  <c r="W126" i="1" s="1"/>
  <c r="V127" i="1"/>
  <c r="W127" i="1" s="1"/>
  <c r="V128" i="1"/>
  <c r="X128" i="1" s="1"/>
  <c r="AB128" i="1" s="1"/>
  <c r="AE128" i="1" s="1"/>
  <c r="V129" i="1"/>
  <c r="Y129" i="1" s="1"/>
  <c r="V130" i="1"/>
  <c r="W130" i="1" s="1"/>
  <c r="V131" i="1"/>
  <c r="X131" i="1" s="1"/>
  <c r="AB131" i="1" s="1"/>
  <c r="AE131" i="1" s="1"/>
  <c r="V132" i="1"/>
  <c r="X132" i="1" s="1"/>
  <c r="AB132" i="1" s="1"/>
  <c r="AE132" i="1" s="1"/>
  <c r="V133" i="1"/>
  <c r="Y133" i="1" s="1"/>
  <c r="V134" i="1"/>
  <c r="V135" i="1"/>
  <c r="W135" i="1" s="1"/>
  <c r="V136" i="1"/>
  <c r="Y136" i="1" s="1"/>
  <c r="V137" i="1"/>
  <c r="X137" i="1" s="1"/>
  <c r="AB137" i="1" s="1"/>
  <c r="AE137" i="1" s="1"/>
  <c r="V138" i="1"/>
  <c r="X138" i="1" s="1"/>
  <c r="AB138" i="1" s="1"/>
  <c r="AE138" i="1" s="1"/>
  <c r="V139" i="1"/>
  <c r="Y139" i="1" s="1"/>
  <c r="V140" i="1"/>
  <c r="X140" i="1" s="1"/>
  <c r="AB140" i="1" s="1"/>
  <c r="AE140" i="1" s="1"/>
  <c r="V141" i="1"/>
  <c r="V142" i="1"/>
  <c r="W142" i="1" s="1"/>
  <c r="V143" i="1"/>
  <c r="X143" i="1" s="1"/>
  <c r="AB143" i="1" s="1"/>
  <c r="AE143" i="1" s="1"/>
  <c r="V144" i="1"/>
  <c r="W144" i="1" s="1"/>
  <c r="V145" i="1"/>
  <c r="Y145" i="1" s="1"/>
  <c r="V146" i="1"/>
  <c r="V147" i="1"/>
  <c r="Y147" i="1" s="1"/>
  <c r="V148" i="1"/>
  <c r="Y148" i="1" s="1"/>
  <c r="V149" i="1"/>
  <c r="V150" i="1"/>
  <c r="Y150" i="1" s="1"/>
  <c r="V151" i="1"/>
  <c r="Y151" i="1" s="1"/>
  <c r="V152" i="1"/>
  <c r="V153" i="1"/>
  <c r="W153" i="1" s="1"/>
  <c r="V154" i="1"/>
  <c r="X154" i="1" s="1"/>
  <c r="AB154" i="1" s="1"/>
  <c r="AE154" i="1" s="1"/>
  <c r="V155" i="1"/>
  <c r="W155" i="1" s="1"/>
  <c r="V156" i="1"/>
  <c r="X156" i="1" s="1"/>
  <c r="AB156" i="1" s="1"/>
  <c r="AE156" i="1" s="1"/>
  <c r="V157" i="1"/>
  <c r="Y157" i="1" s="1"/>
  <c r="V158" i="1"/>
  <c r="W158" i="1" s="1"/>
  <c r="V159" i="1"/>
  <c r="V160" i="1"/>
  <c r="Y160" i="1" s="1"/>
  <c r="V161" i="1"/>
  <c r="W161" i="1" s="1"/>
  <c r="V162" i="1"/>
  <c r="W162" i="1" s="1"/>
  <c r="V163" i="1"/>
  <c r="Y163" i="1" s="1"/>
  <c r="V164" i="1"/>
  <c r="X164" i="1" s="1"/>
  <c r="AB164" i="1" s="1"/>
  <c r="AE164" i="1" s="1"/>
  <c r="V165" i="1"/>
  <c r="W165" i="1" s="1"/>
  <c r="V166" i="1"/>
  <c r="Y166" i="1" s="1"/>
  <c r="V167" i="1"/>
  <c r="W167" i="1" s="1"/>
  <c r="V168" i="1"/>
  <c r="V169" i="1"/>
  <c r="Y169" i="1" s="1"/>
  <c r="V170" i="1"/>
  <c r="V171" i="1"/>
  <c r="W171" i="1" s="1"/>
  <c r="V172" i="1"/>
  <c r="Y172" i="1" s="1"/>
  <c r="V173" i="1"/>
  <c r="V174" i="1"/>
  <c r="X174" i="1" s="1"/>
  <c r="AB174" i="1" s="1"/>
  <c r="AE174" i="1" s="1"/>
  <c r="V175" i="1"/>
  <c r="X175" i="1" s="1"/>
  <c r="AB175" i="1" s="1"/>
  <c r="AE175" i="1" s="1"/>
  <c r="V176" i="1"/>
  <c r="X176" i="1" s="1"/>
  <c r="AB176" i="1" s="1"/>
  <c r="AE176" i="1" s="1"/>
  <c r="V177" i="1"/>
  <c r="W177" i="1" s="1"/>
  <c r="V178" i="1"/>
  <c r="V179" i="1"/>
  <c r="Y179" i="1" s="1"/>
  <c r="V180" i="1"/>
  <c r="V181" i="1"/>
  <c r="X181" i="1" s="1"/>
  <c r="AB181" i="1" s="1"/>
  <c r="AE181" i="1" s="1"/>
  <c r="V182" i="1"/>
  <c r="V183" i="1"/>
  <c r="V184" i="1"/>
  <c r="Y184" i="1" s="1"/>
  <c r="V185" i="1"/>
  <c r="W185" i="1" s="1"/>
  <c r="V186" i="1"/>
  <c r="X186" i="1" s="1"/>
  <c r="AB186" i="1" s="1"/>
  <c r="AE186" i="1" s="1"/>
  <c r="V187" i="1"/>
  <c r="Y187" i="1" s="1"/>
  <c r="V188" i="1"/>
  <c r="V189" i="1"/>
  <c r="W189" i="1" s="1"/>
  <c r="V190" i="1"/>
  <c r="Y190" i="1" s="1"/>
  <c r="V191" i="1"/>
  <c r="X191" i="1" s="1"/>
  <c r="AB191" i="1" s="1"/>
  <c r="AE191" i="1" s="1"/>
  <c r="V192" i="1"/>
  <c r="X192" i="1" s="1"/>
  <c r="AB192" i="1" s="1"/>
  <c r="AE192" i="1" s="1"/>
  <c r="V193" i="1"/>
  <c r="Y193" i="1" s="1"/>
  <c r="V194" i="1"/>
  <c r="V195" i="1"/>
  <c r="V196" i="1"/>
  <c r="W196" i="1" s="1"/>
  <c r="V197" i="1"/>
  <c r="X197" i="1" s="1"/>
  <c r="AB197" i="1" s="1"/>
  <c r="AE197" i="1" s="1"/>
  <c r="V198" i="1"/>
  <c r="W198" i="1" s="1"/>
  <c r="V199" i="1"/>
  <c r="X199" i="1" s="1"/>
  <c r="AB199" i="1" s="1"/>
  <c r="AE199" i="1" s="1"/>
  <c r="V200" i="1"/>
  <c r="V201" i="1"/>
  <c r="V202" i="1"/>
  <c r="Y202" i="1" s="1"/>
  <c r="V203" i="1"/>
  <c r="W203" i="1" s="1"/>
  <c r="V204" i="1"/>
  <c r="W204" i="1" s="1"/>
  <c r="V205" i="1"/>
  <c r="Y205" i="1" s="1"/>
  <c r="V206" i="1"/>
  <c r="V207" i="1"/>
  <c r="W207" i="1" s="1"/>
  <c r="V208" i="1"/>
  <c r="V209" i="1"/>
  <c r="V210" i="1"/>
  <c r="W210" i="1" s="1"/>
  <c r="V211" i="1"/>
  <c r="X211" i="1" s="1"/>
  <c r="AB211" i="1" s="1"/>
  <c r="AE211" i="1" s="1"/>
  <c r="V212" i="1"/>
  <c r="X212" i="1" s="1"/>
  <c r="AB212" i="1" s="1"/>
  <c r="AE212" i="1" s="1"/>
  <c r="V213" i="1"/>
  <c r="W213" i="1" s="1"/>
  <c r="V214" i="1"/>
  <c r="Y214" i="1" s="1"/>
  <c r="X214" i="1"/>
  <c r="AB214" i="1" s="1"/>
  <c r="AE214" i="1" s="1"/>
  <c r="V215" i="1"/>
  <c r="X215" i="1" s="1"/>
  <c r="AB215" i="1" s="1"/>
  <c r="AE215" i="1" s="1"/>
  <c r="V216" i="1"/>
  <c r="V217" i="1"/>
  <c r="Y217" i="1" s="1"/>
  <c r="V218" i="1"/>
  <c r="W218" i="1" s="1"/>
  <c r="V219" i="1"/>
  <c r="X219" i="1" s="1"/>
  <c r="AB219" i="1" s="1"/>
  <c r="AE219" i="1" s="1"/>
  <c r="V220" i="1"/>
  <c r="Y220" i="1" s="1"/>
  <c r="V221" i="1"/>
  <c r="V222" i="1"/>
  <c r="W222" i="1" s="1"/>
  <c r="V223" i="1"/>
  <c r="Y223" i="1" s="1"/>
  <c r="V224" i="1"/>
  <c r="V225" i="1"/>
  <c r="Y225" i="1" s="1"/>
  <c r="V226" i="1"/>
  <c r="Y226" i="1" s="1"/>
  <c r="V227" i="1"/>
  <c r="V228" i="1"/>
  <c r="Y228" i="1" s="1"/>
  <c r="V229" i="1"/>
  <c r="Y229" i="1" s="1"/>
  <c r="V230" i="1"/>
  <c r="W230" i="1" s="1"/>
  <c r="V231" i="1"/>
  <c r="W231" i="1" s="1"/>
  <c r="V232" i="1"/>
  <c r="V233" i="1"/>
  <c r="X233" i="1" s="1"/>
  <c r="AB233" i="1" s="1"/>
  <c r="AE233" i="1" s="1"/>
  <c r="V234" i="1"/>
  <c r="W234" i="1" s="1"/>
  <c r="V235" i="1"/>
  <c r="X235" i="1" s="1"/>
  <c r="AB235" i="1" s="1"/>
  <c r="AE235" i="1" s="1"/>
  <c r="V236" i="1"/>
  <c r="X236" i="1" s="1"/>
  <c r="AB236" i="1" s="1"/>
  <c r="AE236" i="1" s="1"/>
  <c r="V237" i="1"/>
  <c r="Y237" i="1" s="1"/>
  <c r="V238" i="1"/>
  <c r="W238" i="1" s="1"/>
  <c r="V239" i="1"/>
  <c r="W239" i="1" s="1"/>
  <c r="V240" i="1"/>
  <c r="Y240" i="1" s="1"/>
  <c r="V241" i="1"/>
  <c r="Y241" i="1" s="1"/>
  <c r="V242" i="1"/>
  <c r="V243" i="1"/>
  <c r="Y243" i="1" s="1"/>
  <c r="V244" i="1"/>
  <c r="V245" i="1"/>
  <c r="W245" i="1" s="1"/>
  <c r="V246" i="1"/>
  <c r="W246" i="1" s="1"/>
  <c r="V247" i="1"/>
  <c r="W247" i="1" s="1"/>
  <c r="V248" i="1"/>
  <c r="W248" i="1" s="1"/>
  <c r="V249" i="1"/>
  <c r="X249" i="1" s="1"/>
  <c r="AB249" i="1" s="1"/>
  <c r="AE249" i="1" s="1"/>
  <c r="V250" i="1"/>
  <c r="Y250" i="1" s="1"/>
  <c r="V251" i="1"/>
  <c r="W251" i="1" s="1"/>
  <c r="V252" i="1"/>
  <c r="V253" i="1"/>
  <c r="Y253" i="1" s="1"/>
  <c r="V254" i="1"/>
  <c r="V255" i="1"/>
  <c r="V256" i="1"/>
  <c r="Y256" i="1" s="1"/>
  <c r="V257" i="1"/>
  <c r="W257" i="1" s="1"/>
  <c r="V258" i="1"/>
  <c r="Y258" i="1" s="1"/>
  <c r="V259" i="1"/>
  <c r="Y259" i="1" s="1"/>
  <c r="V260" i="1"/>
  <c r="V261" i="1"/>
  <c r="V262" i="1"/>
  <c r="Y262" i="1" s="1"/>
  <c r="V263" i="1"/>
  <c r="W263" i="1" s="1"/>
  <c r="V264" i="1"/>
  <c r="Y264" i="1" s="1"/>
  <c r="V265" i="1"/>
  <c r="Y265" i="1" s="1"/>
  <c r="V266" i="1"/>
  <c r="W266" i="1" s="1"/>
  <c r="V267" i="1"/>
  <c r="X267" i="1" s="1"/>
  <c r="AB267" i="1" s="1"/>
  <c r="AE267" i="1" s="1"/>
  <c r="V268" i="1"/>
  <c r="Y268" i="1" s="1"/>
  <c r="V269" i="1"/>
  <c r="W269" i="1" s="1"/>
  <c r="V270" i="1"/>
  <c r="W270" i="1" s="1"/>
  <c r="V271" i="1"/>
  <c r="V272" i="1"/>
  <c r="W272" i="1" s="1"/>
  <c r="V273" i="1"/>
  <c r="Y273" i="1" s="1"/>
  <c r="V274" i="1"/>
  <c r="Y274" i="1" s="1"/>
  <c r="V275" i="1"/>
  <c r="V276" i="1"/>
  <c r="W276" i="1" s="1"/>
  <c r="V277" i="1"/>
  <c r="Y277" i="1" s="1"/>
  <c r="V278" i="1"/>
  <c r="V279" i="1"/>
  <c r="Y279" i="1" s="1"/>
  <c r="V280" i="1"/>
  <c r="Y280" i="1" s="1"/>
  <c r="V281" i="1"/>
  <c r="W281" i="1" s="1"/>
  <c r="V282" i="1"/>
  <c r="V283" i="1"/>
  <c r="Y283" i="1" s="1"/>
  <c r="V284" i="1"/>
  <c r="X284" i="1" s="1"/>
  <c r="AB284" i="1" s="1"/>
  <c r="AE284" i="1" s="1"/>
  <c r="V285" i="1"/>
  <c r="W285" i="1" s="1"/>
  <c r="V286" i="1"/>
  <c r="Y286" i="1" s="1"/>
  <c r="V287" i="1"/>
  <c r="W287" i="1" s="1"/>
  <c r="V288" i="1"/>
  <c r="V289" i="1"/>
  <c r="Y289" i="1" s="1"/>
  <c r="V290" i="1"/>
  <c r="W290" i="1" s="1"/>
  <c r="V291" i="1"/>
  <c r="Y291" i="1" s="1"/>
  <c r="V292" i="1"/>
  <c r="Y292" i="1" s="1"/>
  <c r="V293" i="1"/>
  <c r="W293" i="1" s="1"/>
  <c r="V294" i="1"/>
  <c r="Y294" i="1" s="1"/>
  <c r="V295" i="1"/>
  <c r="Y295" i="1" s="1"/>
  <c r="V296" i="1"/>
  <c r="X296" i="1" s="1"/>
  <c r="AB296" i="1" s="1"/>
  <c r="AE296" i="1" s="1"/>
  <c r="T216" i="1"/>
  <c r="U216" i="1"/>
  <c r="T217" i="1"/>
  <c r="U217" i="1"/>
  <c r="T218" i="1"/>
  <c r="U218" i="1"/>
  <c r="T219" i="1"/>
  <c r="U219" i="1"/>
  <c r="T220" i="1"/>
  <c r="U220" i="1"/>
  <c r="T221" i="1"/>
  <c r="U221" i="1"/>
  <c r="T222" i="1"/>
  <c r="U222" i="1"/>
  <c r="T223" i="1"/>
  <c r="U223" i="1"/>
  <c r="T224" i="1"/>
  <c r="U224" i="1"/>
  <c r="T225" i="1"/>
  <c r="U225" i="1"/>
  <c r="T226" i="1"/>
  <c r="U226" i="1"/>
  <c r="T227" i="1"/>
  <c r="U227" i="1"/>
  <c r="T228" i="1"/>
  <c r="U228" i="1"/>
  <c r="T229" i="1"/>
  <c r="U229" i="1"/>
  <c r="T230" i="1"/>
  <c r="U230" i="1"/>
  <c r="T231" i="1"/>
  <c r="U231" i="1"/>
  <c r="T232" i="1"/>
  <c r="U232" i="1"/>
  <c r="T233" i="1"/>
  <c r="U233" i="1"/>
  <c r="T234" i="1"/>
  <c r="U234" i="1"/>
  <c r="T235" i="1"/>
  <c r="U235" i="1"/>
  <c r="T236" i="1"/>
  <c r="U236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T284" i="1"/>
  <c r="U284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296" i="1"/>
  <c r="U296" i="1"/>
  <c r="T135" i="1"/>
  <c r="U135" i="1"/>
  <c r="T136" i="1"/>
  <c r="U136" i="1"/>
  <c r="T137" i="1"/>
  <c r="U137" i="1"/>
  <c r="T138" i="1"/>
  <c r="U138" i="1"/>
  <c r="T139" i="1"/>
  <c r="U139" i="1"/>
  <c r="T140" i="1"/>
  <c r="U140" i="1"/>
  <c r="T141" i="1"/>
  <c r="U141" i="1"/>
  <c r="T142" i="1"/>
  <c r="U142" i="1"/>
  <c r="T143" i="1"/>
  <c r="U143" i="1"/>
  <c r="T144" i="1"/>
  <c r="U144" i="1"/>
  <c r="T145" i="1"/>
  <c r="U145" i="1"/>
  <c r="T146" i="1"/>
  <c r="U146" i="1"/>
  <c r="T147" i="1"/>
  <c r="U147" i="1"/>
  <c r="T148" i="1"/>
  <c r="U148" i="1"/>
  <c r="T149" i="1"/>
  <c r="U149" i="1"/>
  <c r="T150" i="1"/>
  <c r="U150" i="1"/>
  <c r="T151" i="1"/>
  <c r="U151" i="1"/>
  <c r="T152" i="1"/>
  <c r="U152" i="1"/>
  <c r="T153" i="1"/>
  <c r="U153" i="1"/>
  <c r="T154" i="1"/>
  <c r="U154" i="1"/>
  <c r="T155" i="1"/>
  <c r="U155" i="1"/>
  <c r="T156" i="1"/>
  <c r="U156" i="1"/>
  <c r="T157" i="1"/>
  <c r="U157" i="1"/>
  <c r="T158" i="1"/>
  <c r="U158" i="1"/>
  <c r="T159" i="1"/>
  <c r="U159" i="1"/>
  <c r="T160" i="1"/>
  <c r="U160" i="1"/>
  <c r="T161" i="1"/>
  <c r="U161" i="1"/>
  <c r="T162" i="1"/>
  <c r="U162" i="1"/>
  <c r="T163" i="1"/>
  <c r="U163" i="1"/>
  <c r="T164" i="1"/>
  <c r="U164" i="1"/>
  <c r="T165" i="1"/>
  <c r="U165" i="1"/>
  <c r="T166" i="1"/>
  <c r="U166" i="1"/>
  <c r="T167" i="1"/>
  <c r="U167" i="1"/>
  <c r="T168" i="1"/>
  <c r="U168" i="1"/>
  <c r="T169" i="1"/>
  <c r="U169" i="1"/>
  <c r="T170" i="1"/>
  <c r="U170" i="1"/>
  <c r="T171" i="1"/>
  <c r="U171" i="1"/>
  <c r="T172" i="1"/>
  <c r="U172" i="1"/>
  <c r="T173" i="1"/>
  <c r="U173" i="1"/>
  <c r="T174" i="1"/>
  <c r="U174" i="1"/>
  <c r="T175" i="1"/>
  <c r="U175" i="1"/>
  <c r="T176" i="1"/>
  <c r="U176" i="1"/>
  <c r="T177" i="1"/>
  <c r="U177" i="1"/>
  <c r="T178" i="1"/>
  <c r="U178" i="1"/>
  <c r="T179" i="1"/>
  <c r="U179" i="1"/>
  <c r="T180" i="1"/>
  <c r="U180" i="1"/>
  <c r="T181" i="1"/>
  <c r="U181" i="1"/>
  <c r="T182" i="1"/>
  <c r="U182" i="1"/>
  <c r="T183" i="1"/>
  <c r="U183" i="1"/>
  <c r="T184" i="1"/>
  <c r="U184" i="1"/>
  <c r="T185" i="1"/>
  <c r="U185" i="1"/>
  <c r="T186" i="1"/>
  <c r="U186" i="1"/>
  <c r="T187" i="1"/>
  <c r="U187" i="1"/>
  <c r="T188" i="1"/>
  <c r="U188" i="1"/>
  <c r="T189" i="1"/>
  <c r="U189" i="1"/>
  <c r="T190" i="1"/>
  <c r="U190" i="1"/>
  <c r="T191" i="1"/>
  <c r="U191" i="1"/>
  <c r="T192" i="1"/>
  <c r="U192" i="1"/>
  <c r="T193" i="1"/>
  <c r="U193" i="1"/>
  <c r="T194" i="1"/>
  <c r="U194" i="1"/>
  <c r="T195" i="1"/>
  <c r="U195" i="1"/>
  <c r="T196" i="1"/>
  <c r="U196" i="1"/>
  <c r="T197" i="1"/>
  <c r="U197" i="1"/>
  <c r="T198" i="1"/>
  <c r="U198" i="1"/>
  <c r="T199" i="1"/>
  <c r="U199" i="1"/>
  <c r="T200" i="1"/>
  <c r="U200" i="1"/>
  <c r="T201" i="1"/>
  <c r="U201" i="1"/>
  <c r="T202" i="1"/>
  <c r="U202" i="1"/>
  <c r="T203" i="1"/>
  <c r="U203" i="1"/>
  <c r="T204" i="1"/>
  <c r="U204" i="1"/>
  <c r="T205" i="1"/>
  <c r="U205" i="1"/>
  <c r="T206" i="1"/>
  <c r="U206" i="1"/>
  <c r="T207" i="1"/>
  <c r="U207" i="1"/>
  <c r="T208" i="1"/>
  <c r="U208" i="1"/>
  <c r="T209" i="1"/>
  <c r="U209" i="1"/>
  <c r="T210" i="1"/>
  <c r="U210" i="1"/>
  <c r="T211" i="1"/>
  <c r="U211" i="1"/>
  <c r="T212" i="1"/>
  <c r="U212" i="1"/>
  <c r="T213" i="1"/>
  <c r="U213" i="1"/>
  <c r="T214" i="1"/>
  <c r="U214" i="1"/>
  <c r="T215" i="1"/>
  <c r="U215" i="1"/>
  <c r="T4" i="1"/>
  <c r="U4" i="1"/>
  <c r="T5" i="1"/>
  <c r="U5" i="1"/>
  <c r="T6" i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72" i="1"/>
  <c r="U72" i="1"/>
  <c r="T73" i="1"/>
  <c r="U73" i="1"/>
  <c r="T74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106" i="1"/>
  <c r="U106" i="1"/>
  <c r="T107" i="1"/>
  <c r="U107" i="1"/>
  <c r="T108" i="1"/>
  <c r="U108" i="1"/>
  <c r="T109" i="1"/>
  <c r="U109" i="1"/>
  <c r="T110" i="1"/>
  <c r="U110" i="1"/>
  <c r="T111" i="1"/>
  <c r="U111" i="1"/>
  <c r="T112" i="1"/>
  <c r="U112" i="1"/>
  <c r="T113" i="1"/>
  <c r="U113" i="1"/>
  <c r="T114" i="1"/>
  <c r="U114" i="1"/>
  <c r="T115" i="1"/>
  <c r="U115" i="1"/>
  <c r="T116" i="1"/>
  <c r="U116" i="1"/>
  <c r="T117" i="1"/>
  <c r="U117" i="1"/>
  <c r="T118" i="1"/>
  <c r="U118" i="1"/>
  <c r="T119" i="1"/>
  <c r="U119" i="1"/>
  <c r="T120" i="1"/>
  <c r="U120" i="1"/>
  <c r="T121" i="1"/>
  <c r="U121" i="1"/>
  <c r="T122" i="1"/>
  <c r="U122" i="1"/>
  <c r="T123" i="1"/>
  <c r="U123" i="1"/>
  <c r="T124" i="1"/>
  <c r="U124" i="1"/>
  <c r="T125" i="1"/>
  <c r="U125" i="1"/>
  <c r="T126" i="1"/>
  <c r="U126" i="1"/>
  <c r="T127" i="1"/>
  <c r="U127" i="1"/>
  <c r="T128" i="1"/>
  <c r="U128" i="1"/>
  <c r="T129" i="1"/>
  <c r="U129" i="1"/>
  <c r="T130" i="1"/>
  <c r="U130" i="1"/>
  <c r="T131" i="1"/>
  <c r="U131" i="1"/>
  <c r="T132" i="1"/>
  <c r="U132" i="1"/>
  <c r="T133" i="1"/>
  <c r="U133" i="1"/>
  <c r="T134" i="1"/>
  <c r="U134" i="1"/>
  <c r="U3" i="1"/>
  <c r="T3" i="1"/>
  <c r="V4" i="1"/>
  <c r="W4" i="1" s="1"/>
  <c r="V5" i="1"/>
  <c r="V6" i="1"/>
  <c r="V7" i="1"/>
  <c r="V8" i="1"/>
  <c r="Y8" i="1" s="1"/>
  <c r="V9" i="1"/>
  <c r="V10" i="1"/>
  <c r="X10" i="1" s="1"/>
  <c r="AB10" i="1" s="1"/>
  <c r="AE10" i="1" s="1"/>
  <c r="V11" i="1"/>
  <c r="Y11" i="1" s="1"/>
  <c r="V12" i="1"/>
  <c r="W12" i="1" s="1"/>
  <c r="V13" i="1"/>
  <c r="V14" i="1"/>
  <c r="Y14" i="1" s="1"/>
  <c r="V15" i="1"/>
  <c r="V16" i="1"/>
  <c r="Y16" i="1" s="1"/>
  <c r="V17" i="1"/>
  <c r="Y17" i="1" s="1"/>
  <c r="V18" i="1"/>
  <c r="V19" i="1"/>
  <c r="Y19" i="1" s="1"/>
  <c r="V20" i="1"/>
  <c r="Y20" i="1" s="1"/>
  <c r="V21" i="1"/>
  <c r="V22" i="1"/>
  <c r="Y22" i="1" s="1"/>
  <c r="V23" i="1"/>
  <c r="V24" i="1"/>
  <c r="W24" i="1" s="1"/>
  <c r="V25" i="1"/>
  <c r="Y25" i="1" s="1"/>
  <c r="V26" i="1"/>
  <c r="Y26" i="1" s="1"/>
  <c r="V27" i="1"/>
  <c r="V28" i="1"/>
  <c r="X28" i="1" s="1"/>
  <c r="AB28" i="1" s="1"/>
  <c r="AE28" i="1" s="1"/>
  <c r="V29" i="1"/>
  <c r="Y29" i="1" s="1"/>
  <c r="V30" i="1"/>
  <c r="V31" i="1"/>
  <c r="W31" i="1" s="1"/>
  <c r="V32" i="1"/>
  <c r="Y32" i="1" s="1"/>
  <c r="V33" i="1"/>
  <c r="V34" i="1"/>
  <c r="W34" i="1" s="1"/>
  <c r="V35" i="1"/>
  <c r="V36" i="1"/>
  <c r="V37" i="1"/>
  <c r="Y37" i="1" s="1"/>
  <c r="V38" i="1"/>
  <c r="Y38" i="1" s="1"/>
  <c r="V39" i="1"/>
  <c r="V40" i="1"/>
  <c r="X40" i="1" s="1"/>
  <c r="AB40" i="1" s="1"/>
  <c r="AE40" i="1" s="1"/>
  <c r="V41" i="1"/>
  <c r="W41" i="1" s="1"/>
  <c r="V42" i="1"/>
  <c r="V43" i="1"/>
  <c r="Y43" i="1" s="1"/>
  <c r="V44" i="1"/>
  <c r="X44" i="1" s="1"/>
  <c r="AB44" i="1" s="1"/>
  <c r="AE44" i="1" s="1"/>
  <c r="V45" i="1"/>
  <c r="V46" i="1"/>
  <c r="Y46" i="1" s="1"/>
  <c r="V47" i="1"/>
  <c r="W47" i="1" s="1"/>
  <c r="V48" i="1"/>
  <c r="W48" i="1" s="1"/>
  <c r="V49" i="1"/>
  <c r="W49" i="1" s="1"/>
  <c r="V50" i="1"/>
  <c r="Y50" i="1" s="1"/>
  <c r="V51" i="1"/>
  <c r="W51" i="1" s="1"/>
  <c r="V52" i="1"/>
  <c r="Y52" i="1" s="1"/>
  <c r="V53" i="1"/>
  <c r="V54" i="1"/>
  <c r="V55" i="1"/>
  <c r="Y55" i="1" s="1"/>
  <c r="V56" i="1"/>
  <c r="W56" i="1" s="1"/>
  <c r="V57" i="1"/>
  <c r="V58" i="1"/>
  <c r="Y58" i="1" s="1"/>
  <c r="V59" i="1"/>
  <c r="V60" i="1"/>
  <c r="V61" i="1"/>
  <c r="V62" i="1"/>
  <c r="Y62" i="1" s="1"/>
  <c r="V63" i="1"/>
  <c r="W63" i="1" s="1"/>
  <c r="V3" i="1"/>
  <c r="X3" i="1" s="1"/>
  <c r="AB3" i="1" s="1"/>
  <c r="AE3" i="1" s="1"/>
  <c r="X396" i="1" l="1"/>
  <c r="AA396" i="1" s="1"/>
  <c r="AD396" i="1" s="1"/>
  <c r="W435" i="1"/>
  <c r="AA435" i="1" s="1"/>
  <c r="AD435" i="1" s="1"/>
  <c r="W273" i="1"/>
  <c r="X250" i="1"/>
  <c r="AB250" i="1" s="1"/>
  <c r="AE250" i="1" s="1"/>
  <c r="X58" i="1"/>
  <c r="AB58" i="1" s="1"/>
  <c r="AE58" i="1" s="1"/>
  <c r="W139" i="1"/>
  <c r="Y382" i="1"/>
  <c r="X289" i="1"/>
  <c r="AB289" i="1" s="1"/>
  <c r="AE289" i="1" s="1"/>
  <c r="Y412" i="1"/>
  <c r="X352" i="1"/>
  <c r="AB352" i="1" s="1"/>
  <c r="AE352" i="1" s="1"/>
  <c r="W62" i="1"/>
  <c r="X52" i="1"/>
  <c r="AB52" i="1" s="1"/>
  <c r="AE52" i="1" s="1"/>
  <c r="X433" i="1"/>
  <c r="AB433" i="1" s="1"/>
  <c r="AE433" i="1" s="1"/>
  <c r="W136" i="1"/>
  <c r="Y361" i="1"/>
  <c r="W368" i="1"/>
  <c r="AA368" i="1" s="1"/>
  <c r="AD368" i="1" s="1"/>
  <c r="Y102" i="1"/>
  <c r="X165" i="1"/>
  <c r="AB165" i="1" s="1"/>
  <c r="AE165" i="1" s="1"/>
  <c r="X121" i="1"/>
  <c r="AB121" i="1" s="1"/>
  <c r="AE121" i="1" s="1"/>
  <c r="W217" i="1"/>
  <c r="X129" i="1"/>
  <c r="AB129" i="1" s="1"/>
  <c r="AE129" i="1" s="1"/>
  <c r="W249" i="1"/>
  <c r="AA249" i="1" s="1"/>
  <c r="AD249" i="1" s="1"/>
  <c r="X96" i="1"/>
  <c r="AB96" i="1" s="1"/>
  <c r="AE96" i="1" s="1"/>
  <c r="Y459" i="1"/>
  <c r="Y430" i="1"/>
  <c r="Y400" i="1"/>
  <c r="Y352" i="1"/>
  <c r="W52" i="1"/>
  <c r="W256" i="1"/>
  <c r="Y332" i="1"/>
  <c r="W214" i="1"/>
  <c r="Z214" i="1" s="1"/>
  <c r="AC214" i="1" s="1"/>
  <c r="W103" i="1"/>
  <c r="X429" i="1"/>
  <c r="AB429" i="1" s="1"/>
  <c r="AE429" i="1" s="1"/>
  <c r="Y376" i="1"/>
  <c r="W286" i="1"/>
  <c r="W429" i="1"/>
  <c r="AA429" i="1" s="1"/>
  <c r="AD429" i="1" s="1"/>
  <c r="X410" i="1"/>
  <c r="AB410" i="1" s="1"/>
  <c r="AE410" i="1" s="1"/>
  <c r="Y368" i="1"/>
  <c r="W264" i="1"/>
  <c r="X450" i="1"/>
  <c r="AB450" i="1" s="1"/>
  <c r="AE450" i="1" s="1"/>
  <c r="Y435" i="1"/>
  <c r="AG435" i="1" s="1"/>
  <c r="X379" i="1"/>
  <c r="AB379" i="1" s="1"/>
  <c r="AE379" i="1" s="1"/>
  <c r="W354" i="1"/>
  <c r="AA354" i="1" s="1"/>
  <c r="AD354" i="1" s="1"/>
  <c r="W280" i="1"/>
  <c r="X222" i="1"/>
  <c r="AB222" i="1" s="1"/>
  <c r="AE222" i="1" s="1"/>
  <c r="X139" i="1"/>
  <c r="AB139" i="1" s="1"/>
  <c r="AE139" i="1" s="1"/>
  <c r="W102" i="1"/>
  <c r="Y438" i="1"/>
  <c r="Y432" i="1"/>
  <c r="W426" i="1"/>
  <c r="AA426" i="1" s="1"/>
  <c r="AD426" i="1" s="1"/>
  <c r="W372" i="1"/>
  <c r="X37" i="1"/>
  <c r="AB37" i="1" s="1"/>
  <c r="AE37" i="1" s="1"/>
  <c r="W26" i="1"/>
  <c r="X190" i="1"/>
  <c r="AB190" i="1" s="1"/>
  <c r="AE190" i="1" s="1"/>
  <c r="W418" i="1"/>
  <c r="AA418" i="1" s="1"/>
  <c r="AD418" i="1" s="1"/>
  <c r="W397" i="1"/>
  <c r="AA397" i="1" s="1"/>
  <c r="AD397" i="1" s="1"/>
  <c r="W390" i="1"/>
  <c r="AA390" i="1" s="1"/>
  <c r="AD390" i="1" s="1"/>
  <c r="Y164" i="1"/>
  <c r="W294" i="1"/>
  <c r="W145" i="1"/>
  <c r="W137" i="1"/>
  <c r="AA137" i="1" s="1"/>
  <c r="AD137" i="1" s="1"/>
  <c r="W99" i="1"/>
  <c r="X265" i="1"/>
  <c r="AB265" i="1" s="1"/>
  <c r="AE265" i="1" s="1"/>
  <c r="W237" i="1"/>
  <c r="Y437" i="1"/>
  <c r="W428" i="1"/>
  <c r="W320" i="1"/>
  <c r="Y236" i="1"/>
  <c r="X417" i="1"/>
  <c r="AB417" i="1" s="1"/>
  <c r="AE417" i="1" s="1"/>
  <c r="W43" i="1"/>
  <c r="W283" i="1"/>
  <c r="X264" i="1"/>
  <c r="AB264" i="1" s="1"/>
  <c r="AE264" i="1" s="1"/>
  <c r="W236" i="1"/>
  <c r="AA236" i="1" s="1"/>
  <c r="AD236" i="1" s="1"/>
  <c r="W175" i="1"/>
  <c r="W143" i="1"/>
  <c r="AA143" i="1" s="1"/>
  <c r="AD143" i="1" s="1"/>
  <c r="W105" i="1"/>
  <c r="Y165" i="1"/>
  <c r="Y446" i="1"/>
  <c r="Y439" i="1"/>
  <c r="W417" i="1"/>
  <c r="X406" i="1"/>
  <c r="AB406" i="1" s="1"/>
  <c r="AE406" i="1" s="1"/>
  <c r="Y399" i="1"/>
  <c r="Y392" i="1"/>
  <c r="Y323" i="1"/>
  <c r="Y424" i="1"/>
  <c r="Y375" i="1"/>
  <c r="W240" i="1"/>
  <c r="W160" i="1"/>
  <c r="W125" i="1"/>
  <c r="AA125" i="1" s="1"/>
  <c r="AD125" i="1" s="1"/>
  <c r="X100" i="1"/>
  <c r="AB100" i="1" s="1"/>
  <c r="AE100" i="1" s="1"/>
  <c r="Y451" i="1"/>
  <c r="X424" i="1"/>
  <c r="AB424" i="1" s="1"/>
  <c r="AE424" i="1" s="1"/>
  <c r="Y390" i="1"/>
  <c r="X375" i="1"/>
  <c r="AB375" i="1" s="1"/>
  <c r="AE375" i="1" s="1"/>
  <c r="X372" i="1"/>
  <c r="AB372" i="1" s="1"/>
  <c r="AE372" i="1" s="1"/>
  <c r="X338" i="1"/>
  <c r="AA338" i="1" s="1"/>
  <c r="AD338" i="1" s="1"/>
  <c r="X320" i="1"/>
  <c r="AB320" i="1" s="1"/>
  <c r="AE320" i="1" s="1"/>
  <c r="W32" i="1"/>
  <c r="W289" i="1"/>
  <c r="W229" i="1"/>
  <c r="W212" i="1"/>
  <c r="AA212" i="1" s="1"/>
  <c r="AD212" i="1" s="1"/>
  <c r="W87" i="1"/>
  <c r="AA87" i="1" s="1"/>
  <c r="AD87" i="1" s="1"/>
  <c r="Y453" i="1"/>
  <c r="Y357" i="1"/>
  <c r="X316" i="1"/>
  <c r="AA316" i="1" s="1"/>
  <c r="AD316" i="1" s="1"/>
  <c r="W312" i="1"/>
  <c r="X11" i="1"/>
  <c r="AB11" i="1" s="1"/>
  <c r="AE11" i="1" s="1"/>
  <c r="X262" i="1"/>
  <c r="AB262" i="1" s="1"/>
  <c r="AE262" i="1" s="1"/>
  <c r="W228" i="1"/>
  <c r="W211" i="1"/>
  <c r="AA211" i="1" s="1"/>
  <c r="AD211" i="1" s="1"/>
  <c r="W191" i="1"/>
  <c r="AA191" i="1" s="1"/>
  <c r="AD191" i="1" s="1"/>
  <c r="W129" i="1"/>
  <c r="X111" i="1"/>
  <c r="AB111" i="1" s="1"/>
  <c r="AE111" i="1" s="1"/>
  <c r="W96" i="1"/>
  <c r="W459" i="1"/>
  <c r="X446" i="1"/>
  <c r="AB446" i="1" s="1"/>
  <c r="AE446" i="1" s="1"/>
  <c r="X412" i="1"/>
  <c r="AA412" i="1" s="1"/>
  <c r="AD412" i="1" s="1"/>
  <c r="X398" i="1"/>
  <c r="AB398" i="1" s="1"/>
  <c r="AE398" i="1" s="1"/>
  <c r="X382" i="1"/>
  <c r="AB382" i="1" s="1"/>
  <c r="AE382" i="1" s="1"/>
  <c r="W379" i="1"/>
  <c r="X376" i="1"/>
  <c r="AB376" i="1" s="1"/>
  <c r="AE376" i="1" s="1"/>
  <c r="W339" i="1"/>
  <c r="Y304" i="1"/>
  <c r="X55" i="1"/>
  <c r="AB55" i="1" s="1"/>
  <c r="AE55" i="1" s="1"/>
  <c r="X38" i="1"/>
  <c r="AB38" i="1" s="1"/>
  <c r="AE38" i="1" s="1"/>
  <c r="W11" i="1"/>
  <c r="X294" i="1"/>
  <c r="AB294" i="1" s="1"/>
  <c r="AE294" i="1" s="1"/>
  <c r="W279" i="1"/>
  <c r="W262" i="1"/>
  <c r="X217" i="1"/>
  <c r="W172" i="1"/>
  <c r="X136" i="1"/>
  <c r="W120" i="1"/>
  <c r="W111" i="1"/>
  <c r="X85" i="1"/>
  <c r="AB85" i="1" s="1"/>
  <c r="AE85" i="1" s="1"/>
  <c r="Y428" i="1"/>
  <c r="X422" i="1"/>
  <c r="AB422" i="1" s="1"/>
  <c r="AE422" i="1" s="1"/>
  <c r="Y388" i="1"/>
  <c r="W385" i="1"/>
  <c r="Y373" i="1"/>
  <c r="W55" i="1"/>
  <c r="W46" i="1"/>
  <c r="W38" i="1"/>
  <c r="X19" i="1"/>
  <c r="AB19" i="1" s="1"/>
  <c r="AE19" i="1" s="1"/>
  <c r="X388" i="1"/>
  <c r="AB388" i="1" s="1"/>
  <c r="AE388" i="1" s="1"/>
  <c r="Y318" i="1"/>
  <c r="X62" i="1"/>
  <c r="AB62" i="1" s="1"/>
  <c r="AE62" i="1" s="1"/>
  <c r="W19" i="1"/>
  <c r="W10" i="1"/>
  <c r="AA10" i="1" s="1"/>
  <c r="AD10" i="1" s="1"/>
  <c r="W233" i="1"/>
  <c r="AA233" i="1" s="1"/>
  <c r="AD233" i="1" s="1"/>
  <c r="Y433" i="1"/>
  <c r="X324" i="1"/>
  <c r="AB324" i="1" s="1"/>
  <c r="AE324" i="1" s="1"/>
  <c r="W302" i="1"/>
  <c r="AA302" i="1" s="1"/>
  <c r="AD302" i="1" s="1"/>
  <c r="W422" i="1"/>
  <c r="Y396" i="1"/>
  <c r="W369" i="1"/>
  <c r="X357" i="1"/>
  <c r="AB357" i="1" s="1"/>
  <c r="AE357" i="1" s="1"/>
  <c r="Y338" i="1"/>
  <c r="X332" i="1"/>
  <c r="AB332" i="1" s="1"/>
  <c r="AE332" i="1" s="1"/>
  <c r="X323" i="1"/>
  <c r="AB323" i="1" s="1"/>
  <c r="AE323" i="1" s="1"/>
  <c r="X304" i="1"/>
  <c r="AB304" i="1" s="1"/>
  <c r="AE304" i="1" s="1"/>
  <c r="X145" i="1"/>
  <c r="AB145" i="1" s="1"/>
  <c r="AE145" i="1" s="1"/>
  <c r="W131" i="1"/>
  <c r="AA131" i="1" s="1"/>
  <c r="AD131" i="1" s="1"/>
  <c r="Y249" i="1"/>
  <c r="Y142" i="1"/>
  <c r="W453" i="1"/>
  <c r="AA453" i="1" s="1"/>
  <c r="AD453" i="1" s="1"/>
  <c r="W450" i="1"/>
  <c r="W398" i="1"/>
  <c r="X374" i="1"/>
  <c r="AB374" i="1" s="1"/>
  <c r="AE374" i="1" s="1"/>
  <c r="X334" i="1"/>
  <c r="AB334" i="1" s="1"/>
  <c r="AE334" i="1" s="1"/>
  <c r="Y316" i="1"/>
  <c r="Y306" i="1"/>
  <c r="Y246" i="1"/>
  <c r="Y130" i="1"/>
  <c r="W432" i="1"/>
  <c r="AA432" i="1" s="1"/>
  <c r="AD432" i="1" s="1"/>
  <c r="Y365" i="1"/>
  <c r="X337" i="1"/>
  <c r="AB337" i="1" s="1"/>
  <c r="AE337" i="1" s="1"/>
  <c r="Y324" i="1"/>
  <c r="W306" i="1"/>
  <c r="AA306" i="1" s="1"/>
  <c r="AD306" i="1" s="1"/>
  <c r="Y303" i="1"/>
  <c r="X300" i="1"/>
  <c r="AB300" i="1" s="1"/>
  <c r="AE300" i="1" s="1"/>
  <c r="Y175" i="1"/>
  <c r="Y235" i="1"/>
  <c r="Y103" i="1"/>
  <c r="Y64" i="1"/>
  <c r="Y104" i="1"/>
  <c r="X50" i="1"/>
  <c r="AB50" i="1" s="1"/>
  <c r="AE50" i="1" s="1"/>
  <c r="X25" i="1"/>
  <c r="AB25" i="1" s="1"/>
  <c r="AE25" i="1" s="1"/>
  <c r="X243" i="1"/>
  <c r="AB243" i="1" s="1"/>
  <c r="AE243" i="1" s="1"/>
  <c r="X193" i="1"/>
  <c r="AB193" i="1" s="1"/>
  <c r="AE193" i="1" s="1"/>
  <c r="Y196" i="1"/>
  <c r="Y63" i="1"/>
  <c r="Y247" i="1"/>
  <c r="Y140" i="1"/>
  <c r="X32" i="1"/>
  <c r="AB32" i="1" s="1"/>
  <c r="AE32" i="1" s="1"/>
  <c r="W25" i="1"/>
  <c r="X16" i="1"/>
  <c r="AB16" i="1" s="1"/>
  <c r="AE16" i="1" s="1"/>
  <c r="X283" i="1"/>
  <c r="AB283" i="1" s="1"/>
  <c r="AE283" i="1" s="1"/>
  <c r="W267" i="1"/>
  <c r="AA267" i="1" s="1"/>
  <c r="AD267" i="1" s="1"/>
  <c r="W243" i="1"/>
  <c r="W235" i="1"/>
  <c r="AA235" i="1" s="1"/>
  <c r="AD235" i="1" s="1"/>
  <c r="X228" i="1"/>
  <c r="AB228" i="1" s="1"/>
  <c r="AE228" i="1" s="1"/>
  <c r="W193" i="1"/>
  <c r="X120" i="1"/>
  <c r="AB120" i="1" s="1"/>
  <c r="AE120" i="1" s="1"/>
  <c r="W112" i="1"/>
  <c r="W104" i="1"/>
  <c r="AA104" i="1" s="1"/>
  <c r="AD104" i="1" s="1"/>
  <c r="Y87" i="1"/>
  <c r="W373" i="1"/>
  <c r="AA373" i="1" s="1"/>
  <c r="AD373" i="1" s="1"/>
  <c r="W364" i="1"/>
  <c r="AA364" i="1" s="1"/>
  <c r="AD364" i="1" s="1"/>
  <c r="W361" i="1"/>
  <c r="Y315" i="1"/>
  <c r="AB426" i="1"/>
  <c r="AE426" i="1" s="1"/>
  <c r="Y127" i="1"/>
  <c r="Y125" i="1"/>
  <c r="Y222" i="1"/>
  <c r="Y124" i="1"/>
  <c r="W58" i="1"/>
  <c r="AG58" i="1" s="1"/>
  <c r="W37" i="1"/>
  <c r="X22" i="1"/>
  <c r="AB22" i="1" s="1"/>
  <c r="AE22" i="1" s="1"/>
  <c r="W16" i="1"/>
  <c r="AA16" i="1" s="1"/>
  <c r="AD16" i="1" s="1"/>
  <c r="W274" i="1"/>
  <c r="X253" i="1"/>
  <c r="AB253" i="1" s="1"/>
  <c r="AE253" i="1" s="1"/>
  <c r="X247" i="1"/>
  <c r="AB247" i="1" s="1"/>
  <c r="AE247" i="1" s="1"/>
  <c r="X157" i="1"/>
  <c r="AB157" i="1" s="1"/>
  <c r="AE157" i="1" s="1"/>
  <c r="Y296" i="1"/>
  <c r="Y119" i="1"/>
  <c r="Y107" i="1"/>
  <c r="Y48" i="1"/>
  <c r="Y99" i="1"/>
  <c r="X43" i="1"/>
  <c r="AB43" i="1" s="1"/>
  <c r="AE43" i="1" s="1"/>
  <c r="W22" i="1"/>
  <c r="X280" i="1"/>
  <c r="AB280" i="1" s="1"/>
  <c r="AE280" i="1" s="1"/>
  <c r="W253" i="1"/>
  <c r="X240" i="1"/>
  <c r="AB240" i="1" s="1"/>
  <c r="AE240" i="1" s="1"/>
  <c r="X172" i="1"/>
  <c r="W157" i="1"/>
  <c r="W75" i="1"/>
  <c r="Y211" i="1"/>
  <c r="Y162" i="1"/>
  <c r="Y75" i="1"/>
  <c r="X400" i="1"/>
  <c r="AB400" i="1" s="1"/>
  <c r="AE400" i="1" s="1"/>
  <c r="X392" i="1"/>
  <c r="AB392" i="1" s="1"/>
  <c r="AE392" i="1" s="1"/>
  <c r="W359" i="1"/>
  <c r="AA359" i="1" s="1"/>
  <c r="AD359" i="1" s="1"/>
  <c r="Y354" i="1"/>
  <c r="X339" i="1"/>
  <c r="Y337" i="1"/>
  <c r="Y238" i="1"/>
  <c r="Y47" i="1"/>
  <c r="Y270" i="1"/>
  <c r="Y114" i="1"/>
  <c r="Y408" i="1"/>
  <c r="Y126" i="1"/>
  <c r="W50" i="1"/>
  <c r="X14" i="1"/>
  <c r="AB14" i="1" s="1"/>
  <c r="AE14" i="1" s="1"/>
  <c r="X291" i="1"/>
  <c r="AB291" i="1" s="1"/>
  <c r="AE291" i="1" s="1"/>
  <c r="W265" i="1"/>
  <c r="X258" i="1"/>
  <c r="AB258" i="1" s="1"/>
  <c r="AE258" i="1" s="1"/>
  <c r="X246" i="1"/>
  <c r="AB246" i="1" s="1"/>
  <c r="AE246" i="1" s="1"/>
  <c r="X226" i="1"/>
  <c r="AB226" i="1" s="1"/>
  <c r="AE226" i="1" s="1"/>
  <c r="X147" i="1"/>
  <c r="AB147" i="1" s="1"/>
  <c r="AE147" i="1" s="1"/>
  <c r="W140" i="1"/>
  <c r="X127" i="1"/>
  <c r="AB127" i="1" s="1"/>
  <c r="AE127" i="1" s="1"/>
  <c r="W121" i="1"/>
  <c r="X114" i="1"/>
  <c r="AB114" i="1" s="1"/>
  <c r="AE114" i="1" s="1"/>
  <c r="W94" i="1"/>
  <c r="Y267" i="1"/>
  <c r="Y198" i="1"/>
  <c r="Y113" i="1"/>
  <c r="W448" i="1"/>
  <c r="AA448" i="1" s="1"/>
  <c r="AD448" i="1" s="1"/>
  <c r="Y431" i="1"/>
  <c r="Y426" i="1"/>
  <c r="X408" i="1"/>
  <c r="AB408" i="1" s="1"/>
  <c r="AE408" i="1" s="1"/>
  <c r="Y402" i="1"/>
  <c r="Y364" i="1"/>
  <c r="Y328" i="1"/>
  <c r="X314" i="1"/>
  <c r="AB314" i="1" s="1"/>
  <c r="AE314" i="1" s="1"/>
  <c r="Y49" i="1"/>
  <c r="Y24" i="1"/>
  <c r="X26" i="1"/>
  <c r="AB26" i="1" s="1"/>
  <c r="AE26" i="1" s="1"/>
  <c r="W20" i="1"/>
  <c r="W14" i="1"/>
  <c r="W291" i="1"/>
  <c r="X279" i="1"/>
  <c r="W258" i="1"/>
  <c r="W226" i="1"/>
  <c r="W147" i="1"/>
  <c r="W107" i="1"/>
  <c r="AA107" i="1" s="1"/>
  <c r="AD107" i="1" s="1"/>
  <c r="Y197" i="1"/>
  <c r="Y143" i="1"/>
  <c r="Y66" i="1"/>
  <c r="W445" i="1"/>
  <c r="W431" i="1"/>
  <c r="W402" i="1"/>
  <c r="AA402" i="1" s="1"/>
  <c r="AD402" i="1" s="1"/>
  <c r="Y369" i="1"/>
  <c r="W328" i="1"/>
  <c r="AA328" i="1" s="1"/>
  <c r="AD328" i="1" s="1"/>
  <c r="W314" i="1"/>
  <c r="Y311" i="1"/>
  <c r="Y302" i="1"/>
  <c r="Y59" i="1"/>
  <c r="X59" i="1"/>
  <c r="AB59" i="1" s="1"/>
  <c r="AE59" i="1" s="1"/>
  <c r="W39" i="1"/>
  <c r="Y39" i="1"/>
  <c r="X7" i="1"/>
  <c r="AB7" i="1" s="1"/>
  <c r="AE7" i="1" s="1"/>
  <c r="Y7" i="1"/>
  <c r="W6" i="1"/>
  <c r="Y6" i="1"/>
  <c r="Y219" i="1"/>
  <c r="W219" i="1"/>
  <c r="W5" i="1"/>
  <c r="Y5" i="1"/>
  <c r="Y307" i="1"/>
  <c r="W307" i="1"/>
  <c r="X307" i="1"/>
  <c r="AB307" i="1" s="1"/>
  <c r="AE307" i="1" s="1"/>
  <c r="X232" i="1"/>
  <c r="AB232" i="1" s="1"/>
  <c r="AE232" i="1" s="1"/>
  <c r="Y232" i="1"/>
  <c r="W232" i="1"/>
  <c r="W141" i="1"/>
  <c r="Y141" i="1"/>
  <c r="X17" i="1"/>
  <c r="AB17" i="1" s="1"/>
  <c r="AE17" i="1" s="1"/>
  <c r="W271" i="1"/>
  <c r="X271" i="1"/>
  <c r="AB271" i="1" s="1"/>
  <c r="AE271" i="1" s="1"/>
  <c r="W108" i="1"/>
  <c r="Y108" i="1"/>
  <c r="Y310" i="1"/>
  <c r="X310" i="1"/>
  <c r="AB310" i="1" s="1"/>
  <c r="AE310" i="1" s="1"/>
  <c r="Y23" i="1"/>
  <c r="W23" i="1"/>
  <c r="X23" i="1"/>
  <c r="AB23" i="1" s="1"/>
  <c r="AE23" i="1" s="1"/>
  <c r="W17" i="1"/>
  <c r="Y244" i="1"/>
  <c r="W244" i="1"/>
  <c r="X244" i="1"/>
  <c r="AB244" i="1" s="1"/>
  <c r="AE244" i="1" s="1"/>
  <c r="X237" i="1"/>
  <c r="AB237" i="1" s="1"/>
  <c r="AE237" i="1" s="1"/>
  <c r="X231" i="1"/>
  <c r="AB231" i="1" s="1"/>
  <c r="AE231" i="1" s="1"/>
  <c r="Y231" i="1"/>
  <c r="W178" i="1"/>
  <c r="Y178" i="1"/>
  <c r="X134" i="1"/>
  <c r="AB134" i="1" s="1"/>
  <c r="AE134" i="1" s="1"/>
  <c r="Y134" i="1"/>
  <c r="Y128" i="1"/>
  <c r="X269" i="1"/>
  <c r="AB269" i="1" s="1"/>
  <c r="AE269" i="1" s="1"/>
  <c r="Y269" i="1"/>
  <c r="X146" i="1"/>
  <c r="AB146" i="1" s="1"/>
  <c r="AE146" i="1" s="1"/>
  <c r="Y146" i="1"/>
  <c r="W282" i="1"/>
  <c r="X282" i="1"/>
  <c r="AB282" i="1" s="1"/>
  <c r="AE282" i="1" s="1"/>
  <c r="Y276" i="1"/>
  <c r="X276" i="1"/>
  <c r="AB276" i="1" s="1"/>
  <c r="AE276" i="1" s="1"/>
  <c r="Y255" i="1"/>
  <c r="W255" i="1"/>
  <c r="X255" i="1"/>
  <c r="AB255" i="1" s="1"/>
  <c r="AE255" i="1" s="1"/>
  <c r="X209" i="1"/>
  <c r="AB209" i="1" s="1"/>
  <c r="AE209" i="1" s="1"/>
  <c r="Y209" i="1"/>
  <c r="W209" i="1"/>
  <c r="X200" i="1"/>
  <c r="AB200" i="1" s="1"/>
  <c r="AE200" i="1" s="1"/>
  <c r="Y200" i="1"/>
  <c r="Y168" i="1"/>
  <c r="W168" i="1"/>
  <c r="X168" i="1"/>
  <c r="AB168" i="1" s="1"/>
  <c r="AE168" i="1" s="1"/>
  <c r="X161" i="1"/>
  <c r="AB161" i="1" s="1"/>
  <c r="AE161" i="1" s="1"/>
  <c r="Y161" i="1"/>
  <c r="W27" i="1"/>
  <c r="Y27" i="1"/>
  <c r="X275" i="1"/>
  <c r="AB275" i="1" s="1"/>
  <c r="AE275" i="1" s="1"/>
  <c r="Y275" i="1"/>
  <c r="W275" i="1"/>
  <c r="X254" i="1"/>
  <c r="AB254" i="1" s="1"/>
  <c r="AE254" i="1" s="1"/>
  <c r="Y254" i="1"/>
  <c r="W254" i="1"/>
  <c r="X248" i="1"/>
  <c r="AB248" i="1" s="1"/>
  <c r="AE248" i="1" s="1"/>
  <c r="Y248" i="1"/>
  <c r="Y208" i="1"/>
  <c r="W208" i="1"/>
  <c r="X208" i="1"/>
  <c r="AB208" i="1" s="1"/>
  <c r="AE208" i="1" s="1"/>
  <c r="Y192" i="1"/>
  <c r="W192" i="1"/>
  <c r="X185" i="1"/>
  <c r="AB185" i="1" s="1"/>
  <c r="AE185" i="1" s="1"/>
  <c r="Y185" i="1"/>
  <c r="Y282" i="1"/>
  <c r="W186" i="1"/>
  <c r="Y186" i="1"/>
  <c r="X155" i="1"/>
  <c r="AB155" i="1" s="1"/>
  <c r="AE155" i="1" s="1"/>
  <c r="Y155" i="1"/>
  <c r="W28" i="1"/>
  <c r="Y28" i="1"/>
  <c r="Y34" i="1"/>
  <c r="X34" i="1"/>
  <c r="AB34" i="1" s="1"/>
  <c r="AE34" i="1" s="1"/>
  <c r="X281" i="1"/>
  <c r="AB281" i="1" s="1"/>
  <c r="AE281" i="1" s="1"/>
  <c r="Y281" i="1"/>
  <c r="W261" i="1"/>
  <c r="X261" i="1"/>
  <c r="AB261" i="1" s="1"/>
  <c r="AE261" i="1" s="1"/>
  <c r="Y261" i="1"/>
  <c r="X221" i="1"/>
  <c r="AB221" i="1" s="1"/>
  <c r="AE221" i="1" s="1"/>
  <c r="W221" i="1"/>
  <c r="Y221" i="1"/>
  <c r="W199" i="1"/>
  <c r="Y199" i="1"/>
  <c r="Y271" i="1"/>
  <c r="Y12" i="1"/>
  <c r="W53" i="1"/>
  <c r="Y53" i="1"/>
  <c r="X227" i="1"/>
  <c r="AB227" i="1" s="1"/>
  <c r="AE227" i="1" s="1"/>
  <c r="Y227" i="1"/>
  <c r="W227" i="1"/>
  <c r="W45" i="1"/>
  <c r="Y45" i="1"/>
  <c r="Y13" i="1"/>
  <c r="W13" i="1"/>
  <c r="X13" i="1"/>
  <c r="AB13" i="1" s="1"/>
  <c r="AE13" i="1" s="1"/>
  <c r="X170" i="1"/>
  <c r="AB170" i="1" s="1"/>
  <c r="AE170" i="1" s="1"/>
  <c r="Y170" i="1"/>
  <c r="X201" i="1"/>
  <c r="AB201" i="1" s="1"/>
  <c r="AE201" i="1" s="1"/>
  <c r="Y201" i="1"/>
  <c r="W201" i="1"/>
  <c r="W59" i="1"/>
  <c r="X53" i="1"/>
  <c r="AB53" i="1" s="1"/>
  <c r="AE53" i="1" s="1"/>
  <c r="X46" i="1"/>
  <c r="AB46" i="1" s="1"/>
  <c r="AE46" i="1" s="1"/>
  <c r="W40" i="1"/>
  <c r="Y40" i="1"/>
  <c r="W33" i="1"/>
  <c r="Y33" i="1"/>
  <c r="W7" i="1"/>
  <c r="X286" i="1"/>
  <c r="AB286" i="1" s="1"/>
  <c r="AE286" i="1" s="1"/>
  <c r="X207" i="1"/>
  <c r="AB207" i="1" s="1"/>
  <c r="AE207" i="1" s="1"/>
  <c r="Y207" i="1"/>
  <c r="Y420" i="1"/>
  <c r="W420" i="1"/>
  <c r="X420" i="1"/>
  <c r="AB420" i="1" s="1"/>
  <c r="AE420" i="1" s="1"/>
  <c r="W21" i="1"/>
  <c r="Y21" i="1"/>
  <c r="X285" i="1"/>
  <c r="AB285" i="1" s="1"/>
  <c r="AE285" i="1" s="1"/>
  <c r="Y285" i="1"/>
  <c r="X268" i="1"/>
  <c r="AB268" i="1" s="1"/>
  <c r="AE268" i="1" s="1"/>
  <c r="X242" i="1"/>
  <c r="AB242" i="1" s="1"/>
  <c r="AE242" i="1" s="1"/>
  <c r="Y242" i="1"/>
  <c r="X230" i="1"/>
  <c r="AB230" i="1" s="1"/>
  <c r="AE230" i="1" s="1"/>
  <c r="Y230" i="1"/>
  <c r="X225" i="1"/>
  <c r="AB225" i="1" s="1"/>
  <c r="AE225" i="1" s="1"/>
  <c r="X206" i="1"/>
  <c r="AB206" i="1" s="1"/>
  <c r="AE206" i="1" s="1"/>
  <c r="Y206" i="1"/>
  <c r="Y154" i="1"/>
  <c r="W154" i="1"/>
  <c r="X72" i="1"/>
  <c r="AB72" i="1" s="1"/>
  <c r="AE72" i="1" s="1"/>
  <c r="Y90" i="1"/>
  <c r="Y10" i="1"/>
  <c r="Y362" i="1"/>
  <c r="X362" i="1"/>
  <c r="AB362" i="1" s="1"/>
  <c r="AE362" i="1" s="1"/>
  <c r="W362" i="1"/>
  <c r="W57" i="1"/>
  <c r="Y57" i="1"/>
  <c r="W44" i="1"/>
  <c r="Y44" i="1"/>
  <c r="X20" i="1"/>
  <c r="AB20" i="1" s="1"/>
  <c r="AE20" i="1" s="1"/>
  <c r="X290" i="1"/>
  <c r="Y290" i="1"/>
  <c r="W284" i="1"/>
  <c r="X273" i="1"/>
  <c r="AB273" i="1" s="1"/>
  <c r="AE273" i="1" s="1"/>
  <c r="W268" i="1"/>
  <c r="W252" i="1"/>
  <c r="Y252" i="1"/>
  <c r="X229" i="1"/>
  <c r="AB229" i="1" s="1"/>
  <c r="AE229" i="1" s="1"/>
  <c r="W225" i="1"/>
  <c r="X218" i="1"/>
  <c r="Y218" i="1"/>
  <c r="W197" i="1"/>
  <c r="Y183" i="1"/>
  <c r="W183" i="1"/>
  <c r="X183" i="1"/>
  <c r="AB183" i="1" s="1"/>
  <c r="AE183" i="1" s="1"/>
  <c r="X167" i="1"/>
  <c r="AB167" i="1" s="1"/>
  <c r="AE167" i="1" s="1"/>
  <c r="Y167" i="1"/>
  <c r="W159" i="1"/>
  <c r="Y159" i="1"/>
  <c r="X91" i="1"/>
  <c r="AB91" i="1" s="1"/>
  <c r="AE91" i="1" s="1"/>
  <c r="Y91" i="1"/>
  <c r="W91" i="1"/>
  <c r="W72" i="1"/>
  <c r="Y234" i="1"/>
  <c r="Y191" i="1"/>
  <c r="Y89" i="1"/>
  <c r="Y51" i="1"/>
  <c r="Y4" i="1"/>
  <c r="X445" i="1"/>
  <c r="AB445" i="1" s="1"/>
  <c r="AE445" i="1" s="1"/>
  <c r="Y442" i="1"/>
  <c r="X442" i="1"/>
  <c r="AB442" i="1" s="1"/>
  <c r="AE442" i="1" s="1"/>
  <c r="Y367" i="1"/>
  <c r="W367" i="1"/>
  <c r="X367" i="1"/>
  <c r="AB367" i="1" s="1"/>
  <c r="AE367" i="1" s="1"/>
  <c r="W15" i="1"/>
  <c r="Y15" i="1"/>
  <c r="X394" i="1"/>
  <c r="AB394" i="1" s="1"/>
  <c r="AE394" i="1" s="1"/>
  <c r="W394" i="1"/>
  <c r="W61" i="1"/>
  <c r="Y61" i="1"/>
  <c r="W42" i="1"/>
  <c r="Y42" i="1"/>
  <c r="W36" i="1"/>
  <c r="Y36" i="1"/>
  <c r="X29" i="1"/>
  <c r="AB29" i="1" s="1"/>
  <c r="AE29" i="1" s="1"/>
  <c r="X8" i="1"/>
  <c r="AB8" i="1" s="1"/>
  <c r="AE8" i="1" s="1"/>
  <c r="W288" i="1"/>
  <c r="Y288" i="1"/>
  <c r="X278" i="1"/>
  <c r="AB278" i="1" s="1"/>
  <c r="AE278" i="1" s="1"/>
  <c r="Y278" i="1"/>
  <c r="X272" i="1"/>
  <c r="Y272" i="1"/>
  <c r="W250" i="1"/>
  <c r="Z250" i="1" s="1"/>
  <c r="AC250" i="1" s="1"/>
  <c r="X189" i="1"/>
  <c r="Y189" i="1"/>
  <c r="W180" i="1"/>
  <c r="Y180" i="1"/>
  <c r="W150" i="1"/>
  <c r="X150" i="1"/>
  <c r="AB150" i="1" s="1"/>
  <c r="AE150" i="1" s="1"/>
  <c r="X123" i="1"/>
  <c r="AB123" i="1" s="1"/>
  <c r="AE123" i="1" s="1"/>
  <c r="Y123" i="1"/>
  <c r="Y215" i="1"/>
  <c r="W353" i="1"/>
  <c r="X353" i="1"/>
  <c r="AB353" i="1" s="1"/>
  <c r="AE353" i="1" s="1"/>
  <c r="Y351" i="1"/>
  <c r="X351" i="1"/>
  <c r="X263" i="1"/>
  <c r="AB263" i="1" s="1"/>
  <c r="AE263" i="1" s="1"/>
  <c r="Y263" i="1"/>
  <c r="X182" i="1"/>
  <c r="AB182" i="1" s="1"/>
  <c r="AE182" i="1" s="1"/>
  <c r="Y182" i="1"/>
  <c r="X153" i="1"/>
  <c r="AB153" i="1" s="1"/>
  <c r="AE153" i="1" s="1"/>
  <c r="Y153" i="1"/>
  <c r="X81" i="1"/>
  <c r="AB81" i="1" s="1"/>
  <c r="AE81" i="1" s="1"/>
  <c r="Y81" i="1"/>
  <c r="Y3" i="1"/>
  <c r="X251" i="1"/>
  <c r="AB251" i="1" s="1"/>
  <c r="AE251" i="1" s="1"/>
  <c r="Y251" i="1"/>
  <c r="X224" i="1"/>
  <c r="AB224" i="1" s="1"/>
  <c r="AE224" i="1" s="1"/>
  <c r="Y224" i="1"/>
  <c r="W174" i="1"/>
  <c r="Y174" i="1"/>
  <c r="W71" i="1"/>
  <c r="Y71" i="1"/>
  <c r="X173" i="1"/>
  <c r="AB173" i="1" s="1"/>
  <c r="AE173" i="1" s="1"/>
  <c r="Y173" i="1"/>
  <c r="W173" i="1"/>
  <c r="W456" i="1"/>
  <c r="AA456" i="1" s="1"/>
  <c r="AD456" i="1" s="1"/>
  <c r="Y456" i="1"/>
  <c r="W60" i="1"/>
  <c r="Y60" i="1"/>
  <c r="W35" i="1"/>
  <c r="Y35" i="1"/>
  <c r="W29" i="1"/>
  <c r="W8" i="1"/>
  <c r="X266" i="1"/>
  <c r="AB266" i="1" s="1"/>
  <c r="AE266" i="1" s="1"/>
  <c r="Y266" i="1"/>
  <c r="X245" i="1"/>
  <c r="AB245" i="1" s="1"/>
  <c r="AE245" i="1" s="1"/>
  <c r="Y245" i="1"/>
  <c r="X239" i="1"/>
  <c r="AA239" i="1" s="1"/>
  <c r="AD239" i="1" s="1"/>
  <c r="Y239" i="1"/>
  <c r="W215" i="1"/>
  <c r="Y210" i="1"/>
  <c r="X210" i="1"/>
  <c r="AA210" i="1" s="1"/>
  <c r="AD210" i="1" s="1"/>
  <c r="X194" i="1"/>
  <c r="AB194" i="1" s="1"/>
  <c r="AE194" i="1" s="1"/>
  <c r="Y194" i="1"/>
  <c r="W194" i="1"/>
  <c r="X188" i="1"/>
  <c r="AB188" i="1" s="1"/>
  <c r="AE188" i="1" s="1"/>
  <c r="Y188" i="1"/>
  <c r="X179" i="1"/>
  <c r="AB179" i="1" s="1"/>
  <c r="AE179" i="1" s="1"/>
  <c r="W179" i="1"/>
  <c r="X149" i="1"/>
  <c r="AB149" i="1" s="1"/>
  <c r="AE149" i="1" s="1"/>
  <c r="W149" i="1"/>
  <c r="Y149" i="1"/>
  <c r="X117" i="1"/>
  <c r="AB117" i="1" s="1"/>
  <c r="AE117" i="1" s="1"/>
  <c r="Y117" i="1"/>
  <c r="X110" i="1"/>
  <c r="AB110" i="1" s="1"/>
  <c r="AE110" i="1" s="1"/>
  <c r="Y110" i="1"/>
  <c r="X68" i="1"/>
  <c r="AB68" i="1" s="1"/>
  <c r="AE68" i="1" s="1"/>
  <c r="Y68" i="1"/>
  <c r="W68" i="1"/>
  <c r="X56" i="1"/>
  <c r="AB56" i="1" s="1"/>
  <c r="AE56" i="1" s="1"/>
  <c r="Y56" i="1"/>
  <c r="X31" i="1"/>
  <c r="AB31" i="1" s="1"/>
  <c r="AE31" i="1" s="1"/>
  <c r="Y31" i="1"/>
  <c r="X257" i="1"/>
  <c r="AB257" i="1" s="1"/>
  <c r="AE257" i="1" s="1"/>
  <c r="Y257" i="1"/>
  <c r="Y204" i="1"/>
  <c r="X204" i="1"/>
  <c r="AB204" i="1" s="1"/>
  <c r="AE204" i="1" s="1"/>
  <c r="X158" i="1"/>
  <c r="Y158" i="1"/>
  <c r="X98" i="1"/>
  <c r="AB98" i="1" s="1"/>
  <c r="AE98" i="1" s="1"/>
  <c r="Y98" i="1"/>
  <c r="W80" i="1"/>
  <c r="Y80" i="1"/>
  <c r="Y331" i="1"/>
  <c r="X331" i="1"/>
  <c r="AB331" i="1" s="1"/>
  <c r="AE331" i="1" s="1"/>
  <c r="W30" i="1"/>
  <c r="Y30" i="1"/>
  <c r="W9" i="1"/>
  <c r="Y9" i="1"/>
  <c r="Y181" i="1"/>
  <c r="W181" i="1"/>
  <c r="Y118" i="1"/>
  <c r="X118" i="1"/>
  <c r="AB118" i="1" s="1"/>
  <c r="AE118" i="1" s="1"/>
  <c r="W54" i="1"/>
  <c r="Y54" i="1"/>
  <c r="X41" i="1"/>
  <c r="AB41" i="1" s="1"/>
  <c r="AE41" i="1" s="1"/>
  <c r="Y41" i="1"/>
  <c r="W18" i="1"/>
  <c r="Y18" i="1"/>
  <c r="X293" i="1"/>
  <c r="Y293" i="1"/>
  <c r="X287" i="1"/>
  <c r="AB287" i="1" s="1"/>
  <c r="AE287" i="1" s="1"/>
  <c r="Y287" i="1"/>
  <c r="Z287" i="1" s="1"/>
  <c r="AC287" i="1" s="1"/>
  <c r="W163" i="1"/>
  <c r="X163" i="1"/>
  <c r="AB163" i="1" s="1"/>
  <c r="AE163" i="1" s="1"/>
  <c r="X122" i="1"/>
  <c r="Y122" i="1"/>
  <c r="X116" i="1"/>
  <c r="AB116" i="1" s="1"/>
  <c r="AE116" i="1" s="1"/>
  <c r="Y116" i="1"/>
  <c r="W67" i="1"/>
  <c r="Y67" i="1"/>
  <c r="Y284" i="1"/>
  <c r="Y212" i="1"/>
  <c r="X409" i="1"/>
  <c r="AB409" i="1" s="1"/>
  <c r="AE409" i="1" s="1"/>
  <c r="W409" i="1"/>
  <c r="X384" i="1"/>
  <c r="AB384" i="1" s="1"/>
  <c r="AE384" i="1" s="1"/>
  <c r="Y384" i="1"/>
  <c r="W384" i="1"/>
  <c r="X260" i="1"/>
  <c r="AB260" i="1" s="1"/>
  <c r="AE260" i="1" s="1"/>
  <c r="Y260" i="1"/>
  <c r="W216" i="1"/>
  <c r="Y216" i="1"/>
  <c r="X135" i="1"/>
  <c r="AB135" i="1" s="1"/>
  <c r="AE135" i="1" s="1"/>
  <c r="Y135" i="1"/>
  <c r="X109" i="1"/>
  <c r="AB109" i="1" s="1"/>
  <c r="AE109" i="1" s="1"/>
  <c r="Y109" i="1"/>
  <c r="Y213" i="1"/>
  <c r="Y105" i="1"/>
  <c r="X203" i="1"/>
  <c r="AB203" i="1" s="1"/>
  <c r="AE203" i="1" s="1"/>
  <c r="Y203" i="1"/>
  <c r="X152" i="1"/>
  <c r="AB152" i="1" s="1"/>
  <c r="AE152" i="1" s="1"/>
  <c r="Y152" i="1"/>
  <c r="Y132" i="1"/>
  <c r="W132" i="1"/>
  <c r="Y106" i="1"/>
  <c r="W106" i="1"/>
  <c r="W100" i="1"/>
  <c r="Y233" i="1"/>
  <c r="Y177" i="1"/>
  <c r="W404" i="1"/>
  <c r="X404" i="1"/>
  <c r="AB404" i="1" s="1"/>
  <c r="AE404" i="1" s="1"/>
  <c r="Y404" i="1"/>
  <c r="W195" i="1"/>
  <c r="Y195" i="1"/>
  <c r="W190" i="1"/>
  <c r="W176" i="1"/>
  <c r="W138" i="1"/>
  <c r="Y138" i="1"/>
  <c r="W84" i="1"/>
  <c r="Y84" i="1"/>
  <c r="Y176" i="1"/>
  <c r="Y92" i="1"/>
  <c r="Y415" i="1"/>
  <c r="X415" i="1"/>
  <c r="AB415" i="1" s="1"/>
  <c r="AE415" i="1" s="1"/>
  <c r="Y380" i="1"/>
  <c r="W380" i="1"/>
  <c r="X380" i="1"/>
  <c r="AB380" i="1" s="1"/>
  <c r="AE380" i="1" s="1"/>
  <c r="X360" i="1"/>
  <c r="AB360" i="1" s="1"/>
  <c r="AE360" i="1" s="1"/>
  <c r="Y360" i="1"/>
  <c r="W346" i="1"/>
  <c r="X346" i="1"/>
  <c r="AB346" i="1" s="1"/>
  <c r="AE346" i="1" s="1"/>
  <c r="Y346" i="1"/>
  <c r="X340" i="1"/>
  <c r="AA340" i="1" s="1"/>
  <c r="AD340" i="1" s="1"/>
  <c r="Y340" i="1"/>
  <c r="X171" i="1"/>
  <c r="AB171" i="1" s="1"/>
  <c r="AE171" i="1" s="1"/>
  <c r="Y171" i="1"/>
  <c r="W83" i="1"/>
  <c r="Y83" i="1"/>
  <c r="Y65" i="1"/>
  <c r="Y101" i="1"/>
  <c r="W349" i="1"/>
  <c r="X349" i="1"/>
  <c r="AB349" i="1" s="1"/>
  <c r="AE349" i="1" s="1"/>
  <c r="Y349" i="1"/>
  <c r="X322" i="1"/>
  <c r="AB322" i="1" s="1"/>
  <c r="AE322" i="1" s="1"/>
  <c r="Y322" i="1"/>
  <c r="W322" i="1"/>
  <c r="Y137" i="1"/>
  <c r="Y78" i="1"/>
  <c r="X455" i="1"/>
  <c r="AB455" i="1" s="1"/>
  <c r="AE455" i="1" s="1"/>
  <c r="Y455" i="1"/>
  <c r="X411" i="1"/>
  <c r="AB411" i="1" s="1"/>
  <c r="AE411" i="1" s="1"/>
  <c r="Y156" i="1"/>
  <c r="W156" i="1"/>
  <c r="W119" i="1"/>
  <c r="W113" i="1"/>
  <c r="W101" i="1"/>
  <c r="W69" i="1"/>
  <c r="Y69" i="1"/>
  <c r="Y77" i="1"/>
  <c r="W411" i="1"/>
  <c r="X335" i="1"/>
  <c r="AB335" i="1" s="1"/>
  <c r="AE335" i="1" s="1"/>
  <c r="W335" i="1"/>
  <c r="X95" i="1"/>
  <c r="AB95" i="1" s="1"/>
  <c r="AE95" i="1" s="1"/>
  <c r="Y95" i="1"/>
  <c r="Y131" i="1"/>
  <c r="W327" i="1"/>
  <c r="X327" i="1"/>
  <c r="AB327" i="1" s="1"/>
  <c r="AE327" i="1" s="1"/>
  <c r="Y327" i="1"/>
  <c r="W443" i="1"/>
  <c r="X443" i="1"/>
  <c r="AB443" i="1" s="1"/>
  <c r="AE443" i="1" s="1"/>
  <c r="Y443" i="1"/>
  <c r="X451" i="1"/>
  <c r="AB451" i="1" s="1"/>
  <c r="AE451" i="1" s="1"/>
  <c r="W438" i="1"/>
  <c r="W318" i="1"/>
  <c r="AA318" i="1" s="1"/>
  <c r="AD318" i="1" s="1"/>
  <c r="X313" i="1"/>
  <c r="AB313" i="1" s="1"/>
  <c r="AE313" i="1" s="1"/>
  <c r="W311" i="1"/>
  <c r="Y144" i="1"/>
  <c r="X387" i="1"/>
  <c r="AB387" i="1" s="1"/>
  <c r="AE387" i="1" s="1"/>
  <c r="Y387" i="1"/>
  <c r="Y326" i="1"/>
  <c r="X326" i="1"/>
  <c r="AA326" i="1" s="1"/>
  <c r="AD326" i="1" s="1"/>
  <c r="W308" i="1"/>
  <c r="AA308" i="1" s="1"/>
  <c r="AD308" i="1" s="1"/>
  <c r="Y308" i="1"/>
  <c r="Y448" i="1"/>
  <c r="X439" i="1"/>
  <c r="AA439" i="1" s="1"/>
  <c r="AD439" i="1" s="1"/>
  <c r="W437" i="1"/>
  <c r="AA437" i="1" s="1"/>
  <c r="AD437" i="1" s="1"/>
  <c r="W430" i="1"/>
  <c r="Y418" i="1"/>
  <c r="X414" i="1"/>
  <c r="AB414" i="1" s="1"/>
  <c r="AE414" i="1" s="1"/>
  <c r="W414" i="1"/>
  <c r="W410" i="1"/>
  <c r="W399" i="1"/>
  <c r="Y397" i="1"/>
  <c r="W374" i="1"/>
  <c r="X365" i="1"/>
  <c r="AB365" i="1" s="1"/>
  <c r="AE365" i="1" s="1"/>
  <c r="Y343" i="1"/>
  <c r="X343" i="1"/>
  <c r="W334" i="1"/>
  <c r="Y350" i="1"/>
  <c r="W350" i="1"/>
  <c r="Y345" i="1"/>
  <c r="X345" i="1"/>
  <c r="AB345" i="1" s="1"/>
  <c r="AE345" i="1" s="1"/>
  <c r="X312" i="1"/>
  <c r="AB312" i="1" s="1"/>
  <c r="AE312" i="1" s="1"/>
  <c r="W303" i="1"/>
  <c r="Y300" i="1"/>
  <c r="W298" i="1"/>
  <c r="AA298" i="1" s="1"/>
  <c r="AD298" i="1" s="1"/>
  <c r="X299" i="1"/>
  <c r="AB299" i="1" s="1"/>
  <c r="AE299" i="1" s="1"/>
  <c r="W299" i="1"/>
  <c r="O604" i="3"/>
  <c r="O270" i="3"/>
  <c r="O567" i="3"/>
  <c r="O675" i="3"/>
  <c r="O867" i="3"/>
  <c r="O699" i="3"/>
  <c r="O257" i="3"/>
  <c r="O283" i="3"/>
  <c r="O556" i="3"/>
  <c r="O872" i="3"/>
  <c r="Y416" i="1"/>
  <c r="W416" i="1"/>
  <c r="X416" i="1"/>
  <c r="AB416" i="1" s="1"/>
  <c r="AE416" i="1" s="1"/>
  <c r="X383" i="1"/>
  <c r="AB383" i="1" s="1"/>
  <c r="AE383" i="1" s="1"/>
  <c r="Y383" i="1"/>
  <c r="W383" i="1"/>
  <c r="Y348" i="1"/>
  <c r="W348" i="1"/>
  <c r="X348" i="1"/>
  <c r="AB348" i="1" s="1"/>
  <c r="AE348" i="1" s="1"/>
  <c r="W395" i="1"/>
  <c r="X395" i="1"/>
  <c r="AB395" i="1" s="1"/>
  <c r="AE395" i="1" s="1"/>
  <c r="Y395" i="1"/>
  <c r="W447" i="1"/>
  <c r="X447" i="1"/>
  <c r="AB447" i="1" s="1"/>
  <c r="AE447" i="1" s="1"/>
  <c r="Y447" i="1"/>
  <c r="W301" i="1"/>
  <c r="X301" i="1"/>
  <c r="AB301" i="1" s="1"/>
  <c r="AE301" i="1" s="1"/>
  <c r="Y449" i="1"/>
  <c r="X449" i="1"/>
  <c r="W336" i="1"/>
  <c r="X336" i="1"/>
  <c r="AB336" i="1" s="1"/>
  <c r="AE336" i="1" s="1"/>
  <c r="Y336" i="1"/>
  <c r="X325" i="1"/>
  <c r="AB325" i="1" s="1"/>
  <c r="AE325" i="1" s="1"/>
  <c r="W325" i="1"/>
  <c r="Y325" i="1"/>
  <c r="W427" i="1"/>
  <c r="X427" i="1"/>
  <c r="AB427" i="1" s="1"/>
  <c r="AE427" i="1" s="1"/>
  <c r="Y427" i="1"/>
  <c r="W425" i="1"/>
  <c r="X425" i="1"/>
  <c r="AB425" i="1" s="1"/>
  <c r="AE425" i="1" s="1"/>
  <c r="Y425" i="1"/>
  <c r="Y421" i="1"/>
  <c r="W421" i="1"/>
  <c r="X421" i="1"/>
  <c r="AB421" i="1" s="1"/>
  <c r="AE421" i="1" s="1"/>
  <c r="X371" i="1"/>
  <c r="AB371" i="1" s="1"/>
  <c r="AE371" i="1" s="1"/>
  <c r="W371" i="1"/>
  <c r="Y371" i="1"/>
  <c r="X405" i="1"/>
  <c r="AB405" i="1" s="1"/>
  <c r="AE405" i="1" s="1"/>
  <c r="W405" i="1"/>
  <c r="Y405" i="1"/>
  <c r="X378" i="1"/>
  <c r="AB378" i="1" s="1"/>
  <c r="AE378" i="1" s="1"/>
  <c r="Y378" i="1"/>
  <c r="X458" i="1"/>
  <c r="AB458" i="1" s="1"/>
  <c r="AE458" i="1" s="1"/>
  <c r="W458" i="1"/>
  <c r="Y458" i="1"/>
  <c r="X444" i="1"/>
  <c r="AB444" i="1" s="1"/>
  <c r="AE444" i="1" s="1"/>
  <c r="W444" i="1"/>
  <c r="Y444" i="1"/>
  <c r="X386" i="1"/>
  <c r="AB386" i="1" s="1"/>
  <c r="AE386" i="1" s="1"/>
  <c r="Y386" i="1"/>
  <c r="W454" i="1"/>
  <c r="X454" i="1"/>
  <c r="AB454" i="1" s="1"/>
  <c r="AE454" i="1" s="1"/>
  <c r="X440" i="1"/>
  <c r="AB440" i="1" s="1"/>
  <c r="AE440" i="1" s="1"/>
  <c r="Y440" i="1"/>
  <c r="W358" i="1"/>
  <c r="X358" i="1"/>
  <c r="AB358" i="1" s="1"/>
  <c r="AE358" i="1" s="1"/>
  <c r="Y358" i="1"/>
  <c r="W436" i="1"/>
  <c r="X436" i="1"/>
  <c r="AB436" i="1" s="1"/>
  <c r="AE436" i="1" s="1"/>
  <c r="Y436" i="1"/>
  <c r="W457" i="1"/>
  <c r="X457" i="1"/>
  <c r="AB457" i="1" s="1"/>
  <c r="AE457" i="1" s="1"/>
  <c r="W393" i="1"/>
  <c r="Y393" i="1"/>
  <c r="W381" i="1"/>
  <c r="Y381" i="1"/>
  <c r="W341" i="1"/>
  <c r="Y341" i="1"/>
  <c r="Y406" i="1"/>
  <c r="W329" i="1"/>
  <c r="Y329" i="1"/>
  <c r="Y434" i="1"/>
  <c r="W434" i="1"/>
  <c r="W413" i="1"/>
  <c r="Y413" i="1"/>
  <c r="X413" i="1"/>
  <c r="AB413" i="1" s="1"/>
  <c r="AE413" i="1" s="1"/>
  <c r="Y394" i="1"/>
  <c r="AB368" i="1"/>
  <c r="AE368" i="1" s="1"/>
  <c r="Y356" i="1"/>
  <c r="X356" i="1"/>
  <c r="AB356" i="1" s="1"/>
  <c r="AE356" i="1" s="1"/>
  <c r="W344" i="1"/>
  <c r="Y344" i="1"/>
  <c r="Y321" i="1"/>
  <c r="X315" i="1"/>
  <c r="Y441" i="1"/>
  <c r="W441" i="1"/>
  <c r="X419" i="1"/>
  <c r="AB419" i="1" s="1"/>
  <c r="AE419" i="1" s="1"/>
  <c r="W419" i="1"/>
  <c r="Y409" i="1"/>
  <c r="Y403" i="1"/>
  <c r="W403" i="1"/>
  <c r="Y391" i="1"/>
  <c r="X391" i="1"/>
  <c r="X385" i="1"/>
  <c r="AB385" i="1" s="1"/>
  <c r="AE385" i="1" s="1"/>
  <c r="W370" i="1"/>
  <c r="Y370" i="1"/>
  <c r="Y359" i="1"/>
  <c r="Y353" i="1"/>
  <c r="X347" i="1"/>
  <c r="AB347" i="1" s="1"/>
  <c r="AE347" i="1" s="1"/>
  <c r="Y347" i="1"/>
  <c r="W347" i="1"/>
  <c r="W321" i="1"/>
  <c r="X452" i="1"/>
  <c r="AB452" i="1" s="1"/>
  <c r="AE452" i="1" s="1"/>
  <c r="Y452" i="1"/>
  <c r="W452" i="1"/>
  <c r="W401" i="1"/>
  <c r="X401" i="1"/>
  <c r="AB401" i="1" s="1"/>
  <c r="AE401" i="1" s="1"/>
  <c r="W389" i="1"/>
  <c r="X389" i="1"/>
  <c r="AB389" i="1" s="1"/>
  <c r="AE389" i="1" s="1"/>
  <c r="X342" i="1"/>
  <c r="AA342" i="1" s="1"/>
  <c r="AD342" i="1" s="1"/>
  <c r="Y342" i="1"/>
  <c r="X333" i="1"/>
  <c r="AB333" i="1" s="1"/>
  <c r="AE333" i="1" s="1"/>
  <c r="W333" i="1"/>
  <c r="X423" i="1"/>
  <c r="AB423" i="1" s="1"/>
  <c r="AE423" i="1" s="1"/>
  <c r="Y423" i="1"/>
  <c r="W407" i="1"/>
  <c r="Y407" i="1"/>
  <c r="X330" i="1"/>
  <c r="Y330" i="1"/>
  <c r="X363" i="1"/>
  <c r="AB363" i="1" s="1"/>
  <c r="AE363" i="1" s="1"/>
  <c r="W363" i="1"/>
  <c r="X309" i="1"/>
  <c r="AB309" i="1" s="1"/>
  <c r="AE309" i="1" s="1"/>
  <c r="W305" i="1"/>
  <c r="Y305" i="1"/>
  <c r="W377" i="1"/>
  <c r="Y377" i="1"/>
  <c r="Y335" i="1"/>
  <c r="Y313" i="1"/>
  <c r="W309" i="1"/>
  <c r="X366" i="1"/>
  <c r="AB366" i="1" s="1"/>
  <c r="AE366" i="1" s="1"/>
  <c r="Y366" i="1"/>
  <c r="W317" i="1"/>
  <c r="X317" i="1"/>
  <c r="AB317" i="1" s="1"/>
  <c r="AE317" i="1" s="1"/>
  <c r="Y355" i="1"/>
  <c r="X355" i="1"/>
  <c r="Y319" i="1"/>
  <c r="X319" i="1"/>
  <c r="Y297" i="1"/>
  <c r="Y298" i="1"/>
  <c r="X297" i="1"/>
  <c r="AB297" i="1" s="1"/>
  <c r="AE297" i="1" s="1"/>
  <c r="X73" i="1"/>
  <c r="AB73" i="1" s="1"/>
  <c r="AE73" i="1" s="1"/>
  <c r="W89" i="1"/>
  <c r="W85" i="1"/>
  <c r="W73" i="1"/>
  <c r="X69" i="1"/>
  <c r="AB69" i="1" s="1"/>
  <c r="AE69" i="1" s="1"/>
  <c r="X93" i="1"/>
  <c r="AB93" i="1" s="1"/>
  <c r="AE93" i="1" s="1"/>
  <c r="W200" i="1"/>
  <c r="X196" i="1"/>
  <c r="AB196" i="1" s="1"/>
  <c r="AE196" i="1" s="1"/>
  <c r="W182" i="1"/>
  <c r="X178" i="1"/>
  <c r="AB178" i="1" s="1"/>
  <c r="AE178" i="1" s="1"/>
  <c r="W164" i="1"/>
  <c r="X160" i="1"/>
  <c r="AB160" i="1" s="1"/>
  <c r="AE160" i="1" s="1"/>
  <c r="W146" i="1"/>
  <c r="X142" i="1"/>
  <c r="AB142" i="1" s="1"/>
  <c r="AE142" i="1" s="1"/>
  <c r="W128" i="1"/>
  <c r="X124" i="1"/>
  <c r="W110" i="1"/>
  <c r="X106" i="1"/>
  <c r="AB106" i="1" s="1"/>
  <c r="AE106" i="1" s="1"/>
  <c r="W92" i="1"/>
  <c r="X88" i="1"/>
  <c r="AB88" i="1" s="1"/>
  <c r="AE88" i="1" s="1"/>
  <c r="X76" i="1"/>
  <c r="AB76" i="1" s="1"/>
  <c r="AE76" i="1" s="1"/>
  <c r="W88" i="1"/>
  <c r="W76" i="1"/>
  <c r="W93" i="1"/>
  <c r="X80" i="1"/>
  <c r="AB80" i="1" s="1"/>
  <c r="AE80" i="1" s="1"/>
  <c r="W78" i="1"/>
  <c r="X79" i="1"/>
  <c r="AB79" i="1" s="1"/>
  <c r="AE79" i="1" s="1"/>
  <c r="W296" i="1"/>
  <c r="X292" i="1"/>
  <c r="AB292" i="1" s="1"/>
  <c r="AE292" i="1" s="1"/>
  <c r="W278" i="1"/>
  <c r="X274" i="1"/>
  <c r="W260" i="1"/>
  <c r="X256" i="1"/>
  <c r="AB256" i="1" s="1"/>
  <c r="AE256" i="1" s="1"/>
  <c r="W242" i="1"/>
  <c r="X238" i="1"/>
  <c r="AB238" i="1" s="1"/>
  <c r="AE238" i="1" s="1"/>
  <c r="W224" i="1"/>
  <c r="X220" i="1"/>
  <c r="AB220" i="1" s="1"/>
  <c r="AE220" i="1" s="1"/>
  <c r="X213" i="1"/>
  <c r="W206" i="1"/>
  <c r="X202" i="1"/>
  <c r="AB202" i="1" s="1"/>
  <c r="AE202" i="1" s="1"/>
  <c r="X195" i="1"/>
  <c r="AB195" i="1" s="1"/>
  <c r="AE195" i="1" s="1"/>
  <c r="W188" i="1"/>
  <c r="X184" i="1"/>
  <c r="AB184" i="1" s="1"/>
  <c r="AE184" i="1" s="1"/>
  <c r="X177" i="1"/>
  <c r="W170" i="1"/>
  <c r="X166" i="1"/>
  <c r="AB166" i="1" s="1"/>
  <c r="AE166" i="1" s="1"/>
  <c r="X159" i="1"/>
  <c r="AB159" i="1" s="1"/>
  <c r="AE159" i="1" s="1"/>
  <c r="W152" i="1"/>
  <c r="X148" i="1"/>
  <c r="AB148" i="1" s="1"/>
  <c r="AE148" i="1" s="1"/>
  <c r="X141" i="1"/>
  <c r="AB141" i="1" s="1"/>
  <c r="AE141" i="1" s="1"/>
  <c r="W134" i="1"/>
  <c r="X130" i="1"/>
  <c r="W116" i="1"/>
  <c r="X112" i="1"/>
  <c r="W98" i="1"/>
  <c r="X94" i="1"/>
  <c r="AB94" i="1" s="1"/>
  <c r="AE94" i="1" s="1"/>
  <c r="W79" i="1"/>
  <c r="X67" i="1"/>
  <c r="AB67" i="1" s="1"/>
  <c r="AE67" i="1" s="1"/>
  <c r="X77" i="1"/>
  <c r="AB77" i="1" s="1"/>
  <c r="AE77" i="1" s="1"/>
  <c r="W292" i="1"/>
  <c r="W220" i="1"/>
  <c r="W202" i="1"/>
  <c r="W184" i="1"/>
  <c r="W166" i="1"/>
  <c r="W148" i="1"/>
  <c r="X83" i="1"/>
  <c r="AB83" i="1" s="1"/>
  <c r="AE83" i="1" s="1"/>
  <c r="X71" i="1"/>
  <c r="AB71" i="1" s="1"/>
  <c r="AE71" i="1" s="1"/>
  <c r="X74" i="1"/>
  <c r="AB74" i="1" s="1"/>
  <c r="AE74" i="1" s="1"/>
  <c r="X295" i="1"/>
  <c r="AB295" i="1" s="1"/>
  <c r="AE295" i="1" s="1"/>
  <c r="X288" i="1"/>
  <c r="AB288" i="1" s="1"/>
  <c r="AE288" i="1" s="1"/>
  <c r="X277" i="1"/>
  <c r="AB277" i="1" s="1"/>
  <c r="AE277" i="1" s="1"/>
  <c r="X270" i="1"/>
  <c r="X259" i="1"/>
  <c r="AB259" i="1" s="1"/>
  <c r="AE259" i="1" s="1"/>
  <c r="X241" i="1"/>
  <c r="AB241" i="1" s="1"/>
  <c r="AE241" i="1" s="1"/>
  <c r="X234" i="1"/>
  <c r="AB234" i="1" s="1"/>
  <c r="AE234" i="1" s="1"/>
  <c r="X205" i="1"/>
  <c r="AB205" i="1" s="1"/>
  <c r="AE205" i="1" s="1"/>
  <c r="X151" i="1"/>
  <c r="AB151" i="1" s="1"/>
  <c r="AE151" i="1" s="1"/>
  <c r="X144" i="1"/>
  <c r="X126" i="1"/>
  <c r="X115" i="1"/>
  <c r="AB115" i="1" s="1"/>
  <c r="AE115" i="1" s="1"/>
  <c r="X108" i="1"/>
  <c r="AB108" i="1" s="1"/>
  <c r="AE108" i="1" s="1"/>
  <c r="X97" i="1"/>
  <c r="AB97" i="1" s="1"/>
  <c r="AE97" i="1" s="1"/>
  <c r="X90" i="1"/>
  <c r="X82" i="1"/>
  <c r="AB82" i="1" s="1"/>
  <c r="AE82" i="1" s="1"/>
  <c r="X70" i="1"/>
  <c r="AB70" i="1" s="1"/>
  <c r="AE70" i="1" s="1"/>
  <c r="X86" i="1"/>
  <c r="AB86" i="1" s="1"/>
  <c r="AE86" i="1" s="1"/>
  <c r="X252" i="1"/>
  <c r="AB252" i="1" s="1"/>
  <c r="AE252" i="1" s="1"/>
  <c r="X223" i="1"/>
  <c r="AB223" i="1" s="1"/>
  <c r="AE223" i="1" s="1"/>
  <c r="X216" i="1"/>
  <c r="AB216" i="1" s="1"/>
  <c r="AE216" i="1" s="1"/>
  <c r="X198" i="1"/>
  <c r="X187" i="1"/>
  <c r="AB187" i="1" s="1"/>
  <c r="AE187" i="1" s="1"/>
  <c r="X180" i="1"/>
  <c r="AB180" i="1" s="1"/>
  <c r="AE180" i="1" s="1"/>
  <c r="X169" i="1"/>
  <c r="AB169" i="1" s="1"/>
  <c r="AE169" i="1" s="1"/>
  <c r="X162" i="1"/>
  <c r="X133" i="1"/>
  <c r="AB133" i="1" s="1"/>
  <c r="AE133" i="1" s="1"/>
  <c r="W295" i="1"/>
  <c r="W277" i="1"/>
  <c r="W259" i="1"/>
  <c r="W241" i="1"/>
  <c r="W223" i="1"/>
  <c r="W205" i="1"/>
  <c r="W187" i="1"/>
  <c r="W169" i="1"/>
  <c r="W151" i="1"/>
  <c r="W133" i="1"/>
  <c r="W115" i="1"/>
  <c r="W97" i="1"/>
  <c r="W86" i="1"/>
  <c r="W82" i="1"/>
  <c r="W74" i="1"/>
  <c r="W70" i="1"/>
  <c r="X66" i="1"/>
  <c r="X65" i="1"/>
  <c r="X64" i="1"/>
  <c r="X61" i="1"/>
  <c r="AB61" i="1" s="1"/>
  <c r="AE61" i="1" s="1"/>
  <c r="X49" i="1"/>
  <c r="AA49" i="1" s="1"/>
  <c r="AD49" i="1" s="1"/>
  <c r="X24" i="1"/>
  <c r="AB24" i="1" s="1"/>
  <c r="AE24" i="1" s="1"/>
  <c r="X21" i="1"/>
  <c r="AB21" i="1" s="1"/>
  <c r="AE21" i="1" s="1"/>
  <c r="X18" i="1"/>
  <c r="AB18" i="1" s="1"/>
  <c r="AE18" i="1" s="1"/>
  <c r="X15" i="1"/>
  <c r="AB15" i="1" s="1"/>
  <c r="AE15" i="1" s="1"/>
  <c r="X12" i="1"/>
  <c r="AB12" i="1" s="1"/>
  <c r="AE12" i="1" s="1"/>
  <c r="X9" i="1"/>
  <c r="AB9" i="1" s="1"/>
  <c r="AE9" i="1" s="1"/>
  <c r="X5" i="1"/>
  <c r="AB5" i="1" s="1"/>
  <c r="AE5" i="1" s="1"/>
  <c r="X35" i="1"/>
  <c r="AB35" i="1" s="1"/>
  <c r="AE35" i="1" s="1"/>
  <c r="X39" i="1"/>
  <c r="AB39" i="1" s="1"/>
  <c r="AE39" i="1" s="1"/>
  <c r="X36" i="1"/>
  <c r="AB36" i="1" s="1"/>
  <c r="AE36" i="1" s="1"/>
  <c r="X33" i="1"/>
  <c r="AB33" i="1" s="1"/>
  <c r="AE33" i="1" s="1"/>
  <c r="X30" i="1"/>
  <c r="AB30" i="1" s="1"/>
  <c r="AE30" i="1" s="1"/>
  <c r="X27" i="1"/>
  <c r="AB27" i="1" s="1"/>
  <c r="AE27" i="1" s="1"/>
  <c r="X63" i="1"/>
  <c r="AB63" i="1" s="1"/>
  <c r="AE63" i="1" s="1"/>
  <c r="X60" i="1"/>
  <c r="AB60" i="1" s="1"/>
  <c r="AE60" i="1" s="1"/>
  <c r="X57" i="1"/>
  <c r="AB57" i="1" s="1"/>
  <c r="AE57" i="1" s="1"/>
  <c r="X54" i="1"/>
  <c r="AB54" i="1" s="1"/>
  <c r="AE54" i="1" s="1"/>
  <c r="X51" i="1"/>
  <c r="AB51" i="1" s="1"/>
  <c r="AE51" i="1" s="1"/>
  <c r="X48" i="1"/>
  <c r="AB48" i="1" s="1"/>
  <c r="AE48" i="1" s="1"/>
  <c r="X45" i="1"/>
  <c r="AB45" i="1" s="1"/>
  <c r="AE45" i="1" s="1"/>
  <c r="X42" i="1"/>
  <c r="AB42" i="1" s="1"/>
  <c r="AE42" i="1" s="1"/>
  <c r="X47" i="1"/>
  <c r="AB47" i="1" s="1"/>
  <c r="AE47" i="1" s="1"/>
  <c r="X6" i="1"/>
  <c r="AB6" i="1" s="1"/>
  <c r="AE6" i="1" s="1"/>
  <c r="X4" i="1"/>
  <c r="AB4" i="1" s="1"/>
  <c r="AE4" i="1" s="1"/>
  <c r="W3" i="1"/>
  <c r="AO416" i="1" l="1"/>
  <c r="AO439" i="1"/>
  <c r="AO410" i="1"/>
  <c r="AO35" i="1"/>
  <c r="Z396" i="1"/>
  <c r="AO398" i="1"/>
  <c r="AB396" i="1"/>
  <c r="AE396" i="1" s="1"/>
  <c r="AO287" i="1"/>
  <c r="AO17" i="1"/>
  <c r="AO226" i="1"/>
  <c r="AO182" i="1"/>
  <c r="AO283" i="1"/>
  <c r="AO49" i="1"/>
  <c r="AO115" i="1"/>
  <c r="AO95" i="1"/>
  <c r="AO250" i="1"/>
  <c r="AO187" i="1"/>
  <c r="AO331" i="1"/>
  <c r="AO67" i="1"/>
  <c r="AO452" i="1"/>
  <c r="AO458" i="1"/>
  <c r="AO442" i="1"/>
  <c r="AO362" i="1"/>
  <c r="AG351" i="1"/>
  <c r="Z52" i="1"/>
  <c r="AC52" i="1" s="1"/>
  <c r="AA375" i="1"/>
  <c r="AD375" i="1" s="1"/>
  <c r="AG289" i="1"/>
  <c r="Z372" i="1"/>
  <c r="AG352" i="1"/>
  <c r="Z139" i="1"/>
  <c r="AC139" i="1" s="1"/>
  <c r="AO139" i="1" s="1"/>
  <c r="AA352" i="1"/>
  <c r="AD352" i="1" s="1"/>
  <c r="AG375" i="1"/>
  <c r="Z408" i="1"/>
  <c r="AC408" i="1" s="1"/>
  <c r="Z300" i="1"/>
  <c r="AC300" i="1" s="1"/>
  <c r="AA417" i="1"/>
  <c r="AD417" i="1" s="1"/>
  <c r="AG361" i="1"/>
  <c r="Z433" i="1"/>
  <c r="AC433" i="1" s="1"/>
  <c r="AG320" i="1"/>
  <c r="AA433" i="1"/>
  <c r="AD433" i="1" s="1"/>
  <c r="AO433" i="1" s="1"/>
  <c r="AA323" i="1"/>
  <c r="AD323" i="1" s="1"/>
  <c r="AG103" i="1"/>
  <c r="AA217" i="1"/>
  <c r="AD217" i="1" s="1"/>
  <c r="AO217" i="1" s="1"/>
  <c r="Z354" i="1"/>
  <c r="Z428" i="1"/>
  <c r="AC428" i="1" s="1"/>
  <c r="AG52" i="1"/>
  <c r="AA52" i="1"/>
  <c r="AD52" i="1" s="1"/>
  <c r="Z435" i="1"/>
  <c r="Z382" i="1"/>
  <c r="AC382" i="1" s="1"/>
  <c r="Z263" i="1"/>
  <c r="AC263" i="1" s="1"/>
  <c r="AA136" i="1"/>
  <c r="AD136" i="1" s="1"/>
  <c r="AG38" i="1"/>
  <c r="AG382" i="1"/>
  <c r="AG249" i="1"/>
  <c r="AG55" i="1"/>
  <c r="Z262" i="1"/>
  <c r="AC262" i="1" s="1"/>
  <c r="Z390" i="1"/>
  <c r="AG390" i="1"/>
  <c r="AA55" i="1"/>
  <c r="AD55" i="1" s="1"/>
  <c r="AA222" i="1"/>
  <c r="AD222" i="1" s="1"/>
  <c r="AG397" i="1"/>
  <c r="AA103" i="1"/>
  <c r="AD103" i="1" s="1"/>
  <c r="Z423" i="1"/>
  <c r="AC423" i="1" s="1"/>
  <c r="AA406" i="1"/>
  <c r="AD406" i="1" s="1"/>
  <c r="Z103" i="1"/>
  <c r="AG446" i="1"/>
  <c r="AG26" i="1"/>
  <c r="AG302" i="1"/>
  <c r="AG165" i="1"/>
  <c r="AG424" i="1"/>
  <c r="AG121" i="1"/>
  <c r="Z222" i="1"/>
  <c r="AA214" i="1"/>
  <c r="AD214" i="1" s="1"/>
  <c r="AO214" i="1" s="1"/>
  <c r="Z338" i="1"/>
  <c r="AC338" i="1" s="1"/>
  <c r="Z264" i="1"/>
  <c r="AC264" i="1" s="1"/>
  <c r="Z131" i="1"/>
  <c r="Z120" i="1"/>
  <c r="AC120" i="1" s="1"/>
  <c r="AG429" i="1"/>
  <c r="AG136" i="1"/>
  <c r="AG214" i="1"/>
  <c r="AB316" i="1"/>
  <c r="AE316" i="1" s="1"/>
  <c r="AG32" i="1"/>
  <c r="AG175" i="1"/>
  <c r="AG99" i="1"/>
  <c r="Z368" i="1"/>
  <c r="AA372" i="1"/>
  <c r="AD372" i="1" s="1"/>
  <c r="Z412" i="1"/>
  <c r="AC412" i="1" s="1"/>
  <c r="AG279" i="1"/>
  <c r="AA324" i="1"/>
  <c r="AD324" i="1" s="1"/>
  <c r="AO324" i="1" s="1"/>
  <c r="AA120" i="1"/>
  <c r="AD120" i="1" s="1"/>
  <c r="AO120" i="1" s="1"/>
  <c r="Z424" i="1"/>
  <c r="AC424" i="1" s="1"/>
  <c r="AO424" i="1" s="1"/>
  <c r="Z324" i="1"/>
  <c r="AC324" i="1" s="1"/>
  <c r="Z429" i="1"/>
  <c r="AA165" i="1"/>
  <c r="AD165" i="1" s="1"/>
  <c r="Z38" i="1"/>
  <c r="AC38" i="1" s="1"/>
  <c r="AG102" i="1"/>
  <c r="AA446" i="1"/>
  <c r="AD446" i="1" s="1"/>
  <c r="AG450" i="1"/>
  <c r="Z379" i="1"/>
  <c r="AC379" i="1" s="1"/>
  <c r="Z190" i="1"/>
  <c r="AC190" i="1" s="1"/>
  <c r="AG431" i="1"/>
  <c r="Z217" i="1"/>
  <c r="AC217" i="1" s="1"/>
  <c r="AG143" i="1"/>
  <c r="Z352" i="1"/>
  <c r="AC352" i="1" s="1"/>
  <c r="AO352" i="1" s="1"/>
  <c r="AG368" i="1"/>
  <c r="Z430" i="1"/>
  <c r="AC430" i="1" s="1"/>
  <c r="AG62" i="1"/>
  <c r="AG379" i="1"/>
  <c r="AA262" i="1"/>
  <c r="AD262" i="1" s="1"/>
  <c r="AG217" i="1"/>
  <c r="AG120" i="1"/>
  <c r="AG262" i="1"/>
  <c r="Z249" i="1"/>
  <c r="AB338" i="1"/>
  <c r="AE338" i="1" s="1"/>
  <c r="AA379" i="1"/>
  <c r="AD379" i="1" s="1"/>
  <c r="AA139" i="1"/>
  <c r="AD139" i="1" s="1"/>
  <c r="Z102" i="1"/>
  <c r="AC102" i="1" s="1"/>
  <c r="Z438" i="1"/>
  <c r="AC438" i="1" s="1"/>
  <c r="AG417" i="1"/>
  <c r="AG218" i="1"/>
  <c r="AG139" i="1"/>
  <c r="Z285" i="1"/>
  <c r="AC285" i="1" s="1"/>
  <c r="AG264" i="1"/>
  <c r="Z431" i="1"/>
  <c r="AC431" i="1" s="1"/>
  <c r="AG172" i="1"/>
  <c r="AB217" i="1"/>
  <c r="AE217" i="1" s="1"/>
  <c r="Z164" i="1"/>
  <c r="AC164" i="1" s="1"/>
  <c r="AO164" i="1" s="1"/>
  <c r="AA264" i="1"/>
  <c r="AD264" i="1" s="1"/>
  <c r="Z136" i="1"/>
  <c r="AC136" i="1" s="1"/>
  <c r="AO136" i="1" s="1"/>
  <c r="Z388" i="1"/>
  <c r="AC388" i="1" s="1"/>
  <c r="AA11" i="1"/>
  <c r="AD11" i="1" s="1"/>
  <c r="AA96" i="1"/>
  <c r="AD96" i="1" s="1"/>
  <c r="AG303" i="1"/>
  <c r="Z138" i="1"/>
  <c r="AC138" i="1" s="1"/>
  <c r="AA102" i="1"/>
  <c r="AD102" i="1" s="1"/>
  <c r="AG96" i="1"/>
  <c r="Z289" i="1"/>
  <c r="AC289" i="1" s="1"/>
  <c r="AG372" i="1"/>
  <c r="AG376" i="1"/>
  <c r="AA135" i="1"/>
  <c r="AD135" i="1" s="1"/>
  <c r="AG364" i="1"/>
  <c r="AA387" i="1"/>
  <c r="AD387" i="1" s="1"/>
  <c r="AG162" i="1"/>
  <c r="Z399" i="1"/>
  <c r="AC399" i="1" s="1"/>
  <c r="AO399" i="1" s="1"/>
  <c r="AA376" i="1"/>
  <c r="AD376" i="1" s="1"/>
  <c r="Z137" i="1"/>
  <c r="AC137" i="1" s="1"/>
  <c r="AO137" i="1" s="1"/>
  <c r="Z109" i="1"/>
  <c r="AC109" i="1" s="1"/>
  <c r="AA388" i="1"/>
  <c r="AD388" i="1" s="1"/>
  <c r="AA175" i="1"/>
  <c r="AD175" i="1" s="1"/>
  <c r="Z265" i="1"/>
  <c r="AC265" i="1" s="1"/>
  <c r="AA382" i="1"/>
  <c r="AD382" i="1" s="1"/>
  <c r="AB136" i="1"/>
  <c r="AE136" i="1" s="1"/>
  <c r="Z316" i="1"/>
  <c r="AC316" i="1" s="1"/>
  <c r="AO316" i="1" s="1"/>
  <c r="Z19" i="1"/>
  <c r="AC19" i="1" s="1"/>
  <c r="AO19" i="1" s="1"/>
  <c r="AA129" i="1"/>
  <c r="AD129" i="1" s="1"/>
  <c r="AA353" i="1"/>
  <c r="AD353" i="1" s="1"/>
  <c r="AG362" i="1"/>
  <c r="AA339" i="1"/>
  <c r="AD339" i="1" s="1"/>
  <c r="AG253" i="1"/>
  <c r="AG306" i="1"/>
  <c r="AG428" i="1"/>
  <c r="AG380" i="1"/>
  <c r="Z175" i="1"/>
  <c r="AC175" i="1" s="1"/>
  <c r="AO175" i="1" s="1"/>
  <c r="AG437" i="1"/>
  <c r="AA26" i="1"/>
  <c r="AD26" i="1" s="1"/>
  <c r="Z29" i="1"/>
  <c r="AC29" i="1" s="1"/>
  <c r="Z375" i="1"/>
  <c r="AG105" i="1"/>
  <c r="Z328" i="1"/>
  <c r="Z313" i="1"/>
  <c r="AC313" i="1" s="1"/>
  <c r="Z400" i="1"/>
  <c r="AC400" i="1" s="1"/>
  <c r="AG235" i="1"/>
  <c r="Z402" i="1"/>
  <c r="AG25" i="1"/>
  <c r="AG270" i="1"/>
  <c r="Z88" i="1"/>
  <c r="AC88" i="1" s="1"/>
  <c r="Z353" i="1"/>
  <c r="AC353" i="1" s="1"/>
  <c r="Z79" i="1"/>
  <c r="AC79" i="1" s="1"/>
  <c r="AO79" i="1" s="1"/>
  <c r="AG319" i="1"/>
  <c r="AG374" i="1"/>
  <c r="Z455" i="1"/>
  <c r="AC455" i="1" s="1"/>
  <c r="AO455" i="1" s="1"/>
  <c r="Z41" i="1"/>
  <c r="AC41" i="1" s="1"/>
  <c r="AG258" i="1"/>
  <c r="AG87" i="1"/>
  <c r="Z140" i="1"/>
  <c r="AC140" i="1" s="1"/>
  <c r="AO140" i="1" s="1"/>
  <c r="Z125" i="1"/>
  <c r="Z337" i="1"/>
  <c r="AC337" i="1" s="1"/>
  <c r="AA193" i="1"/>
  <c r="AD193" i="1" s="1"/>
  <c r="Z459" i="1"/>
  <c r="AC459" i="1" s="1"/>
  <c r="AO459" i="1" s="1"/>
  <c r="Z453" i="1"/>
  <c r="AA320" i="1"/>
  <c r="AD320" i="1" s="1"/>
  <c r="AG459" i="1"/>
  <c r="AG304" i="1"/>
  <c r="AG388" i="1"/>
  <c r="AA62" i="1"/>
  <c r="AD62" i="1" s="1"/>
  <c r="Z165" i="1"/>
  <c r="AC165" i="1" s="1"/>
  <c r="AO165" i="1" s="1"/>
  <c r="AG126" i="1"/>
  <c r="AG274" i="1"/>
  <c r="AG433" i="1"/>
  <c r="Z446" i="1"/>
  <c r="AC446" i="1" s="1"/>
  <c r="AA428" i="1"/>
  <c r="AD428" i="1" s="1"/>
  <c r="Z418" i="1"/>
  <c r="Z96" i="1"/>
  <c r="AA51" i="1"/>
  <c r="AD51" i="1" s="1"/>
  <c r="AA19" i="1"/>
  <c r="AD19" i="1" s="1"/>
  <c r="Z10" i="1"/>
  <c r="AB412" i="1"/>
  <c r="AE412" i="1" s="1"/>
  <c r="Z426" i="1"/>
  <c r="AG140" i="1"/>
  <c r="AA289" i="1"/>
  <c r="AD289" i="1" s="1"/>
  <c r="AO289" i="1" s="1"/>
  <c r="Z86" i="1"/>
  <c r="AC86" i="1" s="1"/>
  <c r="AO86" i="1" s="1"/>
  <c r="AG294" i="1"/>
  <c r="Z212" i="1"/>
  <c r="Z320" i="1"/>
  <c r="AC320" i="1" s="1"/>
  <c r="AO320" i="1" s="1"/>
  <c r="AA38" i="1"/>
  <c r="AD38" i="1" s="1"/>
  <c r="AG111" i="1"/>
  <c r="AG129" i="1"/>
  <c r="AG323" i="1"/>
  <c r="Z111" i="1"/>
  <c r="AC111" i="1" s="1"/>
  <c r="Z323" i="1"/>
  <c r="AA105" i="1"/>
  <c r="AD105" i="1" s="1"/>
  <c r="Z306" i="1"/>
  <c r="Z149" i="1"/>
  <c r="AC149" i="1" s="1"/>
  <c r="AG48" i="1"/>
  <c r="AG19" i="1"/>
  <c r="AG10" i="1"/>
  <c r="AG412" i="1"/>
  <c r="AA41" i="1"/>
  <c r="AD41" i="1" s="1"/>
  <c r="Z211" i="1"/>
  <c r="AA459" i="1"/>
  <c r="AD459" i="1" s="1"/>
  <c r="Z37" i="1"/>
  <c r="AC37" i="1" s="1"/>
  <c r="AG243" i="1"/>
  <c r="Z25" i="1"/>
  <c r="AC25" i="1" s="1"/>
  <c r="Z417" i="1"/>
  <c r="Z376" i="1"/>
  <c r="AC376" i="1" s="1"/>
  <c r="AG453" i="1"/>
  <c r="AG122" i="1"/>
  <c r="AA367" i="1"/>
  <c r="AD367" i="1" s="1"/>
  <c r="AG145" i="1"/>
  <c r="Z11" i="1"/>
  <c r="AC11" i="1" s="1"/>
  <c r="AO11" i="1" s="1"/>
  <c r="AA145" i="1"/>
  <c r="AD145" i="1" s="1"/>
  <c r="Z148" i="1"/>
  <c r="AC148" i="1" s="1"/>
  <c r="AG300" i="1"/>
  <c r="Z342" i="1"/>
  <c r="AC342" i="1" s="1"/>
  <c r="AO342" i="1" s="1"/>
  <c r="Z458" i="1"/>
  <c r="AC458" i="1" s="1"/>
  <c r="AA334" i="1"/>
  <c r="AD334" i="1" s="1"/>
  <c r="AA99" i="1"/>
  <c r="AD99" i="1" s="1"/>
  <c r="Z360" i="1"/>
  <c r="AC360" i="1" s="1"/>
  <c r="Z233" i="1"/>
  <c r="Z105" i="1"/>
  <c r="AC105" i="1" s="1"/>
  <c r="AG384" i="1"/>
  <c r="Z174" i="1"/>
  <c r="AC174" i="1" s="1"/>
  <c r="Z191" i="1"/>
  <c r="Z145" i="1"/>
  <c r="AC145" i="1" s="1"/>
  <c r="AG41" i="1"/>
  <c r="AG236" i="1"/>
  <c r="AG11" i="1"/>
  <c r="AG422" i="1"/>
  <c r="AG297" i="1"/>
  <c r="AA300" i="1"/>
  <c r="AD300" i="1" s="1"/>
  <c r="Z55" i="1"/>
  <c r="AA294" i="1"/>
  <c r="AD294" i="1" s="1"/>
  <c r="AG135" i="1"/>
  <c r="AA111" i="1"/>
  <c r="AD111" i="1" s="1"/>
  <c r="Z99" i="1"/>
  <c r="AC99" i="1" s="1"/>
  <c r="AO99" i="1" s="1"/>
  <c r="AA32" i="1"/>
  <c r="AD32" i="1" s="1"/>
  <c r="AG193" i="1"/>
  <c r="Z12" i="1"/>
  <c r="AC12" i="1" s="1"/>
  <c r="Z422" i="1"/>
  <c r="AC422" i="1" s="1"/>
  <c r="Z87" i="1"/>
  <c r="Z85" i="1"/>
  <c r="AC85" i="1" s="1"/>
  <c r="Z305" i="1"/>
  <c r="AC305" i="1" s="1"/>
  <c r="Z448" i="1"/>
  <c r="Z26" i="1"/>
  <c r="AC26" i="1" s="1"/>
  <c r="AO26" i="1" s="1"/>
  <c r="Z236" i="1"/>
  <c r="Z370" i="1"/>
  <c r="AC370" i="1" s="1"/>
  <c r="AG350" i="1"/>
  <c r="Z135" i="1"/>
  <c r="AC135" i="1" s="1"/>
  <c r="AO135" i="1" s="1"/>
  <c r="AA48" i="1"/>
  <c r="AD48" i="1" s="1"/>
  <c r="Z442" i="1"/>
  <c r="AC442" i="1" s="1"/>
  <c r="Z269" i="1"/>
  <c r="AC269" i="1" s="1"/>
  <c r="AO269" i="1" s="1"/>
  <c r="AA314" i="1"/>
  <c r="AD314" i="1" s="1"/>
  <c r="Z226" i="1"/>
  <c r="AC226" i="1" s="1"/>
  <c r="AG22" i="1"/>
  <c r="Z283" i="1"/>
  <c r="AC283" i="1" s="1"/>
  <c r="Z341" i="1"/>
  <c r="AC341" i="1" s="1"/>
  <c r="AG432" i="1"/>
  <c r="AA431" i="1"/>
  <c r="AD431" i="1" s="1"/>
  <c r="Z427" i="1"/>
  <c r="AC427" i="1" s="1"/>
  <c r="AA361" i="1"/>
  <c r="AD361" i="1" s="1"/>
  <c r="AA365" i="1"/>
  <c r="AD365" i="1" s="1"/>
  <c r="AA322" i="1"/>
  <c r="AD322" i="1" s="1"/>
  <c r="Z56" i="1"/>
  <c r="AC56" i="1" s="1"/>
  <c r="AO56" i="1" s="1"/>
  <c r="Z179" i="1"/>
  <c r="AC179" i="1" s="1"/>
  <c r="AO179" i="1" s="1"/>
  <c r="Z81" i="1"/>
  <c r="AC81" i="1" s="1"/>
  <c r="Z14" i="1"/>
  <c r="AC14" i="1" s="1"/>
  <c r="AA394" i="1"/>
  <c r="AD394" i="1" s="1"/>
  <c r="AG420" i="1"/>
  <c r="Z128" i="1"/>
  <c r="AC128" i="1" s="1"/>
  <c r="AO128" i="1" s="1"/>
  <c r="Z75" i="1"/>
  <c r="AC75" i="1" s="1"/>
  <c r="AO75" i="1" s="1"/>
  <c r="AG104" i="1"/>
  <c r="Z51" i="1"/>
  <c r="AC51" i="1" s="1"/>
  <c r="AA160" i="1"/>
  <c r="AD160" i="1" s="1"/>
  <c r="Z291" i="1"/>
  <c r="AC291" i="1" s="1"/>
  <c r="AO291" i="1" s="1"/>
  <c r="AG240" i="1"/>
  <c r="Z314" i="1"/>
  <c r="AC314" i="1" s="1"/>
  <c r="AO314" i="1" s="1"/>
  <c r="Z299" i="1"/>
  <c r="AC299" i="1" s="1"/>
  <c r="Z203" i="1"/>
  <c r="AC203" i="1" s="1"/>
  <c r="AO203" i="1" s="1"/>
  <c r="Z158" i="1"/>
  <c r="AC158" i="1" s="1"/>
  <c r="Z266" i="1"/>
  <c r="AC266" i="1" s="1"/>
  <c r="Z153" i="1"/>
  <c r="AC153" i="1" s="1"/>
  <c r="AO153" i="1" s="1"/>
  <c r="Z89" i="1"/>
  <c r="AC89" i="1" s="1"/>
  <c r="AO89" i="1" s="1"/>
  <c r="AG160" i="1"/>
  <c r="AG14" i="1"/>
  <c r="Z267" i="1"/>
  <c r="AG337" i="1"/>
  <c r="Z374" i="1"/>
  <c r="AC374" i="1" s="1"/>
  <c r="AO374" i="1" s="1"/>
  <c r="Z432" i="1"/>
  <c r="AA240" i="1"/>
  <c r="AD240" i="1" s="1"/>
  <c r="AA12" i="1"/>
  <c r="AD12" i="1" s="1"/>
  <c r="Z63" i="1"/>
  <c r="AC63" i="1" s="1"/>
  <c r="AG312" i="1"/>
  <c r="AA303" i="1"/>
  <c r="AD303" i="1" s="1"/>
  <c r="AA297" i="1"/>
  <c r="AD297" i="1" s="1"/>
  <c r="Z95" i="1"/>
  <c r="AC95" i="1" s="1"/>
  <c r="AG131" i="1"/>
  <c r="Z307" i="1"/>
  <c r="AC307" i="1" s="1"/>
  <c r="AO307" i="1" s="1"/>
  <c r="Z129" i="1"/>
  <c r="AC129" i="1" s="1"/>
  <c r="AO129" i="1" s="1"/>
  <c r="Z365" i="1"/>
  <c r="AC365" i="1" s="1"/>
  <c r="AO365" i="1" s="1"/>
  <c r="Z62" i="1"/>
  <c r="AC62" i="1" s="1"/>
  <c r="AO62" i="1" s="1"/>
  <c r="Z303" i="1"/>
  <c r="AC303" i="1" s="1"/>
  <c r="AG354" i="1"/>
  <c r="Z293" i="1"/>
  <c r="AC293" i="1" s="1"/>
  <c r="Z272" i="1"/>
  <c r="AC272" i="1" s="1"/>
  <c r="AG212" i="1"/>
  <c r="Z231" i="1"/>
  <c r="AC231" i="1" s="1"/>
  <c r="AO231" i="1" s="1"/>
  <c r="AA142" i="1"/>
  <c r="AD142" i="1" s="1"/>
  <c r="AA157" i="1"/>
  <c r="AD157" i="1" s="1"/>
  <c r="AG369" i="1"/>
  <c r="AA424" i="1"/>
  <c r="AD424" i="1" s="1"/>
  <c r="Z235" i="1"/>
  <c r="AA230" i="1"/>
  <c r="AD230" i="1" s="1"/>
  <c r="Z161" i="1"/>
  <c r="AC161" i="1" s="1"/>
  <c r="AA140" i="1"/>
  <c r="AD140" i="1" s="1"/>
  <c r="Z147" i="1"/>
  <c r="AC147" i="1" s="1"/>
  <c r="AA337" i="1"/>
  <c r="AD337" i="1" s="1"/>
  <c r="Z94" i="1"/>
  <c r="AC94" i="1" s="1"/>
  <c r="AO94" i="1" s="1"/>
  <c r="Z294" i="1"/>
  <c r="AC294" i="1" s="1"/>
  <c r="AA25" i="1"/>
  <c r="AD25" i="1" s="1"/>
  <c r="AG229" i="1"/>
  <c r="Z343" i="1"/>
  <c r="AC343" i="1" s="1"/>
  <c r="AG37" i="1"/>
  <c r="AA253" i="1"/>
  <c r="AD253" i="1" s="1"/>
  <c r="AO253" i="1" s="1"/>
  <c r="Z18" i="1"/>
  <c r="AC18" i="1" s="1"/>
  <c r="AO18" i="1" s="1"/>
  <c r="AG442" i="1"/>
  <c r="AA127" i="1"/>
  <c r="AD127" i="1" s="1"/>
  <c r="AA331" i="1"/>
  <c r="AD331" i="1" s="1"/>
  <c r="AA310" i="1"/>
  <c r="AD310" i="1" s="1"/>
  <c r="AG308" i="1"/>
  <c r="Z361" i="1"/>
  <c r="AC361" i="1" s="1"/>
  <c r="AA442" i="1"/>
  <c r="AD442" i="1" s="1"/>
  <c r="AA155" i="1"/>
  <c r="AD155" i="1" s="1"/>
  <c r="AG338" i="1"/>
  <c r="AB326" i="1"/>
  <c r="AE326" i="1" s="1"/>
  <c r="AO326" i="1" s="1"/>
  <c r="AA366" i="1"/>
  <c r="AD366" i="1" s="1"/>
  <c r="AG373" i="1"/>
  <c r="AA369" i="1"/>
  <c r="AD369" i="1" s="1"/>
  <c r="AA332" i="1"/>
  <c r="AD332" i="1" s="1"/>
  <c r="Z392" i="1"/>
  <c r="AC392" i="1" s="1"/>
  <c r="AO392" i="1" s="1"/>
  <c r="Z176" i="1"/>
  <c r="AC176" i="1" s="1"/>
  <c r="Z181" i="1"/>
  <c r="AC181" i="1" s="1"/>
  <c r="AA14" i="1"/>
  <c r="AD14" i="1" s="1"/>
  <c r="AG155" i="1"/>
  <c r="Z193" i="1"/>
  <c r="AC193" i="1" s="1"/>
  <c r="AA231" i="1"/>
  <c r="AD231" i="1" s="1"/>
  <c r="Z141" i="1"/>
  <c r="AC141" i="1" s="1"/>
  <c r="AO141" i="1" s="1"/>
  <c r="Z270" i="1"/>
  <c r="AC270" i="1" s="1"/>
  <c r="Z162" i="1"/>
  <c r="AC162" i="1" s="1"/>
  <c r="Z107" i="1"/>
  <c r="AA37" i="1"/>
  <c r="AD37" i="1" s="1"/>
  <c r="AA58" i="1"/>
  <c r="AD58" i="1" s="1"/>
  <c r="AG265" i="1"/>
  <c r="AG293" i="1"/>
  <c r="Z280" i="1"/>
  <c r="AC280" i="1" s="1"/>
  <c r="AO280" i="1" s="1"/>
  <c r="Z369" i="1"/>
  <c r="AC369" i="1" s="1"/>
  <c r="Z394" i="1"/>
  <c r="AC394" i="1" s="1"/>
  <c r="Z166" i="1"/>
  <c r="AC166" i="1" s="1"/>
  <c r="AO166" i="1" s="1"/>
  <c r="AA312" i="1"/>
  <c r="AD312" i="1" s="1"/>
  <c r="AO312" i="1" s="1"/>
  <c r="Z60" i="1"/>
  <c r="AC60" i="1" s="1"/>
  <c r="AA185" i="1"/>
  <c r="AD185" i="1" s="1"/>
  <c r="Z259" i="1"/>
  <c r="AC259" i="1" s="1"/>
  <c r="AG213" i="1"/>
  <c r="AG357" i="1"/>
  <c r="AG402" i="1"/>
  <c r="AG408" i="1"/>
  <c r="AG328" i="1"/>
  <c r="Z386" i="1"/>
  <c r="AC386" i="1" s="1"/>
  <c r="Z378" i="1"/>
  <c r="AC378" i="1" s="1"/>
  <c r="Z373" i="1"/>
  <c r="AG392" i="1"/>
  <c r="AA451" i="1"/>
  <c r="AD451" i="1" s="1"/>
  <c r="Z84" i="1"/>
  <c r="AC84" i="1" s="1"/>
  <c r="Z218" i="1"/>
  <c r="AC218" i="1" s="1"/>
  <c r="Z274" i="1"/>
  <c r="AC274" i="1" s="1"/>
  <c r="Z58" i="1"/>
  <c r="AC58" i="1" s="1"/>
  <c r="AO58" i="1" s="1"/>
  <c r="Z221" i="1"/>
  <c r="AC221" i="1" s="1"/>
  <c r="Z28" i="1"/>
  <c r="AC28" i="1" s="1"/>
  <c r="AO28" i="1" s="1"/>
  <c r="AA243" i="1"/>
  <c r="AD243" i="1" s="1"/>
  <c r="AG147" i="1"/>
  <c r="Z17" i="1"/>
  <c r="AC17" i="1" s="1"/>
  <c r="AA245" i="1"/>
  <c r="AD245" i="1" s="1"/>
  <c r="Z32" i="1"/>
  <c r="AC32" i="1" s="1"/>
  <c r="AO32" i="1" s="1"/>
  <c r="Z240" i="1"/>
  <c r="AC240" i="1" s="1"/>
  <c r="Z172" i="1"/>
  <c r="AC172" i="1" s="1"/>
  <c r="Z228" i="1"/>
  <c r="AC228" i="1" s="1"/>
  <c r="AG316" i="1"/>
  <c r="AA228" i="1"/>
  <c r="AD228" i="1" s="1"/>
  <c r="AO228" i="1" s="1"/>
  <c r="Z133" i="1"/>
  <c r="AC133" i="1" s="1"/>
  <c r="AA265" i="1"/>
  <c r="AD265" i="1" s="1"/>
  <c r="AG177" i="1"/>
  <c r="AG365" i="1"/>
  <c r="AG318" i="1"/>
  <c r="Z210" i="1"/>
  <c r="AC210" i="1" s="1"/>
  <c r="AO210" i="1" s="1"/>
  <c r="Z243" i="1"/>
  <c r="AC243" i="1" s="1"/>
  <c r="AO243" i="1" s="1"/>
  <c r="AG203" i="1"/>
  <c r="AA374" i="1"/>
  <c r="AD374" i="1" s="1"/>
  <c r="Z331" i="1"/>
  <c r="AC331" i="1" s="1"/>
  <c r="Z237" i="1"/>
  <c r="AC237" i="1" s="1"/>
  <c r="Z130" i="1"/>
  <c r="AC130" i="1" s="1"/>
  <c r="AO130" i="1" s="1"/>
  <c r="Z114" i="1"/>
  <c r="AC114" i="1" s="1"/>
  <c r="AA357" i="1"/>
  <c r="AD357" i="1" s="1"/>
  <c r="AO357" i="1" s="1"/>
  <c r="AA438" i="1"/>
  <c r="AD438" i="1" s="1"/>
  <c r="AG311" i="1"/>
  <c r="AA283" i="1"/>
  <c r="AD283" i="1" s="1"/>
  <c r="AA415" i="1"/>
  <c r="AD415" i="1" s="1"/>
  <c r="AA450" i="1"/>
  <c r="AD450" i="1" s="1"/>
  <c r="Z450" i="1"/>
  <c r="AC450" i="1" s="1"/>
  <c r="AA280" i="1"/>
  <c r="AD280" i="1" s="1"/>
  <c r="AA281" i="1"/>
  <c r="AD281" i="1" s="1"/>
  <c r="AA147" i="1"/>
  <c r="AD147" i="1" s="1"/>
  <c r="Z49" i="1"/>
  <c r="AC49" i="1" s="1"/>
  <c r="AG75" i="1"/>
  <c r="AA274" i="1"/>
  <c r="AD274" i="1" s="1"/>
  <c r="Z104" i="1"/>
  <c r="AA304" i="1"/>
  <c r="AD304" i="1" s="1"/>
  <c r="Z219" i="1"/>
  <c r="AC219" i="1" s="1"/>
  <c r="Z318" i="1"/>
  <c r="AG228" i="1"/>
  <c r="Z310" i="1"/>
  <c r="AC310" i="1" s="1"/>
  <c r="AO310" i="1" s="1"/>
  <c r="AG332" i="1"/>
  <c r="Z67" i="1"/>
  <c r="AC67" i="1" s="1"/>
  <c r="AG233" i="1"/>
  <c r="Z398" i="1"/>
  <c r="AC398" i="1" s="1"/>
  <c r="AA398" i="1"/>
  <c r="AD398" i="1" s="1"/>
  <c r="AG324" i="1"/>
  <c r="Z380" i="1"/>
  <c r="AC380" i="1" s="1"/>
  <c r="AA392" i="1"/>
  <c r="AD392" i="1" s="1"/>
  <c r="Z332" i="1"/>
  <c r="AC332" i="1" s="1"/>
  <c r="AO332" i="1" s="1"/>
  <c r="AG326" i="1"/>
  <c r="AG396" i="1"/>
  <c r="AA422" i="1"/>
  <c r="AD422" i="1" s="1"/>
  <c r="AG398" i="1"/>
  <c r="AG426" i="1"/>
  <c r="AG438" i="1"/>
  <c r="AA77" i="1"/>
  <c r="AD77" i="1" s="1"/>
  <c r="Z404" i="1"/>
  <c r="AC404" i="1" s="1"/>
  <c r="Z284" i="1"/>
  <c r="AC284" i="1" s="1"/>
  <c r="Z229" i="1"/>
  <c r="AC229" i="1" s="1"/>
  <c r="AA229" i="1"/>
  <c r="AD229" i="1" s="1"/>
  <c r="AO229" i="1" s="1"/>
  <c r="Z367" i="1"/>
  <c r="AC367" i="1" s="1"/>
  <c r="AO367" i="1" s="1"/>
  <c r="AG280" i="1"/>
  <c r="AG283" i="1"/>
  <c r="Z197" i="1"/>
  <c r="AC197" i="1" s="1"/>
  <c r="AO197" i="1" s="1"/>
  <c r="Z238" i="1"/>
  <c r="AC238" i="1" s="1"/>
  <c r="Z16" i="1"/>
  <c r="Z127" i="1"/>
  <c r="AC127" i="1" s="1"/>
  <c r="AO127" i="1" s="1"/>
  <c r="Z304" i="1"/>
  <c r="AC304" i="1" s="1"/>
  <c r="AO304" i="1" s="1"/>
  <c r="Z357" i="1"/>
  <c r="AC357" i="1" s="1"/>
  <c r="AG455" i="1"/>
  <c r="AG196" i="1"/>
  <c r="Z182" i="1"/>
  <c r="AC182" i="1" s="1"/>
  <c r="Z72" i="1"/>
  <c r="AC72" i="1" s="1"/>
  <c r="AG290" i="1"/>
  <c r="Z230" i="1"/>
  <c r="AC230" i="1" s="1"/>
  <c r="AO230" i="1" s="1"/>
  <c r="AG230" i="1"/>
  <c r="Z108" i="1"/>
  <c r="AC108" i="1" s="1"/>
  <c r="AA226" i="1"/>
  <c r="AD226" i="1" s="1"/>
  <c r="AG285" i="1"/>
  <c r="Z286" i="1"/>
  <c r="AC286" i="1" s="1"/>
  <c r="AG256" i="1"/>
  <c r="Z13" i="1"/>
  <c r="AC13" i="1" s="1"/>
  <c r="AG207" i="1"/>
  <c r="AG411" i="1"/>
  <c r="AG31" i="1"/>
  <c r="AA94" i="1"/>
  <c r="AD94" i="1" s="1"/>
  <c r="AA207" i="1"/>
  <c r="AD207" i="1" s="1"/>
  <c r="Z198" i="1"/>
  <c r="AC198" i="1" s="1"/>
  <c r="Z321" i="1"/>
  <c r="AC321" i="1" s="1"/>
  <c r="AG327" i="1"/>
  <c r="Z384" i="1"/>
  <c r="AC384" i="1" s="1"/>
  <c r="Z43" i="1"/>
  <c r="AC43" i="1" s="1"/>
  <c r="AA43" i="1"/>
  <c r="AD43" i="1" s="1"/>
  <c r="AA196" i="1"/>
  <c r="AD196" i="1" s="1"/>
  <c r="AG49" i="1"/>
  <c r="Z362" i="1"/>
  <c r="AC362" i="1" s="1"/>
  <c r="Z126" i="1"/>
  <c r="AC126" i="1" s="1"/>
  <c r="AG94" i="1"/>
  <c r="AA258" i="1"/>
  <c r="AD258" i="1" s="1"/>
  <c r="AO258" i="1" s="1"/>
  <c r="AG400" i="1"/>
  <c r="AG43" i="1"/>
  <c r="AA400" i="1"/>
  <c r="AD400" i="1" s="1"/>
  <c r="Z6" i="1"/>
  <c r="AC6" i="1" s="1"/>
  <c r="Z364" i="1"/>
  <c r="AA430" i="1"/>
  <c r="AD430" i="1" s="1"/>
  <c r="AG314" i="1"/>
  <c r="Z113" i="1"/>
  <c r="AC113" i="1" s="1"/>
  <c r="Z143" i="1"/>
  <c r="AG415" i="1"/>
  <c r="AA293" i="1"/>
  <c r="AD293" i="1" s="1"/>
  <c r="Z273" i="1"/>
  <c r="AC273" i="1" s="1"/>
  <c r="AO273" i="1" s="1"/>
  <c r="Z150" i="1"/>
  <c r="AC150" i="1" s="1"/>
  <c r="Z61" i="1"/>
  <c r="AC61" i="1" s="1"/>
  <c r="Z225" i="1"/>
  <c r="AC225" i="1" s="1"/>
  <c r="AG16" i="1"/>
  <c r="AA269" i="1"/>
  <c r="AD269" i="1" s="1"/>
  <c r="Z256" i="1"/>
  <c r="AC256" i="1" s="1"/>
  <c r="AO256" i="1" s="1"/>
  <c r="AA171" i="1"/>
  <c r="AD171" i="1" s="1"/>
  <c r="Z7" i="1"/>
  <c r="AC7" i="1" s="1"/>
  <c r="AA279" i="1"/>
  <c r="AD279" i="1" s="1"/>
  <c r="AB279" i="1"/>
  <c r="AE279" i="1" s="1"/>
  <c r="AB172" i="1"/>
  <c r="AE172" i="1" s="1"/>
  <c r="AA172" i="1"/>
  <c r="AD172" i="1" s="1"/>
  <c r="Z366" i="1"/>
  <c r="AC366" i="1" s="1"/>
  <c r="Z330" i="1"/>
  <c r="AC330" i="1" s="1"/>
  <c r="AA408" i="1"/>
  <c r="AD408" i="1" s="1"/>
  <c r="AG430" i="1"/>
  <c r="Z444" i="1"/>
  <c r="AC444" i="1" s="1"/>
  <c r="Z405" i="1"/>
  <c r="AC405" i="1" s="1"/>
  <c r="AG448" i="1"/>
  <c r="Z326" i="1"/>
  <c r="AC326" i="1" s="1"/>
  <c r="AG77" i="1"/>
  <c r="Z92" i="1"/>
  <c r="AC92" i="1" s="1"/>
  <c r="AO92" i="1" s="1"/>
  <c r="AG157" i="1"/>
  <c r="AG107" i="1"/>
  <c r="Z122" i="1"/>
  <c r="AC122" i="1" s="1"/>
  <c r="Z180" i="1"/>
  <c r="AC180" i="1" s="1"/>
  <c r="AG24" i="1"/>
  <c r="Z160" i="1"/>
  <c r="AC160" i="1" s="1"/>
  <c r="AA247" i="1"/>
  <c r="AD247" i="1" s="1"/>
  <c r="Z21" i="1"/>
  <c r="AC21" i="1" s="1"/>
  <c r="AA161" i="1"/>
  <c r="AD161" i="1" s="1"/>
  <c r="AG153" i="1"/>
  <c r="Z281" i="1"/>
  <c r="AC281" i="1" s="1"/>
  <c r="Z155" i="1"/>
  <c r="AC155" i="1" s="1"/>
  <c r="AO155" i="1" s="1"/>
  <c r="AG226" i="1"/>
  <c r="AG114" i="1"/>
  <c r="Z178" i="1"/>
  <c r="AC178" i="1" s="1"/>
  <c r="AO178" i="1" s="1"/>
  <c r="AA95" i="1"/>
  <c r="AD95" i="1" s="1"/>
  <c r="Z258" i="1"/>
  <c r="AC258" i="1" s="1"/>
  <c r="AG291" i="1"/>
  <c r="AG125" i="1"/>
  <c r="Z339" i="1"/>
  <c r="AC339" i="1" s="1"/>
  <c r="AB339" i="1"/>
  <c r="AE339" i="1" s="1"/>
  <c r="AG339" i="1"/>
  <c r="Z246" i="1"/>
  <c r="AC246" i="1" s="1"/>
  <c r="AG246" i="1"/>
  <c r="Z454" i="1"/>
  <c r="AC454" i="1" s="1"/>
  <c r="AA380" i="1"/>
  <c r="AD380" i="1" s="1"/>
  <c r="AA257" i="1"/>
  <c r="AD257" i="1" s="1"/>
  <c r="AG211" i="1"/>
  <c r="Z302" i="1"/>
  <c r="Z5" i="1"/>
  <c r="AC5" i="1" s="1"/>
  <c r="Z177" i="1"/>
  <c r="AC177" i="1" s="1"/>
  <c r="AO177" i="1" s="1"/>
  <c r="Z295" i="1"/>
  <c r="AC295" i="1" s="1"/>
  <c r="AO295" i="1" s="1"/>
  <c r="Z334" i="1"/>
  <c r="AC334" i="1" s="1"/>
  <c r="Z30" i="1"/>
  <c r="AC30" i="1" s="1"/>
  <c r="Z20" i="1"/>
  <c r="AC20" i="1" s="1"/>
  <c r="AG130" i="1"/>
  <c r="Z224" i="1"/>
  <c r="AC224" i="1" s="1"/>
  <c r="Z196" i="1"/>
  <c r="AC196" i="1" s="1"/>
  <c r="AO196" i="1" s="1"/>
  <c r="AG247" i="1"/>
  <c r="AG161" i="1"/>
  <c r="AA75" i="1"/>
  <c r="AD75" i="1" s="1"/>
  <c r="AA291" i="1"/>
  <c r="AD291" i="1" s="1"/>
  <c r="AG281" i="1"/>
  <c r="AA114" i="1"/>
  <c r="AD114" i="1" s="1"/>
  <c r="AO114" i="1" s="1"/>
  <c r="Z279" i="1"/>
  <c r="AC279" i="1" s="1"/>
  <c r="AO279" i="1" s="1"/>
  <c r="AA411" i="1"/>
  <c r="AD411" i="1" s="1"/>
  <c r="Z116" i="1"/>
  <c r="AC116" i="1" s="1"/>
  <c r="AG267" i="1"/>
  <c r="AG237" i="1"/>
  <c r="AG50" i="1"/>
  <c r="Z50" i="1"/>
  <c r="AC50" i="1" s="1"/>
  <c r="AO50" i="1" s="1"/>
  <c r="AA50" i="1"/>
  <c r="AD50" i="1" s="1"/>
  <c r="AG222" i="1"/>
  <c r="Z76" i="1"/>
  <c r="AC76" i="1" s="1"/>
  <c r="Z298" i="1"/>
  <c r="AG451" i="1"/>
  <c r="AA443" i="1"/>
  <c r="AD443" i="1" s="1"/>
  <c r="Z346" i="1"/>
  <c r="AC346" i="1" s="1"/>
  <c r="Z3" i="1"/>
  <c r="AC3" i="1" s="1"/>
  <c r="AG251" i="1"/>
  <c r="AA63" i="1"/>
  <c r="AD63" i="1" s="1"/>
  <c r="Z253" i="1"/>
  <c r="AC253" i="1" s="1"/>
  <c r="Z170" i="1"/>
  <c r="AC170" i="1" s="1"/>
  <c r="AO170" i="1" s="1"/>
  <c r="Z27" i="1"/>
  <c r="AC27" i="1" s="1"/>
  <c r="Z209" i="1"/>
  <c r="AC209" i="1" s="1"/>
  <c r="Z22" i="1"/>
  <c r="AC22" i="1" s="1"/>
  <c r="AO22" i="1" s="1"/>
  <c r="Z121" i="1"/>
  <c r="AC121" i="1" s="1"/>
  <c r="AG231" i="1"/>
  <c r="AA121" i="1"/>
  <c r="AD121" i="1" s="1"/>
  <c r="AO121" i="1" s="1"/>
  <c r="Z157" i="1"/>
  <c r="AC157" i="1" s="1"/>
  <c r="AA246" i="1"/>
  <c r="AD246" i="1" s="1"/>
  <c r="AO246" i="1" s="1"/>
  <c r="Z350" i="1"/>
  <c r="AC350" i="1" s="1"/>
  <c r="AA455" i="1"/>
  <c r="AD455" i="1" s="1"/>
  <c r="AG360" i="1"/>
  <c r="AA237" i="1"/>
  <c r="AD237" i="1" s="1"/>
  <c r="Z247" i="1"/>
  <c r="AC247" i="1" s="1"/>
  <c r="AO247" i="1" s="1"/>
  <c r="AA346" i="1"/>
  <c r="AD346" i="1" s="1"/>
  <c r="AA204" i="1"/>
  <c r="AD204" i="1" s="1"/>
  <c r="AA153" i="1"/>
  <c r="AD153" i="1" s="1"/>
  <c r="AG185" i="1"/>
  <c r="AG171" i="1"/>
  <c r="Z440" i="1"/>
  <c r="AC440" i="1" s="1"/>
  <c r="Z437" i="1"/>
  <c r="Z425" i="1"/>
  <c r="AC425" i="1" s="1"/>
  <c r="AG387" i="1"/>
  <c r="Z395" i="1"/>
  <c r="AC395" i="1" s="1"/>
  <c r="AO395" i="1" s="1"/>
  <c r="Z312" i="1"/>
  <c r="AC312" i="1" s="1"/>
  <c r="Z451" i="1"/>
  <c r="AC451" i="1" s="1"/>
  <c r="Z54" i="1"/>
  <c r="AC54" i="1" s="1"/>
  <c r="Z31" i="1"/>
  <c r="AC31" i="1" s="1"/>
  <c r="AG257" i="1"/>
  <c r="Z215" i="1"/>
  <c r="AC215" i="1" s="1"/>
  <c r="AA445" i="1"/>
  <c r="AD445" i="1" s="1"/>
  <c r="AO445" i="1" s="1"/>
  <c r="Z4" i="1"/>
  <c r="AC4" i="1" s="1"/>
  <c r="Z167" i="1"/>
  <c r="AC167" i="1" s="1"/>
  <c r="AO167" i="1" s="1"/>
  <c r="AG63" i="1"/>
  <c r="Z207" i="1"/>
  <c r="AC207" i="1" s="1"/>
  <c r="AG127" i="1"/>
  <c r="AG245" i="1"/>
  <c r="AA22" i="1"/>
  <c r="AD22" i="1" s="1"/>
  <c r="AG192" i="1"/>
  <c r="AA192" i="1"/>
  <c r="AD192" i="1" s="1"/>
  <c r="AG186" i="1"/>
  <c r="AA186" i="1"/>
  <c r="AD186" i="1" s="1"/>
  <c r="AO186" i="1" s="1"/>
  <c r="Z118" i="1"/>
  <c r="AC118" i="1" s="1"/>
  <c r="AO118" i="1" s="1"/>
  <c r="AA244" i="1"/>
  <c r="AD244" i="1" s="1"/>
  <c r="AG244" i="1"/>
  <c r="AG223" i="1"/>
  <c r="Z223" i="1"/>
  <c r="AC223" i="1" s="1"/>
  <c r="AO223" i="1" s="1"/>
  <c r="AA223" i="1"/>
  <c r="AD223" i="1" s="1"/>
  <c r="AG166" i="1"/>
  <c r="AA166" i="1"/>
  <c r="AD166" i="1" s="1"/>
  <c r="AB124" i="1"/>
  <c r="AE124" i="1" s="1"/>
  <c r="AA410" i="1"/>
  <c r="AD410" i="1" s="1"/>
  <c r="Z410" i="1"/>
  <c r="AC410" i="1" s="1"/>
  <c r="AG119" i="1"/>
  <c r="AA119" i="1"/>
  <c r="AD119" i="1" s="1"/>
  <c r="Z340" i="1"/>
  <c r="AC340" i="1" s="1"/>
  <c r="AB340" i="1"/>
  <c r="AE340" i="1" s="1"/>
  <c r="AA123" i="1"/>
  <c r="AD123" i="1" s="1"/>
  <c r="AG167" i="1"/>
  <c r="Z34" i="1"/>
  <c r="AC34" i="1" s="1"/>
  <c r="AO34" i="1" s="1"/>
  <c r="Z244" i="1"/>
  <c r="AC244" i="1" s="1"/>
  <c r="AG310" i="1"/>
  <c r="AG70" i="1"/>
  <c r="Z70" i="1"/>
  <c r="AC70" i="1" s="1"/>
  <c r="AA70" i="1"/>
  <c r="AD70" i="1" s="1"/>
  <c r="AA184" i="1"/>
  <c r="AD184" i="1" s="1"/>
  <c r="AG184" i="1"/>
  <c r="AA414" i="1"/>
  <c r="AD414" i="1" s="1"/>
  <c r="Z414" i="1"/>
  <c r="AC414" i="1" s="1"/>
  <c r="Z194" i="1"/>
  <c r="AC194" i="1" s="1"/>
  <c r="AO194" i="1" s="1"/>
  <c r="AA287" i="1"/>
  <c r="AD287" i="1" s="1"/>
  <c r="Z173" i="1"/>
  <c r="AC173" i="1" s="1"/>
  <c r="AO173" i="1" s="1"/>
  <c r="AG174" i="1"/>
  <c r="AA174" i="1"/>
  <c r="AD174" i="1" s="1"/>
  <c r="AG56" i="1"/>
  <c r="AG21" i="1"/>
  <c r="AA21" i="1"/>
  <c r="AD21" i="1" s="1"/>
  <c r="AA266" i="1"/>
  <c r="AD266" i="1" s="1"/>
  <c r="AG59" i="1"/>
  <c r="AA59" i="1"/>
  <c r="AD59" i="1" s="1"/>
  <c r="Z271" i="1"/>
  <c r="AC271" i="1" s="1"/>
  <c r="AO271" i="1" s="1"/>
  <c r="AA208" i="1"/>
  <c r="AD208" i="1" s="1"/>
  <c r="AG208" i="1"/>
  <c r="AA282" i="1"/>
  <c r="AD282" i="1" s="1"/>
  <c r="AO282" i="1" s="1"/>
  <c r="AG282" i="1"/>
  <c r="Z64" i="1"/>
  <c r="AC64" i="1" s="1"/>
  <c r="AA307" i="1"/>
  <c r="AD307" i="1" s="1"/>
  <c r="AG5" i="1"/>
  <c r="AA5" i="1"/>
  <c r="AD5" i="1" s="1"/>
  <c r="AG6" i="1"/>
  <c r="AA6" i="1"/>
  <c r="AD6" i="1" s="1"/>
  <c r="AA34" i="1"/>
  <c r="AD34" i="1" s="1"/>
  <c r="AG74" i="1"/>
  <c r="AA74" i="1"/>
  <c r="AD74" i="1" s="1"/>
  <c r="AG259" i="1"/>
  <c r="AA259" i="1"/>
  <c r="AD259" i="1" s="1"/>
  <c r="AG202" i="1"/>
  <c r="AA202" i="1"/>
  <c r="AD202" i="1" s="1"/>
  <c r="AB213" i="1"/>
  <c r="AE213" i="1" s="1"/>
  <c r="AG78" i="1"/>
  <c r="AA78" i="1"/>
  <c r="AD78" i="1" s="1"/>
  <c r="AO78" i="1" s="1"/>
  <c r="AA89" i="1"/>
  <c r="AD89" i="1" s="1"/>
  <c r="AG89" i="1"/>
  <c r="AG313" i="1"/>
  <c r="AG307" i="1"/>
  <c r="AG322" i="1"/>
  <c r="AG331" i="1"/>
  <c r="AG349" i="1"/>
  <c r="Z327" i="1"/>
  <c r="AC327" i="1" s="1"/>
  <c r="Z156" i="1"/>
  <c r="AC156" i="1" s="1"/>
  <c r="AG124" i="1"/>
  <c r="AA64" i="1"/>
  <c r="AD64" i="1" s="1"/>
  <c r="AG138" i="1"/>
  <c r="AA138" i="1"/>
  <c r="AD138" i="1" s="1"/>
  <c r="AO138" i="1" s="1"/>
  <c r="AA404" i="1"/>
  <c r="AD404" i="1" s="1"/>
  <c r="Z152" i="1"/>
  <c r="AC152" i="1" s="1"/>
  <c r="AO152" i="1" s="1"/>
  <c r="Z47" i="1"/>
  <c r="AC47" i="1" s="1"/>
  <c r="AO47" i="1" s="1"/>
  <c r="AG272" i="1"/>
  <c r="AA158" i="1"/>
  <c r="AD158" i="1" s="1"/>
  <c r="AB158" i="1"/>
  <c r="AE158" i="1" s="1"/>
  <c r="AA68" i="1"/>
  <c r="AD68" i="1" s="1"/>
  <c r="AG68" i="1"/>
  <c r="AG60" i="1"/>
  <c r="AA60" i="1"/>
  <c r="AD60" i="1" s="1"/>
  <c r="Z445" i="1"/>
  <c r="AC445" i="1" s="1"/>
  <c r="AG204" i="1"/>
  <c r="AG180" i="1"/>
  <c r="AA180" i="1"/>
  <c r="AD180" i="1" s="1"/>
  <c r="AO180" i="1" s="1"/>
  <c r="Z15" i="1"/>
  <c r="AC15" i="1" s="1"/>
  <c r="AO15" i="1" s="1"/>
  <c r="AA183" i="1"/>
  <c r="AD183" i="1" s="1"/>
  <c r="AG183" i="1"/>
  <c r="AA284" i="1"/>
  <c r="AD284" i="1" s="1"/>
  <c r="AG284" i="1"/>
  <c r="AA167" i="1"/>
  <c r="AD167" i="1" s="1"/>
  <c r="AG201" i="1"/>
  <c r="AA201" i="1"/>
  <c r="AD201" i="1" s="1"/>
  <c r="Z261" i="1"/>
  <c r="AC261" i="1" s="1"/>
  <c r="AA28" i="1"/>
  <c r="AD28" i="1" s="1"/>
  <c r="AG28" i="1"/>
  <c r="Z208" i="1"/>
  <c r="AC208" i="1" s="1"/>
  <c r="AA27" i="1"/>
  <c r="AD27" i="1" s="1"/>
  <c r="AG27" i="1"/>
  <c r="AG168" i="1"/>
  <c r="AA168" i="1"/>
  <c r="AD168" i="1" s="1"/>
  <c r="AG141" i="1"/>
  <c r="AA141" i="1"/>
  <c r="AD141" i="1" s="1"/>
  <c r="AA82" i="1"/>
  <c r="AD82" i="1" s="1"/>
  <c r="AG82" i="1"/>
  <c r="Z82" i="1"/>
  <c r="AC82" i="1" s="1"/>
  <c r="AO82" i="1" s="1"/>
  <c r="AG277" i="1"/>
  <c r="Z277" i="1"/>
  <c r="AC277" i="1" s="1"/>
  <c r="AA277" i="1"/>
  <c r="AD277" i="1" s="1"/>
  <c r="AG220" i="1"/>
  <c r="AA220" i="1"/>
  <c r="AD220" i="1" s="1"/>
  <c r="AG146" i="1"/>
  <c r="AA146" i="1"/>
  <c r="AD146" i="1" s="1"/>
  <c r="AO146" i="1" s="1"/>
  <c r="Z317" i="1"/>
  <c r="AC317" i="1" s="1"/>
  <c r="Z407" i="1"/>
  <c r="AC407" i="1" s="1"/>
  <c r="AG399" i="1"/>
  <c r="Z381" i="1"/>
  <c r="AC381" i="1" s="1"/>
  <c r="Z358" i="1"/>
  <c r="AC358" i="1" s="1"/>
  <c r="Z415" i="1"/>
  <c r="AC415" i="1" s="1"/>
  <c r="AO415" i="1" s="1"/>
  <c r="Z325" i="1"/>
  <c r="AC325" i="1" s="1"/>
  <c r="AG404" i="1"/>
  <c r="AA335" i="1"/>
  <c r="AD335" i="1" s="1"/>
  <c r="AG345" i="1"/>
  <c r="Z349" i="1"/>
  <c r="AC349" i="1" s="1"/>
  <c r="AA384" i="1"/>
  <c r="AD384" i="1" s="1"/>
  <c r="AO384" i="1" s="1"/>
  <c r="AB293" i="1"/>
  <c r="AE293" i="1" s="1"/>
  <c r="Z68" i="1"/>
  <c r="AC68" i="1" s="1"/>
  <c r="AO68" i="1" s="1"/>
  <c r="AB210" i="1"/>
  <c r="AE210" i="1" s="1"/>
  <c r="AG210" i="1"/>
  <c r="AG287" i="1"/>
  <c r="AA273" i="1"/>
  <c r="AD273" i="1" s="1"/>
  <c r="Z189" i="1"/>
  <c r="AC189" i="1" s="1"/>
  <c r="AA250" i="1"/>
  <c r="AD250" i="1" s="1"/>
  <c r="AG250" i="1"/>
  <c r="AA24" i="1"/>
  <c r="AD24" i="1" s="1"/>
  <c r="AA15" i="1"/>
  <c r="AD15" i="1" s="1"/>
  <c r="AG15" i="1"/>
  <c r="Z234" i="1"/>
  <c r="AC234" i="1" s="1"/>
  <c r="Z183" i="1"/>
  <c r="AC183" i="1" s="1"/>
  <c r="Z290" i="1"/>
  <c r="AC290" i="1" s="1"/>
  <c r="AA362" i="1"/>
  <c r="AD362" i="1" s="1"/>
  <c r="Z242" i="1"/>
  <c r="AC242" i="1" s="1"/>
  <c r="AG266" i="1"/>
  <c r="Z201" i="1"/>
  <c r="AC201" i="1" s="1"/>
  <c r="AO201" i="1" s="1"/>
  <c r="AG13" i="1"/>
  <c r="AA13" i="1"/>
  <c r="AD13" i="1" s="1"/>
  <c r="Z24" i="1"/>
  <c r="AC24" i="1" s="1"/>
  <c r="AO24" i="1" s="1"/>
  <c r="Z248" i="1"/>
  <c r="AC248" i="1" s="1"/>
  <c r="AO248" i="1" s="1"/>
  <c r="Z168" i="1"/>
  <c r="AC168" i="1" s="1"/>
  <c r="AA248" i="1"/>
  <c r="AD248" i="1" s="1"/>
  <c r="Z146" i="1"/>
  <c r="AC146" i="1" s="1"/>
  <c r="AG142" i="1"/>
  <c r="AA234" i="1"/>
  <c r="AD234" i="1" s="1"/>
  <c r="AO234" i="1" s="1"/>
  <c r="AG34" i="1"/>
  <c r="AG205" i="1"/>
  <c r="Z205" i="1"/>
  <c r="AC205" i="1" s="1"/>
  <c r="AA205" i="1"/>
  <c r="AD205" i="1" s="1"/>
  <c r="Z66" i="1"/>
  <c r="AC66" i="1" s="1"/>
  <c r="AB66" i="1"/>
  <c r="AE66" i="1" s="1"/>
  <c r="AG66" i="1"/>
  <c r="AA66" i="1"/>
  <c r="AD66" i="1" s="1"/>
  <c r="AO66" i="1" s="1"/>
  <c r="Z59" i="1"/>
  <c r="AC59" i="1" s="1"/>
  <c r="AG241" i="1"/>
  <c r="AA241" i="1"/>
  <c r="AD241" i="1" s="1"/>
  <c r="Z241" i="1"/>
  <c r="AC241" i="1" s="1"/>
  <c r="AG134" i="1"/>
  <c r="AA134" i="1"/>
  <c r="AD134" i="1" s="1"/>
  <c r="AG85" i="1"/>
  <c r="AA85" i="1"/>
  <c r="AD85" i="1" s="1"/>
  <c r="AO85" i="1" s="1"/>
  <c r="Z132" i="1"/>
  <c r="AC132" i="1" s="1"/>
  <c r="AA295" i="1"/>
  <c r="AD295" i="1" s="1"/>
  <c r="AG295" i="1"/>
  <c r="AB64" i="1"/>
  <c r="AE64" i="1" s="1"/>
  <c r="AG64" i="1"/>
  <c r="AB198" i="1"/>
  <c r="AE198" i="1" s="1"/>
  <c r="AA198" i="1"/>
  <c r="AD198" i="1" s="1"/>
  <c r="AB112" i="1"/>
  <c r="AE112" i="1" s="1"/>
  <c r="AA112" i="1"/>
  <c r="AD112" i="1" s="1"/>
  <c r="AA278" i="1"/>
  <c r="AD278" i="1" s="1"/>
  <c r="AG278" i="1"/>
  <c r="Z144" i="1"/>
  <c r="AC144" i="1" s="1"/>
  <c r="AA350" i="1"/>
  <c r="AD350" i="1" s="1"/>
  <c r="AG443" i="1"/>
  <c r="Z336" i="1"/>
  <c r="AC336" i="1" s="1"/>
  <c r="Z447" i="1"/>
  <c r="AC447" i="1" s="1"/>
  <c r="AO447" i="1" s="1"/>
  <c r="Z397" i="1"/>
  <c r="AB343" i="1"/>
  <c r="AE343" i="1" s="1"/>
  <c r="AG343" i="1"/>
  <c r="AA343" i="1"/>
  <c r="AD343" i="1" s="1"/>
  <c r="AB439" i="1"/>
  <c r="AE439" i="1" s="1"/>
  <c r="Z439" i="1"/>
  <c r="AC439" i="1" s="1"/>
  <c r="AG439" i="1"/>
  <c r="AG176" i="1"/>
  <c r="AA176" i="1"/>
  <c r="AD176" i="1" s="1"/>
  <c r="AG216" i="1"/>
  <c r="AA216" i="1"/>
  <c r="AD216" i="1" s="1"/>
  <c r="AO216" i="1" s="1"/>
  <c r="AA409" i="1"/>
  <c r="AD409" i="1" s="1"/>
  <c r="AO409" i="1" s="1"/>
  <c r="AG67" i="1"/>
  <c r="AA67" i="1"/>
  <c r="AD67" i="1" s="1"/>
  <c r="AA238" i="1"/>
  <c r="AD238" i="1" s="1"/>
  <c r="AG181" i="1"/>
  <c r="AA181" i="1"/>
  <c r="AD181" i="1" s="1"/>
  <c r="Z257" i="1"/>
  <c r="AC257" i="1" s="1"/>
  <c r="Z74" i="1"/>
  <c r="AC74" i="1" s="1"/>
  <c r="AO74" i="1" s="1"/>
  <c r="Z239" i="1"/>
  <c r="AC239" i="1" s="1"/>
  <c r="AG234" i="1"/>
  <c r="Z251" i="1"/>
  <c r="AC251" i="1" s="1"/>
  <c r="AO251" i="1" s="1"/>
  <c r="AA20" i="1"/>
  <c r="AD20" i="1" s="1"/>
  <c r="AA117" i="1"/>
  <c r="AD117" i="1" s="1"/>
  <c r="Z278" i="1"/>
  <c r="AC278" i="1" s="1"/>
  <c r="Z142" i="1"/>
  <c r="AC142" i="1" s="1"/>
  <c r="AO142" i="1" s="1"/>
  <c r="AG367" i="1"/>
  <c r="Z91" i="1"/>
  <c r="AC91" i="1" s="1"/>
  <c r="AO91" i="1" s="1"/>
  <c r="AA218" i="1"/>
  <c r="AD218" i="1" s="1"/>
  <c r="AB218" i="1"/>
  <c r="AE218" i="1" s="1"/>
  <c r="Z44" i="1"/>
  <c r="AC44" i="1" s="1"/>
  <c r="AO44" i="1" s="1"/>
  <c r="Z206" i="1"/>
  <c r="AC206" i="1" s="1"/>
  <c r="AA4" i="1"/>
  <c r="AD4" i="1" s="1"/>
  <c r="Z202" i="1"/>
  <c r="AC202" i="1" s="1"/>
  <c r="AO202" i="1" s="1"/>
  <c r="AG7" i="1"/>
  <c r="AA7" i="1"/>
  <c r="AD7" i="1" s="1"/>
  <c r="AG45" i="1"/>
  <c r="AA45" i="1"/>
  <c r="AD45" i="1" s="1"/>
  <c r="Z199" i="1"/>
  <c r="AC199" i="1" s="1"/>
  <c r="Z254" i="1"/>
  <c r="AC254" i="1" s="1"/>
  <c r="AA81" i="1"/>
  <c r="AD81" i="1" s="1"/>
  <c r="AA108" i="1"/>
  <c r="AD108" i="1" s="1"/>
  <c r="AO108" i="1" s="1"/>
  <c r="AG108" i="1"/>
  <c r="AG95" i="1"/>
  <c r="Z232" i="1"/>
  <c r="AC232" i="1" s="1"/>
  <c r="AO232" i="1" s="1"/>
  <c r="AG219" i="1"/>
  <c r="AA219" i="1"/>
  <c r="AD219" i="1" s="1"/>
  <c r="AA286" i="1"/>
  <c r="AD286" i="1" s="1"/>
  <c r="AG187" i="1"/>
  <c r="AA187" i="1"/>
  <c r="AD187" i="1" s="1"/>
  <c r="AG144" i="1"/>
  <c r="AA144" i="1"/>
  <c r="AD144" i="1" s="1"/>
  <c r="AB144" i="1"/>
  <c r="AE144" i="1" s="1"/>
  <c r="AG188" i="1"/>
  <c r="AA188" i="1"/>
  <c r="AD188" i="1" s="1"/>
  <c r="AA101" i="1"/>
  <c r="AD101" i="1" s="1"/>
  <c r="AG101" i="1"/>
  <c r="AG106" i="1"/>
  <c r="AA106" i="1"/>
  <c r="AD106" i="1" s="1"/>
  <c r="Z188" i="1"/>
  <c r="AC188" i="1" s="1"/>
  <c r="AO188" i="1" s="1"/>
  <c r="AG118" i="1"/>
  <c r="AG252" i="1"/>
  <c r="AA252" i="1"/>
  <c r="AD252" i="1" s="1"/>
  <c r="AA154" i="1"/>
  <c r="AD154" i="1" s="1"/>
  <c r="AG154" i="1"/>
  <c r="AG40" i="1"/>
  <c r="AA40" i="1"/>
  <c r="AD40" i="1" s="1"/>
  <c r="AG148" i="1"/>
  <c r="AA148" i="1"/>
  <c r="AD148" i="1" s="1"/>
  <c r="AG30" i="1"/>
  <c r="AA30" i="1"/>
  <c r="AD30" i="1" s="1"/>
  <c r="AO30" i="1" s="1"/>
  <c r="AA206" i="1"/>
  <c r="AD206" i="1" s="1"/>
  <c r="AG206" i="1"/>
  <c r="AG128" i="1"/>
  <c r="AA128" i="1"/>
  <c r="AD128" i="1" s="1"/>
  <c r="Z322" i="1"/>
  <c r="AC322" i="1" s="1"/>
  <c r="Z119" i="1"/>
  <c r="AC119" i="1" s="1"/>
  <c r="AG410" i="1"/>
  <c r="AF137" i="1"/>
  <c r="AG72" i="1"/>
  <c r="AA72" i="1"/>
  <c r="AD72" i="1" s="1"/>
  <c r="AO72" i="1" s="1"/>
  <c r="AG261" i="1"/>
  <c r="AA261" i="1"/>
  <c r="AD261" i="1" s="1"/>
  <c r="Z204" i="1"/>
  <c r="AC204" i="1" s="1"/>
  <c r="AG456" i="1"/>
  <c r="Z456" i="1"/>
  <c r="AB272" i="1"/>
  <c r="AE272" i="1" s="1"/>
  <c r="AA272" i="1"/>
  <c r="AD272" i="1" s="1"/>
  <c r="AG263" i="1"/>
  <c r="Z282" i="1"/>
  <c r="AC282" i="1" s="1"/>
  <c r="AG248" i="1"/>
  <c r="AG286" i="1"/>
  <c r="AG3" i="1"/>
  <c r="AA3" i="1"/>
  <c r="AD3" i="1" s="1"/>
  <c r="AO3" i="1" s="1"/>
  <c r="AA170" i="1"/>
  <c r="AD170" i="1" s="1"/>
  <c r="AG170" i="1"/>
  <c r="AA345" i="1"/>
  <c r="AD345" i="1" s="1"/>
  <c r="Z77" i="1"/>
  <c r="AC77" i="1" s="1"/>
  <c r="AG238" i="1"/>
  <c r="Z112" i="1"/>
  <c r="AC112" i="1" s="1"/>
  <c r="AA29" i="1"/>
  <c r="AD29" i="1" s="1"/>
  <c r="AG29" i="1"/>
  <c r="AG225" i="1"/>
  <c r="AA225" i="1"/>
  <c r="AD225" i="1" s="1"/>
  <c r="Z33" i="1"/>
  <c r="AC33" i="1" s="1"/>
  <c r="AO33" i="1" s="1"/>
  <c r="AG276" i="1"/>
  <c r="AG46" i="1"/>
  <c r="AA199" i="1"/>
  <c r="AD199" i="1" s="1"/>
  <c r="AG199" i="1"/>
  <c r="Z200" i="1"/>
  <c r="AC200" i="1" s="1"/>
  <c r="AG255" i="1"/>
  <c r="AA255" i="1"/>
  <c r="AD255" i="1" s="1"/>
  <c r="AG23" i="1"/>
  <c r="AA23" i="1"/>
  <c r="AD23" i="1" s="1"/>
  <c r="Z46" i="1"/>
  <c r="AC46" i="1" s="1"/>
  <c r="AO46" i="1" s="1"/>
  <c r="AG271" i="1"/>
  <c r="AA271" i="1"/>
  <c r="AD271" i="1" s="1"/>
  <c r="AG39" i="1"/>
  <c r="AA39" i="1"/>
  <c r="AD39" i="1" s="1"/>
  <c r="AB65" i="1"/>
  <c r="AE65" i="1" s="1"/>
  <c r="AG65" i="1"/>
  <c r="AG116" i="1"/>
  <c r="AA116" i="1"/>
  <c r="AD116" i="1" s="1"/>
  <c r="AG110" i="1"/>
  <c r="AA110" i="1"/>
  <c r="AD110" i="1" s="1"/>
  <c r="AA399" i="1"/>
  <c r="AD399" i="1" s="1"/>
  <c r="AA113" i="1"/>
  <c r="AD113" i="1" s="1"/>
  <c r="AG113" i="1"/>
  <c r="AG47" i="1"/>
  <c r="AG268" i="1"/>
  <c r="AA268" i="1"/>
  <c r="AD268" i="1" s="1"/>
  <c r="Z192" i="1"/>
  <c r="AC192" i="1" s="1"/>
  <c r="Z276" i="1"/>
  <c r="AC276" i="1" s="1"/>
  <c r="AB130" i="1"/>
  <c r="AE130" i="1" s="1"/>
  <c r="AA130" i="1"/>
  <c r="AD130" i="1" s="1"/>
  <c r="AA296" i="1"/>
  <c r="AD296" i="1" s="1"/>
  <c r="AG296" i="1"/>
  <c r="AG73" i="1"/>
  <c r="AA73" i="1"/>
  <c r="AD73" i="1" s="1"/>
  <c r="AO73" i="1" s="1"/>
  <c r="Z73" i="1"/>
  <c r="AC73" i="1" s="1"/>
  <c r="Z65" i="1"/>
  <c r="AC65" i="1" s="1"/>
  <c r="Z124" i="1"/>
  <c r="AC124" i="1" s="1"/>
  <c r="AO124" i="1" s="1"/>
  <c r="AG132" i="1"/>
  <c r="AA132" i="1"/>
  <c r="AD132" i="1" s="1"/>
  <c r="AO132" i="1" s="1"/>
  <c r="AA194" i="1"/>
  <c r="AD194" i="1" s="1"/>
  <c r="AG194" i="1"/>
  <c r="AG173" i="1"/>
  <c r="AA173" i="1"/>
  <c r="AD173" i="1" s="1"/>
  <c r="AA56" i="1"/>
  <c r="AD56" i="1" s="1"/>
  <c r="AG150" i="1"/>
  <c r="AA150" i="1"/>
  <c r="AD150" i="1" s="1"/>
  <c r="AG221" i="1"/>
  <c r="AA221" i="1"/>
  <c r="AD221" i="1" s="1"/>
  <c r="AG54" i="1"/>
  <c r="AA54" i="1"/>
  <c r="AD54" i="1" s="1"/>
  <c r="AO54" i="1" s="1"/>
  <c r="AG123" i="1"/>
  <c r="AG86" i="1"/>
  <c r="AA86" i="1"/>
  <c r="AD86" i="1" s="1"/>
  <c r="AA270" i="1"/>
  <c r="AD270" i="1" s="1"/>
  <c r="AB270" i="1"/>
  <c r="AE270" i="1" s="1"/>
  <c r="AG292" i="1"/>
  <c r="AA292" i="1"/>
  <c r="AD292" i="1" s="1"/>
  <c r="AA224" i="1"/>
  <c r="AD224" i="1" s="1"/>
  <c r="AG224" i="1"/>
  <c r="AG93" i="1"/>
  <c r="AA93" i="1"/>
  <c r="AD93" i="1" s="1"/>
  <c r="AG414" i="1"/>
  <c r="Z443" i="1"/>
  <c r="AC443" i="1" s="1"/>
  <c r="AO443" i="1" s="1"/>
  <c r="AA327" i="1"/>
  <c r="AD327" i="1" s="1"/>
  <c r="AA65" i="1"/>
  <c r="AD65" i="1" s="1"/>
  <c r="AG198" i="1"/>
  <c r="AG163" i="1"/>
  <c r="AA163" i="1"/>
  <c r="AD163" i="1" s="1"/>
  <c r="AO163" i="1" s="1"/>
  <c r="Z48" i="1"/>
  <c r="AC48" i="1" s="1"/>
  <c r="AG273" i="1"/>
  <c r="AA189" i="1"/>
  <c r="AD189" i="1" s="1"/>
  <c r="AB189" i="1"/>
  <c r="AE189" i="1" s="1"/>
  <c r="AG197" i="1"/>
  <c r="AA197" i="1"/>
  <c r="AD197" i="1" s="1"/>
  <c r="AA420" i="1"/>
  <c r="AD420" i="1" s="1"/>
  <c r="AO420" i="1" s="1"/>
  <c r="Z163" i="1"/>
  <c r="AC163" i="1" s="1"/>
  <c r="AG97" i="1"/>
  <c r="AA97" i="1"/>
  <c r="AD97" i="1" s="1"/>
  <c r="AB90" i="1"/>
  <c r="AE90" i="1" s="1"/>
  <c r="AG90" i="1"/>
  <c r="AG76" i="1"/>
  <c r="AA76" i="1"/>
  <c r="AD76" i="1" s="1"/>
  <c r="AA351" i="1"/>
  <c r="AD351" i="1" s="1"/>
  <c r="AA349" i="1"/>
  <c r="AD349" i="1" s="1"/>
  <c r="AO349" i="1" s="1"/>
  <c r="AG137" i="1"/>
  <c r="AG84" i="1"/>
  <c r="AA84" i="1"/>
  <c r="AD84" i="1" s="1"/>
  <c r="AO84" i="1" s="1"/>
  <c r="Z216" i="1"/>
  <c r="AC216" i="1" s="1"/>
  <c r="Z187" i="1"/>
  <c r="AC187" i="1" s="1"/>
  <c r="Z184" i="1"/>
  <c r="AC184" i="1" s="1"/>
  <c r="AG149" i="1"/>
  <c r="AA149" i="1"/>
  <c r="AD149" i="1" s="1"/>
  <c r="AG215" i="1"/>
  <c r="AA215" i="1"/>
  <c r="AD215" i="1" s="1"/>
  <c r="AA8" i="1"/>
  <c r="AD8" i="1" s="1"/>
  <c r="AG8" i="1"/>
  <c r="Z8" i="1"/>
  <c r="AC8" i="1" s="1"/>
  <c r="AO8" i="1" s="1"/>
  <c r="AG61" i="1"/>
  <c r="AA61" i="1"/>
  <c r="AD61" i="1" s="1"/>
  <c r="AO61" i="1" s="1"/>
  <c r="AG91" i="1"/>
  <c r="AA91" i="1"/>
  <c r="AD91" i="1" s="1"/>
  <c r="AG191" i="1"/>
  <c r="Z420" i="1"/>
  <c r="AC420" i="1" s="1"/>
  <c r="Z292" i="1"/>
  <c r="AC292" i="1" s="1"/>
  <c r="AA276" i="1"/>
  <c r="AD276" i="1" s="1"/>
  <c r="AO276" i="1" s="1"/>
  <c r="Z45" i="1"/>
  <c r="AC45" i="1" s="1"/>
  <c r="AO45" i="1" s="1"/>
  <c r="AA46" i="1"/>
  <c r="AD46" i="1" s="1"/>
  <c r="AG254" i="1"/>
  <c r="AA254" i="1"/>
  <c r="AD254" i="1" s="1"/>
  <c r="AO254" i="1" s="1"/>
  <c r="AG178" i="1"/>
  <c r="AA178" i="1"/>
  <c r="AD178" i="1" s="1"/>
  <c r="AG17" i="1"/>
  <c r="AA17" i="1"/>
  <c r="AD17" i="1" s="1"/>
  <c r="AG232" i="1"/>
  <c r="AA232" i="1"/>
  <c r="AD232" i="1" s="1"/>
  <c r="AG115" i="1"/>
  <c r="AA115" i="1"/>
  <c r="AD115" i="1" s="1"/>
  <c r="Z115" i="1"/>
  <c r="AC115" i="1" s="1"/>
  <c r="AB162" i="1"/>
  <c r="AE162" i="1" s="1"/>
  <c r="AA162" i="1"/>
  <c r="AD162" i="1" s="1"/>
  <c r="AG242" i="1"/>
  <c r="AA242" i="1"/>
  <c r="AD242" i="1" s="1"/>
  <c r="AO242" i="1" s="1"/>
  <c r="AG79" i="1"/>
  <c r="AA79" i="1"/>
  <c r="AD79" i="1" s="1"/>
  <c r="AA360" i="1"/>
  <c r="AD360" i="1" s="1"/>
  <c r="AO360" i="1" s="1"/>
  <c r="AG340" i="1"/>
  <c r="AG418" i="1"/>
  <c r="AG366" i="1"/>
  <c r="AA299" i="1"/>
  <c r="AD299" i="1" s="1"/>
  <c r="AA213" i="1"/>
  <c r="AD213" i="1" s="1"/>
  <c r="AG190" i="1"/>
  <c r="AA190" i="1"/>
  <c r="AD190" i="1" s="1"/>
  <c r="AA109" i="1"/>
  <c r="AD109" i="1" s="1"/>
  <c r="AO109" i="1" s="1"/>
  <c r="Z97" i="1"/>
  <c r="AC97" i="1" s="1"/>
  <c r="Z80" i="1"/>
  <c r="AC80" i="1" s="1"/>
  <c r="AO80" i="1" s="1"/>
  <c r="Z110" i="1"/>
  <c r="AC110" i="1" s="1"/>
  <c r="AO110" i="1" s="1"/>
  <c r="AB239" i="1"/>
  <c r="AE239" i="1" s="1"/>
  <c r="AG239" i="1"/>
  <c r="Z71" i="1"/>
  <c r="AC71" i="1" s="1"/>
  <c r="AG20" i="1"/>
  <c r="Z36" i="1"/>
  <c r="AC36" i="1" s="1"/>
  <c r="AG44" i="1"/>
  <c r="AA44" i="1"/>
  <c r="AD44" i="1" s="1"/>
  <c r="AA90" i="1"/>
  <c r="AD90" i="1" s="1"/>
  <c r="AO90" i="1" s="1"/>
  <c r="AB49" i="1"/>
  <c r="AE49" i="1" s="1"/>
  <c r="AG151" i="1"/>
  <c r="AA151" i="1"/>
  <c r="AD151" i="1" s="1"/>
  <c r="Z151" i="1"/>
  <c r="AC151" i="1" s="1"/>
  <c r="AB177" i="1"/>
  <c r="AE177" i="1" s="1"/>
  <c r="AA177" i="1"/>
  <c r="AD177" i="1" s="1"/>
  <c r="AA260" i="1"/>
  <c r="AD260" i="1" s="1"/>
  <c r="AG260" i="1"/>
  <c r="AA313" i="1"/>
  <c r="AD313" i="1" s="1"/>
  <c r="AO313" i="1" s="1"/>
  <c r="Z344" i="1"/>
  <c r="AC344" i="1" s="1"/>
  <c r="AO344" i="1" s="1"/>
  <c r="AG394" i="1"/>
  <c r="AG334" i="1"/>
  <c r="Z308" i="1"/>
  <c r="Z387" i="1"/>
  <c r="AC387" i="1" s="1"/>
  <c r="AO387" i="1" s="1"/>
  <c r="Z411" i="1"/>
  <c r="AC411" i="1" s="1"/>
  <c r="AO411" i="1" s="1"/>
  <c r="Z69" i="1"/>
  <c r="AC69" i="1" s="1"/>
  <c r="Z83" i="1"/>
  <c r="AC83" i="1" s="1"/>
  <c r="Z171" i="1"/>
  <c r="AC171" i="1" s="1"/>
  <c r="AO171" i="1" s="1"/>
  <c r="Z195" i="1"/>
  <c r="AC195" i="1" s="1"/>
  <c r="Z93" i="1"/>
  <c r="AC93" i="1" s="1"/>
  <c r="AG189" i="1"/>
  <c r="Z9" i="1"/>
  <c r="AC9" i="1" s="1"/>
  <c r="AG80" i="1"/>
  <c r="AA80" i="1"/>
  <c r="AD80" i="1" s="1"/>
  <c r="AG179" i="1"/>
  <c r="AA179" i="1"/>
  <c r="AD179" i="1" s="1"/>
  <c r="Z245" i="1"/>
  <c r="AC245" i="1" s="1"/>
  <c r="Z35" i="1"/>
  <c r="AC35" i="1" s="1"/>
  <c r="AA203" i="1"/>
  <c r="AD203" i="1" s="1"/>
  <c r="AG71" i="1"/>
  <c r="AA71" i="1"/>
  <c r="AD71" i="1" s="1"/>
  <c r="AA251" i="1"/>
  <c r="AD251" i="1" s="1"/>
  <c r="AA31" i="1"/>
  <c r="AD31" i="1" s="1"/>
  <c r="AG117" i="1"/>
  <c r="Z288" i="1"/>
  <c r="AC288" i="1" s="1"/>
  <c r="AA36" i="1"/>
  <c r="AD36" i="1" s="1"/>
  <c r="AO36" i="1" s="1"/>
  <c r="AG36" i="1"/>
  <c r="AG4" i="1"/>
  <c r="AG33" i="1"/>
  <c r="AA33" i="1"/>
  <c r="AD33" i="1" s="1"/>
  <c r="AG269" i="1"/>
  <c r="AG227" i="1"/>
  <c r="AA227" i="1"/>
  <c r="AD227" i="1" s="1"/>
  <c r="Z53" i="1"/>
  <c r="AC53" i="1" s="1"/>
  <c r="Z185" i="1"/>
  <c r="AC185" i="1" s="1"/>
  <c r="AG275" i="1"/>
  <c r="AA275" i="1"/>
  <c r="AD275" i="1" s="1"/>
  <c r="AG81" i="1"/>
  <c r="Z255" i="1"/>
  <c r="AC255" i="1" s="1"/>
  <c r="AO255" i="1" s="1"/>
  <c r="Z134" i="1"/>
  <c r="AC134" i="1" s="1"/>
  <c r="AO134" i="1" s="1"/>
  <c r="Z23" i="1"/>
  <c r="AC23" i="1" s="1"/>
  <c r="AA263" i="1"/>
  <c r="AD263" i="1" s="1"/>
  <c r="AO263" i="1" s="1"/>
  <c r="AG112" i="1"/>
  <c r="AG42" i="1"/>
  <c r="AA42" i="1"/>
  <c r="AD42" i="1" s="1"/>
  <c r="AG159" i="1"/>
  <c r="AA159" i="1"/>
  <c r="AD159" i="1" s="1"/>
  <c r="AG57" i="1"/>
  <c r="AA57" i="1"/>
  <c r="AD57" i="1" s="1"/>
  <c r="Z101" i="1"/>
  <c r="AC101" i="1" s="1"/>
  <c r="AO101" i="1" s="1"/>
  <c r="Z106" i="1"/>
  <c r="AC106" i="1" s="1"/>
  <c r="AO106" i="1" s="1"/>
  <c r="Z154" i="1"/>
  <c r="AC154" i="1" s="1"/>
  <c r="AO154" i="1" s="1"/>
  <c r="Z345" i="1"/>
  <c r="AC345" i="1" s="1"/>
  <c r="AO345" i="1" s="1"/>
  <c r="AG156" i="1"/>
  <c r="AA156" i="1"/>
  <c r="AD156" i="1" s="1"/>
  <c r="AO156" i="1" s="1"/>
  <c r="AB122" i="1"/>
  <c r="AE122" i="1" s="1"/>
  <c r="AO122" i="1" s="1"/>
  <c r="AA122" i="1"/>
  <c r="AD122" i="1" s="1"/>
  <c r="AA152" i="1"/>
  <c r="AD152" i="1" s="1"/>
  <c r="AG152" i="1"/>
  <c r="Z311" i="1"/>
  <c r="AC311" i="1" s="1"/>
  <c r="AA311" i="1"/>
  <c r="AD311" i="1" s="1"/>
  <c r="Z351" i="1"/>
  <c r="AC351" i="1" s="1"/>
  <c r="AO351" i="1" s="1"/>
  <c r="AB351" i="1"/>
  <c r="AE351" i="1" s="1"/>
  <c r="AB290" i="1"/>
  <c r="AE290" i="1" s="1"/>
  <c r="AO290" i="1" s="1"/>
  <c r="AA290" i="1"/>
  <c r="AD290" i="1" s="1"/>
  <c r="AG164" i="1"/>
  <c r="AA164" i="1"/>
  <c r="AD164" i="1" s="1"/>
  <c r="AG299" i="1"/>
  <c r="AA124" i="1"/>
  <c r="AD124" i="1" s="1"/>
  <c r="AG18" i="1"/>
  <c r="AA18" i="1"/>
  <c r="AD18" i="1" s="1"/>
  <c r="Z296" i="1"/>
  <c r="AC296" i="1" s="1"/>
  <c r="AA88" i="1"/>
  <c r="AD88" i="1" s="1"/>
  <c r="AG88" i="1"/>
  <c r="AA133" i="1"/>
  <c r="AD133" i="1" s="1"/>
  <c r="AO133" i="1" s="1"/>
  <c r="AG133" i="1"/>
  <c r="AA182" i="1"/>
  <c r="AD182" i="1" s="1"/>
  <c r="AG182" i="1"/>
  <c r="AG346" i="1"/>
  <c r="AA169" i="1"/>
  <c r="AD169" i="1" s="1"/>
  <c r="AO169" i="1" s="1"/>
  <c r="AG169" i="1"/>
  <c r="Z169" i="1"/>
  <c r="AC169" i="1" s="1"/>
  <c r="AB126" i="1"/>
  <c r="AE126" i="1" s="1"/>
  <c r="AA126" i="1"/>
  <c r="AD126" i="1" s="1"/>
  <c r="AG98" i="1"/>
  <c r="AA98" i="1"/>
  <c r="AD98" i="1" s="1"/>
  <c r="AB274" i="1"/>
  <c r="AE274" i="1" s="1"/>
  <c r="AO274" i="1" s="1"/>
  <c r="AG92" i="1"/>
  <c r="AA92" i="1"/>
  <c r="AD92" i="1" s="1"/>
  <c r="AG200" i="1"/>
  <c r="AA200" i="1"/>
  <c r="AD200" i="1" s="1"/>
  <c r="AF320" i="1"/>
  <c r="AG385" i="1"/>
  <c r="AG69" i="1"/>
  <c r="AA69" i="1"/>
  <c r="AD69" i="1" s="1"/>
  <c r="Z78" i="1"/>
  <c r="AC78" i="1" s="1"/>
  <c r="AG83" i="1"/>
  <c r="AA83" i="1"/>
  <c r="AD83" i="1" s="1"/>
  <c r="AG195" i="1"/>
  <c r="AA195" i="1"/>
  <c r="AD195" i="1" s="1"/>
  <c r="AG100" i="1"/>
  <c r="Z100" i="1"/>
  <c r="AC100" i="1" s="1"/>
  <c r="AA100" i="1"/>
  <c r="AD100" i="1" s="1"/>
  <c r="Z213" i="1"/>
  <c r="AC213" i="1" s="1"/>
  <c r="AO213" i="1" s="1"/>
  <c r="Z260" i="1"/>
  <c r="AC260" i="1" s="1"/>
  <c r="AO260" i="1" s="1"/>
  <c r="AG109" i="1"/>
  <c r="AA47" i="1"/>
  <c r="AD47" i="1" s="1"/>
  <c r="AA256" i="1"/>
  <c r="AD256" i="1" s="1"/>
  <c r="AG9" i="1"/>
  <c r="AA9" i="1"/>
  <c r="AD9" i="1" s="1"/>
  <c r="AO9" i="1" s="1"/>
  <c r="Z98" i="1"/>
  <c r="AC98" i="1" s="1"/>
  <c r="Z117" i="1"/>
  <c r="AC117" i="1" s="1"/>
  <c r="AA35" i="1"/>
  <c r="AD35" i="1" s="1"/>
  <c r="AG35" i="1"/>
  <c r="AA118" i="1"/>
  <c r="AD118" i="1" s="1"/>
  <c r="AG158" i="1"/>
  <c r="AG51" i="1"/>
  <c r="Z123" i="1"/>
  <c r="AC123" i="1" s="1"/>
  <c r="AG288" i="1"/>
  <c r="AA288" i="1"/>
  <c r="AD288" i="1" s="1"/>
  <c r="Z42" i="1"/>
  <c r="AC42" i="1" s="1"/>
  <c r="AG445" i="1"/>
  <c r="Z159" i="1"/>
  <c r="AC159" i="1" s="1"/>
  <c r="AO159" i="1" s="1"/>
  <c r="Z252" i="1"/>
  <c r="AC252" i="1" s="1"/>
  <c r="Z57" i="1"/>
  <c r="AC57" i="1" s="1"/>
  <c r="Z90" i="1"/>
  <c r="AC90" i="1" s="1"/>
  <c r="Z220" i="1"/>
  <c r="AC220" i="1" s="1"/>
  <c r="Z40" i="1"/>
  <c r="AC40" i="1" s="1"/>
  <c r="AO40" i="1" s="1"/>
  <c r="Z227" i="1"/>
  <c r="AC227" i="1" s="1"/>
  <c r="AO227" i="1" s="1"/>
  <c r="AA53" i="1"/>
  <c r="AD53" i="1" s="1"/>
  <c r="AG53" i="1"/>
  <c r="Z186" i="1"/>
  <c r="AC186" i="1" s="1"/>
  <c r="Z275" i="1"/>
  <c r="AC275" i="1" s="1"/>
  <c r="AO275" i="1" s="1"/>
  <c r="AG209" i="1"/>
  <c r="AA209" i="1"/>
  <c r="AD209" i="1" s="1"/>
  <c r="Z268" i="1"/>
  <c r="AC268" i="1" s="1"/>
  <c r="AO268" i="1" s="1"/>
  <c r="AG12" i="1"/>
  <c r="AA285" i="1"/>
  <c r="AD285" i="1" s="1"/>
  <c r="Z39" i="1"/>
  <c r="AC39" i="1" s="1"/>
  <c r="AA355" i="1"/>
  <c r="AD355" i="1" s="1"/>
  <c r="AB355" i="1"/>
  <c r="AE355" i="1" s="1"/>
  <c r="AG355" i="1"/>
  <c r="AG330" i="1"/>
  <c r="AA407" i="1"/>
  <c r="AD407" i="1" s="1"/>
  <c r="AG407" i="1"/>
  <c r="AG416" i="1"/>
  <c r="AA416" i="1"/>
  <c r="AD416" i="1" s="1"/>
  <c r="Z452" i="1"/>
  <c r="AC452" i="1" s="1"/>
  <c r="AA405" i="1"/>
  <c r="AD405" i="1" s="1"/>
  <c r="AG405" i="1"/>
  <c r="AG370" i="1"/>
  <c r="AA370" i="1"/>
  <c r="AD370" i="1" s="1"/>
  <c r="AG348" i="1"/>
  <c r="AA348" i="1"/>
  <c r="AD348" i="1" s="1"/>
  <c r="Z348" i="1"/>
  <c r="AC348" i="1" s="1"/>
  <c r="AG457" i="1"/>
  <c r="AA457" i="1"/>
  <c r="AD457" i="1" s="1"/>
  <c r="AA383" i="1"/>
  <c r="AD383" i="1" s="1"/>
  <c r="AG383" i="1"/>
  <c r="AA309" i="1"/>
  <c r="AD309" i="1" s="1"/>
  <c r="AG309" i="1"/>
  <c r="Z309" i="1"/>
  <c r="AC309" i="1" s="1"/>
  <c r="AG441" i="1"/>
  <c r="AA441" i="1"/>
  <c r="AD441" i="1" s="1"/>
  <c r="Z383" i="1"/>
  <c r="AC383" i="1" s="1"/>
  <c r="AG423" i="1"/>
  <c r="AB391" i="1"/>
  <c r="AE391" i="1" s="1"/>
  <c r="AA391" i="1"/>
  <c r="AD391" i="1" s="1"/>
  <c r="AG391" i="1"/>
  <c r="AA356" i="1"/>
  <c r="AD356" i="1" s="1"/>
  <c r="AA385" i="1"/>
  <c r="AD385" i="1" s="1"/>
  <c r="AA301" i="1"/>
  <c r="AD301" i="1" s="1"/>
  <c r="AO301" i="1" s="1"/>
  <c r="AG301" i="1"/>
  <c r="AG386" i="1"/>
  <c r="AG377" i="1"/>
  <c r="AA377" i="1"/>
  <c r="AD377" i="1" s="1"/>
  <c r="Z409" i="1"/>
  <c r="AC409" i="1" s="1"/>
  <c r="AG409" i="1"/>
  <c r="AA329" i="1"/>
  <c r="AD329" i="1" s="1"/>
  <c r="AG329" i="1"/>
  <c r="AA393" i="1"/>
  <c r="AD393" i="1" s="1"/>
  <c r="AG393" i="1"/>
  <c r="AG371" i="1"/>
  <c r="AA371" i="1"/>
  <c r="AD371" i="1" s="1"/>
  <c r="Z355" i="1"/>
  <c r="AC355" i="1" s="1"/>
  <c r="AA330" i="1"/>
  <c r="AD330" i="1" s="1"/>
  <c r="AB330" i="1"/>
  <c r="AE330" i="1" s="1"/>
  <c r="AA333" i="1"/>
  <c r="AD333" i="1" s="1"/>
  <c r="AG333" i="1"/>
  <c r="Z333" i="1"/>
  <c r="AC333" i="1" s="1"/>
  <c r="AG452" i="1"/>
  <c r="AA452" i="1"/>
  <c r="AD452" i="1" s="1"/>
  <c r="Z359" i="1"/>
  <c r="AG359" i="1"/>
  <c r="Z356" i="1"/>
  <c r="AC356" i="1" s="1"/>
  <c r="AG434" i="1"/>
  <c r="AA434" i="1"/>
  <c r="AD434" i="1" s="1"/>
  <c r="AA436" i="1"/>
  <c r="AD436" i="1" s="1"/>
  <c r="AG436" i="1"/>
  <c r="Z434" i="1"/>
  <c r="AC434" i="1" s="1"/>
  <c r="AO434" i="1" s="1"/>
  <c r="AA325" i="1"/>
  <c r="AD325" i="1" s="1"/>
  <c r="AG325" i="1"/>
  <c r="Z416" i="1"/>
  <c r="AC416" i="1" s="1"/>
  <c r="AG363" i="1"/>
  <c r="AA363" i="1"/>
  <c r="AD363" i="1" s="1"/>
  <c r="AG401" i="1"/>
  <c r="AA401" i="1"/>
  <c r="AD401" i="1" s="1"/>
  <c r="Z401" i="1"/>
  <c r="AC401" i="1" s="1"/>
  <c r="AO401" i="1" s="1"/>
  <c r="AA419" i="1"/>
  <c r="AD419" i="1" s="1"/>
  <c r="AG419" i="1"/>
  <c r="AB315" i="1"/>
  <c r="AE315" i="1" s="1"/>
  <c r="AA425" i="1"/>
  <c r="AD425" i="1" s="1"/>
  <c r="AG425" i="1"/>
  <c r="AB342" i="1"/>
  <c r="AE342" i="1" s="1"/>
  <c r="AG342" i="1"/>
  <c r="Z315" i="1"/>
  <c r="AC315" i="1" s="1"/>
  <c r="AG358" i="1"/>
  <c r="AA358" i="1"/>
  <c r="AD358" i="1" s="1"/>
  <c r="AA458" i="1"/>
  <c r="AD458" i="1" s="1"/>
  <c r="AG458" i="1"/>
  <c r="AG421" i="1"/>
  <c r="AA421" i="1"/>
  <c r="AD421" i="1" s="1"/>
  <c r="AA395" i="1"/>
  <c r="AD395" i="1" s="1"/>
  <c r="AG395" i="1"/>
  <c r="AA317" i="1"/>
  <c r="AD317" i="1" s="1"/>
  <c r="AG317" i="1"/>
  <c r="Z363" i="1"/>
  <c r="AC363" i="1" s="1"/>
  <c r="AG353" i="1"/>
  <c r="AA454" i="1"/>
  <c r="AD454" i="1" s="1"/>
  <c r="AG454" i="1"/>
  <c r="AG440" i="1"/>
  <c r="Z421" i="1"/>
  <c r="AC421" i="1" s="1"/>
  <c r="AA423" i="1"/>
  <c r="AD423" i="1" s="1"/>
  <c r="Z406" i="1"/>
  <c r="AC406" i="1" s="1"/>
  <c r="AG341" i="1"/>
  <c r="AA341" i="1"/>
  <c r="AD341" i="1" s="1"/>
  <c r="AA315" i="1"/>
  <c r="AD315" i="1" s="1"/>
  <c r="AG356" i="1"/>
  <c r="AA440" i="1"/>
  <c r="AD440" i="1" s="1"/>
  <c r="AO440" i="1" s="1"/>
  <c r="AA427" i="1"/>
  <c r="AD427" i="1" s="1"/>
  <c r="AO427" i="1" s="1"/>
  <c r="AG427" i="1"/>
  <c r="AG336" i="1"/>
  <c r="AA336" i="1"/>
  <c r="AD336" i="1" s="1"/>
  <c r="AO336" i="1" s="1"/>
  <c r="AB449" i="1"/>
  <c r="AE449" i="1" s="1"/>
  <c r="AG449" i="1"/>
  <c r="AA321" i="1"/>
  <c r="AD321" i="1" s="1"/>
  <c r="AG321" i="1"/>
  <c r="Z441" i="1"/>
  <c r="AC441" i="1" s="1"/>
  <c r="AG315" i="1"/>
  <c r="Z449" i="1"/>
  <c r="AC449" i="1" s="1"/>
  <c r="AG447" i="1"/>
  <c r="AA447" i="1"/>
  <c r="AD447" i="1" s="1"/>
  <c r="Z457" i="1"/>
  <c r="AC457" i="1" s="1"/>
  <c r="Z297" i="1"/>
  <c r="AC297" i="1" s="1"/>
  <c r="AO297" i="1" s="1"/>
  <c r="Z385" i="1"/>
  <c r="AC385" i="1" s="1"/>
  <c r="AG298" i="1"/>
  <c r="AA449" i="1"/>
  <c r="AD449" i="1" s="1"/>
  <c r="AA319" i="1"/>
  <c r="AD319" i="1" s="1"/>
  <c r="AB319" i="1"/>
  <c r="AE319" i="1" s="1"/>
  <c r="AA389" i="1"/>
  <c r="AD389" i="1" s="1"/>
  <c r="AG389" i="1"/>
  <c r="Z389" i="1"/>
  <c r="AC389" i="1" s="1"/>
  <c r="AA347" i="1"/>
  <c r="AD347" i="1" s="1"/>
  <c r="AG347" i="1"/>
  <c r="Z391" i="1"/>
  <c r="AC391" i="1" s="1"/>
  <c r="AO391" i="1" s="1"/>
  <c r="Z413" i="1"/>
  <c r="AC413" i="1" s="1"/>
  <c r="AO413" i="1" s="1"/>
  <c r="AG444" i="1"/>
  <c r="AA444" i="1"/>
  <c r="AD444" i="1" s="1"/>
  <c r="AO444" i="1" s="1"/>
  <c r="AG406" i="1"/>
  <c r="AG378" i="1"/>
  <c r="Z319" i="1"/>
  <c r="AC319" i="1" s="1"/>
  <c r="Z335" i="1"/>
  <c r="AC335" i="1" s="1"/>
  <c r="AO335" i="1" s="1"/>
  <c r="AG335" i="1"/>
  <c r="AA305" i="1"/>
  <c r="AD305" i="1" s="1"/>
  <c r="AG305" i="1"/>
  <c r="Z347" i="1"/>
  <c r="AC347" i="1" s="1"/>
  <c r="AA403" i="1"/>
  <c r="AD403" i="1" s="1"/>
  <c r="AG403" i="1"/>
  <c r="AA344" i="1"/>
  <c r="AD344" i="1" s="1"/>
  <c r="AG344" i="1"/>
  <c r="AG413" i="1"/>
  <c r="AA413" i="1"/>
  <c r="AD413" i="1" s="1"/>
  <c r="AA381" i="1"/>
  <c r="AD381" i="1" s="1"/>
  <c r="AG381" i="1"/>
  <c r="Z377" i="1"/>
  <c r="AC377" i="1" s="1"/>
  <c r="Z403" i="1"/>
  <c r="AC403" i="1" s="1"/>
  <c r="Z419" i="1"/>
  <c r="AC419" i="1" s="1"/>
  <c r="AO419" i="1" s="1"/>
  <c r="Z329" i="1"/>
  <c r="AC329" i="1" s="1"/>
  <c r="Z393" i="1"/>
  <c r="AC393" i="1" s="1"/>
  <c r="Z436" i="1"/>
  <c r="AC436" i="1" s="1"/>
  <c r="AO436" i="1" s="1"/>
  <c r="AA386" i="1"/>
  <c r="AD386" i="1" s="1"/>
  <c r="AO386" i="1" s="1"/>
  <c r="Z371" i="1"/>
  <c r="AC371" i="1" s="1"/>
  <c r="AO371" i="1" s="1"/>
  <c r="Z301" i="1"/>
  <c r="AC301" i="1" s="1"/>
  <c r="AA378" i="1"/>
  <c r="AD378" i="1" s="1"/>
  <c r="AO441" i="1" l="1"/>
  <c r="AO162" i="1"/>
  <c r="AO393" i="1"/>
  <c r="AO457" i="1"/>
  <c r="AO206" i="1"/>
  <c r="AO370" i="1"/>
  <c r="AC368" i="1"/>
  <c r="AO368" i="1" s="1"/>
  <c r="AF368" i="1"/>
  <c r="AO382" i="1"/>
  <c r="AC396" i="1"/>
  <c r="AO396" i="1" s="1"/>
  <c r="AF396" i="1"/>
  <c r="AO150" i="1"/>
  <c r="AO189" i="1"/>
  <c r="AO334" i="1"/>
  <c r="AO13" i="1"/>
  <c r="AO284" i="1"/>
  <c r="AO265" i="1"/>
  <c r="AO96" i="1"/>
  <c r="AO422" i="1"/>
  <c r="AO65" i="1"/>
  <c r="AO363" i="1"/>
  <c r="AO185" i="1"/>
  <c r="AO257" i="1"/>
  <c r="AO215" i="1"/>
  <c r="AO339" i="1"/>
  <c r="AO404" i="1"/>
  <c r="AO221" i="1"/>
  <c r="AO266" i="1"/>
  <c r="AO403" i="1"/>
  <c r="AO389" i="1"/>
  <c r="AO449" i="1"/>
  <c r="AO333" i="1"/>
  <c r="AO348" i="1"/>
  <c r="AO123" i="1"/>
  <c r="AO53" i="1"/>
  <c r="AO93" i="1"/>
  <c r="AO292" i="1"/>
  <c r="AO119" i="1"/>
  <c r="AO181" i="1"/>
  <c r="AO358" i="1"/>
  <c r="AO261" i="1"/>
  <c r="AO21" i="1"/>
  <c r="AO286" i="1"/>
  <c r="AO377" i="1"/>
  <c r="AO325" i="1"/>
  <c r="AO383" i="1"/>
  <c r="AO42" i="1"/>
  <c r="AO195" i="1"/>
  <c r="AO71" i="1"/>
  <c r="AO112" i="1"/>
  <c r="AO322" i="1"/>
  <c r="AO14" i="1"/>
  <c r="AO353" i="1"/>
  <c r="AO207" i="1"/>
  <c r="AO224" i="1"/>
  <c r="AO454" i="1"/>
  <c r="AO48" i="1"/>
  <c r="AO111" i="1"/>
  <c r="AF214" i="1"/>
  <c r="AO431" i="1"/>
  <c r="AO190" i="1"/>
  <c r="AO366" i="1"/>
  <c r="AO168" i="1"/>
  <c r="AO450" i="1"/>
  <c r="AC372" i="1"/>
  <c r="AF372" i="1"/>
  <c r="AO117" i="1"/>
  <c r="AO356" i="1"/>
  <c r="AO385" i="1"/>
  <c r="AO98" i="1"/>
  <c r="AO425" i="1"/>
  <c r="AO350" i="1"/>
  <c r="AO219" i="1"/>
  <c r="AO31" i="1"/>
  <c r="AO176" i="1"/>
  <c r="AO337" i="1"/>
  <c r="AO105" i="1"/>
  <c r="AO38" i="1"/>
  <c r="AO381" i="1"/>
  <c r="AO319" i="1"/>
  <c r="AO220" i="1"/>
  <c r="AO83" i="1"/>
  <c r="AO184" i="1"/>
  <c r="AO252" i="1"/>
  <c r="AO241" i="1"/>
  <c r="AO160" i="1"/>
  <c r="AO147" i="1"/>
  <c r="AO63" i="1"/>
  <c r="AO29" i="1"/>
  <c r="AO430" i="1"/>
  <c r="AO378" i="1"/>
  <c r="AO330" i="1"/>
  <c r="AO100" i="1"/>
  <c r="AO200" i="1"/>
  <c r="AO343" i="1"/>
  <c r="AO64" i="1"/>
  <c r="AO225" i="1"/>
  <c r="AO300" i="1"/>
  <c r="AO144" i="1"/>
  <c r="AO60" i="1"/>
  <c r="AO70" i="1"/>
  <c r="AO192" i="1"/>
  <c r="AO43" i="1"/>
  <c r="AO272" i="1"/>
  <c r="AO341" i="1"/>
  <c r="AO294" i="1"/>
  <c r="AO39" i="1"/>
  <c r="AO97" i="1"/>
  <c r="AO270" i="1"/>
  <c r="AO199" i="1"/>
  <c r="AO198" i="1"/>
  <c r="AO204" i="1"/>
  <c r="AO76" i="1"/>
  <c r="AO5" i="1"/>
  <c r="AO6" i="1"/>
  <c r="AO237" i="1"/>
  <c r="AO293" i="1"/>
  <c r="AO158" i="1"/>
  <c r="AO388" i="1"/>
  <c r="AO406" i="1"/>
  <c r="AO421" i="1"/>
  <c r="AO309" i="1"/>
  <c r="AO69" i="1"/>
  <c r="AO77" i="1"/>
  <c r="AO183" i="1"/>
  <c r="AO407" i="1"/>
  <c r="AO174" i="1"/>
  <c r="AO451" i="1"/>
  <c r="AO209" i="1"/>
  <c r="AO408" i="1"/>
  <c r="AO218" i="1"/>
  <c r="AO37" i="1"/>
  <c r="AO12" i="1"/>
  <c r="AO305" i="1"/>
  <c r="AO446" i="1"/>
  <c r="AO428" i="1"/>
  <c r="AO355" i="1"/>
  <c r="AO405" i="1"/>
  <c r="AO57" i="1"/>
  <c r="AO23" i="1"/>
  <c r="AO245" i="1"/>
  <c r="AO151" i="1"/>
  <c r="AO278" i="1"/>
  <c r="AO59" i="1"/>
  <c r="AO317" i="1"/>
  <c r="AO327" i="1"/>
  <c r="AO244" i="1"/>
  <c r="AO27" i="1"/>
  <c r="AO321" i="1"/>
  <c r="AO238" i="1"/>
  <c r="AO172" i="1"/>
  <c r="AO259" i="1"/>
  <c r="AO369" i="1"/>
  <c r="AO161" i="1"/>
  <c r="AO303" i="1"/>
  <c r="AO240" i="1"/>
  <c r="AO299" i="1"/>
  <c r="AO81" i="1"/>
  <c r="AO376" i="1"/>
  <c r="AO149" i="1"/>
  <c r="AO193" i="1"/>
  <c r="AO88" i="1"/>
  <c r="AO264" i="1"/>
  <c r="AO262" i="1"/>
  <c r="AO329" i="1"/>
  <c r="AO347" i="1"/>
  <c r="AO315" i="1"/>
  <c r="AO288" i="1"/>
  <c r="AO126" i="1"/>
  <c r="AO296" i="1"/>
  <c r="AO311" i="1"/>
  <c r="AO239" i="1"/>
  <c r="AO205" i="1"/>
  <c r="AO277" i="1"/>
  <c r="AO208" i="1"/>
  <c r="AO414" i="1"/>
  <c r="AO340" i="1"/>
  <c r="AO4" i="1"/>
  <c r="AO116" i="1"/>
  <c r="AO20" i="1"/>
  <c r="AO281" i="1"/>
  <c r="AO394" i="1"/>
  <c r="AO157" i="1"/>
  <c r="AO51" i="1"/>
  <c r="AO361" i="1"/>
  <c r="AO148" i="1"/>
  <c r="AO400" i="1"/>
  <c r="AO102" i="1"/>
  <c r="AO379" i="1"/>
  <c r="AO412" i="1"/>
  <c r="AO423" i="1"/>
  <c r="AO346" i="1"/>
  <c r="AO7" i="1"/>
  <c r="AO113" i="1"/>
  <c r="AO380" i="1"/>
  <c r="AO438" i="1"/>
  <c r="AO25" i="1"/>
  <c r="AO145" i="1"/>
  <c r="AO41" i="1"/>
  <c r="AO285" i="1"/>
  <c r="AO372" i="1"/>
  <c r="AO338" i="1"/>
  <c r="AO52" i="1"/>
  <c r="AF359" i="1"/>
  <c r="AC359" i="1"/>
  <c r="AO359" i="1" s="1"/>
  <c r="AF308" i="1"/>
  <c r="AC308" i="1"/>
  <c r="AO308" i="1" s="1"/>
  <c r="AF313" i="1"/>
  <c r="AF190" i="1"/>
  <c r="AF456" i="1"/>
  <c r="AC456" i="1"/>
  <c r="AO456" i="1" s="1"/>
  <c r="AF176" i="1"/>
  <c r="AF397" i="1"/>
  <c r="AC397" i="1"/>
  <c r="AO397" i="1" s="1"/>
  <c r="AF250" i="1"/>
  <c r="AF138" i="1"/>
  <c r="AF287" i="1"/>
  <c r="AF437" i="1"/>
  <c r="AC437" i="1"/>
  <c r="AO437" i="1" s="1"/>
  <c r="AF455" i="1"/>
  <c r="AF298" i="1"/>
  <c r="AC298" i="1"/>
  <c r="AO298" i="1" s="1"/>
  <c r="AF302" i="1"/>
  <c r="AC302" i="1"/>
  <c r="AO302" i="1" s="1"/>
  <c r="AF408" i="1"/>
  <c r="AF143" i="1"/>
  <c r="AC143" i="1"/>
  <c r="AO143" i="1" s="1"/>
  <c r="AF364" i="1"/>
  <c r="AC364" i="1"/>
  <c r="AO364" i="1" s="1"/>
  <c r="AF16" i="1"/>
  <c r="AC16" i="1"/>
  <c r="AO16" i="1" s="1"/>
  <c r="AF318" i="1"/>
  <c r="AC318" i="1"/>
  <c r="AO318" i="1" s="1"/>
  <c r="AF104" i="1"/>
  <c r="AC104" i="1"/>
  <c r="AO104" i="1" s="1"/>
  <c r="AF373" i="1"/>
  <c r="AC373" i="1"/>
  <c r="AO373" i="1" s="1"/>
  <c r="AF107" i="1"/>
  <c r="AC107" i="1"/>
  <c r="AO107" i="1" s="1"/>
  <c r="AF235" i="1"/>
  <c r="AC235" i="1"/>
  <c r="AO235" i="1" s="1"/>
  <c r="AF432" i="1"/>
  <c r="AC432" i="1"/>
  <c r="AO432" i="1" s="1"/>
  <c r="AF267" i="1"/>
  <c r="AC267" i="1"/>
  <c r="AO267" i="1" s="1"/>
  <c r="AF236" i="1"/>
  <c r="AC236" i="1"/>
  <c r="AO236" i="1" s="1"/>
  <c r="AF448" i="1"/>
  <c r="AC448" i="1"/>
  <c r="AO448" i="1" s="1"/>
  <c r="AF87" i="1"/>
  <c r="AC87" i="1"/>
  <c r="AO87" i="1" s="1"/>
  <c r="AF55" i="1"/>
  <c r="AC55" i="1"/>
  <c r="AO55" i="1" s="1"/>
  <c r="AF300" i="1"/>
  <c r="AF191" i="1"/>
  <c r="AC191" i="1"/>
  <c r="AO191" i="1" s="1"/>
  <c r="AF233" i="1"/>
  <c r="AC233" i="1"/>
  <c r="AO233" i="1" s="1"/>
  <c r="AF417" i="1"/>
  <c r="AC417" i="1"/>
  <c r="AO417" i="1" s="1"/>
  <c r="AF211" i="1"/>
  <c r="AC211" i="1"/>
  <c r="AO211" i="1" s="1"/>
  <c r="AF306" i="1"/>
  <c r="AC306" i="1"/>
  <c r="AO306" i="1" s="1"/>
  <c r="AF323" i="1"/>
  <c r="AC323" i="1"/>
  <c r="AO323" i="1" s="1"/>
  <c r="AF212" i="1"/>
  <c r="AC212" i="1"/>
  <c r="AO212" i="1" s="1"/>
  <c r="AF426" i="1"/>
  <c r="AC426" i="1"/>
  <c r="AO426" i="1" s="1"/>
  <c r="AF412" i="1"/>
  <c r="AF10" i="1"/>
  <c r="AC10" i="1"/>
  <c r="AO10" i="1" s="1"/>
  <c r="AF96" i="1"/>
  <c r="AC96" i="1"/>
  <c r="AF418" i="1"/>
  <c r="AC418" i="1"/>
  <c r="AO418" i="1" s="1"/>
  <c r="AF428" i="1"/>
  <c r="AF453" i="1"/>
  <c r="AC453" i="1"/>
  <c r="AO453" i="1" s="1"/>
  <c r="AF125" i="1"/>
  <c r="AC125" i="1"/>
  <c r="AO125" i="1" s="1"/>
  <c r="AF402" i="1"/>
  <c r="AC402" i="1"/>
  <c r="AO402" i="1" s="1"/>
  <c r="AF328" i="1"/>
  <c r="AC328" i="1"/>
  <c r="AO328" i="1" s="1"/>
  <c r="AF375" i="1"/>
  <c r="AC375" i="1"/>
  <c r="AO375" i="1" s="1"/>
  <c r="AF382" i="1"/>
  <c r="AF139" i="1"/>
  <c r="AF379" i="1"/>
  <c r="AF338" i="1"/>
  <c r="AF249" i="1"/>
  <c r="AC249" i="1"/>
  <c r="AO249" i="1" s="1"/>
  <c r="AF429" i="1"/>
  <c r="AC429" i="1"/>
  <c r="AO429" i="1" s="1"/>
  <c r="AF131" i="1"/>
  <c r="AC131" i="1"/>
  <c r="AO131" i="1" s="1"/>
  <c r="AF222" i="1"/>
  <c r="AC222" i="1"/>
  <c r="AO222" i="1" s="1"/>
  <c r="AF103" i="1"/>
  <c r="AC103" i="1"/>
  <c r="AO103" i="1" s="1"/>
  <c r="AF390" i="1"/>
  <c r="AC390" i="1"/>
  <c r="AO390" i="1" s="1"/>
  <c r="AF435" i="1"/>
  <c r="AC435" i="1"/>
  <c r="AO435" i="1" s="1"/>
  <c r="AF52" i="1"/>
  <c r="AF354" i="1"/>
  <c r="AC354" i="1"/>
  <c r="AO354" i="1" s="1"/>
  <c r="AF316" i="1"/>
  <c r="AF352" i="1"/>
  <c r="AF337" i="1"/>
  <c r="AF37" i="1"/>
  <c r="AF433" i="1"/>
  <c r="AF353" i="1"/>
  <c r="AF29" i="1"/>
  <c r="AF38" i="1"/>
  <c r="AF366" i="1"/>
  <c r="AF374" i="1"/>
  <c r="AF303" i="1"/>
  <c r="AF99" i="1"/>
  <c r="AF459" i="1"/>
  <c r="AF388" i="1"/>
  <c r="AF135" i="1"/>
  <c r="AF85" i="1"/>
  <c r="AF102" i="1"/>
  <c r="AF264" i="1"/>
  <c r="AF217" i="1"/>
  <c r="AF115" i="1"/>
  <c r="AF11" i="1"/>
  <c r="AF19" i="1"/>
  <c r="AF165" i="1"/>
  <c r="AF299" i="1"/>
  <c r="AF399" i="1"/>
  <c r="AF28" i="1"/>
  <c r="AF367" i="1"/>
  <c r="AF262" i="1"/>
  <c r="AF406" i="1"/>
  <c r="AF423" i="1"/>
  <c r="AF285" i="1"/>
  <c r="AF263" i="1"/>
  <c r="AF203" i="1"/>
  <c r="AF371" i="1"/>
  <c r="AF360" i="1"/>
  <c r="AF430" i="1"/>
  <c r="AF438" i="1"/>
  <c r="AF314" i="1"/>
  <c r="AF120" i="1"/>
  <c r="AF387" i="1"/>
  <c r="AF394" i="1"/>
  <c r="AF207" i="1"/>
  <c r="AF280" i="1"/>
  <c r="AF307" i="1"/>
  <c r="AF324" i="1"/>
  <c r="AF47" i="1"/>
  <c r="AF180" i="1"/>
  <c r="AF93" i="1"/>
  <c r="AF44" i="1"/>
  <c r="AF330" i="1"/>
  <c r="AF164" i="1"/>
  <c r="AF431" i="1"/>
  <c r="AF266" i="1"/>
  <c r="AF331" i="1"/>
  <c r="AF41" i="1"/>
  <c r="AF386" i="1"/>
  <c r="AF310" i="1"/>
  <c r="AF151" i="1"/>
  <c r="AF166" i="1"/>
  <c r="AF424" i="1"/>
  <c r="AF129" i="1"/>
  <c r="AF446" i="1"/>
  <c r="AF148" i="1"/>
  <c r="AF257" i="1"/>
  <c r="AF23" i="1"/>
  <c r="AF133" i="1"/>
  <c r="AF62" i="1"/>
  <c r="AF229" i="1"/>
  <c r="AF445" i="1"/>
  <c r="AF255" i="1"/>
  <c r="AF128" i="1"/>
  <c r="AF440" i="1"/>
  <c r="AF79" i="1"/>
  <c r="AF141" i="1"/>
  <c r="AF153" i="1"/>
  <c r="AF294" i="1"/>
  <c r="AF376" i="1"/>
  <c r="AF305" i="1"/>
  <c r="AF26" i="1"/>
  <c r="AF6" i="1"/>
  <c r="AF109" i="1"/>
  <c r="AF244" i="1"/>
  <c r="AF451" i="1"/>
  <c r="AF230" i="1"/>
  <c r="AF12" i="1"/>
  <c r="AF289" i="1"/>
  <c r="AF136" i="1"/>
  <c r="AF237" i="1"/>
  <c r="AF273" i="1"/>
  <c r="AF335" i="1"/>
  <c r="AF209" i="1"/>
  <c r="AF265" i="1"/>
  <c r="AF175" i="1"/>
  <c r="AF140" i="1"/>
  <c r="AF449" i="1"/>
  <c r="AF174" i="1"/>
  <c r="AF400" i="1"/>
  <c r="AF458" i="1"/>
  <c r="AF158" i="1"/>
  <c r="AF173" i="1"/>
  <c r="AF356" i="1"/>
  <c r="AF149" i="1"/>
  <c r="AF321" i="1"/>
  <c r="AF88" i="1"/>
  <c r="AF25" i="1"/>
  <c r="AF160" i="1"/>
  <c r="AF357" i="1"/>
  <c r="AF142" i="1"/>
  <c r="AF146" i="1"/>
  <c r="AF269" i="1"/>
  <c r="AF105" i="1"/>
  <c r="AF253" i="1"/>
  <c r="AF31" i="1"/>
  <c r="AF183" i="1"/>
  <c r="AF341" i="1"/>
  <c r="AF370" i="1"/>
  <c r="AF227" i="1"/>
  <c r="AF188" i="1"/>
  <c r="AF409" i="1"/>
  <c r="AF68" i="1"/>
  <c r="AF193" i="1"/>
  <c r="AF241" i="1"/>
  <c r="AF54" i="1"/>
  <c r="AF361" i="1"/>
  <c r="AF221" i="1"/>
  <c r="AF30" i="1"/>
  <c r="AF286" i="1"/>
  <c r="AF334" i="1"/>
  <c r="AF147" i="1"/>
  <c r="AF145" i="1"/>
  <c r="AF111" i="1"/>
  <c r="AF422" i="1"/>
  <c r="AF345" i="1"/>
  <c r="AF427" i="1"/>
  <c r="AF281" i="1"/>
  <c r="AF369" i="1"/>
  <c r="AF89" i="1"/>
  <c r="AF342" i="1"/>
  <c r="AF132" i="1"/>
  <c r="AF228" i="1"/>
  <c r="AF14" i="1"/>
  <c r="AF78" i="1"/>
  <c r="AF184" i="1"/>
  <c r="AF284" i="1"/>
  <c r="AF246" i="1"/>
  <c r="AF339" i="1"/>
  <c r="AF380" i="1"/>
  <c r="AF124" i="1"/>
  <c r="AF312" i="1"/>
  <c r="AF231" i="1"/>
  <c r="AF274" i="1"/>
  <c r="AF75" i="1"/>
  <c r="AF49" i="1"/>
  <c r="AF17" i="1"/>
  <c r="AF439" i="1"/>
  <c r="AF157" i="1"/>
  <c r="AF94" i="1"/>
  <c r="AF283" i="1"/>
  <c r="AF243" i="1"/>
  <c r="AF240" i="1"/>
  <c r="AF181" i="1"/>
  <c r="AF442" i="1"/>
  <c r="AF268" i="1"/>
  <c r="AF162" i="1"/>
  <c r="AF33" i="1"/>
  <c r="AF363" i="1"/>
  <c r="AF48" i="1"/>
  <c r="AF295" i="1"/>
  <c r="AF60" i="1"/>
  <c r="AF420" i="1"/>
  <c r="AF63" i="1"/>
  <c r="AF378" i="1"/>
  <c r="AF434" i="1"/>
  <c r="AF260" i="1"/>
  <c r="AF86" i="1"/>
  <c r="AF272" i="1"/>
  <c r="AF81" i="1"/>
  <c r="AF196" i="1"/>
  <c r="AF32" i="1"/>
  <c r="AF51" i="1"/>
  <c r="AF82" i="1"/>
  <c r="AF210" i="1"/>
  <c r="AF122" i="1"/>
  <c r="AF178" i="1"/>
  <c r="AF61" i="1"/>
  <c r="AF216" i="1"/>
  <c r="AF130" i="1"/>
  <c r="AF74" i="1"/>
  <c r="AF119" i="1"/>
  <c r="AF182" i="1"/>
  <c r="AF444" i="1"/>
  <c r="AF152" i="1"/>
  <c r="AF322" i="1"/>
  <c r="AF108" i="1"/>
  <c r="AF13" i="1"/>
  <c r="AF155" i="1"/>
  <c r="AF43" i="1"/>
  <c r="AF95" i="1"/>
  <c r="AF293" i="1"/>
  <c r="AF275" i="1"/>
  <c r="AF8" i="1"/>
  <c r="AF410" i="1"/>
  <c r="AF407" i="1"/>
  <c r="AF36" i="1"/>
  <c r="AF254" i="1"/>
  <c r="AF343" i="1"/>
  <c r="AF291" i="1"/>
  <c r="AF365" i="1"/>
  <c r="AF348" i="1"/>
  <c r="AF35" i="1"/>
  <c r="AF199" i="1"/>
  <c r="AF27" i="1"/>
  <c r="AF161" i="1"/>
  <c r="AF127" i="1"/>
  <c r="AF56" i="1"/>
  <c r="AF404" i="1"/>
  <c r="AF57" i="1"/>
  <c r="AF441" i="1"/>
  <c r="AF317" i="1"/>
  <c r="AF126" i="1"/>
  <c r="AF106" i="1"/>
  <c r="AF245" i="1"/>
  <c r="AF204" i="1"/>
  <c r="AF21" i="1"/>
  <c r="AF58" i="1"/>
  <c r="AF326" i="1"/>
  <c r="AF297" i="1"/>
  <c r="AF398" i="1"/>
  <c r="AF123" i="1"/>
  <c r="AF179" i="1"/>
  <c r="AF3" i="1"/>
  <c r="AF247" i="1"/>
  <c r="AF405" i="1"/>
  <c r="AF226" i="1"/>
  <c r="AF450" i="1"/>
  <c r="AF42" i="1"/>
  <c r="AF97" i="1"/>
  <c r="AF344" i="1"/>
  <c r="AF72" i="1"/>
  <c r="AF187" i="1"/>
  <c r="AF69" i="1"/>
  <c r="AF393" i="1"/>
  <c r="AF213" i="1"/>
  <c r="AF177" i="1"/>
  <c r="AF7" i="1"/>
  <c r="AF258" i="1"/>
  <c r="AF112" i="1"/>
  <c r="AF90" i="1"/>
  <c r="AF100" i="1"/>
  <c r="AF45" i="1"/>
  <c r="AF197" i="1"/>
  <c r="AF325" i="1"/>
  <c r="AF425" i="1"/>
  <c r="AF332" i="1"/>
  <c r="AF83" i="1"/>
  <c r="AF238" i="1"/>
  <c r="AF224" i="1"/>
  <c r="AF113" i="1"/>
  <c r="AF391" i="1"/>
  <c r="AF220" i="1"/>
  <c r="AF67" i="1"/>
  <c r="AF403" i="1"/>
  <c r="AF301" i="1"/>
  <c r="AF452" i="1"/>
  <c r="AF192" i="1"/>
  <c r="AF65" i="1"/>
  <c r="AF77" i="1"/>
  <c r="AF232" i="1"/>
  <c r="AF290" i="1"/>
  <c r="AF415" i="1"/>
  <c r="AF277" i="1"/>
  <c r="AF15" i="1"/>
  <c r="AF202" i="1"/>
  <c r="AF76" i="1"/>
  <c r="AF279" i="1"/>
  <c r="AF362" i="1"/>
  <c r="AF304" i="1"/>
  <c r="AF144" i="1"/>
  <c r="AF205" i="1"/>
  <c r="AF18" i="1"/>
  <c r="AF84" i="1"/>
  <c r="AF278" i="1"/>
  <c r="AF116" i="1"/>
  <c r="AF414" i="1"/>
  <c r="AF346" i="1"/>
  <c r="AF443" i="1"/>
  <c r="AF282" i="1"/>
  <c r="AF219" i="1"/>
  <c r="AF392" i="1"/>
  <c r="AF252" i="1"/>
  <c r="AF195" i="1"/>
  <c r="AF92" i="1"/>
  <c r="AF185" i="1"/>
  <c r="AF288" i="1"/>
  <c r="AF110" i="1"/>
  <c r="AF39" i="1"/>
  <c r="AF248" i="1"/>
  <c r="AF454" i="1"/>
  <c r="AF225" i="1"/>
  <c r="AF154" i="1"/>
  <c r="AF163" i="1"/>
  <c r="AF413" i="1"/>
  <c r="AF256" i="1"/>
  <c r="AF169" i="1"/>
  <c r="AF5" i="1"/>
  <c r="AF383" i="1"/>
  <c r="AF98" i="1"/>
  <c r="AF189" i="1"/>
  <c r="AF168" i="1"/>
  <c r="AF234" i="1"/>
  <c r="AF381" i="1"/>
  <c r="AF259" i="1"/>
  <c r="AF350" i="1"/>
  <c r="AF114" i="1"/>
  <c r="AF172" i="1"/>
  <c r="AF91" i="1"/>
  <c r="AF208" i="1"/>
  <c r="AF34" i="1"/>
  <c r="AF156" i="1"/>
  <c r="AF327" i="1"/>
  <c r="AF419" i="1"/>
  <c r="AF347" i="1"/>
  <c r="AF385" i="1"/>
  <c r="AF395" i="1"/>
  <c r="AF333" i="1"/>
  <c r="AF159" i="1"/>
  <c r="AF117" i="1"/>
  <c r="AF296" i="1"/>
  <c r="AF150" i="1"/>
  <c r="AF73" i="1"/>
  <c r="AF384" i="1"/>
  <c r="AF9" i="1"/>
  <c r="AF215" i="1"/>
  <c r="AF20" i="1"/>
  <c r="AF71" i="1"/>
  <c r="AF4" i="1"/>
  <c r="AF251" i="1"/>
  <c r="AF198" i="1"/>
  <c r="AF167" i="1"/>
  <c r="AF218" i="1"/>
  <c r="AF411" i="1"/>
  <c r="AF271" i="1"/>
  <c r="AF421" i="1"/>
  <c r="AF186" i="1"/>
  <c r="AF200" i="1"/>
  <c r="AF340" i="1"/>
  <c r="AF50" i="1"/>
  <c r="AF46" i="1"/>
  <c r="AF349" i="1"/>
  <c r="AF53" i="1"/>
  <c r="AF311" i="1"/>
  <c r="AF276" i="1"/>
  <c r="AF201" i="1"/>
  <c r="AF64" i="1"/>
  <c r="AF358" i="1"/>
  <c r="AF355" i="1"/>
  <c r="AF101" i="1"/>
  <c r="AF80" i="1"/>
  <c r="AF292" i="1"/>
  <c r="AF170" i="1"/>
  <c r="AF309" i="1"/>
  <c r="AF134" i="1"/>
  <c r="AF351" i="1"/>
  <c r="AF194" i="1"/>
  <c r="AF261" i="1"/>
  <c r="AF206" i="1"/>
  <c r="AF447" i="1"/>
  <c r="AF242" i="1"/>
  <c r="AF70" i="1"/>
  <c r="AF121" i="1"/>
  <c r="AF223" i="1"/>
  <c r="AF40" i="1"/>
  <c r="AF171" i="1"/>
  <c r="AF336" i="1"/>
  <c r="AF59" i="1"/>
  <c r="AF118" i="1"/>
  <c r="AF22" i="1"/>
  <c r="AF329" i="1"/>
  <c r="AF377" i="1"/>
  <c r="AF436" i="1"/>
  <c r="AF401" i="1"/>
  <c r="AF315" i="1"/>
  <c r="AF270" i="1"/>
  <c r="AF66" i="1"/>
  <c r="AF457" i="1"/>
  <c r="AF239" i="1"/>
  <c r="AF24" i="1"/>
  <c r="AF416" i="1"/>
  <c r="AF319" i="1"/>
  <c r="AF38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tc={E511AC9D-5D3F-4E35-8831-C7E0CCF359CC}</author>
    <author>tc={36642B4E-6B9C-4B1A-8E65-9C12F2A8B271}</author>
    <author>tc={AC6B322F-FC49-4D0F-B663-23F689CA77F7}</author>
    <author>tc={D1DFAD58-7AAF-4151-9DB8-1E96443D4F82}</author>
    <author>tc={AD3DDB5F-F6B5-492D-AD40-26D44A41DF95}</author>
    <author>tc={042EDE47-83A9-4470-A321-27DD3E853C71}</author>
    <author>tc={B719D6F3-6F8C-489E-8746-9F8B8ADE15D7}</author>
    <author>tc={19CF7533-8DDA-4B32-81C0-F19070EE7B93}</author>
    <author>tc={90B6557A-B11A-4B07-BA11-E0DA55030D52}</author>
    <author>tc={AE76F81B-332A-4145-9F04-0EC2C323A61F}</author>
    <author>tc={5AE2FB6A-EC79-4499-BEE3-EB6FFF057835}</author>
    <author>tc={B21DEEB1-BC31-455A-8817-6461C9B0CF3C}</author>
    <author>tc={092BE1F0-EBE6-4716-A308-4A053B515536}</author>
  </authors>
  <commentList>
    <comment ref="H2" authorId="0" shapeId="0" xr:uid="{E511AC9D-5D3F-4E35-8831-C7E0CCF359C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Top height is the mean height, in metres, of the 100 trees of largest dbh per hectare. </t>
      </text>
    </comment>
    <comment ref="I2" authorId="1" shapeId="0" xr:uid="{36642B4E-6B9C-4B1A-8E65-9C12F2A8B2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Number of measurable trees per hectare, i.e. only those with a dbh of at least 7 cm overbark. 
</t>
      </text>
    </comment>
    <comment ref="J2" authorId="2" shapeId="0" xr:uid="{AC6B322F-FC49-4D0F-B663-23F689CA77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Quadratic mean dbh (diameter at breast height), in centimetres, of the measurable trees. </t>
      </text>
    </comment>
    <comment ref="M2" authorId="3" shapeId="0" xr:uid="{D1DFAD58-7AAF-4151-9DB8-1E96443D4F82}">
      <text>
        <t>[Threaded comment]
Your version of Excel allows you to read this threaded comment; however, any edits to it will get removed if the file is opened in a newer version of Excel. Learn more: https://go.microsoft.com/fwlink/?linkid=870924
Comment:
    Volume per hectare is the sum of stem volumes, in cubic metres, for individual measurable trees to a top diameter of 7 cm overbark, expressed on a per-hectare basis</t>
      </text>
    </comment>
    <comment ref="R2" authorId="4" shapeId="0" xr:uid="{AD3DDB5F-F6B5-492D-AD40-26D44A41DF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Overbark
</t>
      </text>
    </comment>
    <comment ref="S2" authorId="5" shapeId="0" xr:uid="{042EDE47-83A9-4470-A321-27DD3E853C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Overbark
</t>
      </text>
    </comment>
    <comment ref="W2" authorId="6" shapeId="0" xr:uid="{B719D6F3-6F8C-489E-8746-9F8B8ADE15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10% loss and conversion from overbark to underbark</t>
      </text>
    </comment>
    <comment ref="X2" authorId="7" shapeId="0" xr:uid="{19CF7533-8DDA-4B32-81C0-F19070EE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10% loss and conversion from overbark to underbark</t>
      </text>
    </comment>
    <comment ref="Z2" authorId="8" shapeId="0" xr:uid="{90B6557A-B11A-4B07-BA11-E0DA55030D52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paper and fuel in short-lived category</t>
      </text>
    </comment>
    <comment ref="AA2" authorId="9" shapeId="0" xr:uid="{AE76F81B-332A-4145-9F04-0EC2C323A61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 panel board and fencing in medium-lived category
</t>
      </text>
    </comment>
    <comment ref="AC2" authorId="10" shapeId="0" xr:uid="{5AE2FB6A-EC79-4499-BEE3-EB6FFF057835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paper and fuel in short-lived category</t>
      </text>
    </comment>
    <comment ref="AD2" authorId="11" shapeId="0" xr:uid="{B21DEEB1-BC31-455A-8817-6461C9B0CF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 panel board and fencing in medium-lived category
</t>
      </text>
    </comment>
    <comment ref="AM2" authorId="12" shapeId="0" xr:uid="{092BE1F0-EBE6-4716-A308-4A053B515536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basic wood density (odt/m3) and assuming a moisture content of 50%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tc={8421388F-F08F-4D23-A9AA-345770C35DD2}</author>
    <author>tc={B0F4EA16-711B-43F2-B04D-7448421B8751}</author>
    <author>tc={5F9F84F3-98E8-438E-AF0C-709CBE4CE262}</author>
    <author>tc={C6013B7C-7895-45DB-9C11-16126CF49998}</author>
  </authors>
  <commentList>
    <comment ref="J1" authorId="0" shapeId="0" xr:uid="{8421388F-F08F-4D23-A9AA-345770C35D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Assumes it was previously cropland/moorland
</t>
      </text>
    </comment>
    <comment ref="M1" authorId="1" shapeId="0" xr:uid="{B0F4EA16-711B-43F2-B04D-7448421B87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 50% carbon content of wood (t c/t odt)
</t>
      </text>
    </comment>
    <comment ref="N1" authorId="2" shapeId="0" xr:uid="{5F9F84F3-98E8-438E-AF0C-709CBE4CE262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species-specific moisture contents given in Hamilton (1975) Forest Mensuration, Forestry Commission Booklet 39</t>
      </text>
    </comment>
    <comment ref="O1" authorId="3" shapeId="0" xr:uid="{C6013B7C-7895-45DB-9C11-16126CF4999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basic wood densities from CARBINE </t>
      </text>
    </comment>
  </commentList>
</comments>
</file>

<file path=xl/sharedStrings.xml><?xml version="1.0" encoding="utf-8"?>
<sst xmlns="http://schemas.openxmlformats.org/spreadsheetml/2006/main" count="3713" uniqueCount="68">
  <si>
    <t>Stand details</t>
  </si>
  <si>
    <t>Yield tables</t>
  </si>
  <si>
    <t>Products</t>
  </si>
  <si>
    <t>(for mulching)</t>
  </si>
  <si>
    <t>Tree Spp</t>
  </si>
  <si>
    <t>YC</t>
  </si>
  <si>
    <t>Spacing</t>
  </si>
  <si>
    <t>Thinning treatment</t>
  </si>
  <si>
    <t>Spacing (m)</t>
  </si>
  <si>
    <t>Stand area (ha)</t>
  </si>
  <si>
    <t>Age</t>
  </si>
  <si>
    <t>Top ht m</t>
  </si>
  <si>
    <t>Trees /ha</t>
  </si>
  <si>
    <t>Mean dbh cm</t>
  </si>
  <si>
    <t>BA m²/ha</t>
  </si>
  <si>
    <t>Mean vol m³</t>
  </si>
  <si>
    <t>Vol m³/ha</t>
  </si>
  <si>
    <t>Percent mortality</t>
  </si>
  <si>
    <t>MAI vol m³/ha /yr</t>
  </si>
  <si>
    <t>(age)</t>
  </si>
  <si>
    <t>(mean dbh)</t>
  </si>
  <si>
    <t xml:space="preserve">Small RW Main crop volume (m3/ha) </t>
  </si>
  <si>
    <t>Sawlog Main crop volume (m3/ha)</t>
  </si>
  <si>
    <t>Check</t>
  </si>
  <si>
    <t>check</t>
  </si>
  <si>
    <t>Over to underbark conversion (%)</t>
  </si>
  <si>
    <t>Extracted Small RW (m3/ha)</t>
  </si>
  <si>
    <t>Extracted Sawlogs (m3/ha)</t>
  </si>
  <si>
    <t>Bark (m3/ha)</t>
  </si>
  <si>
    <t>Volume short-lived products (m3/ha)</t>
  </si>
  <si>
    <t>Volume medium-lived products (m3/ha)</t>
  </si>
  <si>
    <t>Volume long-lived products (m3/ha)</t>
  </si>
  <si>
    <t>Stem biomass (odt/ha)</t>
  </si>
  <si>
    <t>Crown biomass (odt/ha)</t>
  </si>
  <si>
    <t>Root biomass (odt/ha)</t>
  </si>
  <si>
    <t>Total above ground tree biomass (odt/ha)</t>
  </si>
  <si>
    <t>Total above ground tree volume (m3/ha)</t>
  </si>
  <si>
    <t>Above-ground biomass (t green/ha)</t>
  </si>
  <si>
    <t>Check wood product proportions</t>
  </si>
  <si>
    <t>Scots pine</t>
  </si>
  <si>
    <t>No thinning</t>
  </si>
  <si>
    <t>Sitka spruce</t>
  </si>
  <si>
    <t>Mean dbh</t>
  </si>
  <si>
    <t>%_Sitka</t>
  </si>
  <si>
    <t>%_Scots</t>
  </si>
  <si>
    <t>For mean dbh &lt; 10 cm apply 10 cm values</t>
  </si>
  <si>
    <t>For mean dbh &gt; 50 cm apply 50 cm values</t>
  </si>
  <si>
    <t>Crown expansion factor</t>
  </si>
  <si>
    <t>Root expansion factor</t>
  </si>
  <si>
    <t>Wood basic density</t>
  </si>
  <si>
    <t>Nominal specific gravity</t>
  </si>
  <si>
    <t>tree_species</t>
  </si>
  <si>
    <t>yield_class</t>
  </si>
  <si>
    <t>management</t>
  </si>
  <si>
    <t>year</t>
  </si>
  <si>
    <t>tree_carbon (t C/ha)</t>
  </si>
  <si>
    <t>deadwood_carbon (t C/ha)</t>
  </si>
  <si>
    <t>litter_carbon (t C/ha)</t>
  </si>
  <si>
    <t>Total tree carbon (t C/ha)</t>
  </si>
  <si>
    <t>Total tree biomass (odt t/ha)</t>
  </si>
  <si>
    <t>Total tree biomass (green t/ha)</t>
  </si>
  <si>
    <t>Total tree biomass (m3/ha)</t>
  </si>
  <si>
    <t>scots_pine</t>
  </si>
  <si>
    <t>no_thinning_no_felling</t>
  </si>
  <si>
    <t>sitka_spruce</t>
  </si>
  <si>
    <t>Biomass short-lived products (odt/ha)</t>
  </si>
  <si>
    <t>Biomass medium-lived products (odt/ha)</t>
  </si>
  <si>
    <t>Biomass long-lived products (odt/ha)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</si>
</sst>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8.25"/>
      <color indexed="8"/>
      <name val="Verdana"/>
      <family val="2"/>
    </font>
    <font>
      <sz val="12"/>
      <color theme="1"/>
      <name val="Aptos Narrow"/>
      <family val="2"/>
      <scheme val="minor"/>
    </font>
    <font>
      <sz val="12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8.25"/>
      <color indexed="8"/>
      <name val="Verdana"/>
      <family val="2"/>
    </font>
    <font>
      <b/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/>
  </cellStyleXfs>
  <cellXfs count="38">
    <xf numFmtId="0" fontId="0" fillId="0" borderId="0" xfId="0"/>
    <xf numFmtId="0" fontId="6" fillId="0" borderId="0" xfId="0" applyFont="1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5" fillId="0" borderId="0" xfId="1" applyFont="1" applyAlignment="1">
      <alignment horizontal="right" vertical="top"/>
    </xf>
    <xf numFmtId="0" fontId="7" fillId="2" borderId="0" xfId="3" applyFont="1" applyFill="1" applyAlignment="1">
      <alignment horizontal="center" vertical="top" wrapText="1"/>
    </xf>
    <xf numFmtId="0" fontId="6" fillId="3" borderId="0" xfId="0" applyFont="1" applyFill="1" applyAlignment="1">
      <alignment vertical="top" wrapText="1"/>
    </xf>
    <xf numFmtId="0" fontId="2" fillId="2" borderId="0" xfId="0" applyFont="1" applyFill="1" applyAlignment="1">
      <alignment horizontal="center"/>
    </xf>
    <xf numFmtId="0" fontId="6" fillId="4" borderId="0" xfId="0" applyFont="1" applyFill="1" applyAlignment="1">
      <alignment vertical="top" wrapText="1"/>
    </xf>
    <xf numFmtId="0" fontId="5" fillId="0" borderId="0" xfId="3" applyFont="1" applyAlignment="1">
      <alignment horizontal="center" vertical="top" wrapText="1"/>
    </xf>
    <xf numFmtId="0" fontId="5" fillId="0" borderId="0" xfId="3" applyFont="1" applyAlignment="1">
      <alignment horizontal="right" vertical="top" wrapText="1"/>
    </xf>
    <xf numFmtId="0" fontId="5" fillId="0" borderId="0" xfId="3" applyFont="1" applyAlignment="1">
      <alignment horizontal="right" vertical="top"/>
    </xf>
    <xf numFmtId="0" fontId="8" fillId="0" borderId="0" xfId="3" applyFont="1" applyAlignment="1">
      <alignment horizontal="right" vertical="top" wrapText="1"/>
    </xf>
    <xf numFmtId="0" fontId="8" fillId="0" borderId="0" xfId="3" applyFont="1" applyAlignment="1">
      <alignment horizontal="center" vertical="top" wrapText="1"/>
    </xf>
    <xf numFmtId="0" fontId="8" fillId="0" borderId="0" xfId="3" applyFont="1" applyAlignment="1">
      <alignment horizontal="right" vertical="top"/>
    </xf>
    <xf numFmtId="9" fontId="8" fillId="0" borderId="0" xfId="1" applyFont="1" applyAlignment="1">
      <alignment horizontal="right" vertical="top"/>
    </xf>
    <xf numFmtId="0" fontId="8" fillId="0" borderId="0" xfId="2" applyFont="1" applyAlignment="1">
      <alignment horizontal="right" vertical="top" wrapText="1"/>
    </xf>
    <xf numFmtId="0" fontId="8" fillId="0" borderId="0" xfId="2" applyFont="1" applyAlignment="1">
      <alignment horizontal="center" vertical="top" wrapText="1"/>
    </xf>
    <xf numFmtId="0" fontId="8" fillId="0" borderId="0" xfId="2" applyFont="1" applyAlignment="1">
      <alignment horizontal="right" vertical="top"/>
    </xf>
    <xf numFmtId="11" fontId="0" fillId="0" borderId="0" xfId="0" applyNumberFormat="1"/>
    <xf numFmtId="0" fontId="2" fillId="0" borderId="0" xfId="0" applyFont="1"/>
    <xf numFmtId="0" fontId="10" fillId="2" borderId="0" xfId="3" applyFont="1" applyFill="1" applyAlignment="1">
      <alignment horizontal="center" vertical="top" wrapText="1"/>
    </xf>
    <xf numFmtId="0" fontId="11" fillId="0" borderId="0" xfId="3" applyFont="1" applyAlignment="1">
      <alignment horizontal="right" vertical="top" wrapText="1"/>
    </xf>
    <xf numFmtId="0" fontId="11" fillId="0" borderId="0" xfId="2" applyFont="1" applyAlignment="1">
      <alignment horizontal="right" vertical="top" wrapText="1"/>
    </xf>
    <xf numFmtId="0" fontId="12" fillId="0" borderId="0" xfId="3" applyFont="1" applyAlignment="1">
      <alignment horizontal="right" vertical="top" wrapText="1"/>
    </xf>
    <xf numFmtId="0" fontId="13" fillId="0" borderId="0" xfId="0" applyFont="1"/>
    <xf numFmtId="0" fontId="9" fillId="0" borderId="0" xfId="0" applyFont="1"/>
    <xf numFmtId="2" fontId="0" fillId="0" borderId="0" xfId="0" applyNumberFormat="1"/>
    <xf numFmtId="2" fontId="2" fillId="0" borderId="0" xfId="0" applyNumberFormat="1" applyFont="1"/>
    <xf numFmtId="2" fontId="6" fillId="0" borderId="0" xfId="0" applyNumberFormat="1" applyFont="1" applyAlignment="1">
      <alignment vertical="top" wrapText="1"/>
    </xf>
    <xf numFmtId="2" fontId="14" fillId="0" borderId="0" xfId="0" applyNumberFormat="1" applyFont="1" applyAlignment="1">
      <alignment vertical="top" wrapText="1"/>
    </xf>
    <xf numFmtId="0" fontId="2" fillId="4" borderId="0" xfId="0" applyFont="1" applyFill="1" applyAlignment="1">
      <alignment horizontal="center"/>
    </xf>
    <xf numFmtId="0" fontId="14" fillId="4" borderId="0" xfId="0" applyFont="1" applyFill="1" applyAlignment="1">
      <alignment vertical="top" wrapText="1"/>
    </xf>
    <xf numFmtId="0" fontId="15" fillId="0" borderId="0" xfId="0" applyFont="1"/>
    <xf numFmtId="0" fontId="16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</cellXfs>
  <cellStyles count="4">
    <cellStyle name="Normal" xfId="0" builtinId="0"/>
    <cellStyle name="Normal 2" xfId="2" xr:uid="{C8B4C628-5426-4CB7-9407-EB0893B9141B}"/>
    <cellStyle name="Normal 3" xfId="3" xr:uid="{89011A8C-4292-4478-A095-29EA1557963F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y Whittaker" id="{4F36CEEA-48E5-4462-8A07-F1B9A45A6418}" userId="S::carly.whittaker@ForestResearch.gov.uk::981bb72f-eb1e-462f-8660-ce8151eab89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" dT="2025-12-10T16:59:49.70" personId="{4F36CEEA-48E5-4462-8A07-F1B9A45A6418}" id="{E511AC9D-5D3F-4E35-8831-C7E0CCF359CC}">
    <text xml:space="preserve">Top height is the mean height, in metres, of the 100 trees of largest dbh per hectare. </text>
  </threadedComment>
  <threadedComment ref="I2" dT="2025-12-10T17:00:02.52" personId="{4F36CEEA-48E5-4462-8A07-F1B9A45A6418}" id="{36642B4E-6B9C-4B1A-8E65-9C12F2A8B271}">
    <text xml:space="preserve">Number of measurable trees per hectare, i.e. only those with a dbh of at least 7 cm overbark. 
</text>
  </threadedComment>
  <threadedComment ref="J2" dT="2025-12-10T17:00:17.56" personId="{4F36CEEA-48E5-4462-8A07-F1B9A45A6418}" id="{AC6B322F-FC49-4D0F-B663-23F689CA77F7}">
    <text xml:space="preserve">Quadratic mean dbh (diameter at breast height), in centimetres, of the measurable trees. </text>
  </threadedComment>
  <threadedComment ref="M2" dT="2025-12-10T17:06:09.97" personId="{4F36CEEA-48E5-4462-8A07-F1B9A45A6418}" id="{D1DFAD58-7AAF-4151-9DB8-1E96443D4F82}">
    <text>Volume per hectare is the sum of stem volumes, in cubic metres, for individual measurable trees to a top diameter of 7 cm overbark, expressed on a per-hectare basis</text>
  </threadedComment>
  <threadedComment ref="R2" dT="2025-12-10T10:32:19.87" personId="{4F36CEEA-48E5-4462-8A07-F1B9A45A6418}" id="{AD3DDB5F-F6B5-492D-AD40-26D44A41DF95}">
    <text xml:space="preserve">Overbark
</text>
  </threadedComment>
  <threadedComment ref="S2" dT="2025-12-10T10:32:25.46" personId="{4F36CEEA-48E5-4462-8A07-F1B9A45A6418}" id="{042EDE47-83A9-4470-A321-27DD3E853C71}">
    <text xml:space="preserve">Overbark
</text>
  </threadedComment>
  <threadedComment ref="W2" dT="2025-12-10T10:32:13.00" personId="{4F36CEEA-48E5-4462-8A07-F1B9A45A6418}" id="{B719D6F3-6F8C-489E-8746-9F8B8ADE15D7}">
    <text>Includes 10% loss and conversion from overbark to underbark</text>
  </threadedComment>
  <threadedComment ref="X2" dT="2025-12-10T10:32:43.11" personId="{4F36CEEA-48E5-4462-8A07-F1B9A45A6418}" id="{19CF7533-8DDA-4B32-81C0-F19070EE7B93}">
    <text>Includes 10% loss and conversion from overbark to underbark</text>
  </threadedComment>
  <threadedComment ref="Z2" dT="2025-12-10T17:55:35.53" personId="{4F36CEEA-48E5-4462-8A07-F1B9A45A6418}" id="{90B6557A-B11A-4B07-BA11-E0DA55030D52}">
    <text>Assume paper and fuel in short-lived category</text>
  </threadedComment>
  <threadedComment ref="AA2" dT="2025-12-10T17:55:25.05" personId="{4F36CEEA-48E5-4462-8A07-F1B9A45A6418}" id="{AE76F81B-332A-4145-9F04-0EC2C323A61F}">
    <text xml:space="preserve">Assume panel board and fencing in medium-lived category
</text>
  </threadedComment>
  <threadedComment ref="AC2" dT="2025-12-10T17:55:35.53" personId="{4F36CEEA-48E5-4462-8A07-F1B9A45A6418}" id="{5AE2FB6A-EC79-4499-BEE3-EB6FFF057835}">
    <text>Assume paper and fuel in short-lived category</text>
  </threadedComment>
  <threadedComment ref="AD2" dT="2025-12-10T17:55:25.05" personId="{4F36CEEA-48E5-4462-8A07-F1B9A45A6418}" id="{B21DEEB1-BC31-455A-8817-6461C9B0CF3C}">
    <text xml:space="preserve">Assume panel board and fencing in medium-lived category
</text>
  </threadedComment>
  <threadedComment ref="AM2" dT="2025-12-17T08:43:00.87" personId="{4F36CEEA-48E5-4462-8A07-F1B9A45A6418}" id="{092BE1F0-EBE6-4716-A308-4A053B515536}">
    <text>Based on basic wood density (odt/m3) and assuming a moisture content of 50%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12-15T09:10:31.61" personId="{4F36CEEA-48E5-4462-8A07-F1B9A45A6418}" id="{8421388F-F08F-4D23-A9AA-345770C35DD2}">
    <text xml:space="preserve">Assumes it was previously cropland/moorland
</text>
  </threadedComment>
  <threadedComment ref="M1" dT="2025-12-16T09:30:55.38" personId="{4F36CEEA-48E5-4462-8A07-F1B9A45A6418}" id="{B0F4EA16-711B-43F2-B04D-7448421B8751}">
    <text xml:space="preserve">Assume 50% carbon content of wood (t c/t odt)
</text>
  </threadedComment>
  <threadedComment ref="N1" dT="2025-12-16T09:35:56.83" personId="{4F36CEEA-48E5-4462-8A07-F1B9A45A6418}" id="{5F9F84F3-98E8-438E-AF0C-709CBE4CE262}">
    <text>Based on species-specific moisture contents given in Hamilton (1975) Forest Mensuration, Forestry Commission Booklet 39</text>
  </threadedComment>
  <threadedComment ref="O1" dT="2025-12-15T09:22:48.22" personId="{4F36CEEA-48E5-4462-8A07-F1B9A45A6418}" id="{C6013B7C-7895-45DB-9C11-16126CF49998}">
    <text xml:space="preserve">Using basic wood densities from CARBINE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836E9-728F-4541-B40C-E3C525E8BA8E}">
  <dimension ref="A1:AO540"/>
  <sheetViews>
    <sheetView tabSelected="1" zoomScale="71" zoomScaleNormal="130" workbookViewId="0">
      <pane xSplit="1" ySplit="2" topLeftCell="Y3" activePane="bottomRight" state="frozen"/>
      <selection pane="topRight" activeCell="B1" sqref="B1"/>
      <selection pane="bottomLeft" activeCell="A3" sqref="A3"/>
      <selection pane="bottomRight" activeCell="AC3" sqref="AC3"/>
    </sheetView>
  </sheetViews>
  <sheetFormatPr defaultRowHeight="14.5" x14ac:dyDescent="0.35"/>
  <cols>
    <col min="4" max="4" width="10.1796875" customWidth="1"/>
    <col min="12" max="12" width="11.26953125" bestFit="1" customWidth="1"/>
    <col min="13" max="13" width="9.1796875" style="20"/>
    <col min="18" max="18" width="19.26953125" customWidth="1"/>
    <col min="19" max="19" width="23" bestFit="1" customWidth="1"/>
    <col min="20" max="20" width="6.453125" bestFit="1" customWidth="1"/>
    <col min="21" max="21" width="6.1796875" bestFit="1" customWidth="1"/>
    <col min="22" max="22" width="16.26953125" bestFit="1" customWidth="1"/>
    <col min="23" max="23" width="19.1796875" customWidth="1"/>
    <col min="24" max="24" width="18.453125" customWidth="1"/>
    <col min="25" max="25" width="13.54296875" customWidth="1"/>
    <col min="26" max="26" width="18.7265625" customWidth="1"/>
    <col min="27" max="27" width="20.1796875" customWidth="1"/>
    <col min="28" max="31" width="21.453125" customWidth="1"/>
    <col min="35" max="36" width="9.1796875" style="27"/>
    <col min="37" max="38" width="11.54296875" style="27" customWidth="1"/>
    <col min="39" max="39" width="13.1796875" style="28" customWidth="1"/>
    <col min="41" max="41" width="12" bestFit="1" customWidth="1"/>
  </cols>
  <sheetData>
    <row r="1" spans="1:41" x14ac:dyDescent="0.35">
      <c r="A1" s="36" t="s">
        <v>0</v>
      </c>
      <c r="B1" s="36"/>
      <c r="C1" s="36"/>
      <c r="D1" s="36"/>
      <c r="E1" s="36"/>
      <c r="F1" s="36"/>
      <c r="G1" s="36"/>
      <c r="H1" s="35" t="s">
        <v>1</v>
      </c>
      <c r="I1" s="35"/>
      <c r="J1" s="35"/>
      <c r="K1" s="35"/>
      <c r="L1" s="35"/>
      <c r="M1" s="35"/>
      <c r="N1" s="35"/>
      <c r="O1" s="35"/>
      <c r="P1" s="7"/>
      <c r="Q1" s="7"/>
      <c r="Z1" s="37" t="s">
        <v>2</v>
      </c>
      <c r="AA1" s="37"/>
      <c r="AB1" s="37"/>
      <c r="AC1" s="31"/>
      <c r="AD1" s="31"/>
      <c r="AE1" s="31"/>
      <c r="AL1" s="33"/>
      <c r="AM1" s="28" t="s">
        <v>3</v>
      </c>
    </row>
    <row r="2" spans="1:41" s="1" customFormat="1" ht="64" x14ac:dyDescent="0.4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5" t="s">
        <v>11</v>
      </c>
      <c r="I2" s="5" t="s">
        <v>12</v>
      </c>
      <c r="J2" s="5" t="s">
        <v>13</v>
      </c>
      <c r="K2" s="5" t="s">
        <v>14</v>
      </c>
      <c r="L2" s="5" t="s">
        <v>15</v>
      </c>
      <c r="M2" s="21" t="s">
        <v>16</v>
      </c>
      <c r="N2" s="5" t="s">
        <v>17</v>
      </c>
      <c r="O2" s="5" t="s">
        <v>18</v>
      </c>
      <c r="P2" s="5" t="s">
        <v>19</v>
      </c>
      <c r="Q2" s="5" t="s">
        <v>20</v>
      </c>
      <c r="R2" s="1" t="s">
        <v>21</v>
      </c>
      <c r="S2" s="1" t="s">
        <v>22</v>
      </c>
      <c r="T2" s="1" t="s">
        <v>23</v>
      </c>
      <c r="U2" s="1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8" t="s">
        <v>29</v>
      </c>
      <c r="AA2" s="8" t="s">
        <v>30</v>
      </c>
      <c r="AB2" s="8" t="s">
        <v>31</v>
      </c>
      <c r="AC2" s="32" t="s">
        <v>65</v>
      </c>
      <c r="AD2" s="32" t="s">
        <v>66</v>
      </c>
      <c r="AE2" s="32" t="s">
        <v>67</v>
      </c>
      <c r="AF2" s="1" t="s">
        <v>23</v>
      </c>
      <c r="AG2" s="1" t="s">
        <v>23</v>
      </c>
      <c r="AH2" s="1" t="s">
        <v>32</v>
      </c>
      <c r="AI2" s="29" t="s">
        <v>33</v>
      </c>
      <c r="AJ2" s="29" t="s">
        <v>34</v>
      </c>
      <c r="AK2" s="29" t="s">
        <v>35</v>
      </c>
      <c r="AL2" s="34" t="s">
        <v>36</v>
      </c>
      <c r="AM2" s="30" t="s">
        <v>37</v>
      </c>
      <c r="AO2" s="1" t="s">
        <v>38</v>
      </c>
    </row>
    <row r="3" spans="1:41" x14ac:dyDescent="0.35">
      <c r="A3" t="s">
        <v>39</v>
      </c>
      <c r="B3">
        <v>4</v>
      </c>
      <c r="C3">
        <v>2</v>
      </c>
      <c r="D3" t="s">
        <v>40</v>
      </c>
      <c r="E3">
        <v>2</v>
      </c>
      <c r="F3">
        <v>1</v>
      </c>
      <c r="G3" s="12">
        <v>40</v>
      </c>
      <c r="H3" s="12">
        <v>8.2899999999999991</v>
      </c>
      <c r="I3" s="12">
        <v>2183</v>
      </c>
      <c r="J3" s="12">
        <v>10.19</v>
      </c>
      <c r="K3" s="12">
        <v>17.803000000000001</v>
      </c>
      <c r="L3" s="12">
        <v>2.5000000000000001E-2</v>
      </c>
      <c r="M3" s="22">
        <v>54</v>
      </c>
      <c r="N3" s="12">
        <v>0</v>
      </c>
      <c r="O3" s="13">
        <v>1.35</v>
      </c>
      <c r="P3" s="14">
        <v>40</v>
      </c>
      <c r="Q3" s="14">
        <v>10.19</v>
      </c>
      <c r="R3" s="14">
        <v>54</v>
      </c>
      <c r="S3" s="14">
        <v>0</v>
      </c>
      <c r="T3" s="14" t="b">
        <f>G3=P3</f>
        <v>1</v>
      </c>
      <c r="U3" s="14" t="b">
        <f>J3=Q3</f>
        <v>1</v>
      </c>
      <c r="V3" s="15">
        <f>VLOOKUP(IF(J3&lt;10, 10, IF(J3&gt;50,50,J3)),'Over to underbark'!$A$3:$C$43,IF(A3="Scots pine",3,IF(A3="Sitka spruce",2, "error")),TRUE)/100</f>
        <v>0.53</v>
      </c>
      <c r="W3">
        <f>R3*0.9*V3</f>
        <v>25.758000000000003</v>
      </c>
      <c r="X3">
        <f>S3*0.9*V3</f>
        <v>0</v>
      </c>
      <c r="Y3">
        <f>(R3+S3)*0.9*(100%-V3)</f>
        <v>22.841999999999999</v>
      </c>
      <c r="Z3">
        <f t="shared" ref="Z3:Z29" si="0">Y3+(57%*W3)+(15%*X3)</f>
        <v>37.524059999999999</v>
      </c>
      <c r="AA3">
        <f t="shared" ref="AA3:AA29" si="1">(43%*W3)+(25%*X3)</f>
        <v>11.075940000000001</v>
      </c>
      <c r="AB3">
        <f t="shared" ref="AB3:AB29" si="2">60%*X3</f>
        <v>0</v>
      </c>
      <c r="AC3">
        <f>LOOKUP($A3,'Over to underbark'!$A$47:$A$48,'Over to underbark'!E$47:E$48)*Z3</f>
        <v>15.760105199999998</v>
      </c>
      <c r="AD3">
        <f>LOOKUP($A3,'Over to underbark'!$A$47:$A$48,'Over to underbark'!E$47:E$48)*AA3</f>
        <v>4.6518948</v>
      </c>
      <c r="AE3">
        <f>LOOKUP($A3,'Over to underbark'!$A$47:$A$48,'Over to underbark'!E$47:E$48)*AB3</f>
        <v>0</v>
      </c>
      <c r="AF3" t="b">
        <f>SUM(W3:Y3)=SUM(Z3:AB3)</f>
        <v>1</v>
      </c>
      <c r="AG3" t="b">
        <f>SUM(R3:S3)*0.9 = SUM(W3:Y3)</f>
        <v>1</v>
      </c>
      <c r="AH3">
        <f>LOOKUP(A3,'Over to underbark'!$A$47:$A$48,'Over to underbark'!E$47:E$48)*M3</f>
        <v>22.68</v>
      </c>
      <c r="AI3" s="27">
        <f>LOOKUP(A3,'Over to underbark'!$A$47:$A$48,'Over to underbark'!$B$47:$B$48)*AH3</f>
        <v>7.7112000000000007</v>
      </c>
      <c r="AJ3" s="27">
        <f>LOOKUP(A4,'Over to underbark'!$A$47:$A$48,'Over to underbark'!C$47:C$48)*AH3</f>
        <v>7.9379999999999997</v>
      </c>
      <c r="AK3" s="27">
        <f>AH3+AI3</f>
        <v>30.391200000000001</v>
      </c>
      <c r="AL3" s="33">
        <v>72.36</v>
      </c>
      <c r="AM3" s="28">
        <f>AK3*2</f>
        <v>60.782400000000003</v>
      </c>
      <c r="AO3">
        <f>(AC3+AD3+AE3)/AK3</f>
        <v>0.67164179104477606</v>
      </c>
    </row>
    <row r="4" spans="1:41" x14ac:dyDescent="0.35">
      <c r="A4" t="s">
        <v>39</v>
      </c>
      <c r="B4">
        <v>4</v>
      </c>
      <c r="C4">
        <v>2</v>
      </c>
      <c r="D4" t="s">
        <v>40</v>
      </c>
      <c r="E4">
        <v>2</v>
      </c>
      <c r="F4">
        <v>1</v>
      </c>
      <c r="G4" s="12">
        <v>41</v>
      </c>
      <c r="H4" s="12">
        <v>8.5359999999999996</v>
      </c>
      <c r="I4" s="12">
        <v>2172</v>
      </c>
      <c r="J4" s="12">
        <v>10.484999999999999</v>
      </c>
      <c r="K4" s="12">
        <v>18.751999999999999</v>
      </c>
      <c r="L4" s="12">
        <v>2.7E-2</v>
      </c>
      <c r="M4" s="22">
        <v>59.2</v>
      </c>
      <c r="N4" s="12">
        <v>0</v>
      </c>
      <c r="O4" s="13">
        <v>1.444</v>
      </c>
      <c r="P4" s="14">
        <v>41</v>
      </c>
      <c r="Q4" s="14">
        <v>10.484999999999999</v>
      </c>
      <c r="R4" s="14">
        <v>59.2</v>
      </c>
      <c r="S4" s="14">
        <v>0</v>
      </c>
      <c r="T4" s="14" t="b">
        <f t="shared" ref="T4:T67" si="3">G4=P4</f>
        <v>1</v>
      </c>
      <c r="U4" s="14" t="b">
        <f t="shared" ref="U4:U67" si="4">J4=Q4</f>
        <v>1</v>
      </c>
      <c r="V4" s="15">
        <f>VLOOKUP(IF(J4&lt;10, 10, IF(J4&gt;50,50,J4)),'Over to underbark'!$A$3:$C$43,IF(A4="Scots pine",3,IF(A4="Sitka spruce",2, "error")),TRUE)/100</f>
        <v>0.53</v>
      </c>
      <c r="W4">
        <f t="shared" ref="W4:W63" si="5">R4*0.9*V4</f>
        <v>28.238400000000002</v>
      </c>
      <c r="X4">
        <f t="shared" ref="X4:X63" si="6">S4*0.9*V4</f>
        <v>0</v>
      </c>
      <c r="Y4">
        <f t="shared" ref="Y4:Y67" si="7">(R4+S4)*0.9*(100%-V4)</f>
        <v>25.041599999999999</v>
      </c>
      <c r="Z4">
        <f t="shared" si="0"/>
        <v>41.137487999999998</v>
      </c>
      <c r="AA4">
        <f t="shared" si="1"/>
        <v>12.142512</v>
      </c>
      <c r="AB4">
        <f t="shared" si="2"/>
        <v>0</v>
      </c>
      <c r="AC4">
        <f>LOOKUP($A4,'Over to underbark'!$A$47:$A$48,'Over to underbark'!E$47:E$48)*Z4</f>
        <v>17.27774496</v>
      </c>
      <c r="AD4">
        <f>LOOKUP($A4,'Over to underbark'!$A$47:$A$48,'Over to underbark'!E$47:E$48)*AA4</f>
        <v>5.0998550399999996</v>
      </c>
      <c r="AE4">
        <f>LOOKUP($A4,'Over to underbark'!$A$47:$A$48,'Over to underbark'!E$47:E$48)*AB4</f>
        <v>0</v>
      </c>
      <c r="AF4" t="b">
        <f t="shared" ref="AF4:AF67" si="8">SUM(W4:Y4)=SUM(Z4:AB4)</f>
        <v>1</v>
      </c>
      <c r="AG4" t="b">
        <f t="shared" ref="AG4:AG67" si="9">SUM(R4:S4)*0.9 = SUM(W4:Y4)</f>
        <v>1</v>
      </c>
      <c r="AH4">
        <f>LOOKUP(A4,'Over to underbark'!$A$47:$A$48,'Over to underbark'!E$47:E$48)*M4</f>
        <v>24.864000000000001</v>
      </c>
      <c r="AI4" s="27">
        <f>LOOKUP(A4,'Over to underbark'!$A$47:$A$48,'Over to underbark'!$B$47:$B$48)*AH4</f>
        <v>8.4537600000000008</v>
      </c>
      <c r="AJ4" s="27">
        <f>LOOKUP(A5,'Over to underbark'!$A$47:$A$48,'Over to underbark'!C$47:C$48)*AH4</f>
        <v>8.702399999999999</v>
      </c>
      <c r="AK4" s="27">
        <f t="shared" ref="AK4:AK67" si="10">AH4+AI4</f>
        <v>33.31776</v>
      </c>
      <c r="AL4" s="33">
        <v>79.33</v>
      </c>
      <c r="AM4" s="28">
        <f t="shared" ref="AM4:AM67" si="11">AK4*2</f>
        <v>66.63552</v>
      </c>
      <c r="AO4">
        <f t="shared" ref="AO4:AO67" si="12">(AC4+AD4+AE4)/AK4</f>
        <v>0.67164179104477617</v>
      </c>
    </row>
    <row r="5" spans="1:41" x14ac:dyDescent="0.35">
      <c r="A5" t="s">
        <v>39</v>
      </c>
      <c r="B5">
        <v>4</v>
      </c>
      <c r="C5">
        <v>2</v>
      </c>
      <c r="D5" t="s">
        <v>40</v>
      </c>
      <c r="E5">
        <v>2</v>
      </c>
      <c r="F5">
        <v>1</v>
      </c>
      <c r="G5" s="12">
        <v>42</v>
      </c>
      <c r="H5" s="12">
        <v>8.782</v>
      </c>
      <c r="I5" s="12">
        <v>2161</v>
      </c>
      <c r="J5" s="12">
        <v>10.773999999999999</v>
      </c>
      <c r="K5" s="12">
        <v>19.702000000000002</v>
      </c>
      <c r="L5" s="12">
        <v>0.03</v>
      </c>
      <c r="M5" s="22">
        <v>64.400000000000006</v>
      </c>
      <c r="N5" s="12">
        <v>0</v>
      </c>
      <c r="O5" s="13">
        <v>1.5329999999999999</v>
      </c>
      <c r="P5" s="14">
        <v>42</v>
      </c>
      <c r="Q5" s="14">
        <v>10.773999999999999</v>
      </c>
      <c r="R5" s="14">
        <v>64.400000000000006</v>
      </c>
      <c r="S5" s="14">
        <v>0</v>
      </c>
      <c r="T5" s="14" t="b">
        <f t="shared" si="3"/>
        <v>1</v>
      </c>
      <c r="U5" s="14" t="b">
        <f t="shared" si="4"/>
        <v>1</v>
      </c>
      <c r="V5" s="15">
        <f>VLOOKUP(IF(J5&lt;10, 10, IF(J5&gt;50,50,J5)),'Over to underbark'!$A$3:$C$43,IF(A5="Scots pine",3,IF(A5="Sitka spruce",2, "error")),TRUE)/100</f>
        <v>0.53</v>
      </c>
      <c r="W5">
        <f t="shared" si="5"/>
        <v>30.718800000000005</v>
      </c>
      <c r="X5">
        <f t="shared" si="6"/>
        <v>0</v>
      </c>
      <c r="Y5">
        <f t="shared" si="7"/>
        <v>27.241200000000003</v>
      </c>
      <c r="Z5">
        <f t="shared" si="0"/>
        <v>44.750916000000004</v>
      </c>
      <c r="AA5">
        <f t="shared" si="1"/>
        <v>13.209084000000002</v>
      </c>
      <c r="AB5">
        <f t="shared" si="2"/>
        <v>0</v>
      </c>
      <c r="AC5">
        <f>LOOKUP($A5,'Over to underbark'!$A$47:$A$48,'Over to underbark'!E$47:E$48)*Z5</f>
        <v>18.795384720000001</v>
      </c>
      <c r="AD5">
        <f>LOOKUP($A5,'Over to underbark'!$A$47:$A$48,'Over to underbark'!E$47:E$48)*AA5</f>
        <v>5.5478152800000009</v>
      </c>
      <c r="AE5">
        <f>LOOKUP($A5,'Over to underbark'!$A$47:$A$48,'Over to underbark'!E$47:E$48)*AB5</f>
        <v>0</v>
      </c>
      <c r="AF5" t="b">
        <f t="shared" si="8"/>
        <v>1</v>
      </c>
      <c r="AG5" t="b">
        <f t="shared" si="9"/>
        <v>1</v>
      </c>
      <c r="AH5">
        <f>LOOKUP(A5,'Over to underbark'!$A$47:$A$48,'Over to underbark'!E$47:E$48)*M5</f>
        <v>27.048000000000002</v>
      </c>
      <c r="AI5" s="27">
        <f>LOOKUP(A5,'Over to underbark'!$A$47:$A$48,'Over to underbark'!$B$47:$B$48)*AH5</f>
        <v>9.1963200000000018</v>
      </c>
      <c r="AJ5" s="27">
        <f>LOOKUP(A6,'Over to underbark'!$A$47:$A$48,'Over to underbark'!C$47:C$48)*AH5</f>
        <v>9.4667999999999992</v>
      </c>
      <c r="AK5" s="27">
        <f t="shared" si="10"/>
        <v>36.244320000000002</v>
      </c>
      <c r="AL5" s="33">
        <v>86.3</v>
      </c>
      <c r="AM5" s="28">
        <f t="shared" si="11"/>
        <v>72.488640000000004</v>
      </c>
      <c r="AO5">
        <f t="shared" si="12"/>
        <v>0.67164179104477617</v>
      </c>
    </row>
    <row r="6" spans="1:41" x14ac:dyDescent="0.35">
      <c r="A6" t="s">
        <v>39</v>
      </c>
      <c r="B6">
        <v>4</v>
      </c>
      <c r="C6">
        <v>2</v>
      </c>
      <c r="D6" t="s">
        <v>40</v>
      </c>
      <c r="E6">
        <v>2</v>
      </c>
      <c r="F6">
        <v>1</v>
      </c>
      <c r="G6" s="12">
        <v>43</v>
      </c>
      <c r="H6" s="12">
        <v>9.0280000000000005</v>
      </c>
      <c r="I6" s="12">
        <v>2151</v>
      </c>
      <c r="J6" s="12">
        <v>11.055999999999999</v>
      </c>
      <c r="K6" s="12">
        <v>20.651</v>
      </c>
      <c r="L6" s="12">
        <v>3.2000000000000001E-2</v>
      </c>
      <c r="M6" s="22">
        <v>69.599999999999994</v>
      </c>
      <c r="N6" s="12">
        <v>0</v>
      </c>
      <c r="O6" s="13">
        <v>1.619</v>
      </c>
      <c r="P6" s="14">
        <v>43</v>
      </c>
      <c r="Q6" s="14">
        <v>11.055999999999999</v>
      </c>
      <c r="R6" s="14">
        <v>69.599999999999994</v>
      </c>
      <c r="S6" s="14">
        <v>0</v>
      </c>
      <c r="T6" s="14" t="b">
        <f t="shared" si="3"/>
        <v>1</v>
      </c>
      <c r="U6" s="14" t="b">
        <f t="shared" si="4"/>
        <v>1</v>
      </c>
      <c r="V6" s="15">
        <f>VLOOKUP(IF(J6&lt;10, 10, IF(J6&gt;50,50,J6)),'Over to underbark'!$A$3:$C$43,IF(A6="Scots pine",3,IF(A6="Sitka spruce",2, "error")),TRUE)/100</f>
        <v>0.66</v>
      </c>
      <c r="W6">
        <f t="shared" si="5"/>
        <v>41.342399999999998</v>
      </c>
      <c r="X6">
        <f t="shared" si="6"/>
        <v>0</v>
      </c>
      <c r="Y6">
        <f t="shared" si="7"/>
        <v>21.297599999999996</v>
      </c>
      <c r="Z6">
        <f t="shared" si="0"/>
        <v>44.862767999999988</v>
      </c>
      <c r="AA6">
        <f t="shared" si="1"/>
        <v>17.777231999999998</v>
      </c>
      <c r="AB6">
        <f t="shared" si="2"/>
        <v>0</v>
      </c>
      <c r="AC6">
        <f>LOOKUP($A6,'Over to underbark'!$A$47:$A$48,'Over to underbark'!E$47:E$48)*Z6</f>
        <v>18.842362559999994</v>
      </c>
      <c r="AD6">
        <f>LOOKUP($A6,'Over to underbark'!$A$47:$A$48,'Over to underbark'!E$47:E$48)*AA6</f>
        <v>7.4664374399999991</v>
      </c>
      <c r="AE6">
        <f>LOOKUP($A6,'Over to underbark'!$A$47:$A$48,'Over to underbark'!E$47:E$48)*AB6</f>
        <v>0</v>
      </c>
      <c r="AF6" t="b">
        <f t="shared" si="8"/>
        <v>1</v>
      </c>
      <c r="AG6" t="b">
        <f t="shared" si="9"/>
        <v>1</v>
      </c>
      <c r="AH6">
        <f>LOOKUP(A6,'Over to underbark'!$A$47:$A$48,'Over to underbark'!E$47:E$48)*M6</f>
        <v>29.231999999999996</v>
      </c>
      <c r="AI6" s="27">
        <f>LOOKUP(A6,'Over to underbark'!$A$47:$A$48,'Over to underbark'!$B$47:$B$48)*AH6</f>
        <v>9.9388799999999993</v>
      </c>
      <c r="AJ6" s="27">
        <f>LOOKUP(A7,'Over to underbark'!$A$47:$A$48,'Over to underbark'!C$47:C$48)*AH6</f>
        <v>10.231199999999998</v>
      </c>
      <c r="AK6" s="27">
        <f t="shared" si="10"/>
        <v>39.170879999999997</v>
      </c>
      <c r="AL6" s="33">
        <v>93.26</v>
      </c>
      <c r="AM6" s="28">
        <f t="shared" si="11"/>
        <v>78.341759999999994</v>
      </c>
      <c r="AO6">
        <f t="shared" si="12"/>
        <v>0.67164179104477606</v>
      </c>
    </row>
    <row r="7" spans="1:41" x14ac:dyDescent="0.35">
      <c r="A7" t="s">
        <v>39</v>
      </c>
      <c r="B7">
        <v>4</v>
      </c>
      <c r="C7">
        <v>2</v>
      </c>
      <c r="D7" t="s">
        <v>40</v>
      </c>
      <c r="E7">
        <v>2</v>
      </c>
      <c r="F7">
        <v>1</v>
      </c>
      <c r="G7" s="12">
        <v>44</v>
      </c>
      <c r="H7" s="12">
        <v>9.2739999999999991</v>
      </c>
      <c r="I7" s="12">
        <v>2140</v>
      </c>
      <c r="J7" s="12">
        <v>11.336</v>
      </c>
      <c r="K7" s="12">
        <v>21.6</v>
      </c>
      <c r="L7" s="12">
        <v>3.5000000000000003E-2</v>
      </c>
      <c r="M7" s="22">
        <v>74.8</v>
      </c>
      <c r="N7" s="12">
        <v>0</v>
      </c>
      <c r="O7" s="13">
        <v>1.7</v>
      </c>
      <c r="P7" s="14">
        <v>44</v>
      </c>
      <c r="Q7" s="14">
        <v>11.336</v>
      </c>
      <c r="R7" s="14">
        <v>74.8</v>
      </c>
      <c r="S7" s="14">
        <v>0</v>
      </c>
      <c r="T7" s="14" t="b">
        <f t="shared" si="3"/>
        <v>1</v>
      </c>
      <c r="U7" s="14" t="b">
        <f t="shared" si="4"/>
        <v>1</v>
      </c>
      <c r="V7" s="15">
        <f>VLOOKUP(IF(J7&lt;10, 10, IF(J7&gt;50,50,J7)),'Over to underbark'!$A$3:$C$43,IF(A7="Scots pine",3,IF(A7="Sitka spruce",2, "error")),TRUE)/100</f>
        <v>0.66</v>
      </c>
      <c r="W7">
        <f t="shared" si="5"/>
        <v>44.431199999999997</v>
      </c>
      <c r="X7">
        <f t="shared" si="6"/>
        <v>0</v>
      </c>
      <c r="Y7">
        <f t="shared" si="7"/>
        <v>22.888799999999996</v>
      </c>
      <c r="Z7">
        <f t="shared" si="0"/>
        <v>48.214583999999988</v>
      </c>
      <c r="AA7">
        <f t="shared" si="1"/>
        <v>19.105415999999998</v>
      </c>
      <c r="AB7">
        <f t="shared" si="2"/>
        <v>0</v>
      </c>
      <c r="AC7">
        <f>LOOKUP($A7,'Over to underbark'!$A$47:$A$48,'Over to underbark'!E$47:E$48)*Z7</f>
        <v>20.250125279999995</v>
      </c>
      <c r="AD7">
        <f>LOOKUP($A7,'Over to underbark'!$A$47:$A$48,'Over to underbark'!E$47:E$48)*AA7</f>
        <v>8.0242747199999993</v>
      </c>
      <c r="AE7">
        <f>LOOKUP($A7,'Over to underbark'!$A$47:$A$48,'Over to underbark'!E$47:E$48)*AB7</f>
        <v>0</v>
      </c>
      <c r="AF7" t="b">
        <f t="shared" si="8"/>
        <v>1</v>
      </c>
      <c r="AG7" t="b">
        <f t="shared" si="9"/>
        <v>1</v>
      </c>
      <c r="AH7">
        <f>LOOKUP(A7,'Over to underbark'!$A$47:$A$48,'Over to underbark'!E$47:E$48)*M7</f>
        <v>31.415999999999997</v>
      </c>
      <c r="AI7" s="27">
        <f>LOOKUP(A7,'Over to underbark'!$A$47:$A$48,'Over to underbark'!$B$47:$B$48)*AH7</f>
        <v>10.68144</v>
      </c>
      <c r="AJ7" s="27">
        <f>LOOKUP(A8,'Over to underbark'!$A$47:$A$48,'Over to underbark'!C$47:C$48)*AH7</f>
        <v>10.995599999999998</v>
      </c>
      <c r="AK7" s="27">
        <f t="shared" si="10"/>
        <v>42.097439999999999</v>
      </c>
      <c r="AL7" s="33">
        <v>100.23</v>
      </c>
      <c r="AM7" s="28">
        <f t="shared" si="11"/>
        <v>84.194879999999998</v>
      </c>
      <c r="AO7">
        <f t="shared" si="12"/>
        <v>0.67164179104477595</v>
      </c>
    </row>
    <row r="8" spans="1:41" x14ac:dyDescent="0.35">
      <c r="A8" t="s">
        <v>39</v>
      </c>
      <c r="B8">
        <v>4</v>
      </c>
      <c r="C8">
        <v>2</v>
      </c>
      <c r="D8" t="s">
        <v>40</v>
      </c>
      <c r="E8">
        <v>2</v>
      </c>
      <c r="F8">
        <v>1</v>
      </c>
      <c r="G8" s="12">
        <v>45</v>
      </c>
      <c r="H8" s="12">
        <v>9.52</v>
      </c>
      <c r="I8" s="12">
        <v>2130</v>
      </c>
      <c r="J8" s="12">
        <v>11.61</v>
      </c>
      <c r="K8" s="12">
        <v>22.548999999999999</v>
      </c>
      <c r="L8" s="12">
        <v>3.7999999999999999E-2</v>
      </c>
      <c r="M8" s="22">
        <v>80</v>
      </c>
      <c r="N8" s="12">
        <v>0</v>
      </c>
      <c r="O8" s="13">
        <v>1.778</v>
      </c>
      <c r="P8" s="14">
        <v>45</v>
      </c>
      <c r="Q8" s="14">
        <v>11.61</v>
      </c>
      <c r="R8" s="14">
        <v>80</v>
      </c>
      <c r="S8" s="14">
        <v>0</v>
      </c>
      <c r="T8" s="14" t="b">
        <f t="shared" si="3"/>
        <v>1</v>
      </c>
      <c r="U8" s="14" t="b">
        <f t="shared" si="4"/>
        <v>1</v>
      </c>
      <c r="V8" s="15">
        <f>VLOOKUP(IF(J8&lt;10, 10, IF(J8&gt;50,50,J8)),'Over to underbark'!$A$3:$C$43,IF(A8="Scots pine",3,IF(A8="Sitka spruce",2, "error")),TRUE)/100</f>
        <v>0.66</v>
      </c>
      <c r="W8">
        <f t="shared" si="5"/>
        <v>47.52</v>
      </c>
      <c r="X8">
        <f t="shared" si="6"/>
        <v>0</v>
      </c>
      <c r="Y8">
        <f t="shared" si="7"/>
        <v>24.479999999999997</v>
      </c>
      <c r="Z8">
        <f t="shared" si="0"/>
        <v>51.566400000000002</v>
      </c>
      <c r="AA8">
        <f t="shared" si="1"/>
        <v>20.433600000000002</v>
      </c>
      <c r="AB8">
        <f t="shared" si="2"/>
        <v>0</v>
      </c>
      <c r="AC8">
        <f>LOOKUP($A8,'Over to underbark'!$A$47:$A$48,'Over to underbark'!E$47:E$48)*Z8</f>
        <v>21.657888</v>
      </c>
      <c r="AD8">
        <f>LOOKUP($A8,'Over to underbark'!$A$47:$A$48,'Over to underbark'!E$47:E$48)*AA8</f>
        <v>8.5821120000000004</v>
      </c>
      <c r="AE8">
        <f>LOOKUP($A8,'Over to underbark'!$A$47:$A$48,'Over to underbark'!E$47:E$48)*AB8</f>
        <v>0</v>
      </c>
      <c r="AF8" t="b">
        <f t="shared" si="8"/>
        <v>1</v>
      </c>
      <c r="AG8" t="b">
        <f t="shared" si="9"/>
        <v>1</v>
      </c>
      <c r="AH8">
        <f>LOOKUP(A8,'Over to underbark'!$A$47:$A$48,'Over to underbark'!E$47:E$48)*M8</f>
        <v>33.6</v>
      </c>
      <c r="AI8" s="27">
        <f>LOOKUP(A8,'Over to underbark'!$A$47:$A$48,'Over to underbark'!$B$47:$B$48)*AH8</f>
        <v>11.424000000000001</v>
      </c>
      <c r="AJ8" s="27">
        <f>LOOKUP(A9,'Over to underbark'!$A$47:$A$48,'Over to underbark'!C$47:C$48)*AH8</f>
        <v>11.76</v>
      </c>
      <c r="AK8" s="27">
        <f t="shared" si="10"/>
        <v>45.024000000000001</v>
      </c>
      <c r="AL8" s="33">
        <v>107.2</v>
      </c>
      <c r="AM8" s="28">
        <f t="shared" si="11"/>
        <v>90.048000000000002</v>
      </c>
      <c r="AO8">
        <f t="shared" si="12"/>
        <v>0.67164179104477617</v>
      </c>
    </row>
    <row r="9" spans="1:41" x14ac:dyDescent="0.35">
      <c r="A9" t="s">
        <v>39</v>
      </c>
      <c r="B9">
        <v>4</v>
      </c>
      <c r="C9">
        <v>2</v>
      </c>
      <c r="D9" t="s">
        <v>40</v>
      </c>
      <c r="E9">
        <v>2</v>
      </c>
      <c r="F9">
        <v>1</v>
      </c>
      <c r="G9" s="12">
        <v>46</v>
      </c>
      <c r="H9" s="12">
        <v>9.7479999999999993</v>
      </c>
      <c r="I9" s="12">
        <v>2106</v>
      </c>
      <c r="J9" s="12">
        <v>11.881</v>
      </c>
      <c r="K9" s="12">
        <v>23.347999999999999</v>
      </c>
      <c r="L9" s="12">
        <v>4.1000000000000002E-2</v>
      </c>
      <c r="M9" s="22">
        <v>86.06</v>
      </c>
      <c r="N9" s="12">
        <v>0</v>
      </c>
      <c r="O9" s="13">
        <v>1.871</v>
      </c>
      <c r="P9" s="14">
        <v>46</v>
      </c>
      <c r="Q9" s="14">
        <v>11.881</v>
      </c>
      <c r="R9" s="14">
        <v>86.06</v>
      </c>
      <c r="S9" s="14">
        <v>0</v>
      </c>
      <c r="T9" s="14" t="b">
        <f t="shared" si="3"/>
        <v>1</v>
      </c>
      <c r="U9" s="14" t="b">
        <f t="shared" si="4"/>
        <v>1</v>
      </c>
      <c r="V9" s="15">
        <f>VLOOKUP(IF(J9&lt;10, 10, IF(J9&gt;50,50,J9)),'Over to underbark'!$A$3:$C$43,IF(A9="Scots pine",3,IF(A9="Sitka spruce",2, "error")),TRUE)/100</f>
        <v>0.66</v>
      </c>
      <c r="W9">
        <f t="shared" si="5"/>
        <v>51.119640000000004</v>
      </c>
      <c r="X9">
        <f t="shared" si="6"/>
        <v>0</v>
      </c>
      <c r="Y9">
        <f t="shared" si="7"/>
        <v>26.33436</v>
      </c>
      <c r="Z9">
        <f t="shared" si="0"/>
        <v>55.472554799999997</v>
      </c>
      <c r="AA9">
        <f t="shared" si="1"/>
        <v>21.981445200000003</v>
      </c>
      <c r="AB9">
        <f t="shared" si="2"/>
        <v>0</v>
      </c>
      <c r="AC9">
        <f>LOOKUP($A9,'Over to underbark'!$A$47:$A$48,'Over to underbark'!E$47:E$48)*Z9</f>
        <v>23.298473015999999</v>
      </c>
      <c r="AD9">
        <f>LOOKUP($A9,'Over to underbark'!$A$47:$A$48,'Over to underbark'!E$47:E$48)*AA9</f>
        <v>9.2322069840000012</v>
      </c>
      <c r="AE9">
        <f>LOOKUP($A9,'Over to underbark'!$A$47:$A$48,'Over to underbark'!E$47:E$48)*AB9</f>
        <v>0</v>
      </c>
      <c r="AF9" t="b">
        <f t="shared" si="8"/>
        <v>1</v>
      </c>
      <c r="AG9" t="b">
        <f t="shared" si="9"/>
        <v>1</v>
      </c>
      <c r="AH9">
        <f>LOOKUP(A9,'Over to underbark'!$A$47:$A$48,'Over to underbark'!E$47:E$48)*M9</f>
        <v>36.145200000000003</v>
      </c>
      <c r="AI9" s="27">
        <f>LOOKUP(A9,'Over to underbark'!$A$47:$A$48,'Over to underbark'!$B$47:$B$48)*AH9</f>
        <v>12.289368000000001</v>
      </c>
      <c r="AJ9" s="27">
        <f>LOOKUP(A10,'Over to underbark'!$A$47:$A$48,'Over to underbark'!C$47:C$48)*AH9</f>
        <v>12.65082</v>
      </c>
      <c r="AK9" s="27">
        <f t="shared" si="10"/>
        <v>48.434568000000006</v>
      </c>
      <c r="AL9" s="33">
        <v>115.32</v>
      </c>
      <c r="AM9" s="28">
        <f t="shared" si="11"/>
        <v>96.869136000000012</v>
      </c>
      <c r="AO9">
        <f t="shared" si="12"/>
        <v>0.67164179104477617</v>
      </c>
    </row>
    <row r="10" spans="1:41" x14ac:dyDescent="0.35">
      <c r="A10" t="s">
        <v>39</v>
      </c>
      <c r="B10">
        <v>4</v>
      </c>
      <c r="C10">
        <v>2</v>
      </c>
      <c r="D10" t="s">
        <v>40</v>
      </c>
      <c r="E10">
        <v>2</v>
      </c>
      <c r="F10">
        <v>1</v>
      </c>
      <c r="G10" s="12">
        <v>47</v>
      </c>
      <c r="H10" s="12">
        <v>9.9760000000000009</v>
      </c>
      <c r="I10" s="12">
        <v>2082</v>
      </c>
      <c r="J10" s="12">
        <v>12.151999999999999</v>
      </c>
      <c r="K10" s="12">
        <v>24.146000000000001</v>
      </c>
      <c r="L10" s="12">
        <v>4.3999999999999997E-2</v>
      </c>
      <c r="M10" s="22">
        <v>92.12</v>
      </c>
      <c r="N10" s="12">
        <v>4.2999999999999997E-2</v>
      </c>
      <c r="O10" s="13">
        <v>1.96</v>
      </c>
      <c r="P10" s="14">
        <v>47</v>
      </c>
      <c r="Q10" s="14">
        <v>12.151999999999999</v>
      </c>
      <c r="R10" s="14">
        <v>92.12</v>
      </c>
      <c r="S10" s="14">
        <v>0</v>
      </c>
      <c r="T10" s="14" t="b">
        <f t="shared" si="3"/>
        <v>1</v>
      </c>
      <c r="U10" s="14" t="b">
        <f t="shared" si="4"/>
        <v>1</v>
      </c>
      <c r="V10" s="15">
        <f>VLOOKUP(IF(J10&lt;10, 10, IF(J10&gt;50,50,J10)),'Over to underbark'!$A$3:$C$43,IF(A10="Scots pine",3,IF(A10="Sitka spruce",2, "error")),TRUE)/100</f>
        <v>0.74</v>
      </c>
      <c r="W10">
        <f t="shared" si="5"/>
        <v>61.35192</v>
      </c>
      <c r="X10">
        <f t="shared" si="6"/>
        <v>0</v>
      </c>
      <c r="Y10">
        <f t="shared" si="7"/>
        <v>21.556080000000001</v>
      </c>
      <c r="Z10">
        <f t="shared" si="0"/>
        <v>56.526674399999997</v>
      </c>
      <c r="AA10">
        <f t="shared" si="1"/>
        <v>26.3813256</v>
      </c>
      <c r="AB10">
        <f t="shared" si="2"/>
        <v>0</v>
      </c>
      <c r="AC10">
        <f>LOOKUP($A10,'Over to underbark'!$A$47:$A$48,'Over to underbark'!E$47:E$48)*Z10</f>
        <v>23.741203247999998</v>
      </c>
      <c r="AD10">
        <f>LOOKUP($A10,'Over to underbark'!$A$47:$A$48,'Over to underbark'!E$47:E$48)*AA10</f>
        <v>11.080156751999999</v>
      </c>
      <c r="AE10">
        <f>LOOKUP($A10,'Over to underbark'!$A$47:$A$48,'Over to underbark'!E$47:E$48)*AB10</f>
        <v>0</v>
      </c>
      <c r="AF10" t="b">
        <f t="shared" si="8"/>
        <v>1</v>
      </c>
      <c r="AG10" t="b">
        <f t="shared" si="9"/>
        <v>1</v>
      </c>
      <c r="AH10">
        <f>LOOKUP(A10,'Over to underbark'!$A$47:$A$48,'Over to underbark'!E$47:E$48)*M10</f>
        <v>38.690400000000004</v>
      </c>
      <c r="AI10" s="27">
        <f>LOOKUP(A10,'Over to underbark'!$A$47:$A$48,'Over to underbark'!$B$47:$B$48)*AH10</f>
        <v>13.154736000000002</v>
      </c>
      <c r="AJ10" s="27">
        <f>LOOKUP(A11,'Over to underbark'!$A$47:$A$48,'Over to underbark'!C$47:C$48)*AH10</f>
        <v>13.541640000000001</v>
      </c>
      <c r="AK10" s="27">
        <f t="shared" si="10"/>
        <v>51.845136000000004</v>
      </c>
      <c r="AL10" s="33">
        <v>123.44</v>
      </c>
      <c r="AM10" s="28">
        <f t="shared" si="11"/>
        <v>103.69027200000001</v>
      </c>
      <c r="AO10">
        <f t="shared" si="12"/>
        <v>0.67164179104477606</v>
      </c>
    </row>
    <row r="11" spans="1:41" x14ac:dyDescent="0.35">
      <c r="A11" t="s">
        <v>39</v>
      </c>
      <c r="B11">
        <v>4</v>
      </c>
      <c r="C11">
        <v>2</v>
      </c>
      <c r="D11" t="s">
        <v>40</v>
      </c>
      <c r="E11">
        <v>2</v>
      </c>
      <c r="F11">
        <v>1</v>
      </c>
      <c r="G11" s="12">
        <v>48</v>
      </c>
      <c r="H11" s="12">
        <v>10.204000000000001</v>
      </c>
      <c r="I11" s="12">
        <v>2059</v>
      </c>
      <c r="J11" s="12">
        <v>12.42</v>
      </c>
      <c r="K11" s="12">
        <v>24.945</v>
      </c>
      <c r="L11" s="12">
        <v>4.8000000000000001E-2</v>
      </c>
      <c r="M11" s="22">
        <v>98.18</v>
      </c>
      <c r="N11" s="12">
        <v>6.0999999999999999E-2</v>
      </c>
      <c r="O11" s="13">
        <v>2.0449999999999999</v>
      </c>
      <c r="P11" s="14">
        <v>48</v>
      </c>
      <c r="Q11" s="14">
        <v>12.42</v>
      </c>
      <c r="R11" s="14">
        <v>98.18</v>
      </c>
      <c r="S11" s="14">
        <v>0</v>
      </c>
      <c r="T11" s="14" t="b">
        <f t="shared" si="3"/>
        <v>1</v>
      </c>
      <c r="U11" s="14" t="b">
        <f t="shared" si="4"/>
        <v>1</v>
      </c>
      <c r="V11" s="15">
        <f>VLOOKUP(IF(J11&lt;10, 10, IF(J11&gt;50,50,J11)),'Over to underbark'!$A$3:$C$43,IF(A11="Scots pine",3,IF(A11="Sitka spruce",2, "error")),TRUE)/100</f>
        <v>0.74</v>
      </c>
      <c r="W11">
        <f t="shared" si="5"/>
        <v>65.38788000000001</v>
      </c>
      <c r="X11">
        <f t="shared" si="6"/>
        <v>0</v>
      </c>
      <c r="Y11">
        <f t="shared" si="7"/>
        <v>22.974120000000003</v>
      </c>
      <c r="Z11">
        <f t="shared" si="0"/>
        <v>60.245211600000005</v>
      </c>
      <c r="AA11">
        <f t="shared" si="1"/>
        <v>28.116788400000004</v>
      </c>
      <c r="AB11">
        <f t="shared" si="2"/>
        <v>0</v>
      </c>
      <c r="AC11">
        <f>LOOKUP($A11,'Over to underbark'!$A$47:$A$48,'Over to underbark'!E$47:E$48)*Z11</f>
        <v>25.302988872</v>
      </c>
      <c r="AD11">
        <f>LOOKUP($A11,'Over to underbark'!$A$47:$A$48,'Over to underbark'!E$47:E$48)*AA11</f>
        <v>11.809051128000002</v>
      </c>
      <c r="AE11">
        <f>LOOKUP($A11,'Over to underbark'!$A$47:$A$48,'Over to underbark'!E$47:E$48)*AB11</f>
        <v>0</v>
      </c>
      <c r="AF11" t="b">
        <f t="shared" si="8"/>
        <v>1</v>
      </c>
      <c r="AG11" t="b">
        <f t="shared" si="9"/>
        <v>1</v>
      </c>
      <c r="AH11">
        <f>LOOKUP(A11,'Over to underbark'!$A$47:$A$48,'Over to underbark'!E$47:E$48)*M11</f>
        <v>41.235599999999998</v>
      </c>
      <c r="AI11" s="27">
        <f>LOOKUP(A11,'Over to underbark'!$A$47:$A$48,'Over to underbark'!$B$47:$B$48)*AH11</f>
        <v>14.020104</v>
      </c>
      <c r="AJ11" s="27">
        <f>LOOKUP(A12,'Over to underbark'!$A$47:$A$48,'Over to underbark'!C$47:C$48)*AH11</f>
        <v>14.432459999999999</v>
      </c>
      <c r="AK11" s="27">
        <f t="shared" si="10"/>
        <v>55.255703999999994</v>
      </c>
      <c r="AL11" s="33">
        <v>131.56</v>
      </c>
      <c r="AM11" s="28">
        <f t="shared" si="11"/>
        <v>110.51140799999999</v>
      </c>
      <c r="AO11">
        <f t="shared" si="12"/>
        <v>0.67164179104477617</v>
      </c>
    </row>
    <row r="12" spans="1:41" x14ac:dyDescent="0.35">
      <c r="A12" t="s">
        <v>39</v>
      </c>
      <c r="B12">
        <v>4</v>
      </c>
      <c r="C12">
        <v>2</v>
      </c>
      <c r="D12" t="s">
        <v>40</v>
      </c>
      <c r="E12">
        <v>2</v>
      </c>
      <c r="F12">
        <v>1</v>
      </c>
      <c r="G12" s="12">
        <v>49</v>
      </c>
      <c r="H12" s="12">
        <v>10.432</v>
      </c>
      <c r="I12" s="12">
        <v>2035</v>
      </c>
      <c r="J12" s="12">
        <v>12.691000000000001</v>
      </c>
      <c r="K12" s="12">
        <v>25.742999999999999</v>
      </c>
      <c r="L12" s="12">
        <v>5.0999999999999997E-2</v>
      </c>
      <c r="M12" s="22">
        <v>104.24</v>
      </c>
      <c r="N12" s="12">
        <v>5.8000000000000003E-2</v>
      </c>
      <c r="O12" s="13">
        <v>2.1269999999999998</v>
      </c>
      <c r="P12" s="14">
        <v>49</v>
      </c>
      <c r="Q12" s="14">
        <v>12.691000000000001</v>
      </c>
      <c r="R12" s="14">
        <v>104.226</v>
      </c>
      <c r="S12" s="14">
        <v>1.4E-2</v>
      </c>
      <c r="T12" s="14" t="b">
        <f t="shared" si="3"/>
        <v>1</v>
      </c>
      <c r="U12" s="14" t="b">
        <f t="shared" si="4"/>
        <v>1</v>
      </c>
      <c r="V12" s="15">
        <f>VLOOKUP(IF(J12&lt;10, 10, IF(J12&gt;50,50,J12)),'Over to underbark'!$A$3:$C$43,IF(A12="Scots pine",3,IF(A12="Sitka spruce",2, "error")),TRUE)/100</f>
        <v>0.74</v>
      </c>
      <c r="W12">
        <f t="shared" si="5"/>
        <v>69.414515999999992</v>
      </c>
      <c r="X12">
        <f t="shared" si="6"/>
        <v>9.3240000000000007E-3</v>
      </c>
      <c r="Y12">
        <f t="shared" si="7"/>
        <v>24.392160000000001</v>
      </c>
      <c r="Z12">
        <f t="shared" si="0"/>
        <v>63.959832719999994</v>
      </c>
      <c r="AA12">
        <f t="shared" si="1"/>
        <v>29.850572879999998</v>
      </c>
      <c r="AB12">
        <f t="shared" si="2"/>
        <v>5.5944000000000002E-3</v>
      </c>
      <c r="AC12">
        <f>LOOKUP($A12,'Over to underbark'!$A$47:$A$48,'Over to underbark'!E$47:E$48)*Z12</f>
        <v>26.863129742399998</v>
      </c>
      <c r="AD12">
        <f>LOOKUP($A12,'Over to underbark'!$A$47:$A$48,'Over to underbark'!E$47:E$48)*AA12</f>
        <v>12.537240609599998</v>
      </c>
      <c r="AE12">
        <f>LOOKUP($A12,'Over to underbark'!$A$47:$A$48,'Over to underbark'!E$47:E$48)*AB12</f>
        <v>2.3496480000000002E-3</v>
      </c>
      <c r="AF12" t="b">
        <f t="shared" si="8"/>
        <v>1</v>
      </c>
      <c r="AG12" t="b">
        <f t="shared" si="9"/>
        <v>1</v>
      </c>
      <c r="AH12">
        <f>LOOKUP(A12,'Over to underbark'!$A$47:$A$48,'Over to underbark'!E$47:E$48)*M12</f>
        <v>43.780799999999999</v>
      </c>
      <c r="AI12" s="27">
        <f>LOOKUP(A12,'Over to underbark'!$A$47:$A$48,'Over to underbark'!$B$47:$B$48)*AH12</f>
        <v>14.885472</v>
      </c>
      <c r="AJ12" s="27">
        <f>LOOKUP(A13,'Over to underbark'!$A$47:$A$48,'Over to underbark'!C$47:C$48)*AH12</f>
        <v>15.323279999999999</v>
      </c>
      <c r="AK12" s="27">
        <f t="shared" si="10"/>
        <v>58.666271999999999</v>
      </c>
      <c r="AL12" s="33">
        <v>139.68</v>
      </c>
      <c r="AM12" s="28">
        <f t="shared" si="11"/>
        <v>117.332544</v>
      </c>
      <c r="AO12">
        <f t="shared" si="12"/>
        <v>0.67164179104477606</v>
      </c>
    </row>
    <row r="13" spans="1:41" x14ac:dyDescent="0.35">
      <c r="A13" t="s">
        <v>39</v>
      </c>
      <c r="B13">
        <v>4</v>
      </c>
      <c r="C13">
        <v>2</v>
      </c>
      <c r="D13" t="s">
        <v>40</v>
      </c>
      <c r="E13">
        <v>2</v>
      </c>
      <c r="F13">
        <v>1</v>
      </c>
      <c r="G13" s="12">
        <v>50</v>
      </c>
      <c r="H13" s="12">
        <v>10.66</v>
      </c>
      <c r="I13" s="12">
        <v>2012</v>
      </c>
      <c r="J13" s="12">
        <v>12.96</v>
      </c>
      <c r="K13" s="12">
        <v>26.542000000000002</v>
      </c>
      <c r="L13" s="12">
        <v>5.5E-2</v>
      </c>
      <c r="M13" s="22">
        <v>110.3</v>
      </c>
      <c r="N13" s="12">
        <v>9.0999999999999998E-2</v>
      </c>
      <c r="O13" s="13">
        <v>2.206</v>
      </c>
      <c r="P13" s="14">
        <v>50</v>
      </c>
      <c r="Q13" s="14">
        <v>12.96</v>
      </c>
      <c r="R13" s="14">
        <v>108.65</v>
      </c>
      <c r="S13" s="14">
        <v>1.65</v>
      </c>
      <c r="T13" s="14" t="b">
        <f t="shared" si="3"/>
        <v>1</v>
      </c>
      <c r="U13" s="14" t="b">
        <f t="shared" si="4"/>
        <v>1</v>
      </c>
      <c r="V13" s="15">
        <f>VLOOKUP(IF(J13&lt;10, 10, IF(J13&gt;50,50,J13)),'Over to underbark'!$A$3:$C$43,IF(A13="Scots pine",3,IF(A13="Sitka spruce",2, "error")),TRUE)/100</f>
        <v>0.74</v>
      </c>
      <c r="W13">
        <f t="shared" si="5"/>
        <v>72.360900000000001</v>
      </c>
      <c r="X13">
        <f t="shared" si="6"/>
        <v>1.0989</v>
      </c>
      <c r="Y13">
        <f t="shared" si="7"/>
        <v>25.810200000000002</v>
      </c>
      <c r="Z13">
        <f t="shared" si="0"/>
        <v>67.220748</v>
      </c>
      <c r="AA13">
        <f t="shared" si="1"/>
        <v>31.389911999999999</v>
      </c>
      <c r="AB13">
        <f t="shared" si="2"/>
        <v>0.65933999999999993</v>
      </c>
      <c r="AC13">
        <f>LOOKUP($A13,'Over to underbark'!$A$47:$A$48,'Over to underbark'!E$47:E$48)*Z13</f>
        <v>28.23271416</v>
      </c>
      <c r="AD13">
        <f>LOOKUP($A13,'Over to underbark'!$A$47:$A$48,'Over to underbark'!E$47:E$48)*AA13</f>
        <v>13.183763039999999</v>
      </c>
      <c r="AE13">
        <f>LOOKUP($A13,'Over to underbark'!$A$47:$A$48,'Over to underbark'!E$47:E$48)*AB13</f>
        <v>0.27692279999999997</v>
      </c>
      <c r="AF13" t="b">
        <f t="shared" si="8"/>
        <v>1</v>
      </c>
      <c r="AG13" t="b">
        <f t="shared" si="9"/>
        <v>1</v>
      </c>
      <c r="AH13">
        <f>LOOKUP(A13,'Over to underbark'!$A$47:$A$48,'Over to underbark'!E$47:E$48)*M13</f>
        <v>46.326000000000001</v>
      </c>
      <c r="AI13" s="27">
        <f>LOOKUP(A13,'Over to underbark'!$A$47:$A$48,'Over to underbark'!$B$47:$B$48)*AH13</f>
        <v>15.750840000000002</v>
      </c>
      <c r="AJ13" s="27">
        <f>LOOKUP(A14,'Over to underbark'!$A$47:$A$48,'Over to underbark'!C$47:C$48)*AH13</f>
        <v>16.214099999999998</v>
      </c>
      <c r="AK13" s="27">
        <f t="shared" si="10"/>
        <v>62.076840000000004</v>
      </c>
      <c r="AL13" s="33">
        <v>147.80000000000001</v>
      </c>
      <c r="AM13" s="28">
        <f t="shared" si="11"/>
        <v>124.15368000000001</v>
      </c>
      <c r="AO13">
        <f t="shared" si="12"/>
        <v>0.67164179104477617</v>
      </c>
    </row>
    <row r="14" spans="1:41" x14ac:dyDescent="0.35">
      <c r="A14" t="s">
        <v>39</v>
      </c>
      <c r="B14">
        <v>4</v>
      </c>
      <c r="C14">
        <v>2</v>
      </c>
      <c r="D14" t="s">
        <v>40</v>
      </c>
      <c r="E14">
        <v>2</v>
      </c>
      <c r="F14">
        <v>1</v>
      </c>
      <c r="G14" s="12">
        <v>51</v>
      </c>
      <c r="H14" s="12">
        <v>10.868</v>
      </c>
      <c r="I14" s="12">
        <v>1997</v>
      </c>
      <c r="J14" s="12">
        <v>13.211</v>
      </c>
      <c r="K14" s="12">
        <v>27.372</v>
      </c>
      <c r="L14" s="12">
        <v>5.8000000000000003E-2</v>
      </c>
      <c r="M14" s="22">
        <v>116.76</v>
      </c>
      <c r="N14" s="12">
        <v>0.13700000000000001</v>
      </c>
      <c r="O14" s="13">
        <v>2.2890000000000001</v>
      </c>
      <c r="P14" s="14">
        <v>51</v>
      </c>
      <c r="Q14" s="14">
        <v>13.211</v>
      </c>
      <c r="R14" s="14">
        <v>113.369</v>
      </c>
      <c r="S14" s="14">
        <v>3.391</v>
      </c>
      <c r="T14" s="14" t="b">
        <f t="shared" si="3"/>
        <v>1</v>
      </c>
      <c r="U14" s="14" t="b">
        <f t="shared" si="4"/>
        <v>1</v>
      </c>
      <c r="V14" s="15">
        <f>VLOOKUP(IF(J14&lt;10, 10, IF(J14&gt;50,50,J14)),'Over to underbark'!$A$3:$C$43,IF(A14="Scots pine",3,IF(A14="Sitka spruce",2, "error")),TRUE)/100</f>
        <v>0.79</v>
      </c>
      <c r="W14">
        <f t="shared" si="5"/>
        <v>80.605359000000007</v>
      </c>
      <c r="X14">
        <f t="shared" si="6"/>
        <v>2.4110010000000002</v>
      </c>
      <c r="Y14">
        <f t="shared" si="7"/>
        <v>22.067639999999997</v>
      </c>
      <c r="Z14">
        <f t="shared" si="0"/>
        <v>68.374344780000001</v>
      </c>
      <c r="AA14">
        <f t="shared" si="1"/>
        <v>35.263054620000005</v>
      </c>
      <c r="AB14">
        <f t="shared" si="2"/>
        <v>1.4466006</v>
      </c>
      <c r="AC14">
        <f>LOOKUP($A14,'Over to underbark'!$A$47:$A$48,'Over to underbark'!E$47:E$48)*Z14</f>
        <v>28.717224807600001</v>
      </c>
      <c r="AD14">
        <f>LOOKUP($A14,'Over to underbark'!$A$47:$A$48,'Over to underbark'!E$47:E$48)*AA14</f>
        <v>14.810482940400002</v>
      </c>
      <c r="AE14">
        <f>LOOKUP($A14,'Over to underbark'!$A$47:$A$48,'Over to underbark'!E$47:E$48)*AB14</f>
        <v>0.60757225199999998</v>
      </c>
      <c r="AF14" t="b">
        <f t="shared" si="8"/>
        <v>1</v>
      </c>
      <c r="AG14" t="b">
        <f t="shared" si="9"/>
        <v>1</v>
      </c>
      <c r="AH14">
        <f>LOOKUP(A14,'Over to underbark'!$A$47:$A$48,'Over to underbark'!E$47:E$48)*M14</f>
        <v>49.039200000000001</v>
      </c>
      <c r="AI14" s="27">
        <f>LOOKUP(A14,'Over to underbark'!$A$47:$A$48,'Over to underbark'!$B$47:$B$48)*AH14</f>
        <v>16.673328000000001</v>
      </c>
      <c r="AJ14" s="27">
        <f>LOOKUP(A15,'Over to underbark'!$A$47:$A$48,'Over to underbark'!C$47:C$48)*AH14</f>
        <v>17.163719999999998</v>
      </c>
      <c r="AK14" s="27">
        <f t="shared" si="10"/>
        <v>65.712528000000006</v>
      </c>
      <c r="AL14" s="33">
        <v>156.46</v>
      </c>
      <c r="AM14" s="28">
        <f t="shared" si="11"/>
        <v>131.42505600000001</v>
      </c>
      <c r="AO14">
        <f t="shared" si="12"/>
        <v>0.67164179104477606</v>
      </c>
    </row>
    <row r="15" spans="1:41" x14ac:dyDescent="0.35">
      <c r="A15" t="s">
        <v>39</v>
      </c>
      <c r="B15">
        <v>4</v>
      </c>
      <c r="C15">
        <v>2</v>
      </c>
      <c r="D15" t="s">
        <v>40</v>
      </c>
      <c r="E15">
        <v>2</v>
      </c>
      <c r="F15">
        <v>1</v>
      </c>
      <c r="G15" s="12">
        <v>52</v>
      </c>
      <c r="H15" s="12">
        <v>11.076000000000001</v>
      </c>
      <c r="I15" s="12">
        <v>1983</v>
      </c>
      <c r="J15" s="12">
        <v>13.457000000000001</v>
      </c>
      <c r="K15" s="12">
        <v>28.202999999999999</v>
      </c>
      <c r="L15" s="12">
        <v>6.2E-2</v>
      </c>
      <c r="M15" s="22">
        <v>123.22</v>
      </c>
      <c r="N15" s="12">
        <v>0.17799999999999999</v>
      </c>
      <c r="O15" s="13">
        <v>2.37</v>
      </c>
      <c r="P15" s="14">
        <v>52</v>
      </c>
      <c r="Q15" s="14">
        <v>13.457000000000001</v>
      </c>
      <c r="R15" s="14">
        <v>117.914</v>
      </c>
      <c r="S15" s="14">
        <v>5.306</v>
      </c>
      <c r="T15" s="14" t="b">
        <f t="shared" si="3"/>
        <v>1</v>
      </c>
      <c r="U15" s="14" t="b">
        <f t="shared" si="4"/>
        <v>1</v>
      </c>
      <c r="V15" s="15">
        <f>VLOOKUP(IF(J15&lt;10, 10, IF(J15&gt;50,50,J15)),'Over to underbark'!$A$3:$C$43,IF(A15="Scots pine",3,IF(A15="Sitka spruce",2, "error")),TRUE)/100</f>
        <v>0.79</v>
      </c>
      <c r="W15">
        <f t="shared" si="5"/>
        <v>83.836854000000002</v>
      </c>
      <c r="X15">
        <f t="shared" si="6"/>
        <v>3.7725660000000003</v>
      </c>
      <c r="Y15">
        <f t="shared" si="7"/>
        <v>23.288579999999996</v>
      </c>
      <c r="Z15">
        <f t="shared" si="0"/>
        <v>71.641471679999995</v>
      </c>
      <c r="AA15">
        <f t="shared" si="1"/>
        <v>36.992988720000007</v>
      </c>
      <c r="AB15">
        <f t="shared" si="2"/>
        <v>2.2635396000000001</v>
      </c>
      <c r="AC15">
        <f>LOOKUP($A15,'Over to underbark'!$A$47:$A$48,'Over to underbark'!E$47:E$48)*Z15</f>
        <v>30.089418105599997</v>
      </c>
      <c r="AD15">
        <f>LOOKUP($A15,'Over to underbark'!$A$47:$A$48,'Over to underbark'!E$47:E$48)*AA15</f>
        <v>15.537055262400003</v>
      </c>
      <c r="AE15">
        <f>LOOKUP($A15,'Over to underbark'!$A$47:$A$48,'Over to underbark'!E$47:E$48)*AB15</f>
        <v>0.95068663200000003</v>
      </c>
      <c r="AF15" t="b">
        <f t="shared" si="8"/>
        <v>1</v>
      </c>
      <c r="AG15" t="b">
        <f t="shared" si="9"/>
        <v>1</v>
      </c>
      <c r="AH15">
        <f>LOOKUP(A15,'Over to underbark'!$A$47:$A$48,'Over to underbark'!E$47:E$48)*M15</f>
        <v>51.752399999999994</v>
      </c>
      <c r="AI15" s="27">
        <f>LOOKUP(A15,'Over to underbark'!$A$47:$A$48,'Over to underbark'!$B$47:$B$48)*AH15</f>
        <v>17.595815999999999</v>
      </c>
      <c r="AJ15" s="27">
        <f>LOOKUP(A16,'Over to underbark'!$A$47:$A$48,'Over to underbark'!C$47:C$48)*AH15</f>
        <v>18.113339999999997</v>
      </c>
      <c r="AK15" s="27">
        <f t="shared" si="10"/>
        <v>69.348215999999994</v>
      </c>
      <c r="AL15" s="33">
        <v>165.11</v>
      </c>
      <c r="AM15" s="28">
        <f t="shared" si="11"/>
        <v>138.69643199999999</v>
      </c>
      <c r="AO15">
        <f t="shared" si="12"/>
        <v>0.67164179104477617</v>
      </c>
    </row>
    <row r="16" spans="1:41" x14ac:dyDescent="0.35">
      <c r="A16" t="s">
        <v>39</v>
      </c>
      <c r="B16">
        <v>4</v>
      </c>
      <c r="C16">
        <v>2</v>
      </c>
      <c r="D16" t="s">
        <v>40</v>
      </c>
      <c r="E16">
        <v>2</v>
      </c>
      <c r="F16">
        <v>1</v>
      </c>
      <c r="G16" s="12">
        <v>53</v>
      </c>
      <c r="H16" s="12">
        <v>11.284000000000001</v>
      </c>
      <c r="I16" s="12">
        <v>1969</v>
      </c>
      <c r="J16" s="12">
        <v>13.702</v>
      </c>
      <c r="K16" s="12">
        <v>29.033999999999999</v>
      </c>
      <c r="L16" s="12">
        <v>6.6000000000000003E-2</v>
      </c>
      <c r="M16" s="22">
        <v>129.68</v>
      </c>
      <c r="N16" s="12">
        <v>0.215</v>
      </c>
      <c r="O16" s="13">
        <v>2.4470000000000001</v>
      </c>
      <c r="P16" s="14">
        <v>53</v>
      </c>
      <c r="Q16" s="14">
        <v>13.702</v>
      </c>
      <c r="R16" s="14">
        <v>122.262</v>
      </c>
      <c r="S16" s="14">
        <v>7.4180000000000001</v>
      </c>
      <c r="T16" s="14" t="b">
        <f t="shared" si="3"/>
        <v>1</v>
      </c>
      <c r="U16" s="14" t="b">
        <f t="shared" si="4"/>
        <v>1</v>
      </c>
      <c r="V16" s="15">
        <f>VLOOKUP(IF(J16&lt;10, 10, IF(J16&gt;50,50,J16)),'Over to underbark'!$A$3:$C$43,IF(A16="Scots pine",3,IF(A16="Sitka spruce",2, "error")),TRUE)/100</f>
        <v>0.79</v>
      </c>
      <c r="W16">
        <f t="shared" si="5"/>
        <v>86.92828200000001</v>
      </c>
      <c r="X16">
        <f t="shared" si="6"/>
        <v>5.2741980000000011</v>
      </c>
      <c r="Y16">
        <f t="shared" si="7"/>
        <v>24.509519999999995</v>
      </c>
      <c r="Z16">
        <f t="shared" si="0"/>
        <v>74.849770439999986</v>
      </c>
      <c r="AA16">
        <f t="shared" si="1"/>
        <v>38.697710760000007</v>
      </c>
      <c r="AB16">
        <f t="shared" si="2"/>
        <v>3.1645188000000006</v>
      </c>
      <c r="AC16">
        <f>LOOKUP($A16,'Over to underbark'!$A$47:$A$48,'Over to underbark'!E$47:E$48)*Z16</f>
        <v>31.436903584799992</v>
      </c>
      <c r="AD16">
        <f>LOOKUP($A16,'Over to underbark'!$A$47:$A$48,'Over to underbark'!E$47:E$48)*AA16</f>
        <v>16.253038519200004</v>
      </c>
      <c r="AE16">
        <f>LOOKUP($A16,'Over to underbark'!$A$47:$A$48,'Over to underbark'!E$47:E$48)*AB16</f>
        <v>1.3290978960000002</v>
      </c>
      <c r="AF16" t="b">
        <f t="shared" si="8"/>
        <v>1</v>
      </c>
      <c r="AG16" t="b">
        <f t="shared" si="9"/>
        <v>1</v>
      </c>
      <c r="AH16">
        <f>LOOKUP(A16,'Over to underbark'!$A$47:$A$48,'Over to underbark'!E$47:E$48)*M16</f>
        <v>54.465600000000002</v>
      </c>
      <c r="AI16" s="27">
        <f>LOOKUP(A16,'Over to underbark'!$A$47:$A$48,'Over to underbark'!$B$47:$B$48)*AH16</f>
        <v>18.518304000000001</v>
      </c>
      <c r="AJ16" s="27">
        <f>LOOKUP(A17,'Over to underbark'!$A$47:$A$48,'Over to underbark'!C$47:C$48)*AH16</f>
        <v>19.06296</v>
      </c>
      <c r="AK16" s="27">
        <f t="shared" si="10"/>
        <v>72.983903999999995</v>
      </c>
      <c r="AL16" s="33">
        <v>173.77</v>
      </c>
      <c r="AM16" s="28">
        <f t="shared" si="11"/>
        <v>145.96780799999999</v>
      </c>
      <c r="AO16">
        <f t="shared" si="12"/>
        <v>0.67164179104477617</v>
      </c>
    </row>
    <row r="17" spans="1:41" x14ac:dyDescent="0.35">
      <c r="A17" t="s">
        <v>39</v>
      </c>
      <c r="B17">
        <v>4</v>
      </c>
      <c r="C17">
        <v>2</v>
      </c>
      <c r="D17" t="s">
        <v>40</v>
      </c>
      <c r="E17">
        <v>2</v>
      </c>
      <c r="F17">
        <v>1</v>
      </c>
      <c r="G17" s="12">
        <v>54</v>
      </c>
      <c r="H17" s="12">
        <v>11.492000000000001</v>
      </c>
      <c r="I17" s="12">
        <v>1955</v>
      </c>
      <c r="J17" s="12">
        <v>13.946</v>
      </c>
      <c r="K17" s="12">
        <v>29.864999999999998</v>
      </c>
      <c r="L17" s="12">
        <v>7.0000000000000007E-2</v>
      </c>
      <c r="M17" s="22">
        <v>136.13999999999999</v>
      </c>
      <c r="N17" s="12">
        <v>0.249</v>
      </c>
      <c r="O17" s="13">
        <v>2.5209999999999999</v>
      </c>
      <c r="P17" s="14">
        <v>54</v>
      </c>
      <c r="Q17" s="14">
        <v>13.946</v>
      </c>
      <c r="R17" s="14">
        <v>126.411</v>
      </c>
      <c r="S17" s="14">
        <v>9.7289999999999992</v>
      </c>
      <c r="T17" s="14" t="b">
        <f t="shared" si="3"/>
        <v>1</v>
      </c>
      <c r="U17" s="14" t="b">
        <f t="shared" si="4"/>
        <v>1</v>
      </c>
      <c r="V17" s="15">
        <f>VLOOKUP(IF(J17&lt;10, 10, IF(J17&gt;50,50,J17)),'Over to underbark'!$A$3:$C$43,IF(A17="Scots pine",3,IF(A17="Sitka spruce",2, "error")),TRUE)/100</f>
        <v>0.79</v>
      </c>
      <c r="W17">
        <f t="shared" si="5"/>
        <v>89.878221000000011</v>
      </c>
      <c r="X17">
        <f t="shared" si="6"/>
        <v>6.917319</v>
      </c>
      <c r="Y17">
        <f t="shared" si="7"/>
        <v>25.730459999999994</v>
      </c>
      <c r="Z17">
        <f t="shared" si="0"/>
        <v>77.998643819999984</v>
      </c>
      <c r="AA17">
        <f t="shared" si="1"/>
        <v>40.376964780000002</v>
      </c>
      <c r="AB17">
        <f t="shared" si="2"/>
        <v>4.1503914000000002</v>
      </c>
      <c r="AC17">
        <f>LOOKUP($A17,'Over to underbark'!$A$47:$A$48,'Over to underbark'!E$47:E$48)*Z17</f>
        <v>32.759430404399993</v>
      </c>
      <c r="AD17">
        <f>LOOKUP($A17,'Over to underbark'!$A$47:$A$48,'Over to underbark'!E$47:E$48)*AA17</f>
        <v>16.958325207600002</v>
      </c>
      <c r="AE17">
        <f>LOOKUP($A17,'Over to underbark'!$A$47:$A$48,'Over to underbark'!E$47:E$48)*AB17</f>
        <v>1.7431643880000001</v>
      </c>
      <c r="AF17" t="b">
        <f t="shared" si="8"/>
        <v>1</v>
      </c>
      <c r="AG17" t="b">
        <f t="shared" si="9"/>
        <v>1</v>
      </c>
      <c r="AH17">
        <f>LOOKUP(A17,'Over to underbark'!$A$47:$A$48,'Over to underbark'!E$47:E$48)*M17</f>
        <v>57.178799999999995</v>
      </c>
      <c r="AI17" s="27">
        <f>LOOKUP(A17,'Over to underbark'!$A$47:$A$48,'Over to underbark'!$B$47:$B$48)*AH17</f>
        <v>19.440791999999998</v>
      </c>
      <c r="AJ17" s="27">
        <f>LOOKUP(A18,'Over to underbark'!$A$47:$A$48,'Over to underbark'!C$47:C$48)*AH17</f>
        <v>20.012579999999996</v>
      </c>
      <c r="AK17" s="27">
        <f t="shared" si="10"/>
        <v>76.619591999999997</v>
      </c>
      <c r="AL17" s="33">
        <v>182.43</v>
      </c>
      <c r="AM17" s="28">
        <f t="shared" si="11"/>
        <v>153.23918399999999</v>
      </c>
      <c r="AO17">
        <f t="shared" si="12"/>
        <v>0.67164179104477595</v>
      </c>
    </row>
    <row r="18" spans="1:41" x14ac:dyDescent="0.35">
      <c r="A18" t="s">
        <v>39</v>
      </c>
      <c r="B18">
        <v>4</v>
      </c>
      <c r="C18">
        <v>2</v>
      </c>
      <c r="D18" t="s">
        <v>40</v>
      </c>
      <c r="E18">
        <v>2</v>
      </c>
      <c r="F18">
        <v>1</v>
      </c>
      <c r="G18" s="12">
        <v>55</v>
      </c>
      <c r="H18" s="12">
        <v>11.7</v>
      </c>
      <c r="I18" s="12">
        <v>1941</v>
      </c>
      <c r="J18" s="12">
        <v>14.19</v>
      </c>
      <c r="K18" s="12">
        <v>30.696000000000002</v>
      </c>
      <c r="L18" s="12">
        <v>7.2999999999999995E-2</v>
      </c>
      <c r="M18" s="22">
        <v>142.6</v>
      </c>
      <c r="N18" s="12">
        <v>0.28000000000000003</v>
      </c>
      <c r="O18" s="13">
        <v>2.593</v>
      </c>
      <c r="P18" s="14">
        <v>55</v>
      </c>
      <c r="Q18" s="14">
        <v>14.19</v>
      </c>
      <c r="R18" s="14">
        <v>130.35499999999999</v>
      </c>
      <c r="S18" s="14">
        <v>12.244999999999999</v>
      </c>
      <c r="T18" s="14" t="b">
        <f t="shared" si="3"/>
        <v>1</v>
      </c>
      <c r="U18" s="14" t="b">
        <f t="shared" si="4"/>
        <v>1</v>
      </c>
      <c r="V18" s="15">
        <f>VLOOKUP(IF(J18&lt;10, 10, IF(J18&gt;50,50,J18)),'Over to underbark'!$A$3:$C$43,IF(A18="Scots pine",3,IF(A18="Sitka spruce",2, "error")),TRUE)/100</f>
        <v>0.82</v>
      </c>
      <c r="W18">
        <f t="shared" si="5"/>
        <v>96.201989999999981</v>
      </c>
      <c r="X18">
        <f t="shared" si="6"/>
        <v>9.0368099999999991</v>
      </c>
      <c r="Y18">
        <f t="shared" si="7"/>
        <v>23.101200000000006</v>
      </c>
      <c r="Z18">
        <f t="shared" si="0"/>
        <v>79.291855799999993</v>
      </c>
      <c r="AA18">
        <f t="shared" si="1"/>
        <v>43.626058199999989</v>
      </c>
      <c r="AB18">
        <f t="shared" si="2"/>
        <v>5.4220859999999993</v>
      </c>
      <c r="AC18">
        <f>LOOKUP($A18,'Over to underbark'!$A$47:$A$48,'Over to underbark'!E$47:E$48)*Z18</f>
        <v>33.302579435999995</v>
      </c>
      <c r="AD18">
        <f>LOOKUP($A18,'Over to underbark'!$A$47:$A$48,'Over to underbark'!E$47:E$48)*AA18</f>
        <v>18.322944443999994</v>
      </c>
      <c r="AE18">
        <f>LOOKUP($A18,'Over to underbark'!$A$47:$A$48,'Over to underbark'!E$47:E$48)*AB18</f>
        <v>2.2772761199999998</v>
      </c>
      <c r="AF18" t="b">
        <f t="shared" si="8"/>
        <v>1</v>
      </c>
      <c r="AG18" t="b">
        <f t="shared" si="9"/>
        <v>1</v>
      </c>
      <c r="AH18">
        <f>LOOKUP(A18,'Over to underbark'!$A$47:$A$48,'Over to underbark'!E$47:E$48)*M18</f>
        <v>59.891999999999996</v>
      </c>
      <c r="AI18" s="27">
        <f>LOOKUP(A18,'Over to underbark'!$A$47:$A$48,'Over to underbark'!$B$47:$B$48)*AH18</f>
        <v>20.36328</v>
      </c>
      <c r="AJ18" s="27">
        <f>LOOKUP(A19,'Over to underbark'!$A$47:$A$48,'Over to underbark'!C$47:C$48)*AH18</f>
        <v>20.962199999999996</v>
      </c>
      <c r="AK18" s="27">
        <f t="shared" si="10"/>
        <v>80.255279999999999</v>
      </c>
      <c r="AL18" s="33">
        <v>191.08</v>
      </c>
      <c r="AM18" s="28">
        <f t="shared" si="11"/>
        <v>160.51056</v>
      </c>
      <c r="AO18">
        <f t="shared" si="12"/>
        <v>0.67164179104477595</v>
      </c>
    </row>
    <row r="19" spans="1:41" x14ac:dyDescent="0.35">
      <c r="A19" t="s">
        <v>39</v>
      </c>
      <c r="B19">
        <v>4</v>
      </c>
      <c r="C19">
        <v>2</v>
      </c>
      <c r="D19" t="s">
        <v>40</v>
      </c>
      <c r="E19">
        <v>2</v>
      </c>
      <c r="F19">
        <v>1</v>
      </c>
      <c r="G19" s="12">
        <v>56</v>
      </c>
      <c r="H19" s="12">
        <v>11.891999999999999</v>
      </c>
      <c r="I19" s="12">
        <v>1926</v>
      </c>
      <c r="J19" s="12">
        <v>14.416</v>
      </c>
      <c r="K19" s="12">
        <v>31.437999999999999</v>
      </c>
      <c r="L19" s="12">
        <v>7.6999999999999999E-2</v>
      </c>
      <c r="M19" s="22">
        <v>149.13999999999999</v>
      </c>
      <c r="N19" s="12">
        <v>0.33400000000000002</v>
      </c>
      <c r="O19" s="13">
        <v>2.6629999999999998</v>
      </c>
      <c r="P19" s="14">
        <v>56</v>
      </c>
      <c r="Q19" s="14">
        <v>14.416</v>
      </c>
      <c r="R19" s="14">
        <v>134.32499999999999</v>
      </c>
      <c r="S19" s="14">
        <v>14.815</v>
      </c>
      <c r="T19" s="14" t="b">
        <f t="shared" si="3"/>
        <v>1</v>
      </c>
      <c r="U19" s="14" t="b">
        <f t="shared" si="4"/>
        <v>1</v>
      </c>
      <c r="V19" s="15">
        <f>VLOOKUP(IF(J19&lt;10, 10, IF(J19&gt;50,50,J19)),'Over to underbark'!$A$3:$C$43,IF(A19="Scots pine",3,IF(A19="Sitka spruce",2, "error")),TRUE)/100</f>
        <v>0.82</v>
      </c>
      <c r="W19">
        <f t="shared" si="5"/>
        <v>99.131849999999986</v>
      </c>
      <c r="X19">
        <f t="shared" si="6"/>
        <v>10.933469999999998</v>
      </c>
      <c r="Y19">
        <f t="shared" si="7"/>
        <v>24.160680000000006</v>
      </c>
      <c r="Z19">
        <f t="shared" si="0"/>
        <v>82.305854999999994</v>
      </c>
      <c r="AA19">
        <f t="shared" si="1"/>
        <v>45.360062999999997</v>
      </c>
      <c r="AB19">
        <f t="shared" si="2"/>
        <v>6.5600819999999986</v>
      </c>
      <c r="AC19">
        <f>LOOKUP($A19,'Over to underbark'!$A$47:$A$48,'Over to underbark'!E$47:E$48)*Z19</f>
        <v>34.568459099999998</v>
      </c>
      <c r="AD19">
        <f>LOOKUP($A19,'Over to underbark'!$A$47:$A$48,'Over to underbark'!E$47:E$48)*AA19</f>
        <v>19.051226459999999</v>
      </c>
      <c r="AE19">
        <f>LOOKUP($A19,'Over to underbark'!$A$47:$A$48,'Over to underbark'!E$47:E$48)*AB19</f>
        <v>2.7552344399999993</v>
      </c>
      <c r="AF19" t="b">
        <f t="shared" si="8"/>
        <v>1</v>
      </c>
      <c r="AG19" t="b">
        <f t="shared" si="9"/>
        <v>1</v>
      </c>
      <c r="AH19">
        <f>LOOKUP(A19,'Over to underbark'!$A$47:$A$48,'Over to underbark'!E$47:E$48)*M19</f>
        <v>62.638799999999989</v>
      </c>
      <c r="AI19" s="27">
        <f>LOOKUP(A19,'Over to underbark'!$A$47:$A$48,'Over to underbark'!$B$47:$B$48)*AH19</f>
        <v>21.297191999999999</v>
      </c>
      <c r="AJ19" s="27">
        <f>LOOKUP(A20,'Over to underbark'!$A$47:$A$48,'Over to underbark'!C$47:C$48)*AH19</f>
        <v>21.923579999999994</v>
      </c>
      <c r="AK19" s="27">
        <f t="shared" si="10"/>
        <v>83.935991999999985</v>
      </c>
      <c r="AL19" s="33">
        <v>199.85</v>
      </c>
      <c r="AM19" s="28">
        <f t="shared" si="11"/>
        <v>167.87198399999997</v>
      </c>
      <c r="AO19">
        <f t="shared" si="12"/>
        <v>0.67164179104477617</v>
      </c>
    </row>
    <row r="20" spans="1:41" x14ac:dyDescent="0.35">
      <c r="A20" t="s">
        <v>39</v>
      </c>
      <c r="B20">
        <v>4</v>
      </c>
      <c r="C20">
        <v>2</v>
      </c>
      <c r="D20" t="s">
        <v>40</v>
      </c>
      <c r="E20">
        <v>2</v>
      </c>
      <c r="F20">
        <v>1</v>
      </c>
      <c r="G20" s="12">
        <v>57</v>
      </c>
      <c r="H20" s="12">
        <v>12.084</v>
      </c>
      <c r="I20" s="12">
        <v>1912</v>
      </c>
      <c r="J20" s="12">
        <v>14.638999999999999</v>
      </c>
      <c r="K20" s="12">
        <v>32.18</v>
      </c>
      <c r="L20" s="12">
        <v>8.1000000000000003E-2</v>
      </c>
      <c r="M20" s="22">
        <v>155.68</v>
      </c>
      <c r="N20" s="12">
        <v>0.38400000000000001</v>
      </c>
      <c r="O20" s="13">
        <v>2.7309999999999999</v>
      </c>
      <c r="P20" s="14">
        <v>57</v>
      </c>
      <c r="Q20" s="14">
        <v>14.638999999999999</v>
      </c>
      <c r="R20" s="14">
        <v>138.13200000000001</v>
      </c>
      <c r="S20" s="14">
        <v>17.547999999999998</v>
      </c>
      <c r="T20" s="14" t="b">
        <f t="shared" si="3"/>
        <v>1</v>
      </c>
      <c r="U20" s="14" t="b">
        <f t="shared" si="4"/>
        <v>1</v>
      </c>
      <c r="V20" s="15">
        <f>VLOOKUP(IF(J20&lt;10, 10, IF(J20&gt;50,50,J20)),'Over to underbark'!$A$3:$C$43,IF(A20="Scots pine",3,IF(A20="Sitka spruce",2, "error")),TRUE)/100</f>
        <v>0.82</v>
      </c>
      <c r="W20">
        <f t="shared" si="5"/>
        <v>101.941416</v>
      </c>
      <c r="X20">
        <f t="shared" si="6"/>
        <v>12.950423999999998</v>
      </c>
      <c r="Y20">
        <f t="shared" si="7"/>
        <v>25.220160000000011</v>
      </c>
      <c r="Z20">
        <f t="shared" si="0"/>
        <v>85.269330720000013</v>
      </c>
      <c r="AA20">
        <f t="shared" si="1"/>
        <v>47.072414880000004</v>
      </c>
      <c r="AB20">
        <f t="shared" si="2"/>
        <v>7.7702543999999989</v>
      </c>
      <c r="AC20">
        <f>LOOKUP($A20,'Over to underbark'!$A$47:$A$48,'Over to underbark'!E$47:E$48)*Z20</f>
        <v>35.813118902400007</v>
      </c>
      <c r="AD20">
        <f>LOOKUP($A20,'Over to underbark'!$A$47:$A$48,'Over to underbark'!E$47:E$48)*AA20</f>
        <v>19.770414249600002</v>
      </c>
      <c r="AE20">
        <f>LOOKUP($A20,'Over to underbark'!$A$47:$A$48,'Over to underbark'!E$47:E$48)*AB20</f>
        <v>3.2635068479999996</v>
      </c>
      <c r="AF20" t="b">
        <f t="shared" si="8"/>
        <v>1</v>
      </c>
      <c r="AG20" t="b">
        <f t="shared" si="9"/>
        <v>1</v>
      </c>
      <c r="AH20">
        <f>LOOKUP(A20,'Over to underbark'!$A$47:$A$48,'Over to underbark'!E$47:E$48)*M20</f>
        <v>65.385599999999997</v>
      </c>
      <c r="AI20" s="27">
        <f>LOOKUP(A20,'Over to underbark'!$A$47:$A$48,'Over to underbark'!$B$47:$B$48)*AH20</f>
        <v>22.231104000000002</v>
      </c>
      <c r="AJ20" s="27">
        <f>LOOKUP(A21,'Over to underbark'!$A$47:$A$48,'Over to underbark'!C$47:C$48)*AH20</f>
        <v>22.884959999999996</v>
      </c>
      <c r="AK20" s="27">
        <f t="shared" si="10"/>
        <v>87.616703999999999</v>
      </c>
      <c r="AL20" s="33">
        <v>208.61</v>
      </c>
      <c r="AM20" s="28">
        <f t="shared" si="11"/>
        <v>175.233408</v>
      </c>
      <c r="AO20">
        <f t="shared" si="12"/>
        <v>0.67164179104477617</v>
      </c>
    </row>
    <row r="21" spans="1:41" x14ac:dyDescent="0.35">
      <c r="A21" t="s">
        <v>39</v>
      </c>
      <c r="B21">
        <v>4</v>
      </c>
      <c r="C21">
        <v>2</v>
      </c>
      <c r="D21" t="s">
        <v>40</v>
      </c>
      <c r="E21">
        <v>2</v>
      </c>
      <c r="F21">
        <v>1</v>
      </c>
      <c r="G21" s="12">
        <v>58</v>
      </c>
      <c r="H21" s="12">
        <v>12.276</v>
      </c>
      <c r="I21" s="12">
        <v>1897</v>
      </c>
      <c r="J21" s="12">
        <v>14.865</v>
      </c>
      <c r="K21" s="12">
        <v>32.923000000000002</v>
      </c>
      <c r="L21" s="12">
        <v>8.5999999999999993E-2</v>
      </c>
      <c r="M21" s="22">
        <v>162.22</v>
      </c>
      <c r="N21" s="12">
        <v>0.43</v>
      </c>
      <c r="O21" s="13">
        <v>2.7970000000000002</v>
      </c>
      <c r="P21" s="14">
        <v>58</v>
      </c>
      <c r="Q21" s="14">
        <v>14.865</v>
      </c>
      <c r="R21" s="14">
        <v>141.72</v>
      </c>
      <c r="S21" s="14">
        <v>20.5</v>
      </c>
      <c r="T21" s="14" t="b">
        <f t="shared" si="3"/>
        <v>1</v>
      </c>
      <c r="U21" s="14" t="b">
        <f t="shared" si="4"/>
        <v>1</v>
      </c>
      <c r="V21" s="15">
        <f>VLOOKUP(IF(J21&lt;10, 10, IF(J21&gt;50,50,J21)),'Over to underbark'!$A$3:$C$43,IF(A21="Scots pine",3,IF(A21="Sitka spruce",2, "error")),TRUE)/100</f>
        <v>0.82</v>
      </c>
      <c r="W21">
        <f t="shared" si="5"/>
        <v>104.58936</v>
      </c>
      <c r="X21">
        <f t="shared" si="6"/>
        <v>15.128999999999998</v>
      </c>
      <c r="Y21">
        <f t="shared" si="7"/>
        <v>26.279640000000004</v>
      </c>
      <c r="Z21">
        <f t="shared" si="0"/>
        <v>88.164925199999999</v>
      </c>
      <c r="AA21">
        <f t="shared" si="1"/>
        <v>48.755674799999994</v>
      </c>
      <c r="AB21">
        <f t="shared" si="2"/>
        <v>9.077399999999999</v>
      </c>
      <c r="AC21">
        <f>LOOKUP($A21,'Over to underbark'!$A$47:$A$48,'Over to underbark'!E$47:E$48)*Z21</f>
        <v>37.029268584</v>
      </c>
      <c r="AD21">
        <f>LOOKUP($A21,'Over to underbark'!$A$47:$A$48,'Over to underbark'!E$47:E$48)*AA21</f>
        <v>20.477383415999999</v>
      </c>
      <c r="AE21">
        <f>LOOKUP($A21,'Over to underbark'!$A$47:$A$48,'Over to underbark'!E$47:E$48)*AB21</f>
        <v>3.8125079999999993</v>
      </c>
      <c r="AF21" t="b">
        <f t="shared" si="8"/>
        <v>1</v>
      </c>
      <c r="AG21" t="b">
        <f t="shared" si="9"/>
        <v>1</v>
      </c>
      <c r="AH21">
        <f>LOOKUP(A21,'Over to underbark'!$A$47:$A$48,'Over to underbark'!E$47:E$48)*M21</f>
        <v>68.132400000000004</v>
      </c>
      <c r="AI21" s="27">
        <f>LOOKUP(A21,'Over to underbark'!$A$47:$A$48,'Over to underbark'!$B$47:$B$48)*AH21</f>
        <v>23.165016000000001</v>
      </c>
      <c r="AJ21" s="27">
        <f>LOOKUP(A22,'Over to underbark'!$A$47:$A$48,'Over to underbark'!C$47:C$48)*AH21</f>
        <v>23.846340000000001</v>
      </c>
      <c r="AK21" s="27">
        <f t="shared" si="10"/>
        <v>91.297415999999998</v>
      </c>
      <c r="AL21" s="33">
        <v>217.37</v>
      </c>
      <c r="AM21" s="28">
        <f t="shared" si="11"/>
        <v>182.594832</v>
      </c>
      <c r="AO21">
        <f t="shared" si="12"/>
        <v>0.67164179104477617</v>
      </c>
    </row>
    <row r="22" spans="1:41" x14ac:dyDescent="0.35">
      <c r="A22" t="s">
        <v>39</v>
      </c>
      <c r="B22">
        <v>4</v>
      </c>
      <c r="C22">
        <v>2</v>
      </c>
      <c r="D22" t="s">
        <v>40</v>
      </c>
      <c r="E22">
        <v>2</v>
      </c>
      <c r="F22">
        <v>1</v>
      </c>
      <c r="G22" s="12">
        <v>59</v>
      </c>
      <c r="H22" s="12">
        <v>12.468</v>
      </c>
      <c r="I22" s="12">
        <v>1883</v>
      </c>
      <c r="J22" s="12">
        <v>15.087999999999999</v>
      </c>
      <c r="K22" s="12">
        <v>33.664999999999999</v>
      </c>
      <c r="L22" s="12">
        <v>0.09</v>
      </c>
      <c r="M22" s="22">
        <v>168.76</v>
      </c>
      <c r="N22" s="12">
        <v>0.47199999999999998</v>
      </c>
      <c r="O22" s="13">
        <v>2.86</v>
      </c>
      <c r="P22" s="14">
        <v>59</v>
      </c>
      <c r="Q22" s="14">
        <v>15.087999999999999</v>
      </c>
      <c r="R22" s="14">
        <v>145.149</v>
      </c>
      <c r="S22" s="14">
        <v>23.611000000000001</v>
      </c>
      <c r="T22" s="14" t="b">
        <f t="shared" si="3"/>
        <v>1</v>
      </c>
      <c r="U22" s="14" t="b">
        <f t="shared" si="4"/>
        <v>1</v>
      </c>
      <c r="V22" s="15">
        <f>VLOOKUP(IF(J22&lt;10, 10, IF(J22&gt;50,50,J22)),'Over to underbark'!$A$3:$C$43,IF(A22="Scots pine",3,IF(A22="Sitka spruce",2, "error")),TRUE)/100</f>
        <v>0.84</v>
      </c>
      <c r="W22">
        <f t="shared" si="5"/>
        <v>109.73264400000001</v>
      </c>
      <c r="X22">
        <f t="shared" si="6"/>
        <v>17.849916</v>
      </c>
      <c r="Y22">
        <f t="shared" si="7"/>
        <v>24.301440000000003</v>
      </c>
      <c r="Z22">
        <f t="shared" si="0"/>
        <v>89.526534480000009</v>
      </c>
      <c r="AA22">
        <f t="shared" si="1"/>
        <v>51.647515920000004</v>
      </c>
      <c r="AB22">
        <f t="shared" si="2"/>
        <v>10.7099496</v>
      </c>
      <c r="AC22">
        <f>LOOKUP($A22,'Over to underbark'!$A$47:$A$48,'Over to underbark'!E$47:E$48)*Z22</f>
        <v>37.601144481600002</v>
      </c>
      <c r="AD22">
        <f>LOOKUP($A22,'Over to underbark'!$A$47:$A$48,'Over to underbark'!E$47:E$48)*AA22</f>
        <v>21.691956686400001</v>
      </c>
      <c r="AE22">
        <f>LOOKUP($A22,'Over to underbark'!$A$47:$A$48,'Over to underbark'!E$47:E$48)*AB22</f>
        <v>4.4981788319999998</v>
      </c>
      <c r="AF22" t="b">
        <f t="shared" si="8"/>
        <v>1</v>
      </c>
      <c r="AG22" t="b">
        <f t="shared" si="9"/>
        <v>1</v>
      </c>
      <c r="AH22">
        <f>LOOKUP(A22,'Over to underbark'!$A$47:$A$48,'Over to underbark'!E$47:E$48)*M22</f>
        <v>70.879199999999997</v>
      </c>
      <c r="AI22" s="27">
        <f>LOOKUP(A22,'Over to underbark'!$A$47:$A$48,'Over to underbark'!$B$47:$B$48)*AH22</f>
        <v>24.098928000000001</v>
      </c>
      <c r="AJ22" s="27">
        <f>LOOKUP(A23,'Over to underbark'!$A$47:$A$48,'Over to underbark'!C$47:C$48)*AH22</f>
        <v>24.807719999999996</v>
      </c>
      <c r="AK22" s="27">
        <f t="shared" si="10"/>
        <v>94.978127999999998</v>
      </c>
      <c r="AL22" s="33">
        <v>226.14</v>
      </c>
      <c r="AM22" s="28">
        <f t="shared" si="11"/>
        <v>189.956256</v>
      </c>
      <c r="AO22">
        <f t="shared" si="12"/>
        <v>0.67164179104477617</v>
      </c>
    </row>
    <row r="23" spans="1:41" x14ac:dyDescent="0.35">
      <c r="A23" t="s">
        <v>39</v>
      </c>
      <c r="B23">
        <v>4</v>
      </c>
      <c r="C23">
        <v>2</v>
      </c>
      <c r="D23" t="s">
        <v>40</v>
      </c>
      <c r="E23">
        <v>2</v>
      </c>
      <c r="F23">
        <v>1</v>
      </c>
      <c r="G23" s="12">
        <v>60</v>
      </c>
      <c r="H23" s="12">
        <v>12.66</v>
      </c>
      <c r="I23" s="12">
        <v>1869</v>
      </c>
      <c r="J23" s="12">
        <v>15.31</v>
      </c>
      <c r="K23" s="12">
        <v>34.406999999999996</v>
      </c>
      <c r="L23" s="12">
        <v>9.4E-2</v>
      </c>
      <c r="M23" s="22">
        <v>175.3</v>
      </c>
      <c r="N23" s="12">
        <v>0.51100000000000001</v>
      </c>
      <c r="O23" s="13">
        <v>2.9220000000000002</v>
      </c>
      <c r="P23" s="14">
        <v>60</v>
      </c>
      <c r="Q23" s="14">
        <v>15.31</v>
      </c>
      <c r="R23" s="14">
        <v>148.40199999999999</v>
      </c>
      <c r="S23" s="14">
        <v>26.898</v>
      </c>
      <c r="T23" s="14" t="b">
        <f t="shared" si="3"/>
        <v>1</v>
      </c>
      <c r="U23" s="14" t="b">
        <f t="shared" si="4"/>
        <v>1</v>
      </c>
      <c r="V23" s="15">
        <f>VLOOKUP(IF(J23&lt;10, 10, IF(J23&gt;50,50,J23)),'Over to underbark'!$A$3:$C$43,IF(A23="Scots pine",3,IF(A23="Sitka spruce",2, "error")),TRUE)/100</f>
        <v>0.84</v>
      </c>
      <c r="W23">
        <f t="shared" si="5"/>
        <v>112.191912</v>
      </c>
      <c r="X23">
        <f t="shared" si="6"/>
        <v>20.334887999999999</v>
      </c>
      <c r="Y23">
        <f t="shared" si="7"/>
        <v>25.243200000000002</v>
      </c>
      <c r="Z23">
        <f t="shared" si="0"/>
        <v>92.24282303999999</v>
      </c>
      <c r="AA23">
        <f t="shared" si="1"/>
        <v>53.326244160000002</v>
      </c>
      <c r="AB23">
        <f t="shared" si="2"/>
        <v>12.200932799999999</v>
      </c>
      <c r="AC23">
        <f>LOOKUP($A23,'Over to underbark'!$A$47:$A$48,'Over to underbark'!E$47:E$48)*Z23</f>
        <v>38.741985676799992</v>
      </c>
      <c r="AD23">
        <f>LOOKUP($A23,'Over to underbark'!$A$47:$A$48,'Over to underbark'!E$47:E$48)*AA23</f>
        <v>22.397022547199999</v>
      </c>
      <c r="AE23">
        <f>LOOKUP($A23,'Over to underbark'!$A$47:$A$48,'Over to underbark'!E$47:E$48)*AB23</f>
        <v>5.1243917759999995</v>
      </c>
      <c r="AF23" t="b">
        <f t="shared" si="8"/>
        <v>1</v>
      </c>
      <c r="AG23" t="b">
        <f t="shared" si="9"/>
        <v>1</v>
      </c>
      <c r="AH23">
        <f>LOOKUP(A23,'Over to underbark'!$A$47:$A$48,'Over to underbark'!E$47:E$48)*M23</f>
        <v>73.626000000000005</v>
      </c>
      <c r="AI23" s="27">
        <f>LOOKUP(A23,'Over to underbark'!$A$47:$A$48,'Over to underbark'!$B$47:$B$48)*AH23</f>
        <v>25.032840000000004</v>
      </c>
      <c r="AJ23" s="27">
        <f>LOOKUP(A24,'Over to underbark'!$A$47:$A$48,'Over to underbark'!C$47:C$48)*AH23</f>
        <v>25.769100000000002</v>
      </c>
      <c r="AK23" s="27">
        <f t="shared" si="10"/>
        <v>98.658840000000012</v>
      </c>
      <c r="AL23" s="33">
        <v>234.9</v>
      </c>
      <c r="AM23" s="28">
        <f t="shared" si="11"/>
        <v>197.31768000000002</v>
      </c>
      <c r="AO23">
        <f t="shared" si="12"/>
        <v>0.67164179104477595</v>
      </c>
    </row>
    <row r="24" spans="1:41" x14ac:dyDescent="0.35">
      <c r="A24" t="s">
        <v>39</v>
      </c>
      <c r="B24">
        <v>4</v>
      </c>
      <c r="C24">
        <v>2</v>
      </c>
      <c r="D24" t="s">
        <v>40</v>
      </c>
      <c r="E24">
        <v>2</v>
      </c>
      <c r="F24">
        <v>1</v>
      </c>
      <c r="G24" s="12">
        <v>61</v>
      </c>
      <c r="H24" s="12">
        <v>12.832000000000001</v>
      </c>
      <c r="I24" s="12">
        <v>1855</v>
      </c>
      <c r="J24" s="12">
        <v>15.510999999999999</v>
      </c>
      <c r="K24" s="12">
        <v>35.052</v>
      </c>
      <c r="L24" s="12">
        <v>9.8000000000000004E-2</v>
      </c>
      <c r="M24" s="22">
        <v>181.58</v>
      </c>
      <c r="N24" s="12">
        <v>0.59099999999999997</v>
      </c>
      <c r="O24" s="13">
        <v>2.9769999999999999</v>
      </c>
      <c r="P24" s="14">
        <v>61</v>
      </c>
      <c r="Q24" s="14">
        <v>15.510999999999999</v>
      </c>
      <c r="R24" s="14">
        <v>151.48599999999999</v>
      </c>
      <c r="S24" s="14">
        <v>30.094000000000001</v>
      </c>
      <c r="T24" s="14" t="b">
        <f t="shared" si="3"/>
        <v>1</v>
      </c>
      <c r="U24" s="14" t="b">
        <f t="shared" si="4"/>
        <v>1</v>
      </c>
      <c r="V24" s="15">
        <f>VLOOKUP(IF(J24&lt;10, 10, IF(J24&gt;50,50,J24)),'Over to underbark'!$A$3:$C$43,IF(A24="Scots pine",3,IF(A24="Sitka spruce",2, "error")),TRUE)/100</f>
        <v>0.84</v>
      </c>
      <c r="W24">
        <f t="shared" si="5"/>
        <v>114.523416</v>
      </c>
      <c r="X24">
        <f t="shared" si="6"/>
        <v>22.751064</v>
      </c>
      <c r="Y24">
        <f t="shared" si="7"/>
        <v>26.147520000000004</v>
      </c>
      <c r="Z24">
        <f t="shared" si="0"/>
        <v>94.83852671999999</v>
      </c>
      <c r="AA24">
        <f t="shared" si="1"/>
        <v>54.932834880000001</v>
      </c>
      <c r="AB24">
        <f t="shared" si="2"/>
        <v>13.6506384</v>
      </c>
      <c r="AC24">
        <f>LOOKUP($A24,'Over to underbark'!$A$47:$A$48,'Over to underbark'!E$47:E$48)*Z24</f>
        <v>39.832181222399996</v>
      </c>
      <c r="AD24">
        <f>LOOKUP($A24,'Over to underbark'!$A$47:$A$48,'Over to underbark'!E$47:E$48)*AA24</f>
        <v>23.0717906496</v>
      </c>
      <c r="AE24">
        <f>LOOKUP($A24,'Over to underbark'!$A$47:$A$48,'Over to underbark'!E$47:E$48)*AB24</f>
        <v>5.7332681279999997</v>
      </c>
      <c r="AF24" t="b">
        <f t="shared" si="8"/>
        <v>1</v>
      </c>
      <c r="AG24" t="b">
        <f t="shared" si="9"/>
        <v>1</v>
      </c>
      <c r="AH24">
        <f>LOOKUP(A24,'Over to underbark'!$A$47:$A$48,'Over to underbark'!E$47:E$48)*M24</f>
        <v>76.263599999999997</v>
      </c>
      <c r="AI24" s="27">
        <f>LOOKUP(A24,'Over to underbark'!$A$47:$A$48,'Over to underbark'!$B$47:$B$48)*AH24</f>
        <v>25.929624</v>
      </c>
      <c r="AJ24" s="27">
        <f>LOOKUP(A25,'Over to underbark'!$A$47:$A$48,'Over to underbark'!C$47:C$48)*AH24</f>
        <v>26.692259999999997</v>
      </c>
      <c r="AK24" s="27">
        <f t="shared" si="10"/>
        <v>102.193224</v>
      </c>
      <c r="AL24" s="33">
        <v>243.32</v>
      </c>
      <c r="AM24" s="28">
        <f t="shared" si="11"/>
        <v>204.386448</v>
      </c>
      <c r="AO24">
        <f t="shared" si="12"/>
        <v>0.67164179104477617</v>
      </c>
    </row>
    <row r="25" spans="1:41" x14ac:dyDescent="0.35">
      <c r="A25" t="s">
        <v>39</v>
      </c>
      <c r="B25">
        <v>4</v>
      </c>
      <c r="C25">
        <v>2</v>
      </c>
      <c r="D25" t="s">
        <v>40</v>
      </c>
      <c r="E25">
        <v>2</v>
      </c>
      <c r="F25">
        <v>1</v>
      </c>
      <c r="G25" s="12">
        <v>62</v>
      </c>
      <c r="H25" s="12">
        <v>13.004</v>
      </c>
      <c r="I25" s="12">
        <v>1841</v>
      </c>
      <c r="J25" s="12">
        <v>15.712999999999999</v>
      </c>
      <c r="K25" s="12">
        <v>35.697000000000003</v>
      </c>
      <c r="L25" s="12">
        <v>0.10199999999999999</v>
      </c>
      <c r="M25" s="22">
        <v>187.86</v>
      </c>
      <c r="N25" s="12">
        <v>0.66600000000000004</v>
      </c>
      <c r="O25" s="13">
        <v>3.03</v>
      </c>
      <c r="P25" s="14">
        <v>62</v>
      </c>
      <c r="Q25" s="14">
        <v>15.712999999999999</v>
      </c>
      <c r="R25" s="14">
        <v>154.4</v>
      </c>
      <c r="S25" s="14">
        <v>33.46</v>
      </c>
      <c r="T25" s="14" t="b">
        <f t="shared" si="3"/>
        <v>1</v>
      </c>
      <c r="U25" s="14" t="b">
        <f t="shared" si="4"/>
        <v>1</v>
      </c>
      <c r="V25" s="15">
        <f>VLOOKUP(IF(J25&lt;10, 10, IF(J25&gt;50,50,J25)),'Over to underbark'!$A$3:$C$43,IF(A25="Scots pine",3,IF(A25="Sitka spruce",2, "error")),TRUE)/100</f>
        <v>0.84</v>
      </c>
      <c r="W25">
        <f t="shared" si="5"/>
        <v>116.7264</v>
      </c>
      <c r="X25">
        <f t="shared" si="6"/>
        <v>25.295760000000001</v>
      </c>
      <c r="Y25">
        <f t="shared" si="7"/>
        <v>27.051840000000006</v>
      </c>
      <c r="Z25">
        <f t="shared" si="0"/>
        <v>97.380252000000013</v>
      </c>
      <c r="AA25">
        <f t="shared" si="1"/>
        <v>56.516292</v>
      </c>
      <c r="AB25">
        <f t="shared" si="2"/>
        <v>15.177455999999999</v>
      </c>
      <c r="AC25">
        <f>LOOKUP($A25,'Over to underbark'!$A$47:$A$48,'Over to underbark'!E$47:E$48)*Z25</f>
        <v>40.899705840000003</v>
      </c>
      <c r="AD25">
        <f>LOOKUP($A25,'Over to underbark'!$A$47:$A$48,'Over to underbark'!E$47:E$48)*AA25</f>
        <v>23.736842639999999</v>
      </c>
      <c r="AE25">
        <f>LOOKUP($A25,'Over to underbark'!$A$47:$A$48,'Over to underbark'!E$47:E$48)*AB25</f>
        <v>6.3745315199999997</v>
      </c>
      <c r="AF25" t="b">
        <f t="shared" si="8"/>
        <v>1</v>
      </c>
      <c r="AG25" t="b">
        <f t="shared" si="9"/>
        <v>1</v>
      </c>
      <c r="AH25">
        <f>LOOKUP(A25,'Over to underbark'!$A$47:$A$48,'Over to underbark'!E$47:E$48)*M25</f>
        <v>78.901200000000003</v>
      </c>
      <c r="AI25" s="27">
        <f>LOOKUP(A25,'Over to underbark'!$A$47:$A$48,'Over to underbark'!$B$47:$B$48)*AH25</f>
        <v>26.826408000000004</v>
      </c>
      <c r="AJ25" s="27">
        <f>LOOKUP(A26,'Over to underbark'!$A$47:$A$48,'Over to underbark'!C$47:C$48)*AH25</f>
        <v>27.61542</v>
      </c>
      <c r="AK25" s="27">
        <f t="shared" si="10"/>
        <v>105.727608</v>
      </c>
      <c r="AL25" s="33">
        <v>251.73</v>
      </c>
      <c r="AM25" s="28">
        <f t="shared" si="11"/>
        <v>211.45521600000001</v>
      </c>
      <c r="AO25">
        <f t="shared" si="12"/>
        <v>0.67164179104477617</v>
      </c>
    </row>
    <row r="26" spans="1:41" x14ac:dyDescent="0.35">
      <c r="A26" t="s">
        <v>39</v>
      </c>
      <c r="B26">
        <v>4</v>
      </c>
      <c r="C26">
        <v>2</v>
      </c>
      <c r="D26" t="s">
        <v>40</v>
      </c>
      <c r="E26">
        <v>2</v>
      </c>
      <c r="F26">
        <v>1</v>
      </c>
      <c r="G26" s="12">
        <v>63</v>
      </c>
      <c r="H26" s="12">
        <v>13.176</v>
      </c>
      <c r="I26" s="12">
        <v>1827</v>
      </c>
      <c r="J26" s="12">
        <v>15.914</v>
      </c>
      <c r="K26" s="12">
        <v>36.341999999999999</v>
      </c>
      <c r="L26" s="12">
        <v>0.106</v>
      </c>
      <c r="M26" s="22">
        <v>194.14</v>
      </c>
      <c r="N26" s="12">
        <v>0.73599999999999999</v>
      </c>
      <c r="O26" s="13">
        <v>3.0819999999999999</v>
      </c>
      <c r="P26" s="14">
        <v>63</v>
      </c>
      <c r="Q26" s="14">
        <v>15.914</v>
      </c>
      <c r="R26" s="14">
        <v>157.167</v>
      </c>
      <c r="S26" s="14">
        <v>36.972999999999999</v>
      </c>
      <c r="T26" s="14" t="b">
        <f t="shared" si="3"/>
        <v>1</v>
      </c>
      <c r="U26" s="14" t="b">
        <f t="shared" si="4"/>
        <v>1</v>
      </c>
      <c r="V26" s="15">
        <f>VLOOKUP(IF(J26&lt;10, 10, IF(J26&gt;50,50,J26)),'Over to underbark'!$A$3:$C$43,IF(A26="Scots pine",3,IF(A26="Sitka spruce",2, "error")),TRUE)/100</f>
        <v>0.84</v>
      </c>
      <c r="W26">
        <f t="shared" si="5"/>
        <v>118.818252</v>
      </c>
      <c r="X26">
        <f t="shared" si="6"/>
        <v>27.951588000000001</v>
      </c>
      <c r="Y26">
        <f t="shared" si="7"/>
        <v>27.956160000000004</v>
      </c>
      <c r="Z26">
        <f t="shared" si="0"/>
        <v>99.875301840000006</v>
      </c>
      <c r="AA26">
        <f t="shared" si="1"/>
        <v>58.079745360000004</v>
      </c>
      <c r="AB26">
        <f t="shared" si="2"/>
        <v>16.7709528</v>
      </c>
      <c r="AC26">
        <f>LOOKUP($A26,'Over to underbark'!$A$47:$A$48,'Over to underbark'!E$47:E$48)*Z26</f>
        <v>41.9476267728</v>
      </c>
      <c r="AD26">
        <f>LOOKUP($A26,'Over to underbark'!$A$47:$A$48,'Over to underbark'!E$47:E$48)*AA26</f>
        <v>24.3934930512</v>
      </c>
      <c r="AE26">
        <f>LOOKUP($A26,'Over to underbark'!$A$47:$A$48,'Over to underbark'!E$47:E$48)*AB26</f>
        <v>7.0438001759999995</v>
      </c>
      <c r="AF26" t="b">
        <f t="shared" si="8"/>
        <v>1</v>
      </c>
      <c r="AG26" t="b">
        <f t="shared" si="9"/>
        <v>1</v>
      </c>
      <c r="AH26">
        <f>LOOKUP(A26,'Over to underbark'!$A$47:$A$48,'Over to underbark'!E$47:E$48)*M26</f>
        <v>81.538799999999995</v>
      </c>
      <c r="AI26" s="27">
        <f>LOOKUP(A26,'Over to underbark'!$A$47:$A$48,'Over to underbark'!$B$47:$B$48)*AH26</f>
        <v>27.723192000000001</v>
      </c>
      <c r="AJ26" s="27">
        <f>LOOKUP(A27,'Over to underbark'!$A$47:$A$48,'Over to underbark'!C$47:C$48)*AH26</f>
        <v>28.538579999999996</v>
      </c>
      <c r="AK26" s="27">
        <f t="shared" si="10"/>
        <v>109.26199199999999</v>
      </c>
      <c r="AL26" s="33">
        <v>260.14999999999998</v>
      </c>
      <c r="AM26" s="28">
        <f t="shared" si="11"/>
        <v>218.52398399999998</v>
      </c>
      <c r="AO26">
        <f t="shared" si="12"/>
        <v>0.67164179104477628</v>
      </c>
    </row>
    <row r="27" spans="1:41" x14ac:dyDescent="0.35">
      <c r="A27" t="s">
        <v>39</v>
      </c>
      <c r="B27">
        <v>4</v>
      </c>
      <c r="C27">
        <v>2</v>
      </c>
      <c r="D27" t="s">
        <v>40</v>
      </c>
      <c r="E27">
        <v>2</v>
      </c>
      <c r="F27">
        <v>1</v>
      </c>
      <c r="G27" s="12">
        <v>64</v>
      </c>
      <c r="H27" s="12">
        <v>13.348000000000001</v>
      </c>
      <c r="I27" s="12">
        <v>1813</v>
      </c>
      <c r="J27" s="12">
        <v>16.117000000000001</v>
      </c>
      <c r="K27" s="12">
        <v>36.987000000000002</v>
      </c>
      <c r="L27" s="12">
        <v>0.111</v>
      </c>
      <c r="M27" s="22">
        <v>200.42</v>
      </c>
      <c r="N27" s="12">
        <v>0.80200000000000005</v>
      </c>
      <c r="O27" s="13">
        <v>3.1320000000000001</v>
      </c>
      <c r="P27" s="14">
        <v>64</v>
      </c>
      <c r="Q27" s="14">
        <v>16.117000000000001</v>
      </c>
      <c r="R27" s="14">
        <v>159.75299999999999</v>
      </c>
      <c r="S27" s="14">
        <v>40.667000000000002</v>
      </c>
      <c r="T27" s="14" t="b">
        <f t="shared" si="3"/>
        <v>1</v>
      </c>
      <c r="U27" s="14" t="b">
        <f t="shared" si="4"/>
        <v>1</v>
      </c>
      <c r="V27" s="15">
        <f>VLOOKUP(IF(J27&lt;10, 10, IF(J27&gt;50,50,J27)),'Over to underbark'!$A$3:$C$43,IF(A27="Scots pine",3,IF(A27="Sitka spruce",2, "error")),TRUE)/100</f>
        <v>0.84</v>
      </c>
      <c r="W27">
        <f t="shared" si="5"/>
        <v>120.77326799999997</v>
      </c>
      <c r="X27">
        <f t="shared" si="6"/>
        <v>30.744252000000003</v>
      </c>
      <c r="Y27">
        <f t="shared" si="7"/>
        <v>28.860480000000003</v>
      </c>
      <c r="Z27">
        <f t="shared" si="0"/>
        <v>102.31288055999998</v>
      </c>
      <c r="AA27">
        <f t="shared" si="1"/>
        <v>59.618568239999988</v>
      </c>
      <c r="AB27">
        <f t="shared" si="2"/>
        <v>18.446551200000002</v>
      </c>
      <c r="AC27">
        <f>LOOKUP($A27,'Over to underbark'!$A$47:$A$48,'Over to underbark'!E$47:E$48)*Z27</f>
        <v>42.971409835199992</v>
      </c>
      <c r="AD27">
        <f>LOOKUP($A27,'Over to underbark'!$A$47:$A$48,'Over to underbark'!E$47:E$48)*AA27</f>
        <v>25.039798660799995</v>
      </c>
      <c r="AE27">
        <f>LOOKUP($A27,'Over to underbark'!$A$47:$A$48,'Over to underbark'!E$47:E$48)*AB27</f>
        <v>7.7475515040000005</v>
      </c>
      <c r="AF27" t="b">
        <f t="shared" si="8"/>
        <v>1</v>
      </c>
      <c r="AG27" t="b">
        <f t="shared" si="9"/>
        <v>1</v>
      </c>
      <c r="AH27">
        <f>LOOKUP(A27,'Over to underbark'!$A$47:$A$48,'Over to underbark'!E$47:E$48)*M27</f>
        <v>84.176399999999987</v>
      </c>
      <c r="AI27" s="27">
        <f>LOOKUP(A27,'Over to underbark'!$A$47:$A$48,'Over to underbark'!$B$47:$B$48)*AH27</f>
        <v>28.619975999999998</v>
      </c>
      <c r="AJ27" s="27">
        <f>LOOKUP(A28,'Over to underbark'!$A$47:$A$48,'Over to underbark'!C$47:C$48)*AH27</f>
        <v>29.461739999999992</v>
      </c>
      <c r="AK27" s="27">
        <f t="shared" si="10"/>
        <v>112.79637599999998</v>
      </c>
      <c r="AL27" s="33">
        <v>268.56</v>
      </c>
      <c r="AM27" s="28">
        <f t="shared" si="11"/>
        <v>225.59275199999996</v>
      </c>
      <c r="AO27">
        <f t="shared" si="12"/>
        <v>0.67164179104477617</v>
      </c>
    </row>
    <row r="28" spans="1:41" x14ac:dyDescent="0.35">
      <c r="A28" t="s">
        <v>39</v>
      </c>
      <c r="B28">
        <v>4</v>
      </c>
      <c r="C28">
        <v>2</v>
      </c>
      <c r="D28" t="s">
        <v>40</v>
      </c>
      <c r="E28">
        <v>2</v>
      </c>
      <c r="F28">
        <v>1</v>
      </c>
      <c r="G28" s="12">
        <v>65</v>
      </c>
      <c r="H28" s="12">
        <v>13.52</v>
      </c>
      <c r="I28" s="12">
        <v>1799</v>
      </c>
      <c r="J28" s="12">
        <v>16.32</v>
      </c>
      <c r="K28" s="12">
        <v>37.631999999999998</v>
      </c>
      <c r="L28" s="12">
        <v>0.115</v>
      </c>
      <c r="M28" s="22">
        <v>206.7</v>
      </c>
      <c r="N28" s="12">
        <v>0.86299999999999999</v>
      </c>
      <c r="O28" s="13">
        <v>3.18</v>
      </c>
      <c r="P28" s="14">
        <v>65</v>
      </c>
      <c r="Q28" s="14">
        <v>16.32</v>
      </c>
      <c r="R28" s="14">
        <v>162.18299999999999</v>
      </c>
      <c r="S28" s="14">
        <v>44.517000000000003</v>
      </c>
      <c r="T28" s="14" t="b">
        <f t="shared" si="3"/>
        <v>1</v>
      </c>
      <c r="U28" s="14" t="b">
        <f t="shared" si="4"/>
        <v>1</v>
      </c>
      <c r="V28" s="15">
        <f>VLOOKUP(IF(J28&lt;10, 10, IF(J28&gt;50,50,J28)),'Over to underbark'!$A$3:$C$43,IF(A28="Scots pine",3,IF(A28="Sitka spruce",2, "error")),TRUE)/100</f>
        <v>0.84</v>
      </c>
      <c r="W28">
        <f t="shared" si="5"/>
        <v>122.61034799999999</v>
      </c>
      <c r="X28">
        <f t="shared" si="6"/>
        <v>33.654851999999998</v>
      </c>
      <c r="Y28">
        <f t="shared" si="7"/>
        <v>29.764800000000005</v>
      </c>
      <c r="Z28">
        <f t="shared" si="0"/>
        <v>104.70092615999999</v>
      </c>
      <c r="AA28">
        <f t="shared" si="1"/>
        <v>61.136162639999995</v>
      </c>
      <c r="AB28">
        <f t="shared" si="2"/>
        <v>20.192911199999998</v>
      </c>
      <c r="AC28">
        <f>LOOKUP($A28,'Over to underbark'!$A$47:$A$48,'Over to underbark'!E$47:E$48)*Z28</f>
        <v>43.974388987199994</v>
      </c>
      <c r="AD28">
        <f>LOOKUP($A28,'Over to underbark'!$A$47:$A$48,'Over to underbark'!E$47:E$48)*AA28</f>
        <v>25.677188308799998</v>
      </c>
      <c r="AE28">
        <f>LOOKUP($A28,'Over to underbark'!$A$47:$A$48,'Over to underbark'!E$47:E$48)*AB28</f>
        <v>8.481022703999999</v>
      </c>
      <c r="AF28" t="b">
        <f t="shared" si="8"/>
        <v>1</v>
      </c>
      <c r="AG28" t="b">
        <f t="shared" si="9"/>
        <v>1</v>
      </c>
      <c r="AH28">
        <f>LOOKUP(A28,'Over to underbark'!$A$47:$A$48,'Over to underbark'!E$47:E$48)*M28</f>
        <v>86.813999999999993</v>
      </c>
      <c r="AI28" s="27">
        <f>LOOKUP(A28,'Over to underbark'!$A$47:$A$48,'Over to underbark'!$B$47:$B$48)*AH28</f>
        <v>29.516760000000001</v>
      </c>
      <c r="AJ28" s="27">
        <f>LOOKUP(A29,'Over to underbark'!$A$47:$A$48,'Over to underbark'!C$47:C$48)*AH28</f>
        <v>30.384899999999995</v>
      </c>
      <c r="AK28" s="27">
        <f t="shared" si="10"/>
        <v>116.33076</v>
      </c>
      <c r="AL28" s="33">
        <v>276.98</v>
      </c>
      <c r="AM28" s="28">
        <f t="shared" si="11"/>
        <v>232.66152</v>
      </c>
      <c r="AO28">
        <f t="shared" si="12"/>
        <v>0.67164179104477606</v>
      </c>
    </row>
    <row r="29" spans="1:41" x14ac:dyDescent="0.35">
      <c r="A29" t="s">
        <v>39</v>
      </c>
      <c r="B29">
        <v>4</v>
      </c>
      <c r="C29">
        <v>2</v>
      </c>
      <c r="D29" t="s">
        <v>40</v>
      </c>
      <c r="E29">
        <v>2</v>
      </c>
      <c r="F29">
        <v>1</v>
      </c>
      <c r="G29" s="12">
        <v>66</v>
      </c>
      <c r="H29" s="12">
        <v>13.672000000000001</v>
      </c>
      <c r="I29" s="12">
        <v>1785</v>
      </c>
      <c r="J29" s="12">
        <v>16.501000000000001</v>
      </c>
      <c r="K29" s="12">
        <v>38.173000000000002</v>
      </c>
      <c r="L29" s="12">
        <v>0.11899999999999999</v>
      </c>
      <c r="M29" s="22">
        <v>212.54</v>
      </c>
      <c r="N29" s="12">
        <v>0.94099999999999995</v>
      </c>
      <c r="O29" s="13">
        <v>3.22</v>
      </c>
      <c r="P29" s="14">
        <v>66</v>
      </c>
      <c r="Q29" s="14">
        <v>16.501000000000001</v>
      </c>
      <c r="R29" s="14">
        <v>164.405</v>
      </c>
      <c r="S29" s="14">
        <v>48.134999999999998</v>
      </c>
      <c r="T29" s="14" t="b">
        <f t="shared" si="3"/>
        <v>1</v>
      </c>
      <c r="U29" s="14" t="b">
        <f t="shared" si="4"/>
        <v>1</v>
      </c>
      <c r="V29" s="15">
        <f>VLOOKUP(IF(J29&lt;10, 10, IF(J29&gt;50,50,J29)),'Over to underbark'!$A$3:$C$43,IF(A29="Scots pine",3,IF(A29="Sitka spruce",2, "error")),TRUE)/100</f>
        <v>0.84</v>
      </c>
      <c r="W29">
        <f t="shared" si="5"/>
        <v>124.29018000000001</v>
      </c>
      <c r="X29">
        <f t="shared" si="6"/>
        <v>36.390059999999998</v>
      </c>
      <c r="Y29">
        <f t="shared" si="7"/>
        <v>30.605760000000007</v>
      </c>
      <c r="Z29">
        <f t="shared" si="0"/>
        <v>106.9096716</v>
      </c>
      <c r="AA29">
        <f t="shared" si="1"/>
        <v>62.542292400000001</v>
      </c>
      <c r="AB29">
        <f t="shared" si="2"/>
        <v>21.834035999999998</v>
      </c>
      <c r="AC29">
        <f>LOOKUP($A29,'Over to underbark'!$A$47:$A$48,'Over to underbark'!E$47:E$48)*Z29</f>
        <v>44.902062072</v>
      </c>
      <c r="AD29">
        <f>LOOKUP($A29,'Over to underbark'!$A$47:$A$48,'Over to underbark'!E$47:E$48)*AA29</f>
        <v>26.267762808000001</v>
      </c>
      <c r="AE29">
        <f>LOOKUP($A29,'Over to underbark'!$A$47:$A$48,'Over to underbark'!E$47:E$48)*AB29</f>
        <v>9.1702951199999987</v>
      </c>
      <c r="AF29" t="b">
        <f t="shared" si="8"/>
        <v>1</v>
      </c>
      <c r="AG29" t="b">
        <f t="shared" si="9"/>
        <v>1</v>
      </c>
      <c r="AH29">
        <f>LOOKUP(A29,'Over to underbark'!$A$47:$A$48,'Over to underbark'!E$47:E$48)*M29</f>
        <v>89.266799999999989</v>
      </c>
      <c r="AI29" s="27">
        <f>LOOKUP(A29,'Over to underbark'!$A$47:$A$48,'Over to underbark'!$B$47:$B$48)*AH29</f>
        <v>30.350711999999998</v>
      </c>
      <c r="AJ29" s="27">
        <f>LOOKUP(A30,'Over to underbark'!$A$47:$A$48,'Over to underbark'!C$47:C$48)*AH29</f>
        <v>31.243379999999995</v>
      </c>
      <c r="AK29" s="27">
        <f t="shared" si="10"/>
        <v>119.61751199999999</v>
      </c>
      <c r="AL29" s="33">
        <v>284.8</v>
      </c>
      <c r="AM29" s="28">
        <f t="shared" si="11"/>
        <v>239.23502399999998</v>
      </c>
      <c r="AO29">
        <f t="shared" si="12"/>
        <v>0.67164179104477606</v>
      </c>
    </row>
    <row r="30" spans="1:41" x14ac:dyDescent="0.35">
      <c r="A30" t="s">
        <v>39</v>
      </c>
      <c r="B30">
        <v>4</v>
      </c>
      <c r="C30">
        <v>2</v>
      </c>
      <c r="D30" t="s">
        <v>40</v>
      </c>
      <c r="E30">
        <v>2</v>
      </c>
      <c r="F30">
        <v>1</v>
      </c>
      <c r="G30" s="12">
        <v>67</v>
      </c>
      <c r="H30" s="12">
        <v>13.824</v>
      </c>
      <c r="I30" s="12">
        <v>1772</v>
      </c>
      <c r="J30" s="12">
        <v>16.678999999999998</v>
      </c>
      <c r="K30" s="12">
        <v>38.713999999999999</v>
      </c>
      <c r="L30" s="12">
        <v>0.123</v>
      </c>
      <c r="M30" s="22">
        <v>218.38</v>
      </c>
      <c r="N30" s="12">
        <v>1.0149999999999999</v>
      </c>
      <c r="O30" s="13">
        <v>3.2589999999999999</v>
      </c>
      <c r="P30" s="14">
        <v>67</v>
      </c>
      <c r="Q30" s="14">
        <v>16.678999999999998</v>
      </c>
      <c r="R30" s="14">
        <v>166.541</v>
      </c>
      <c r="S30" s="14">
        <v>51.838999999999999</v>
      </c>
      <c r="T30" s="14" t="b">
        <f t="shared" si="3"/>
        <v>1</v>
      </c>
      <c r="U30" s="14" t="b">
        <f t="shared" si="4"/>
        <v>1</v>
      </c>
      <c r="V30" s="15">
        <f>VLOOKUP(IF(J30&lt;10, 10, IF(J30&gt;50,50,J30)),'Over to underbark'!$A$3:$C$43,IF(A30="Scots pine",3,IF(A30="Sitka spruce",2, "error")),TRUE)/100</f>
        <v>0.84</v>
      </c>
      <c r="W30">
        <f t="shared" si="5"/>
        <v>125.904996</v>
      </c>
      <c r="X30">
        <f t="shared" si="6"/>
        <v>39.190283999999998</v>
      </c>
      <c r="Y30">
        <f t="shared" si="7"/>
        <v>31.446720000000006</v>
      </c>
      <c r="Z30">
        <f>Y30+(57%*W30)+(15%*X30)</f>
        <v>109.09111032000001</v>
      </c>
      <c r="AA30">
        <f>(43%*W30)+(25%*X30)</f>
        <v>63.936719279999998</v>
      </c>
      <c r="AB30">
        <f>60%*X30</f>
        <v>23.514170399999998</v>
      </c>
      <c r="AC30">
        <f>LOOKUP($A30,'Over to underbark'!$A$47:$A$48,'Over to underbark'!E$47:E$48)*Z30</f>
        <v>45.818266334400001</v>
      </c>
      <c r="AD30">
        <f>LOOKUP($A30,'Over to underbark'!$A$47:$A$48,'Over to underbark'!E$47:E$48)*AA30</f>
        <v>26.853422097599999</v>
      </c>
      <c r="AE30">
        <f>LOOKUP($A30,'Over to underbark'!$A$47:$A$48,'Over to underbark'!E$47:E$48)*AB30</f>
        <v>9.8759515679999978</v>
      </c>
      <c r="AF30" t="b">
        <f t="shared" si="8"/>
        <v>1</v>
      </c>
      <c r="AG30" t="b">
        <f t="shared" si="9"/>
        <v>1</v>
      </c>
      <c r="AH30">
        <f>LOOKUP(A30,'Over to underbark'!$A$47:$A$48,'Over to underbark'!E$47:E$48)*M30</f>
        <v>91.7196</v>
      </c>
      <c r="AI30" s="27">
        <f>LOOKUP(A30,'Over to underbark'!$A$47:$A$48,'Over to underbark'!$B$47:$B$48)*AH30</f>
        <v>31.184664000000001</v>
      </c>
      <c r="AJ30" s="27">
        <f>LOOKUP(A31,'Over to underbark'!$A$47:$A$48,'Over to underbark'!C$47:C$48)*AH30</f>
        <v>32.101859999999995</v>
      </c>
      <c r="AK30" s="27">
        <f t="shared" si="10"/>
        <v>122.904264</v>
      </c>
      <c r="AL30" s="33">
        <v>292.63</v>
      </c>
      <c r="AM30" s="28">
        <f t="shared" si="11"/>
        <v>245.808528</v>
      </c>
      <c r="AO30">
        <f t="shared" si="12"/>
        <v>0.67164179104477617</v>
      </c>
    </row>
    <row r="31" spans="1:41" x14ac:dyDescent="0.35">
      <c r="A31" t="s">
        <v>39</v>
      </c>
      <c r="B31">
        <v>4</v>
      </c>
      <c r="C31">
        <v>2</v>
      </c>
      <c r="D31" t="s">
        <v>40</v>
      </c>
      <c r="E31">
        <v>2</v>
      </c>
      <c r="F31">
        <v>1</v>
      </c>
      <c r="G31" s="12">
        <v>68</v>
      </c>
      <c r="H31" s="12">
        <v>13.976000000000001</v>
      </c>
      <c r="I31" s="12">
        <v>1758</v>
      </c>
      <c r="J31" s="12">
        <v>16.861000000000001</v>
      </c>
      <c r="K31" s="12">
        <v>39.255000000000003</v>
      </c>
      <c r="L31" s="12">
        <v>0.128</v>
      </c>
      <c r="M31" s="22">
        <v>224.22</v>
      </c>
      <c r="N31" s="12">
        <v>1.085</v>
      </c>
      <c r="O31" s="13">
        <v>3.2970000000000002</v>
      </c>
      <c r="P31" s="14">
        <v>68</v>
      </c>
      <c r="Q31" s="14">
        <v>16.861000000000001</v>
      </c>
      <c r="R31" s="14">
        <v>168.499</v>
      </c>
      <c r="S31" s="14">
        <v>55.720999999999997</v>
      </c>
      <c r="T31" s="14" t="b">
        <f t="shared" si="3"/>
        <v>1</v>
      </c>
      <c r="U31" s="14" t="b">
        <f t="shared" si="4"/>
        <v>1</v>
      </c>
      <c r="V31" s="15">
        <f>VLOOKUP(IF(J31&lt;10, 10, IF(J31&gt;50,50,J31)),'Over to underbark'!$A$3:$C$43,IF(A31="Scots pine",3,IF(A31="Sitka spruce",2, "error")),TRUE)/100</f>
        <v>0.84</v>
      </c>
      <c r="W31">
        <f t="shared" si="5"/>
        <v>127.385244</v>
      </c>
      <c r="X31">
        <f t="shared" si="6"/>
        <v>42.125076</v>
      </c>
      <c r="Y31">
        <f t="shared" si="7"/>
        <v>32.287680000000009</v>
      </c>
      <c r="Z31">
        <f t="shared" ref="Z31:Z94" si="13">Y31+(57%*W31)+(15%*X31)</f>
        <v>111.21603048</v>
      </c>
      <c r="AA31">
        <f t="shared" ref="AA31:AA94" si="14">(43%*W31)+(25%*X31)</f>
        <v>65.306923920000003</v>
      </c>
      <c r="AB31">
        <f t="shared" ref="AB31:AB94" si="15">60%*X31</f>
        <v>25.275045599999999</v>
      </c>
      <c r="AC31">
        <f>LOOKUP($A31,'Over to underbark'!$A$47:$A$48,'Over to underbark'!E$47:E$48)*Z31</f>
        <v>46.710732801599995</v>
      </c>
      <c r="AD31">
        <f>LOOKUP($A31,'Over to underbark'!$A$47:$A$48,'Over to underbark'!E$47:E$48)*AA31</f>
        <v>27.4289080464</v>
      </c>
      <c r="AE31">
        <f>LOOKUP($A31,'Over to underbark'!$A$47:$A$48,'Over to underbark'!E$47:E$48)*AB31</f>
        <v>10.615519151999999</v>
      </c>
      <c r="AF31" t="b">
        <f t="shared" si="8"/>
        <v>1</v>
      </c>
      <c r="AG31" t="b">
        <f t="shared" si="9"/>
        <v>1</v>
      </c>
      <c r="AH31">
        <f>LOOKUP(A31,'Over to underbark'!$A$47:$A$48,'Over to underbark'!E$47:E$48)*M31</f>
        <v>94.172399999999996</v>
      </c>
      <c r="AI31" s="27">
        <f>LOOKUP(A31,'Over to underbark'!$A$47:$A$48,'Over to underbark'!$B$47:$B$48)*AH31</f>
        <v>32.018616000000002</v>
      </c>
      <c r="AJ31" s="27">
        <f>LOOKUP(A32,'Over to underbark'!$A$47:$A$48,'Over to underbark'!C$47:C$48)*AH31</f>
        <v>32.960339999999995</v>
      </c>
      <c r="AK31" s="27">
        <f t="shared" si="10"/>
        <v>126.19101599999999</v>
      </c>
      <c r="AL31" s="33">
        <v>300.45</v>
      </c>
      <c r="AM31" s="28">
        <f t="shared" si="11"/>
        <v>252.38203199999998</v>
      </c>
      <c r="AO31">
        <f t="shared" si="12"/>
        <v>0.67164179104477617</v>
      </c>
    </row>
    <row r="32" spans="1:41" x14ac:dyDescent="0.35">
      <c r="A32" t="s">
        <v>39</v>
      </c>
      <c r="B32">
        <v>4</v>
      </c>
      <c r="C32">
        <v>2</v>
      </c>
      <c r="D32" t="s">
        <v>40</v>
      </c>
      <c r="E32">
        <v>2</v>
      </c>
      <c r="F32">
        <v>1</v>
      </c>
      <c r="G32" s="12">
        <v>69</v>
      </c>
      <c r="H32" s="12">
        <v>14.128</v>
      </c>
      <c r="I32" s="12">
        <v>1745</v>
      </c>
      <c r="J32" s="12">
        <v>17.04</v>
      </c>
      <c r="K32" s="12">
        <v>39.795999999999999</v>
      </c>
      <c r="L32" s="12">
        <v>0.13200000000000001</v>
      </c>
      <c r="M32" s="22">
        <v>230.06</v>
      </c>
      <c r="N32" s="12">
        <v>1.151</v>
      </c>
      <c r="O32" s="13">
        <v>3.3340000000000001</v>
      </c>
      <c r="P32" s="14">
        <v>69</v>
      </c>
      <c r="Q32" s="14">
        <v>17.04</v>
      </c>
      <c r="R32" s="14">
        <v>170.375</v>
      </c>
      <c r="S32" s="14">
        <v>59.685000000000002</v>
      </c>
      <c r="T32" s="14" t="b">
        <f t="shared" si="3"/>
        <v>1</v>
      </c>
      <c r="U32" s="14" t="b">
        <f t="shared" si="4"/>
        <v>1</v>
      </c>
      <c r="V32" s="15">
        <f>VLOOKUP(IF(J32&lt;10, 10, IF(J32&gt;50,50,J32)),'Over to underbark'!$A$3:$C$43,IF(A32="Scots pine",3,IF(A32="Sitka spruce",2, "error")),TRUE)/100</f>
        <v>0.84</v>
      </c>
      <c r="W32">
        <f t="shared" si="5"/>
        <v>128.80350000000001</v>
      </c>
      <c r="X32">
        <f t="shared" si="6"/>
        <v>45.121859999999998</v>
      </c>
      <c r="Y32">
        <f t="shared" si="7"/>
        <v>33.128640000000004</v>
      </c>
      <c r="Z32">
        <f t="shared" si="13"/>
        <v>113.31491400000002</v>
      </c>
      <c r="AA32">
        <f t="shared" si="14"/>
        <v>66.665970000000002</v>
      </c>
      <c r="AB32">
        <f t="shared" si="15"/>
        <v>27.073115999999999</v>
      </c>
      <c r="AC32">
        <f>LOOKUP($A32,'Over to underbark'!$A$47:$A$48,'Over to underbark'!E$47:E$48)*Z32</f>
        <v>47.592263880000004</v>
      </c>
      <c r="AD32">
        <f>LOOKUP($A32,'Over to underbark'!$A$47:$A$48,'Over to underbark'!E$47:E$48)*AA32</f>
        <v>27.999707399999998</v>
      </c>
      <c r="AE32">
        <f>LOOKUP($A32,'Over to underbark'!$A$47:$A$48,'Over to underbark'!E$47:E$48)*AB32</f>
        <v>11.37070872</v>
      </c>
      <c r="AF32" t="b">
        <f t="shared" si="8"/>
        <v>1</v>
      </c>
      <c r="AG32" t="b">
        <f t="shared" si="9"/>
        <v>1</v>
      </c>
      <c r="AH32">
        <f>LOOKUP(A32,'Over to underbark'!$A$47:$A$48,'Over to underbark'!E$47:E$48)*M32</f>
        <v>96.625199999999992</v>
      </c>
      <c r="AI32" s="27">
        <f>LOOKUP(A32,'Over to underbark'!$A$47:$A$48,'Over to underbark'!$B$47:$B$48)*AH32</f>
        <v>32.852567999999998</v>
      </c>
      <c r="AJ32" s="27">
        <f>LOOKUP(A33,'Over to underbark'!$A$47:$A$48,'Over to underbark'!C$47:C$48)*AH32</f>
        <v>33.818819999999995</v>
      </c>
      <c r="AK32" s="27">
        <f t="shared" si="10"/>
        <v>129.477768</v>
      </c>
      <c r="AL32" s="33">
        <v>308.27999999999997</v>
      </c>
      <c r="AM32" s="28">
        <f t="shared" si="11"/>
        <v>258.955536</v>
      </c>
      <c r="AO32">
        <f t="shared" si="12"/>
        <v>0.67164179104477606</v>
      </c>
    </row>
    <row r="33" spans="1:41" x14ac:dyDescent="0.35">
      <c r="A33" t="s">
        <v>39</v>
      </c>
      <c r="B33">
        <v>4</v>
      </c>
      <c r="C33">
        <v>2</v>
      </c>
      <c r="D33" t="s">
        <v>40</v>
      </c>
      <c r="E33">
        <v>2</v>
      </c>
      <c r="F33">
        <v>1</v>
      </c>
      <c r="G33" s="12">
        <v>70</v>
      </c>
      <c r="H33" s="12">
        <v>14.28</v>
      </c>
      <c r="I33" s="12">
        <v>1732</v>
      </c>
      <c r="J33" s="12">
        <v>17.22</v>
      </c>
      <c r="K33" s="12">
        <v>40.337000000000003</v>
      </c>
      <c r="L33" s="12">
        <v>0.13600000000000001</v>
      </c>
      <c r="M33" s="22">
        <v>235.9</v>
      </c>
      <c r="N33" s="12">
        <v>1.214</v>
      </c>
      <c r="O33" s="13">
        <v>3.37</v>
      </c>
      <c r="P33" s="14">
        <v>70</v>
      </c>
      <c r="Q33" s="14">
        <v>17.22</v>
      </c>
      <c r="R33" s="14">
        <v>172.11600000000001</v>
      </c>
      <c r="S33" s="14">
        <v>63.783999999999999</v>
      </c>
      <c r="T33" s="14" t="b">
        <f t="shared" si="3"/>
        <v>1</v>
      </c>
      <c r="U33" s="14" t="b">
        <f t="shared" si="4"/>
        <v>1</v>
      </c>
      <c r="V33" s="15">
        <f>VLOOKUP(IF(J33&lt;10, 10, IF(J33&gt;50,50,J33)),'Over to underbark'!$A$3:$C$43,IF(A33="Scots pine",3,IF(A33="Sitka spruce",2, "error")),TRUE)/100</f>
        <v>0.84</v>
      </c>
      <c r="W33">
        <f t="shared" si="5"/>
        <v>130.119696</v>
      </c>
      <c r="X33">
        <f t="shared" si="6"/>
        <v>48.220703999999998</v>
      </c>
      <c r="Y33">
        <f t="shared" si="7"/>
        <v>33.969600000000007</v>
      </c>
      <c r="Z33">
        <f t="shared" si="13"/>
        <v>115.37093231999999</v>
      </c>
      <c r="AA33">
        <f t="shared" si="14"/>
        <v>68.006645280000001</v>
      </c>
      <c r="AB33">
        <f t="shared" si="15"/>
        <v>28.932422399999997</v>
      </c>
      <c r="AC33">
        <f>LOOKUP($A33,'Over to underbark'!$A$47:$A$48,'Over to underbark'!E$47:E$48)*Z33</f>
        <v>48.455791574399996</v>
      </c>
      <c r="AD33">
        <f>LOOKUP($A33,'Over to underbark'!$A$47:$A$48,'Over to underbark'!E$47:E$48)*AA33</f>
        <v>28.562791017599999</v>
      </c>
      <c r="AE33">
        <f>LOOKUP($A33,'Over to underbark'!$A$47:$A$48,'Over to underbark'!E$47:E$48)*AB33</f>
        <v>12.151617407999998</v>
      </c>
      <c r="AF33" t="b">
        <f t="shared" si="8"/>
        <v>1</v>
      </c>
      <c r="AG33" t="b">
        <f t="shared" si="9"/>
        <v>1</v>
      </c>
      <c r="AH33">
        <f>LOOKUP(A33,'Over to underbark'!$A$47:$A$48,'Over to underbark'!E$47:E$48)*M33</f>
        <v>99.078000000000003</v>
      </c>
      <c r="AI33" s="27">
        <f>LOOKUP(A33,'Over to underbark'!$A$47:$A$48,'Over to underbark'!$B$47:$B$48)*AH33</f>
        <v>33.686520000000002</v>
      </c>
      <c r="AJ33" s="27">
        <f>LOOKUP(A34,'Over to underbark'!$A$47:$A$48,'Over to underbark'!C$47:C$48)*AH33</f>
        <v>34.677299999999995</v>
      </c>
      <c r="AK33" s="27">
        <f t="shared" si="10"/>
        <v>132.76452</v>
      </c>
      <c r="AL33" s="33">
        <v>316.11</v>
      </c>
      <c r="AM33" s="28">
        <f t="shared" si="11"/>
        <v>265.52904000000001</v>
      </c>
      <c r="AO33">
        <f t="shared" si="12"/>
        <v>0.67164179104477606</v>
      </c>
    </row>
    <row r="34" spans="1:41" x14ac:dyDescent="0.35">
      <c r="A34" t="s">
        <v>39</v>
      </c>
      <c r="B34">
        <v>4</v>
      </c>
      <c r="C34">
        <v>2</v>
      </c>
      <c r="D34" t="s">
        <v>40</v>
      </c>
      <c r="E34">
        <v>2</v>
      </c>
      <c r="F34">
        <v>1</v>
      </c>
      <c r="G34" s="12">
        <v>71</v>
      </c>
      <c r="H34" s="12">
        <v>14.414</v>
      </c>
      <c r="I34" s="12">
        <v>1719</v>
      </c>
      <c r="J34" s="12">
        <v>17.384</v>
      </c>
      <c r="K34" s="12">
        <v>40.802</v>
      </c>
      <c r="L34" s="12">
        <v>0.14000000000000001</v>
      </c>
      <c r="M34" s="22">
        <v>241.18</v>
      </c>
      <c r="N34" s="12">
        <v>1.3009999999999999</v>
      </c>
      <c r="O34" s="13">
        <v>3.3969999999999998</v>
      </c>
      <c r="P34" s="14">
        <v>71</v>
      </c>
      <c r="Q34" s="14">
        <v>17.384</v>
      </c>
      <c r="R34" s="14">
        <v>173.56899999999999</v>
      </c>
      <c r="S34" s="14">
        <v>67.611000000000004</v>
      </c>
      <c r="T34" s="14" t="b">
        <f t="shared" si="3"/>
        <v>1</v>
      </c>
      <c r="U34" s="14" t="b">
        <f t="shared" si="4"/>
        <v>1</v>
      </c>
      <c r="V34" s="15">
        <f>VLOOKUP(IF(J34&lt;10, 10, IF(J34&gt;50,50,J34)),'Over to underbark'!$A$3:$C$43,IF(A34="Scots pine",3,IF(A34="Sitka spruce",2, "error")),TRUE)/100</f>
        <v>0.84</v>
      </c>
      <c r="W34">
        <f t="shared" si="5"/>
        <v>131.218164</v>
      </c>
      <c r="X34">
        <f t="shared" si="6"/>
        <v>51.113916000000003</v>
      </c>
      <c r="Y34">
        <f t="shared" si="7"/>
        <v>34.729920000000007</v>
      </c>
      <c r="Z34">
        <f t="shared" si="13"/>
        <v>117.19136088</v>
      </c>
      <c r="AA34">
        <f t="shared" si="14"/>
        <v>69.202289519999994</v>
      </c>
      <c r="AB34">
        <f t="shared" si="15"/>
        <v>30.668349599999999</v>
      </c>
      <c r="AC34">
        <f>LOOKUP($A34,'Over to underbark'!$A$47:$A$48,'Over to underbark'!E$47:E$48)*Z34</f>
        <v>49.220371569599997</v>
      </c>
      <c r="AD34">
        <f>LOOKUP($A34,'Over to underbark'!$A$47:$A$48,'Over to underbark'!E$47:E$48)*AA34</f>
        <v>29.064961598399996</v>
      </c>
      <c r="AE34">
        <f>LOOKUP($A34,'Over to underbark'!$A$47:$A$48,'Over to underbark'!E$47:E$48)*AB34</f>
        <v>12.880706832</v>
      </c>
      <c r="AF34" t="b">
        <f t="shared" si="8"/>
        <v>1</v>
      </c>
      <c r="AG34" t="b">
        <f t="shared" si="9"/>
        <v>1</v>
      </c>
      <c r="AH34">
        <f>LOOKUP(A34,'Over to underbark'!$A$47:$A$48,'Over to underbark'!E$47:E$48)*M34</f>
        <v>101.29559999999999</v>
      </c>
      <c r="AI34" s="27">
        <f>LOOKUP(A34,'Over to underbark'!$A$47:$A$48,'Over to underbark'!$B$47:$B$48)*AH34</f>
        <v>34.440503999999997</v>
      </c>
      <c r="AJ34" s="27">
        <f>LOOKUP(A35,'Over to underbark'!$A$47:$A$48,'Over to underbark'!C$47:C$48)*AH34</f>
        <v>35.453459999999993</v>
      </c>
      <c r="AK34" s="27">
        <f t="shared" si="10"/>
        <v>135.73610399999998</v>
      </c>
      <c r="AL34" s="33">
        <v>323.18</v>
      </c>
      <c r="AM34" s="28">
        <f t="shared" si="11"/>
        <v>271.47220799999997</v>
      </c>
      <c r="AO34">
        <f t="shared" si="12"/>
        <v>0.67164179104477617</v>
      </c>
    </row>
    <row r="35" spans="1:41" x14ac:dyDescent="0.35">
      <c r="A35" t="s">
        <v>39</v>
      </c>
      <c r="B35">
        <v>4</v>
      </c>
      <c r="C35">
        <v>2</v>
      </c>
      <c r="D35" t="s">
        <v>40</v>
      </c>
      <c r="E35">
        <v>2</v>
      </c>
      <c r="F35">
        <v>1</v>
      </c>
      <c r="G35" s="12">
        <v>72</v>
      </c>
      <c r="H35" s="12">
        <v>14.548</v>
      </c>
      <c r="I35" s="12">
        <v>1707</v>
      </c>
      <c r="J35" s="12">
        <v>17.545000000000002</v>
      </c>
      <c r="K35" s="12">
        <v>41.268000000000001</v>
      </c>
      <c r="L35" s="12">
        <v>0.14399999999999999</v>
      </c>
      <c r="M35" s="22">
        <v>246.46</v>
      </c>
      <c r="N35" s="12">
        <v>1.3839999999999999</v>
      </c>
      <c r="O35" s="13">
        <v>3.423</v>
      </c>
      <c r="P35" s="14">
        <v>72</v>
      </c>
      <c r="Q35" s="14">
        <v>17.545000000000002</v>
      </c>
      <c r="R35" s="14">
        <v>174.97</v>
      </c>
      <c r="S35" s="14">
        <v>71.489999999999995</v>
      </c>
      <c r="T35" s="14" t="b">
        <f t="shared" si="3"/>
        <v>1</v>
      </c>
      <c r="U35" s="14" t="b">
        <f t="shared" si="4"/>
        <v>1</v>
      </c>
      <c r="V35" s="15">
        <f>VLOOKUP(IF(J35&lt;10, 10, IF(J35&gt;50,50,J35)),'Over to underbark'!$A$3:$C$43,IF(A35="Scots pine",3,IF(A35="Sitka spruce",2, "error")),TRUE)/100</f>
        <v>0.84</v>
      </c>
      <c r="W35">
        <f t="shared" si="5"/>
        <v>132.27732</v>
      </c>
      <c r="X35">
        <f t="shared" si="6"/>
        <v>54.04643999999999</v>
      </c>
      <c r="Y35">
        <f t="shared" si="7"/>
        <v>35.490240000000007</v>
      </c>
      <c r="Z35">
        <f t="shared" si="13"/>
        <v>118.99527839999999</v>
      </c>
      <c r="AA35">
        <f t="shared" si="14"/>
        <v>70.390857600000004</v>
      </c>
      <c r="AB35">
        <f t="shared" si="15"/>
        <v>32.427863999999992</v>
      </c>
      <c r="AC35">
        <f>LOOKUP($A35,'Over to underbark'!$A$47:$A$48,'Over to underbark'!E$47:E$48)*Z35</f>
        <v>49.978016927999995</v>
      </c>
      <c r="AD35">
        <f>LOOKUP($A35,'Over to underbark'!$A$47:$A$48,'Over to underbark'!E$47:E$48)*AA35</f>
        <v>29.564160191999999</v>
      </c>
      <c r="AE35">
        <f>LOOKUP($A35,'Over to underbark'!$A$47:$A$48,'Over to underbark'!E$47:E$48)*AB35</f>
        <v>13.619702879999997</v>
      </c>
      <c r="AF35" t="b">
        <f t="shared" si="8"/>
        <v>1</v>
      </c>
      <c r="AG35" t="b">
        <f t="shared" si="9"/>
        <v>1</v>
      </c>
      <c r="AH35">
        <f>LOOKUP(A35,'Over to underbark'!$A$47:$A$48,'Over to underbark'!E$47:E$48)*M35</f>
        <v>103.5132</v>
      </c>
      <c r="AI35" s="27">
        <f>LOOKUP(A35,'Over to underbark'!$A$47:$A$48,'Over to underbark'!$B$47:$B$48)*AH35</f>
        <v>35.194488</v>
      </c>
      <c r="AJ35" s="27">
        <f>LOOKUP(A36,'Over to underbark'!$A$47:$A$48,'Over to underbark'!C$47:C$48)*AH35</f>
        <v>36.229619999999997</v>
      </c>
      <c r="AK35" s="27">
        <f t="shared" si="10"/>
        <v>138.70768799999999</v>
      </c>
      <c r="AL35" s="33">
        <v>330.26</v>
      </c>
      <c r="AM35" s="28">
        <f t="shared" si="11"/>
        <v>277.41537599999998</v>
      </c>
      <c r="AO35">
        <f t="shared" si="12"/>
        <v>0.67164179104477606</v>
      </c>
    </row>
    <row r="36" spans="1:41" x14ac:dyDescent="0.35">
      <c r="A36" t="s">
        <v>39</v>
      </c>
      <c r="B36">
        <v>4</v>
      </c>
      <c r="C36">
        <v>2</v>
      </c>
      <c r="D36" t="s">
        <v>40</v>
      </c>
      <c r="E36">
        <v>2</v>
      </c>
      <c r="F36">
        <v>1</v>
      </c>
      <c r="G36" s="12">
        <v>73</v>
      </c>
      <c r="H36" s="12">
        <v>14.682</v>
      </c>
      <c r="I36" s="12">
        <v>1695</v>
      </c>
      <c r="J36" s="12">
        <v>17.706</v>
      </c>
      <c r="K36" s="12">
        <v>41.732999999999997</v>
      </c>
      <c r="L36" s="12">
        <v>0.14899999999999999</v>
      </c>
      <c r="M36" s="22">
        <v>251.74</v>
      </c>
      <c r="N36" s="12">
        <v>1.464</v>
      </c>
      <c r="O36" s="13">
        <v>3.448</v>
      </c>
      <c r="P36" s="14">
        <v>73</v>
      </c>
      <c r="Q36" s="14">
        <v>17.706</v>
      </c>
      <c r="R36" s="14">
        <v>176.27799999999999</v>
      </c>
      <c r="S36" s="14">
        <v>75.462000000000003</v>
      </c>
      <c r="T36" s="14" t="b">
        <f t="shared" si="3"/>
        <v>1</v>
      </c>
      <c r="U36" s="14" t="b">
        <f t="shared" si="4"/>
        <v>1</v>
      </c>
      <c r="V36" s="15">
        <f>VLOOKUP(IF(J36&lt;10, 10, IF(J36&gt;50,50,J36)),'Over to underbark'!$A$3:$C$43,IF(A36="Scots pine",3,IF(A36="Sitka spruce",2, "error")),TRUE)/100</f>
        <v>0.84</v>
      </c>
      <c r="W36">
        <f t="shared" si="5"/>
        <v>133.26616799999999</v>
      </c>
      <c r="X36">
        <f t="shared" si="6"/>
        <v>57.049272000000002</v>
      </c>
      <c r="Y36">
        <f t="shared" si="7"/>
        <v>36.250560000000007</v>
      </c>
      <c r="Z36">
        <f t="shared" si="13"/>
        <v>120.76966655999999</v>
      </c>
      <c r="AA36">
        <f t="shared" si="14"/>
        <v>71.566770239999997</v>
      </c>
      <c r="AB36">
        <f t="shared" si="15"/>
        <v>34.229563200000001</v>
      </c>
      <c r="AC36">
        <f>LOOKUP($A36,'Over to underbark'!$A$47:$A$48,'Over to underbark'!E$47:E$48)*Z36</f>
        <v>50.723259955199993</v>
      </c>
      <c r="AD36">
        <f>LOOKUP($A36,'Over to underbark'!$A$47:$A$48,'Over to underbark'!E$47:E$48)*AA36</f>
        <v>30.058043500799997</v>
      </c>
      <c r="AE36">
        <f>LOOKUP($A36,'Over to underbark'!$A$47:$A$48,'Over to underbark'!E$47:E$48)*AB36</f>
        <v>14.376416544</v>
      </c>
      <c r="AF36" t="b">
        <f t="shared" si="8"/>
        <v>1</v>
      </c>
      <c r="AG36" t="b">
        <f t="shared" si="9"/>
        <v>1</v>
      </c>
      <c r="AH36">
        <f>LOOKUP(A36,'Over to underbark'!$A$47:$A$48,'Over to underbark'!E$47:E$48)*M36</f>
        <v>105.7308</v>
      </c>
      <c r="AI36" s="27">
        <f>LOOKUP(A36,'Over to underbark'!$A$47:$A$48,'Over to underbark'!$B$47:$B$48)*AH36</f>
        <v>35.948472000000002</v>
      </c>
      <c r="AJ36" s="27">
        <f>LOOKUP(A37,'Over to underbark'!$A$47:$A$48,'Over to underbark'!C$47:C$48)*AH36</f>
        <v>37.005780000000001</v>
      </c>
      <c r="AK36" s="27">
        <f t="shared" si="10"/>
        <v>141.679272</v>
      </c>
      <c r="AL36" s="33">
        <v>337.33</v>
      </c>
      <c r="AM36" s="28">
        <f t="shared" si="11"/>
        <v>283.35854399999999</v>
      </c>
      <c r="AO36">
        <f t="shared" si="12"/>
        <v>0.67164179104477606</v>
      </c>
    </row>
    <row r="37" spans="1:41" x14ac:dyDescent="0.35">
      <c r="A37" t="s">
        <v>39</v>
      </c>
      <c r="B37">
        <v>4</v>
      </c>
      <c r="C37">
        <v>2</v>
      </c>
      <c r="D37" t="s">
        <v>40</v>
      </c>
      <c r="E37">
        <v>2</v>
      </c>
      <c r="F37">
        <v>1</v>
      </c>
      <c r="G37" s="12">
        <v>74</v>
      </c>
      <c r="H37" s="12">
        <v>14.816000000000001</v>
      </c>
      <c r="I37" s="12">
        <v>1683</v>
      </c>
      <c r="J37" s="12">
        <v>17.867000000000001</v>
      </c>
      <c r="K37" s="12">
        <v>42.198</v>
      </c>
      <c r="L37" s="12">
        <v>0.153</v>
      </c>
      <c r="M37" s="22">
        <v>257.02</v>
      </c>
      <c r="N37" s="12">
        <v>1.54</v>
      </c>
      <c r="O37" s="13">
        <v>3.4729999999999999</v>
      </c>
      <c r="P37" s="14">
        <v>74</v>
      </c>
      <c r="Q37" s="14">
        <v>17.867000000000001</v>
      </c>
      <c r="R37" s="14">
        <v>177.49299999999999</v>
      </c>
      <c r="S37" s="14">
        <v>79.527000000000001</v>
      </c>
      <c r="T37" s="14" t="b">
        <f t="shared" si="3"/>
        <v>1</v>
      </c>
      <c r="U37" s="14" t="b">
        <f t="shared" si="4"/>
        <v>1</v>
      </c>
      <c r="V37" s="15">
        <f>VLOOKUP(IF(J37&lt;10, 10, IF(J37&gt;50,50,J37)),'Over to underbark'!$A$3:$C$43,IF(A37="Scots pine",3,IF(A37="Sitka spruce",2, "error")),TRUE)/100</f>
        <v>0.84</v>
      </c>
      <c r="W37">
        <f t="shared" si="5"/>
        <v>134.184708</v>
      </c>
      <c r="X37">
        <f t="shared" si="6"/>
        <v>60.122412000000004</v>
      </c>
      <c r="Y37">
        <f t="shared" si="7"/>
        <v>37.010880000000007</v>
      </c>
      <c r="Z37">
        <f t="shared" si="13"/>
        <v>122.51452536000002</v>
      </c>
      <c r="AA37">
        <f t="shared" si="14"/>
        <v>72.730027440000001</v>
      </c>
      <c r="AB37">
        <f t="shared" si="15"/>
        <v>36.073447200000004</v>
      </c>
      <c r="AC37">
        <f>LOOKUP($A37,'Over to underbark'!$A$47:$A$48,'Over to underbark'!E$47:E$48)*Z37</f>
        <v>51.456100651200011</v>
      </c>
      <c r="AD37">
        <f>LOOKUP($A37,'Over to underbark'!$A$47:$A$48,'Over to underbark'!E$47:E$48)*AA37</f>
        <v>30.546611524799999</v>
      </c>
      <c r="AE37">
        <f>LOOKUP($A37,'Over to underbark'!$A$47:$A$48,'Over to underbark'!E$47:E$48)*AB37</f>
        <v>15.150847824000001</v>
      </c>
      <c r="AF37" t="b">
        <f t="shared" si="8"/>
        <v>1</v>
      </c>
      <c r="AG37" t="b">
        <f t="shared" si="9"/>
        <v>1</v>
      </c>
      <c r="AH37">
        <f>LOOKUP(A37,'Over to underbark'!$A$47:$A$48,'Over to underbark'!E$47:E$48)*M37</f>
        <v>107.94839999999999</v>
      </c>
      <c r="AI37" s="27">
        <f>LOOKUP(A37,'Over to underbark'!$A$47:$A$48,'Over to underbark'!$B$47:$B$48)*AH37</f>
        <v>36.702455999999998</v>
      </c>
      <c r="AJ37" s="27">
        <f>LOOKUP(A38,'Over to underbark'!$A$47:$A$48,'Over to underbark'!C$47:C$48)*AH37</f>
        <v>37.781939999999992</v>
      </c>
      <c r="AK37" s="27">
        <f t="shared" si="10"/>
        <v>144.65085599999998</v>
      </c>
      <c r="AL37" s="33">
        <v>344.41</v>
      </c>
      <c r="AM37" s="28">
        <f t="shared" si="11"/>
        <v>289.30171199999995</v>
      </c>
      <c r="AO37">
        <f t="shared" si="12"/>
        <v>0.67164179104477628</v>
      </c>
    </row>
    <row r="38" spans="1:41" x14ac:dyDescent="0.35">
      <c r="A38" t="s">
        <v>39</v>
      </c>
      <c r="B38">
        <v>4</v>
      </c>
      <c r="C38">
        <v>2</v>
      </c>
      <c r="D38" t="s">
        <v>40</v>
      </c>
      <c r="E38">
        <v>2</v>
      </c>
      <c r="F38">
        <v>1</v>
      </c>
      <c r="G38" s="12">
        <v>75</v>
      </c>
      <c r="H38" s="12">
        <v>14.95</v>
      </c>
      <c r="I38" s="12">
        <v>1671</v>
      </c>
      <c r="J38" s="12">
        <v>18.03</v>
      </c>
      <c r="K38" s="12">
        <v>42.664000000000001</v>
      </c>
      <c r="L38" s="12">
        <v>0.157</v>
      </c>
      <c r="M38" s="22">
        <v>262.3</v>
      </c>
      <c r="N38" s="12">
        <v>1.613</v>
      </c>
      <c r="O38" s="13">
        <v>3.4969999999999999</v>
      </c>
      <c r="P38" s="14">
        <v>75</v>
      </c>
      <c r="Q38" s="14">
        <v>18.03</v>
      </c>
      <c r="R38" s="14">
        <v>178.58600000000001</v>
      </c>
      <c r="S38" s="14">
        <v>83.713999999999999</v>
      </c>
      <c r="T38" s="14" t="b">
        <f t="shared" si="3"/>
        <v>1</v>
      </c>
      <c r="U38" s="14" t="b">
        <f t="shared" si="4"/>
        <v>1</v>
      </c>
      <c r="V38" s="15">
        <f>VLOOKUP(IF(J38&lt;10, 10, IF(J38&gt;50,50,J38)),'Over to underbark'!$A$3:$C$43,IF(A38="Scots pine",3,IF(A38="Sitka spruce",2, "error")),TRUE)/100</f>
        <v>0.84</v>
      </c>
      <c r="W38">
        <f t="shared" si="5"/>
        <v>135.01101600000001</v>
      </c>
      <c r="X38">
        <f t="shared" si="6"/>
        <v>63.287784000000002</v>
      </c>
      <c r="Y38">
        <f t="shared" si="7"/>
        <v>37.771200000000007</v>
      </c>
      <c r="Z38">
        <f t="shared" si="13"/>
        <v>124.22064672000002</v>
      </c>
      <c r="AA38">
        <f t="shared" si="14"/>
        <v>73.876682880000004</v>
      </c>
      <c r="AB38">
        <f t="shared" si="15"/>
        <v>37.972670399999998</v>
      </c>
      <c r="AC38">
        <f>LOOKUP($A38,'Over to underbark'!$A$47:$A$48,'Over to underbark'!E$47:E$48)*Z38</f>
        <v>52.172671622400003</v>
      </c>
      <c r="AD38">
        <f>LOOKUP($A38,'Over to underbark'!$A$47:$A$48,'Over to underbark'!E$47:E$48)*AA38</f>
        <v>31.0282068096</v>
      </c>
      <c r="AE38">
        <f>LOOKUP($A38,'Over to underbark'!$A$47:$A$48,'Over to underbark'!E$47:E$48)*AB38</f>
        <v>15.948521567999999</v>
      </c>
      <c r="AF38" t="b">
        <f t="shared" si="8"/>
        <v>1</v>
      </c>
      <c r="AG38" t="b">
        <f t="shared" si="9"/>
        <v>1</v>
      </c>
      <c r="AH38">
        <f>LOOKUP(A38,'Over to underbark'!$A$47:$A$48,'Over to underbark'!E$47:E$48)*M38</f>
        <v>110.166</v>
      </c>
      <c r="AI38" s="27">
        <f>LOOKUP(A38,'Over to underbark'!$A$47:$A$48,'Over to underbark'!$B$47:$B$48)*AH38</f>
        <v>37.456440000000001</v>
      </c>
      <c r="AJ38" s="27">
        <f>LOOKUP(A39,'Over to underbark'!$A$47:$A$48,'Over to underbark'!C$47:C$48)*AH38</f>
        <v>38.558099999999996</v>
      </c>
      <c r="AK38" s="27">
        <f t="shared" si="10"/>
        <v>147.62243999999998</v>
      </c>
      <c r="AL38" s="33">
        <v>351.48</v>
      </c>
      <c r="AM38" s="28">
        <f t="shared" si="11"/>
        <v>295.24487999999997</v>
      </c>
      <c r="AO38">
        <f t="shared" si="12"/>
        <v>0.67164179104477617</v>
      </c>
    </row>
    <row r="39" spans="1:41" x14ac:dyDescent="0.35">
      <c r="A39" t="s">
        <v>39</v>
      </c>
      <c r="B39">
        <v>4</v>
      </c>
      <c r="C39">
        <v>2</v>
      </c>
      <c r="D39" t="s">
        <v>40</v>
      </c>
      <c r="E39">
        <v>2</v>
      </c>
      <c r="F39">
        <v>1</v>
      </c>
      <c r="G39" s="12">
        <v>76</v>
      </c>
      <c r="H39" s="12">
        <v>15.061999999999999</v>
      </c>
      <c r="I39" s="12">
        <v>1660</v>
      </c>
      <c r="J39" s="12">
        <v>18.178999999999998</v>
      </c>
      <c r="K39" s="12">
        <v>43.087000000000003</v>
      </c>
      <c r="L39" s="12">
        <v>0.161</v>
      </c>
      <c r="M39" s="22">
        <v>267.06</v>
      </c>
      <c r="N39" s="12">
        <v>1.7010000000000001</v>
      </c>
      <c r="O39" s="13">
        <v>3.5139999999999998</v>
      </c>
      <c r="P39" s="14">
        <v>76</v>
      </c>
      <c r="Q39" s="14">
        <v>18.178999999999998</v>
      </c>
      <c r="R39" s="14">
        <v>179.46199999999999</v>
      </c>
      <c r="S39" s="14">
        <v>87.597999999999999</v>
      </c>
      <c r="T39" s="14" t="b">
        <f t="shared" si="3"/>
        <v>1</v>
      </c>
      <c r="U39" s="14" t="b">
        <f t="shared" si="4"/>
        <v>1</v>
      </c>
      <c r="V39" s="15">
        <f>VLOOKUP(IF(J39&lt;10, 10, IF(J39&gt;50,50,J39)),'Over to underbark'!$A$3:$C$43,IF(A39="Scots pine",3,IF(A39="Sitka spruce",2, "error")),TRUE)/100</f>
        <v>0.84</v>
      </c>
      <c r="W39">
        <f t="shared" si="5"/>
        <v>135.67327199999997</v>
      </c>
      <c r="X39">
        <f t="shared" si="6"/>
        <v>66.224087999999995</v>
      </c>
      <c r="Y39">
        <f t="shared" si="7"/>
        <v>38.456640000000007</v>
      </c>
      <c r="Z39">
        <f t="shared" si="13"/>
        <v>125.72401823999998</v>
      </c>
      <c r="AA39">
        <f t="shared" si="14"/>
        <v>74.895528959999979</v>
      </c>
      <c r="AB39">
        <f t="shared" si="15"/>
        <v>39.734452799999993</v>
      </c>
      <c r="AC39">
        <f>LOOKUP($A39,'Over to underbark'!$A$47:$A$48,'Over to underbark'!E$47:E$48)*Z39</f>
        <v>52.804087660799986</v>
      </c>
      <c r="AD39">
        <f>LOOKUP($A39,'Over to underbark'!$A$47:$A$48,'Over to underbark'!E$47:E$48)*AA39</f>
        <v>31.456122163199989</v>
      </c>
      <c r="AE39">
        <f>LOOKUP($A39,'Over to underbark'!$A$47:$A$48,'Over to underbark'!E$47:E$48)*AB39</f>
        <v>16.688470175999996</v>
      </c>
      <c r="AF39" t="b">
        <f t="shared" si="8"/>
        <v>1</v>
      </c>
      <c r="AG39" t="b">
        <f t="shared" si="9"/>
        <v>1</v>
      </c>
      <c r="AH39">
        <f>LOOKUP(A39,'Over to underbark'!$A$47:$A$48,'Over to underbark'!E$47:E$48)*M39</f>
        <v>112.1652</v>
      </c>
      <c r="AI39" s="27">
        <f>LOOKUP(A39,'Over to underbark'!$A$47:$A$48,'Over to underbark'!$B$47:$B$48)*AH39</f>
        <v>38.136168000000005</v>
      </c>
      <c r="AJ39" s="27">
        <f>LOOKUP(A40,'Over to underbark'!$A$47:$A$48,'Over to underbark'!C$47:C$48)*AH39</f>
        <v>39.257819999999995</v>
      </c>
      <c r="AK39" s="27">
        <f t="shared" si="10"/>
        <v>150.301368</v>
      </c>
      <c r="AL39" s="33">
        <v>357.86</v>
      </c>
      <c r="AM39" s="28">
        <f t="shared" si="11"/>
        <v>300.60273599999999</v>
      </c>
      <c r="AO39">
        <f t="shared" si="12"/>
        <v>0.67164179104477595</v>
      </c>
    </row>
    <row r="40" spans="1:41" x14ac:dyDescent="0.35">
      <c r="A40" t="s">
        <v>39</v>
      </c>
      <c r="B40">
        <v>4</v>
      </c>
      <c r="C40">
        <v>2</v>
      </c>
      <c r="D40" t="s">
        <v>40</v>
      </c>
      <c r="E40">
        <v>2</v>
      </c>
      <c r="F40">
        <v>1</v>
      </c>
      <c r="G40" s="12">
        <v>77</v>
      </c>
      <c r="H40" s="12">
        <v>15.173999999999999</v>
      </c>
      <c r="I40" s="12">
        <v>1650</v>
      </c>
      <c r="J40" s="12">
        <v>18.323</v>
      </c>
      <c r="K40" s="12">
        <v>43.51</v>
      </c>
      <c r="L40" s="12">
        <v>0.16500000000000001</v>
      </c>
      <c r="M40" s="22">
        <v>271.82</v>
      </c>
      <c r="N40" s="12">
        <v>1.7849999999999999</v>
      </c>
      <c r="O40" s="13">
        <v>3.53</v>
      </c>
      <c r="P40" s="14">
        <v>77</v>
      </c>
      <c r="Q40" s="14">
        <v>18.323</v>
      </c>
      <c r="R40" s="14">
        <v>180.345</v>
      </c>
      <c r="S40" s="14">
        <v>91.474999999999994</v>
      </c>
      <c r="T40" s="14" t="b">
        <f t="shared" si="3"/>
        <v>1</v>
      </c>
      <c r="U40" s="14" t="b">
        <f t="shared" si="4"/>
        <v>1</v>
      </c>
      <c r="V40" s="15">
        <f>VLOOKUP(IF(J40&lt;10, 10, IF(J40&gt;50,50,J40)),'Over to underbark'!$A$3:$C$43,IF(A40="Scots pine",3,IF(A40="Sitka spruce",2, "error")),TRUE)/100</f>
        <v>0.84</v>
      </c>
      <c r="W40">
        <f t="shared" si="5"/>
        <v>136.34081999999998</v>
      </c>
      <c r="X40">
        <f t="shared" si="6"/>
        <v>69.155100000000004</v>
      </c>
      <c r="Y40">
        <f t="shared" si="7"/>
        <v>39.142080000000007</v>
      </c>
      <c r="Z40">
        <f t="shared" si="13"/>
        <v>127.22961239999999</v>
      </c>
      <c r="AA40">
        <f t="shared" si="14"/>
        <v>75.915327599999983</v>
      </c>
      <c r="AB40">
        <f t="shared" si="15"/>
        <v>41.49306</v>
      </c>
      <c r="AC40">
        <f>LOOKUP($A40,'Over to underbark'!$A$47:$A$48,'Over to underbark'!E$47:E$48)*Z40</f>
        <v>53.436437207999994</v>
      </c>
      <c r="AD40">
        <f>LOOKUP($A40,'Over to underbark'!$A$47:$A$48,'Over to underbark'!E$47:E$48)*AA40</f>
        <v>31.884437591999991</v>
      </c>
      <c r="AE40">
        <f>LOOKUP($A40,'Over to underbark'!$A$47:$A$48,'Over to underbark'!E$47:E$48)*AB40</f>
        <v>17.4270852</v>
      </c>
      <c r="AF40" t="b">
        <f t="shared" si="8"/>
        <v>1</v>
      </c>
      <c r="AG40" t="b">
        <f t="shared" si="9"/>
        <v>1</v>
      </c>
      <c r="AH40">
        <f>LOOKUP(A40,'Over to underbark'!$A$47:$A$48,'Over to underbark'!E$47:E$48)*M40</f>
        <v>114.16439999999999</v>
      </c>
      <c r="AI40" s="27">
        <f>LOOKUP(A40,'Over to underbark'!$A$47:$A$48,'Over to underbark'!$B$47:$B$48)*AH40</f>
        <v>38.815895999999995</v>
      </c>
      <c r="AJ40" s="27">
        <f>LOOKUP(A41,'Over to underbark'!$A$47:$A$48,'Over to underbark'!C$47:C$48)*AH40</f>
        <v>39.957539999999995</v>
      </c>
      <c r="AK40" s="27">
        <f t="shared" si="10"/>
        <v>152.98029599999998</v>
      </c>
      <c r="AL40" s="33">
        <v>364.24</v>
      </c>
      <c r="AM40" s="28">
        <f t="shared" si="11"/>
        <v>305.96059199999996</v>
      </c>
      <c r="AO40">
        <f t="shared" si="12"/>
        <v>0.67164179104477606</v>
      </c>
    </row>
    <row r="41" spans="1:41" x14ac:dyDescent="0.35">
      <c r="A41" t="s">
        <v>39</v>
      </c>
      <c r="B41">
        <v>4</v>
      </c>
      <c r="C41">
        <v>2</v>
      </c>
      <c r="D41" t="s">
        <v>40</v>
      </c>
      <c r="E41">
        <v>2</v>
      </c>
      <c r="F41">
        <v>1</v>
      </c>
      <c r="G41" s="12">
        <v>78</v>
      </c>
      <c r="H41" s="12">
        <v>15.286</v>
      </c>
      <c r="I41" s="12">
        <v>1640</v>
      </c>
      <c r="J41" s="12">
        <v>18.468</v>
      </c>
      <c r="K41" s="12">
        <v>43.933</v>
      </c>
      <c r="L41" s="12">
        <v>0.16900000000000001</v>
      </c>
      <c r="M41" s="22">
        <v>276.58</v>
      </c>
      <c r="N41" s="12">
        <v>1.8660000000000001</v>
      </c>
      <c r="O41" s="13">
        <v>3.5459999999999998</v>
      </c>
      <c r="P41" s="14">
        <v>78</v>
      </c>
      <c r="Q41" s="14">
        <v>18.468</v>
      </c>
      <c r="R41" s="14">
        <v>181.142</v>
      </c>
      <c r="S41" s="14">
        <v>95.438000000000002</v>
      </c>
      <c r="T41" s="14" t="b">
        <f t="shared" si="3"/>
        <v>1</v>
      </c>
      <c r="U41" s="14" t="b">
        <f t="shared" si="4"/>
        <v>1</v>
      </c>
      <c r="V41" s="15">
        <f>VLOOKUP(IF(J41&lt;10, 10, IF(J41&gt;50,50,J41)),'Over to underbark'!$A$3:$C$43,IF(A41="Scots pine",3,IF(A41="Sitka spruce",2, "error")),TRUE)/100</f>
        <v>0.84</v>
      </c>
      <c r="W41">
        <f t="shared" si="5"/>
        <v>136.943352</v>
      </c>
      <c r="X41">
        <f t="shared" si="6"/>
        <v>72.151128</v>
      </c>
      <c r="Y41">
        <f t="shared" si="7"/>
        <v>39.827520000000007</v>
      </c>
      <c r="Z41">
        <f t="shared" si="13"/>
        <v>128.70789984000001</v>
      </c>
      <c r="AA41">
        <f t="shared" si="14"/>
        <v>76.923423360000001</v>
      </c>
      <c r="AB41">
        <f t="shared" si="15"/>
        <v>43.2906768</v>
      </c>
      <c r="AC41">
        <f>LOOKUP($A41,'Over to underbark'!$A$47:$A$48,'Over to underbark'!E$47:E$48)*Z41</f>
        <v>54.057317932800004</v>
      </c>
      <c r="AD41">
        <f>LOOKUP($A41,'Over to underbark'!$A$47:$A$48,'Over to underbark'!E$47:E$48)*AA41</f>
        <v>32.307837811200002</v>
      </c>
      <c r="AE41">
        <f>LOOKUP($A41,'Over to underbark'!$A$47:$A$48,'Over to underbark'!E$47:E$48)*AB41</f>
        <v>18.182084256</v>
      </c>
      <c r="AF41" t="b">
        <f t="shared" si="8"/>
        <v>1</v>
      </c>
      <c r="AG41" t="b">
        <f t="shared" si="9"/>
        <v>1</v>
      </c>
      <c r="AH41">
        <f>LOOKUP(A41,'Over to underbark'!$A$47:$A$48,'Over to underbark'!E$47:E$48)*M41</f>
        <v>116.16359999999999</v>
      </c>
      <c r="AI41" s="27">
        <f>LOOKUP(A41,'Over to underbark'!$A$47:$A$48,'Over to underbark'!$B$47:$B$48)*AH41</f>
        <v>39.495623999999999</v>
      </c>
      <c r="AJ41" s="27">
        <f>LOOKUP(A42,'Over to underbark'!$A$47:$A$48,'Over to underbark'!C$47:C$48)*AH41</f>
        <v>40.657259999999994</v>
      </c>
      <c r="AK41" s="27">
        <f t="shared" si="10"/>
        <v>155.65922399999999</v>
      </c>
      <c r="AL41" s="33">
        <v>370.62</v>
      </c>
      <c r="AM41" s="28">
        <f t="shared" si="11"/>
        <v>311.31844799999999</v>
      </c>
      <c r="AO41">
        <f t="shared" si="12"/>
        <v>0.67164179104477617</v>
      </c>
    </row>
    <row r="42" spans="1:41" x14ac:dyDescent="0.35">
      <c r="A42" t="s">
        <v>39</v>
      </c>
      <c r="B42">
        <v>4</v>
      </c>
      <c r="C42">
        <v>2</v>
      </c>
      <c r="D42" t="s">
        <v>40</v>
      </c>
      <c r="E42">
        <v>2</v>
      </c>
      <c r="F42">
        <v>1</v>
      </c>
      <c r="G42" s="12">
        <v>79</v>
      </c>
      <c r="H42" s="12">
        <v>15.398</v>
      </c>
      <c r="I42" s="12">
        <v>1630</v>
      </c>
      <c r="J42" s="12">
        <v>18.614000000000001</v>
      </c>
      <c r="K42" s="12">
        <v>44.356000000000002</v>
      </c>
      <c r="L42" s="12">
        <v>0.17299999999999999</v>
      </c>
      <c r="M42" s="22">
        <v>281.33999999999997</v>
      </c>
      <c r="N42" s="12">
        <v>1.9450000000000001</v>
      </c>
      <c r="O42" s="13">
        <v>3.5609999999999999</v>
      </c>
      <c r="P42" s="14">
        <v>79</v>
      </c>
      <c r="Q42" s="14">
        <v>18.614000000000001</v>
      </c>
      <c r="R42" s="14">
        <v>181.85300000000001</v>
      </c>
      <c r="S42" s="14">
        <v>99.486999999999995</v>
      </c>
      <c r="T42" s="14" t="b">
        <f t="shared" si="3"/>
        <v>1</v>
      </c>
      <c r="U42" s="14" t="b">
        <f t="shared" si="4"/>
        <v>1</v>
      </c>
      <c r="V42" s="15">
        <f>VLOOKUP(IF(J42&lt;10, 10, IF(J42&gt;50,50,J42)),'Over to underbark'!$A$3:$C$43,IF(A42="Scots pine",3,IF(A42="Sitka spruce",2, "error")),TRUE)/100</f>
        <v>0.84</v>
      </c>
      <c r="W42">
        <f t="shared" si="5"/>
        <v>137.48086800000002</v>
      </c>
      <c r="X42">
        <f t="shared" si="6"/>
        <v>75.212171999999995</v>
      </c>
      <c r="Y42">
        <f t="shared" si="7"/>
        <v>40.512960000000014</v>
      </c>
      <c r="Z42">
        <f t="shared" si="13"/>
        <v>130.15888056000003</v>
      </c>
      <c r="AA42">
        <f t="shared" si="14"/>
        <v>77.919816240000003</v>
      </c>
      <c r="AB42">
        <f t="shared" si="15"/>
        <v>45.127303199999993</v>
      </c>
      <c r="AC42">
        <f>LOOKUP($A42,'Over to underbark'!$A$47:$A$48,'Over to underbark'!E$47:E$48)*Z42</f>
        <v>54.666729835200009</v>
      </c>
      <c r="AD42">
        <f>LOOKUP($A42,'Over to underbark'!$A$47:$A$48,'Over to underbark'!E$47:E$48)*AA42</f>
        <v>32.7263228208</v>
      </c>
      <c r="AE42">
        <f>LOOKUP($A42,'Over to underbark'!$A$47:$A$48,'Over to underbark'!E$47:E$48)*AB42</f>
        <v>18.953467343999996</v>
      </c>
      <c r="AF42" t="b">
        <f t="shared" si="8"/>
        <v>1</v>
      </c>
      <c r="AG42" t="b">
        <f t="shared" si="9"/>
        <v>1</v>
      </c>
      <c r="AH42">
        <f>LOOKUP(A42,'Over to underbark'!$A$47:$A$48,'Over to underbark'!E$47:E$48)*M42</f>
        <v>118.16279999999999</v>
      </c>
      <c r="AI42" s="27">
        <f>LOOKUP(A42,'Over to underbark'!$A$47:$A$48,'Over to underbark'!$B$47:$B$48)*AH42</f>
        <v>40.175351999999997</v>
      </c>
      <c r="AJ42" s="27">
        <f>LOOKUP(A43,'Over to underbark'!$A$47:$A$48,'Over to underbark'!C$47:C$48)*AH42</f>
        <v>41.356979999999993</v>
      </c>
      <c r="AK42" s="27">
        <f t="shared" si="10"/>
        <v>158.33815199999998</v>
      </c>
      <c r="AL42" s="33">
        <v>377</v>
      </c>
      <c r="AM42" s="28">
        <f t="shared" si="11"/>
        <v>316.67630399999996</v>
      </c>
      <c r="AO42">
        <f t="shared" si="12"/>
        <v>0.67164179104477617</v>
      </c>
    </row>
    <row r="43" spans="1:41" x14ac:dyDescent="0.35">
      <c r="A43" t="s">
        <v>39</v>
      </c>
      <c r="B43">
        <v>4</v>
      </c>
      <c r="C43">
        <v>2</v>
      </c>
      <c r="D43" t="s">
        <v>40</v>
      </c>
      <c r="E43">
        <v>2</v>
      </c>
      <c r="F43">
        <v>1</v>
      </c>
      <c r="G43" s="12">
        <v>80</v>
      </c>
      <c r="H43" s="12">
        <v>15.51</v>
      </c>
      <c r="I43" s="12">
        <v>1620</v>
      </c>
      <c r="J43" s="12">
        <v>18.760000000000002</v>
      </c>
      <c r="K43" s="12">
        <v>44.779000000000003</v>
      </c>
      <c r="L43" s="12">
        <v>0.17699999999999999</v>
      </c>
      <c r="M43" s="22">
        <v>286.10000000000002</v>
      </c>
      <c r="N43" s="12">
        <v>2.0209999999999999</v>
      </c>
      <c r="O43" s="13">
        <v>3.5760000000000001</v>
      </c>
      <c r="P43" s="14">
        <v>80</v>
      </c>
      <c r="Q43" s="14">
        <v>18.760000000000002</v>
      </c>
      <c r="R43" s="14">
        <v>182.49700000000001</v>
      </c>
      <c r="S43" s="14">
        <v>103.60299999999999</v>
      </c>
      <c r="T43" s="14" t="b">
        <f t="shared" si="3"/>
        <v>1</v>
      </c>
      <c r="U43" s="14" t="b">
        <f t="shared" si="4"/>
        <v>1</v>
      </c>
      <c r="V43" s="15">
        <f>VLOOKUP(IF(J43&lt;10, 10, IF(J43&gt;50,50,J43)),'Over to underbark'!$A$3:$C$43,IF(A43="Scots pine",3,IF(A43="Sitka spruce",2, "error")),TRUE)/100</f>
        <v>0.84</v>
      </c>
      <c r="W43">
        <f t="shared" si="5"/>
        <v>137.96773200000001</v>
      </c>
      <c r="X43">
        <f t="shared" si="6"/>
        <v>78.32386799999999</v>
      </c>
      <c r="Y43">
        <f t="shared" si="7"/>
        <v>41.198400000000007</v>
      </c>
      <c r="Z43">
        <f t="shared" si="13"/>
        <v>131.58858744</v>
      </c>
      <c r="AA43">
        <f t="shared" si="14"/>
        <v>78.90709176</v>
      </c>
      <c r="AB43">
        <f t="shared" si="15"/>
        <v>46.99432079999999</v>
      </c>
      <c r="AC43">
        <f>LOOKUP($A43,'Over to underbark'!$A$47:$A$48,'Over to underbark'!E$47:E$48)*Z43</f>
        <v>55.267206724799998</v>
      </c>
      <c r="AD43">
        <f>LOOKUP($A43,'Over to underbark'!$A$47:$A$48,'Over to underbark'!E$47:E$48)*AA43</f>
        <v>33.140978539199999</v>
      </c>
      <c r="AE43">
        <f>LOOKUP($A43,'Over to underbark'!$A$47:$A$48,'Over to underbark'!E$47:E$48)*AB43</f>
        <v>19.737614735999994</v>
      </c>
      <c r="AF43" t="b">
        <f t="shared" si="8"/>
        <v>1</v>
      </c>
      <c r="AG43" t="b">
        <f t="shared" si="9"/>
        <v>1</v>
      </c>
      <c r="AH43">
        <f>LOOKUP(A43,'Over to underbark'!$A$47:$A$48,'Over to underbark'!E$47:E$48)*M43</f>
        <v>120.16200000000001</v>
      </c>
      <c r="AI43" s="27">
        <f>LOOKUP(A43,'Over to underbark'!$A$47:$A$48,'Over to underbark'!$B$47:$B$48)*AH43</f>
        <v>40.855080000000008</v>
      </c>
      <c r="AJ43" s="27">
        <f>LOOKUP(A44,'Over to underbark'!$A$47:$A$48,'Over to underbark'!C$47:C$48)*AH43</f>
        <v>42.056699999999999</v>
      </c>
      <c r="AK43" s="27">
        <f t="shared" si="10"/>
        <v>161.01708000000002</v>
      </c>
      <c r="AL43" s="33">
        <v>383.37</v>
      </c>
      <c r="AM43" s="28">
        <f t="shared" si="11"/>
        <v>322.03416000000004</v>
      </c>
      <c r="AO43">
        <f t="shared" si="12"/>
        <v>0.67164179104477595</v>
      </c>
    </row>
    <row r="44" spans="1:41" x14ac:dyDescent="0.35">
      <c r="A44" t="s">
        <v>39</v>
      </c>
      <c r="B44">
        <v>4</v>
      </c>
      <c r="C44">
        <v>2</v>
      </c>
      <c r="D44" t="s">
        <v>40</v>
      </c>
      <c r="E44">
        <v>2</v>
      </c>
      <c r="F44">
        <v>1</v>
      </c>
      <c r="G44" s="12">
        <v>81</v>
      </c>
      <c r="H44" s="12">
        <v>15.608000000000001</v>
      </c>
      <c r="I44" s="12">
        <v>1611</v>
      </c>
      <c r="J44" s="12">
        <v>18.891999999999999</v>
      </c>
      <c r="K44" s="12">
        <v>45.158999999999999</v>
      </c>
      <c r="L44" s="12">
        <v>0.18</v>
      </c>
      <c r="M44" s="22">
        <v>290.45999999999998</v>
      </c>
      <c r="N44" s="12">
        <v>2.1230000000000002</v>
      </c>
      <c r="O44" s="13">
        <v>3.5859999999999999</v>
      </c>
      <c r="P44" s="14">
        <v>81</v>
      </c>
      <c r="Q44" s="14">
        <v>18.891999999999999</v>
      </c>
      <c r="R44" s="14">
        <v>183.05699999999999</v>
      </c>
      <c r="S44" s="14">
        <v>107.40300000000001</v>
      </c>
      <c r="T44" s="14" t="b">
        <f t="shared" si="3"/>
        <v>1</v>
      </c>
      <c r="U44" s="14" t="b">
        <f t="shared" si="4"/>
        <v>1</v>
      </c>
      <c r="V44" s="15">
        <f>VLOOKUP(IF(J44&lt;10, 10, IF(J44&gt;50,50,J44)),'Over to underbark'!$A$3:$C$43,IF(A44="Scots pine",3,IF(A44="Sitka spruce",2, "error")),TRUE)/100</f>
        <v>0.84</v>
      </c>
      <c r="W44">
        <f t="shared" si="5"/>
        <v>138.39109199999999</v>
      </c>
      <c r="X44">
        <f t="shared" si="6"/>
        <v>81.196668000000003</v>
      </c>
      <c r="Y44">
        <f t="shared" si="7"/>
        <v>41.826240000000006</v>
      </c>
      <c r="Z44">
        <f t="shared" si="13"/>
        <v>132.88866264000001</v>
      </c>
      <c r="AA44">
        <f t="shared" si="14"/>
        <v>79.807336559999996</v>
      </c>
      <c r="AB44">
        <f t="shared" si="15"/>
        <v>48.718000799999999</v>
      </c>
      <c r="AC44">
        <f>LOOKUP($A44,'Over to underbark'!$A$47:$A$48,'Over to underbark'!E$47:E$48)*Z44</f>
        <v>55.813238308800003</v>
      </c>
      <c r="AD44">
        <f>LOOKUP($A44,'Over to underbark'!$A$47:$A$48,'Over to underbark'!E$47:E$48)*AA44</f>
        <v>33.519081355199994</v>
      </c>
      <c r="AE44">
        <f>LOOKUP($A44,'Over to underbark'!$A$47:$A$48,'Over to underbark'!E$47:E$48)*AB44</f>
        <v>20.461560335999998</v>
      </c>
      <c r="AF44" t="b">
        <f t="shared" si="8"/>
        <v>1</v>
      </c>
      <c r="AG44" t="b">
        <f t="shared" si="9"/>
        <v>1</v>
      </c>
      <c r="AH44">
        <f>LOOKUP(A44,'Over to underbark'!$A$47:$A$48,'Over to underbark'!E$47:E$48)*M44</f>
        <v>121.99319999999999</v>
      </c>
      <c r="AI44" s="27">
        <f>LOOKUP(A44,'Over to underbark'!$A$47:$A$48,'Over to underbark'!$B$47:$B$48)*AH44</f>
        <v>41.477688000000001</v>
      </c>
      <c r="AJ44" s="27">
        <f>LOOKUP(A45,'Over to underbark'!$A$47:$A$48,'Over to underbark'!C$47:C$48)*AH44</f>
        <v>42.697619999999993</v>
      </c>
      <c r="AK44" s="27">
        <f t="shared" si="10"/>
        <v>163.470888</v>
      </c>
      <c r="AL44" s="33">
        <v>389.22</v>
      </c>
      <c r="AM44" s="28">
        <f t="shared" si="11"/>
        <v>326.941776</v>
      </c>
      <c r="AO44">
        <f t="shared" si="12"/>
        <v>0.67164179104477617</v>
      </c>
    </row>
    <row r="45" spans="1:41" x14ac:dyDescent="0.35">
      <c r="A45" t="s">
        <v>39</v>
      </c>
      <c r="B45">
        <v>4</v>
      </c>
      <c r="C45">
        <v>2</v>
      </c>
      <c r="D45" t="s">
        <v>40</v>
      </c>
      <c r="E45">
        <v>2</v>
      </c>
      <c r="F45">
        <v>1</v>
      </c>
      <c r="G45" s="12">
        <v>82</v>
      </c>
      <c r="H45" s="12">
        <v>15.706</v>
      </c>
      <c r="I45" s="12">
        <v>1602</v>
      </c>
      <c r="J45" s="12">
        <v>19.024999999999999</v>
      </c>
      <c r="K45" s="12">
        <v>45.54</v>
      </c>
      <c r="L45" s="12">
        <v>0.184</v>
      </c>
      <c r="M45" s="22">
        <v>294.82</v>
      </c>
      <c r="N45" s="12">
        <v>2.222</v>
      </c>
      <c r="O45" s="13">
        <v>3.5950000000000002</v>
      </c>
      <c r="P45" s="14">
        <v>82</v>
      </c>
      <c r="Q45" s="14">
        <v>19.024999999999999</v>
      </c>
      <c r="R45" s="14">
        <v>183.54599999999999</v>
      </c>
      <c r="S45" s="14">
        <v>111.274</v>
      </c>
      <c r="T45" s="14" t="b">
        <f t="shared" si="3"/>
        <v>1</v>
      </c>
      <c r="U45" s="14" t="b">
        <f t="shared" si="4"/>
        <v>1</v>
      </c>
      <c r="V45" s="15">
        <f>VLOOKUP(IF(J45&lt;10, 10, IF(J45&gt;50,50,J45)),'Over to underbark'!$A$3:$C$43,IF(A45="Scots pine",3,IF(A45="Sitka spruce",2, "error")),TRUE)/100</f>
        <v>0.84</v>
      </c>
      <c r="W45">
        <f t="shared" si="5"/>
        <v>138.76077599999999</v>
      </c>
      <c r="X45">
        <f t="shared" si="6"/>
        <v>84.123143999999996</v>
      </c>
      <c r="Y45">
        <f t="shared" si="7"/>
        <v>42.454080000000012</v>
      </c>
      <c r="Z45">
        <f t="shared" si="13"/>
        <v>134.16619391999998</v>
      </c>
      <c r="AA45">
        <f t="shared" si="14"/>
        <v>80.697919679999998</v>
      </c>
      <c r="AB45">
        <f t="shared" si="15"/>
        <v>50.473886399999998</v>
      </c>
      <c r="AC45">
        <f>LOOKUP($A45,'Over to underbark'!$A$47:$A$48,'Over to underbark'!E$47:E$48)*Z45</f>
        <v>56.349801446399994</v>
      </c>
      <c r="AD45">
        <f>LOOKUP($A45,'Over to underbark'!$A$47:$A$48,'Over to underbark'!E$47:E$48)*AA45</f>
        <v>33.893126265599996</v>
      </c>
      <c r="AE45">
        <f>LOOKUP($A45,'Over to underbark'!$A$47:$A$48,'Over to underbark'!E$47:E$48)*AB45</f>
        <v>21.199032287999998</v>
      </c>
      <c r="AF45" t="b">
        <f t="shared" si="8"/>
        <v>1</v>
      </c>
      <c r="AG45" t="b">
        <f t="shared" si="9"/>
        <v>1</v>
      </c>
      <c r="AH45">
        <f>LOOKUP(A45,'Over to underbark'!$A$47:$A$48,'Over to underbark'!E$47:E$48)*M45</f>
        <v>123.8244</v>
      </c>
      <c r="AI45" s="27">
        <f>LOOKUP(A45,'Over to underbark'!$A$47:$A$48,'Over to underbark'!$B$47:$B$48)*AH45</f>
        <v>42.100296</v>
      </c>
      <c r="AJ45" s="27">
        <f>LOOKUP(A46,'Over to underbark'!$A$47:$A$48,'Over to underbark'!C$47:C$48)*AH45</f>
        <v>43.338539999999995</v>
      </c>
      <c r="AK45" s="27">
        <f t="shared" si="10"/>
        <v>165.92469599999998</v>
      </c>
      <c r="AL45" s="33">
        <v>395.06</v>
      </c>
      <c r="AM45" s="28">
        <f t="shared" si="11"/>
        <v>331.84939199999997</v>
      </c>
      <c r="AO45">
        <f t="shared" si="12"/>
        <v>0.67164179104477606</v>
      </c>
    </row>
    <row r="46" spans="1:41" x14ac:dyDescent="0.35">
      <c r="A46" t="s">
        <v>39</v>
      </c>
      <c r="B46">
        <v>4</v>
      </c>
      <c r="C46">
        <v>2</v>
      </c>
      <c r="D46" t="s">
        <v>40</v>
      </c>
      <c r="E46">
        <v>2</v>
      </c>
      <c r="F46">
        <v>1</v>
      </c>
      <c r="G46" s="12">
        <v>83</v>
      </c>
      <c r="H46" s="12">
        <v>15.804</v>
      </c>
      <c r="I46" s="12">
        <v>1593</v>
      </c>
      <c r="J46" s="12">
        <v>19.158000000000001</v>
      </c>
      <c r="K46" s="12">
        <v>45.92</v>
      </c>
      <c r="L46" s="12">
        <v>0.188</v>
      </c>
      <c r="M46" s="22">
        <v>299.18</v>
      </c>
      <c r="N46" s="12">
        <v>2.3180000000000001</v>
      </c>
      <c r="O46" s="13">
        <v>3.605</v>
      </c>
      <c r="P46" s="14">
        <v>83</v>
      </c>
      <c r="Q46" s="14">
        <v>19.158000000000001</v>
      </c>
      <c r="R46" s="14">
        <v>183.98</v>
      </c>
      <c r="S46" s="14">
        <v>115.2</v>
      </c>
      <c r="T46" s="14" t="b">
        <f t="shared" si="3"/>
        <v>1</v>
      </c>
      <c r="U46" s="14" t="b">
        <f t="shared" si="4"/>
        <v>1</v>
      </c>
      <c r="V46" s="15">
        <f>VLOOKUP(IF(J46&lt;10, 10, IF(J46&gt;50,50,J46)),'Over to underbark'!$A$3:$C$43,IF(A46="Scots pine",3,IF(A46="Sitka spruce",2, "error")),TRUE)/100</f>
        <v>0.84</v>
      </c>
      <c r="W46">
        <f t="shared" si="5"/>
        <v>139.08887999999999</v>
      </c>
      <c r="X46">
        <f t="shared" si="6"/>
        <v>87.091200000000001</v>
      </c>
      <c r="Y46">
        <f t="shared" si="7"/>
        <v>43.081920000000011</v>
      </c>
      <c r="Z46">
        <f t="shared" si="13"/>
        <v>135.4262616</v>
      </c>
      <c r="AA46">
        <f t="shared" si="14"/>
        <v>81.581018399999991</v>
      </c>
      <c r="AB46">
        <f t="shared" si="15"/>
        <v>52.254719999999999</v>
      </c>
      <c r="AC46">
        <f>LOOKUP($A46,'Over to underbark'!$A$47:$A$48,'Over to underbark'!E$47:E$48)*Z46</f>
        <v>56.879029871999997</v>
      </c>
      <c r="AD46">
        <f>LOOKUP($A46,'Over to underbark'!$A$47:$A$48,'Over to underbark'!E$47:E$48)*AA46</f>
        <v>34.264027727999995</v>
      </c>
      <c r="AE46">
        <f>LOOKUP($A46,'Over to underbark'!$A$47:$A$48,'Over to underbark'!E$47:E$48)*AB46</f>
        <v>21.9469824</v>
      </c>
      <c r="AF46" t="b">
        <f t="shared" si="8"/>
        <v>1</v>
      </c>
      <c r="AG46" t="b">
        <f t="shared" si="9"/>
        <v>1</v>
      </c>
      <c r="AH46">
        <f>LOOKUP(A46,'Over to underbark'!$A$47:$A$48,'Over to underbark'!E$47:E$48)*M46</f>
        <v>125.65559999999999</v>
      </c>
      <c r="AI46" s="27">
        <f>LOOKUP(A46,'Over to underbark'!$A$47:$A$48,'Over to underbark'!$B$47:$B$48)*AH46</f>
        <v>42.722904</v>
      </c>
      <c r="AJ46" s="27">
        <f>LOOKUP(A47,'Over to underbark'!$A$47:$A$48,'Over to underbark'!C$47:C$48)*AH46</f>
        <v>43.979459999999996</v>
      </c>
      <c r="AK46" s="27">
        <f t="shared" si="10"/>
        <v>168.37850399999999</v>
      </c>
      <c r="AL46" s="33">
        <v>400.9</v>
      </c>
      <c r="AM46" s="28">
        <f t="shared" si="11"/>
        <v>336.75700799999998</v>
      </c>
      <c r="AO46">
        <f t="shared" si="12"/>
        <v>0.67164179104477606</v>
      </c>
    </row>
    <row r="47" spans="1:41" x14ac:dyDescent="0.35">
      <c r="A47" t="s">
        <v>39</v>
      </c>
      <c r="B47">
        <v>4</v>
      </c>
      <c r="C47">
        <v>2</v>
      </c>
      <c r="D47" t="s">
        <v>40</v>
      </c>
      <c r="E47">
        <v>2</v>
      </c>
      <c r="F47">
        <v>1</v>
      </c>
      <c r="G47" s="12">
        <v>84</v>
      </c>
      <c r="H47" s="12">
        <v>15.901999999999999</v>
      </c>
      <c r="I47" s="12">
        <v>1584</v>
      </c>
      <c r="J47" s="12">
        <v>19.292000000000002</v>
      </c>
      <c r="K47" s="12">
        <v>46.301000000000002</v>
      </c>
      <c r="L47" s="12">
        <v>0.192</v>
      </c>
      <c r="M47" s="22">
        <v>303.54000000000002</v>
      </c>
      <c r="N47" s="12">
        <v>2.411</v>
      </c>
      <c r="O47" s="13">
        <v>3.6139999999999999</v>
      </c>
      <c r="P47" s="14">
        <v>84</v>
      </c>
      <c r="Q47" s="14">
        <v>19.292000000000002</v>
      </c>
      <c r="R47" s="14">
        <v>184.34399999999999</v>
      </c>
      <c r="S47" s="14">
        <v>119.196</v>
      </c>
      <c r="T47" s="14" t="b">
        <f t="shared" si="3"/>
        <v>1</v>
      </c>
      <c r="U47" s="14" t="b">
        <f t="shared" si="4"/>
        <v>1</v>
      </c>
      <c r="V47" s="15">
        <f>VLOOKUP(IF(J47&lt;10, 10, IF(J47&gt;50,50,J47)),'Over to underbark'!$A$3:$C$43,IF(A47="Scots pine",3,IF(A47="Sitka spruce",2, "error")),TRUE)/100</f>
        <v>0.84</v>
      </c>
      <c r="W47">
        <f t="shared" si="5"/>
        <v>139.36406400000001</v>
      </c>
      <c r="X47">
        <f t="shared" si="6"/>
        <v>90.112175999999991</v>
      </c>
      <c r="Y47">
        <f t="shared" si="7"/>
        <v>43.709760000000003</v>
      </c>
      <c r="Z47">
        <f t="shared" si="13"/>
        <v>136.66410288</v>
      </c>
      <c r="AA47">
        <f t="shared" si="14"/>
        <v>82.454591520000008</v>
      </c>
      <c r="AB47">
        <f t="shared" si="15"/>
        <v>54.06730559999999</v>
      </c>
      <c r="AC47">
        <f>LOOKUP($A47,'Over to underbark'!$A$47:$A$48,'Over to underbark'!E$47:E$48)*Z47</f>
        <v>57.398923209599999</v>
      </c>
      <c r="AD47">
        <f>LOOKUP($A47,'Over to underbark'!$A$47:$A$48,'Over to underbark'!E$47:E$48)*AA47</f>
        <v>34.630928438400005</v>
      </c>
      <c r="AE47">
        <f>LOOKUP($A47,'Over to underbark'!$A$47:$A$48,'Over to underbark'!E$47:E$48)*AB47</f>
        <v>22.708268351999994</v>
      </c>
      <c r="AF47" t="b">
        <f t="shared" si="8"/>
        <v>1</v>
      </c>
      <c r="AG47" t="b">
        <f t="shared" si="9"/>
        <v>1</v>
      </c>
      <c r="AH47">
        <f>LOOKUP(A47,'Over to underbark'!$A$47:$A$48,'Over to underbark'!E$47:E$48)*M47</f>
        <v>127.4868</v>
      </c>
      <c r="AI47" s="27">
        <f>LOOKUP(A47,'Over to underbark'!$A$47:$A$48,'Over to underbark'!$B$47:$B$48)*AH47</f>
        <v>43.345512000000006</v>
      </c>
      <c r="AJ47" s="27">
        <f>LOOKUP(A48,'Over to underbark'!$A$47:$A$48,'Over to underbark'!C$47:C$48)*AH47</f>
        <v>44.620379999999997</v>
      </c>
      <c r="AK47" s="27">
        <f t="shared" si="10"/>
        <v>170.832312</v>
      </c>
      <c r="AL47" s="33">
        <v>406.74</v>
      </c>
      <c r="AM47" s="28">
        <f t="shared" si="11"/>
        <v>341.664624</v>
      </c>
      <c r="AO47">
        <f t="shared" si="12"/>
        <v>0.67164179104477606</v>
      </c>
    </row>
    <row r="48" spans="1:41" x14ac:dyDescent="0.35">
      <c r="A48" t="s">
        <v>39</v>
      </c>
      <c r="B48">
        <v>4</v>
      </c>
      <c r="C48">
        <v>2</v>
      </c>
      <c r="D48" t="s">
        <v>40</v>
      </c>
      <c r="E48">
        <v>2</v>
      </c>
      <c r="F48">
        <v>1</v>
      </c>
      <c r="G48" s="12">
        <v>85</v>
      </c>
      <c r="H48" s="12">
        <v>16</v>
      </c>
      <c r="I48" s="12">
        <v>1576</v>
      </c>
      <c r="J48" s="12">
        <v>19.420000000000002</v>
      </c>
      <c r="K48" s="12">
        <v>46.680999999999997</v>
      </c>
      <c r="L48" s="12">
        <v>0.19500000000000001</v>
      </c>
      <c r="M48" s="22">
        <v>307.89999999999998</v>
      </c>
      <c r="N48" s="12">
        <v>2.5019999999999998</v>
      </c>
      <c r="O48" s="13">
        <v>3.6219999999999999</v>
      </c>
      <c r="P48" s="14">
        <v>85</v>
      </c>
      <c r="Q48" s="14">
        <v>19.420000000000002</v>
      </c>
      <c r="R48" s="14">
        <v>184.761</v>
      </c>
      <c r="S48" s="14">
        <v>123.139</v>
      </c>
      <c r="T48" s="14" t="b">
        <f t="shared" si="3"/>
        <v>1</v>
      </c>
      <c r="U48" s="14" t="b">
        <f t="shared" si="4"/>
        <v>1</v>
      </c>
      <c r="V48" s="15">
        <f>VLOOKUP(IF(J48&lt;10, 10, IF(J48&gt;50,50,J48)),'Over to underbark'!$A$3:$C$43,IF(A48="Scots pine",3,IF(A48="Sitka spruce",2, "error")),TRUE)/100</f>
        <v>0.84</v>
      </c>
      <c r="W48">
        <f t="shared" si="5"/>
        <v>139.679316</v>
      </c>
      <c r="X48">
        <f t="shared" si="6"/>
        <v>93.09308399999999</v>
      </c>
      <c r="Y48">
        <f t="shared" si="7"/>
        <v>44.337600000000009</v>
      </c>
      <c r="Z48">
        <f t="shared" si="13"/>
        <v>137.91877271999999</v>
      </c>
      <c r="AA48">
        <f t="shared" si="14"/>
        <v>83.335376879999998</v>
      </c>
      <c r="AB48">
        <f t="shared" si="15"/>
        <v>55.855850399999994</v>
      </c>
      <c r="AC48">
        <f>LOOKUP($A48,'Over to underbark'!$A$47:$A$48,'Over to underbark'!E$47:E$48)*Z48</f>
        <v>57.925884542399992</v>
      </c>
      <c r="AD48">
        <f>LOOKUP($A48,'Over to underbark'!$A$47:$A$48,'Over to underbark'!E$47:E$48)*AA48</f>
        <v>35.000858289599996</v>
      </c>
      <c r="AE48">
        <f>LOOKUP($A48,'Over to underbark'!$A$47:$A$48,'Over to underbark'!E$47:E$48)*AB48</f>
        <v>23.459457167999997</v>
      </c>
      <c r="AF48" t="b">
        <f t="shared" si="8"/>
        <v>1</v>
      </c>
      <c r="AG48" t="b">
        <f t="shared" si="9"/>
        <v>1</v>
      </c>
      <c r="AH48">
        <f>LOOKUP(A48,'Over to underbark'!$A$47:$A$48,'Over to underbark'!E$47:E$48)*M48</f>
        <v>129.31799999999998</v>
      </c>
      <c r="AI48" s="27">
        <f>LOOKUP(A48,'Over to underbark'!$A$47:$A$48,'Over to underbark'!$B$47:$B$48)*AH48</f>
        <v>43.968119999999999</v>
      </c>
      <c r="AJ48" s="27">
        <f>LOOKUP(A49,'Over to underbark'!$A$47:$A$48,'Over to underbark'!C$47:C$48)*AH48</f>
        <v>45.261299999999991</v>
      </c>
      <c r="AK48" s="27">
        <f t="shared" si="10"/>
        <v>173.28611999999998</v>
      </c>
      <c r="AL48" s="33">
        <v>412.59</v>
      </c>
      <c r="AM48" s="28">
        <f t="shared" si="11"/>
        <v>346.57223999999997</v>
      </c>
      <c r="AO48">
        <f t="shared" si="12"/>
        <v>0.67164179104477617</v>
      </c>
    </row>
    <row r="49" spans="1:41" x14ac:dyDescent="0.35">
      <c r="A49" t="s">
        <v>39</v>
      </c>
      <c r="B49">
        <v>4</v>
      </c>
      <c r="C49">
        <v>2</v>
      </c>
      <c r="D49" t="s">
        <v>40</v>
      </c>
      <c r="E49">
        <v>2</v>
      </c>
      <c r="F49">
        <v>1</v>
      </c>
      <c r="G49" s="12">
        <v>86</v>
      </c>
      <c r="H49" s="12">
        <v>16.088000000000001</v>
      </c>
      <c r="I49" s="12">
        <v>1568</v>
      </c>
      <c r="J49" s="12">
        <v>19.545000000000002</v>
      </c>
      <c r="K49" s="12">
        <v>47.043999999999997</v>
      </c>
      <c r="L49" s="12">
        <v>0.19900000000000001</v>
      </c>
      <c r="M49" s="22">
        <v>311.95999999999998</v>
      </c>
      <c r="N49" s="12">
        <v>2.61</v>
      </c>
      <c r="O49" s="13">
        <v>3.6269999999999998</v>
      </c>
      <c r="P49" s="14">
        <v>86</v>
      </c>
      <c r="Q49" s="14">
        <v>19.545000000000002</v>
      </c>
      <c r="R49" s="14">
        <v>185.00200000000001</v>
      </c>
      <c r="S49" s="14">
        <v>126.958</v>
      </c>
      <c r="T49" s="14" t="b">
        <f t="shared" si="3"/>
        <v>1</v>
      </c>
      <c r="U49" s="14" t="b">
        <f t="shared" si="4"/>
        <v>1</v>
      </c>
      <c r="V49" s="15">
        <f>VLOOKUP(IF(J49&lt;10, 10, IF(J49&gt;50,50,J49)),'Over to underbark'!$A$3:$C$43,IF(A49="Scots pine",3,IF(A49="Sitka spruce",2, "error")),TRUE)/100</f>
        <v>0.84</v>
      </c>
      <c r="W49">
        <f t="shared" si="5"/>
        <v>139.861512</v>
      </c>
      <c r="X49">
        <f t="shared" si="6"/>
        <v>95.980248000000003</v>
      </c>
      <c r="Y49">
        <f t="shared" si="7"/>
        <v>44.922240000000016</v>
      </c>
      <c r="Z49">
        <f t="shared" si="13"/>
        <v>139.04033903999999</v>
      </c>
      <c r="AA49">
        <f t="shared" si="14"/>
        <v>84.135512160000005</v>
      </c>
      <c r="AB49">
        <f t="shared" si="15"/>
        <v>57.588148799999999</v>
      </c>
      <c r="AC49">
        <f>LOOKUP($A49,'Over to underbark'!$A$47:$A$48,'Over to underbark'!E$47:E$48)*Z49</f>
        <v>58.396942396799993</v>
      </c>
      <c r="AD49">
        <f>LOOKUP($A49,'Over to underbark'!$A$47:$A$48,'Over to underbark'!E$47:E$48)*AA49</f>
        <v>35.336915107199999</v>
      </c>
      <c r="AE49">
        <f>LOOKUP($A49,'Over to underbark'!$A$47:$A$48,'Over to underbark'!E$47:E$48)*AB49</f>
        <v>24.187022495999997</v>
      </c>
      <c r="AF49" t="b">
        <f t="shared" si="8"/>
        <v>1</v>
      </c>
      <c r="AG49" t="b">
        <f t="shared" si="9"/>
        <v>1</v>
      </c>
      <c r="AH49">
        <f>LOOKUP(A49,'Over to underbark'!$A$47:$A$48,'Over to underbark'!E$47:E$48)*M49</f>
        <v>131.02319999999997</v>
      </c>
      <c r="AI49" s="27">
        <f>LOOKUP(A49,'Over to underbark'!$A$47:$A$48,'Over to underbark'!$B$47:$B$48)*AH49</f>
        <v>44.547887999999993</v>
      </c>
      <c r="AJ49" s="27">
        <f>LOOKUP(A50,'Over to underbark'!$A$47:$A$48,'Over to underbark'!C$47:C$48)*AH49</f>
        <v>45.858119999999985</v>
      </c>
      <c r="AK49" s="27">
        <f t="shared" si="10"/>
        <v>175.57108799999997</v>
      </c>
      <c r="AL49" s="33">
        <v>418.03</v>
      </c>
      <c r="AM49" s="28">
        <f t="shared" si="11"/>
        <v>351.14217599999995</v>
      </c>
      <c r="AO49">
        <f t="shared" si="12"/>
        <v>0.67164179104477617</v>
      </c>
    </row>
    <row r="50" spans="1:41" x14ac:dyDescent="0.35">
      <c r="A50" t="s">
        <v>39</v>
      </c>
      <c r="B50">
        <v>4</v>
      </c>
      <c r="C50">
        <v>2</v>
      </c>
      <c r="D50" t="s">
        <v>40</v>
      </c>
      <c r="E50">
        <v>2</v>
      </c>
      <c r="F50">
        <v>1</v>
      </c>
      <c r="G50" s="12">
        <v>87</v>
      </c>
      <c r="H50" s="12">
        <v>16.175999999999998</v>
      </c>
      <c r="I50" s="12">
        <v>1560</v>
      </c>
      <c r="J50" s="12">
        <v>19.670999999999999</v>
      </c>
      <c r="K50" s="12">
        <v>47.406999999999996</v>
      </c>
      <c r="L50" s="12">
        <v>0.20300000000000001</v>
      </c>
      <c r="M50" s="22">
        <v>316.02</v>
      </c>
      <c r="N50" s="12">
        <v>2.7149999999999999</v>
      </c>
      <c r="O50" s="13">
        <v>3.6320000000000001</v>
      </c>
      <c r="P50" s="14">
        <v>87</v>
      </c>
      <c r="Q50" s="14">
        <v>19.670999999999999</v>
      </c>
      <c r="R50" s="14">
        <v>185.18199999999999</v>
      </c>
      <c r="S50" s="14">
        <v>130.83799999999999</v>
      </c>
      <c r="T50" s="14" t="b">
        <f t="shared" si="3"/>
        <v>1</v>
      </c>
      <c r="U50" s="14" t="b">
        <f t="shared" si="4"/>
        <v>1</v>
      </c>
      <c r="V50" s="15">
        <f>VLOOKUP(IF(J50&lt;10, 10, IF(J50&gt;50,50,J50)),'Over to underbark'!$A$3:$C$43,IF(A50="Scots pine",3,IF(A50="Sitka spruce",2, "error")),TRUE)/100</f>
        <v>0.84</v>
      </c>
      <c r="W50">
        <f t="shared" si="5"/>
        <v>139.99759199999997</v>
      </c>
      <c r="X50">
        <f t="shared" si="6"/>
        <v>98.913527999999999</v>
      </c>
      <c r="Y50">
        <f t="shared" si="7"/>
        <v>45.50688000000001</v>
      </c>
      <c r="Z50">
        <f t="shared" si="13"/>
        <v>140.14253663999997</v>
      </c>
      <c r="AA50">
        <f t="shared" si="14"/>
        <v>84.927346559999989</v>
      </c>
      <c r="AB50">
        <f t="shared" si="15"/>
        <v>59.3481168</v>
      </c>
      <c r="AC50">
        <f>LOOKUP($A50,'Over to underbark'!$A$47:$A$48,'Over to underbark'!E$47:E$48)*Z50</f>
        <v>58.859865388799989</v>
      </c>
      <c r="AD50">
        <f>LOOKUP($A50,'Over to underbark'!$A$47:$A$48,'Over to underbark'!E$47:E$48)*AA50</f>
        <v>35.669485555199991</v>
      </c>
      <c r="AE50">
        <f>LOOKUP($A50,'Over to underbark'!$A$47:$A$48,'Over to underbark'!E$47:E$48)*AB50</f>
        <v>24.926209055999998</v>
      </c>
      <c r="AF50" t="b">
        <f t="shared" si="8"/>
        <v>1</v>
      </c>
      <c r="AG50" t="b">
        <f t="shared" si="9"/>
        <v>1</v>
      </c>
      <c r="AH50">
        <f>LOOKUP(A50,'Over to underbark'!$A$47:$A$48,'Over to underbark'!E$47:E$48)*M50</f>
        <v>132.72839999999999</v>
      </c>
      <c r="AI50" s="27">
        <f>LOOKUP(A50,'Over to underbark'!$A$47:$A$48,'Over to underbark'!$B$47:$B$48)*AH50</f>
        <v>45.127656000000002</v>
      </c>
      <c r="AJ50" s="27">
        <f>LOOKUP(A51,'Over to underbark'!$A$47:$A$48,'Over to underbark'!C$47:C$48)*AH50</f>
        <v>46.454939999999993</v>
      </c>
      <c r="AK50" s="27">
        <f t="shared" si="10"/>
        <v>177.856056</v>
      </c>
      <c r="AL50" s="33">
        <v>423.47</v>
      </c>
      <c r="AM50" s="28">
        <f t="shared" si="11"/>
        <v>355.71211199999999</v>
      </c>
      <c r="AO50">
        <f t="shared" si="12"/>
        <v>0.67164179104477606</v>
      </c>
    </row>
    <row r="51" spans="1:41" x14ac:dyDescent="0.35">
      <c r="A51" t="s">
        <v>39</v>
      </c>
      <c r="B51">
        <v>4</v>
      </c>
      <c r="C51">
        <v>2</v>
      </c>
      <c r="D51" t="s">
        <v>40</v>
      </c>
      <c r="E51">
        <v>2</v>
      </c>
      <c r="F51">
        <v>1</v>
      </c>
      <c r="G51" s="12">
        <v>88</v>
      </c>
      <c r="H51" s="12">
        <v>16.263999999999999</v>
      </c>
      <c r="I51" s="12">
        <v>1552</v>
      </c>
      <c r="J51" s="12">
        <v>19.797000000000001</v>
      </c>
      <c r="K51" s="12">
        <v>47.77</v>
      </c>
      <c r="L51" s="12">
        <v>0.20599999999999999</v>
      </c>
      <c r="M51" s="22">
        <v>320.08</v>
      </c>
      <c r="N51" s="12">
        <v>2.8180000000000001</v>
      </c>
      <c r="O51" s="13">
        <v>3.637</v>
      </c>
      <c r="P51" s="14">
        <v>88</v>
      </c>
      <c r="Q51" s="14">
        <v>19.797000000000001</v>
      </c>
      <c r="R51" s="14">
        <v>185.31899999999999</v>
      </c>
      <c r="S51" s="14">
        <v>134.761</v>
      </c>
      <c r="T51" s="14" t="b">
        <f t="shared" si="3"/>
        <v>1</v>
      </c>
      <c r="U51" s="14" t="b">
        <f t="shared" si="4"/>
        <v>1</v>
      </c>
      <c r="V51" s="15">
        <f>VLOOKUP(IF(J51&lt;10, 10, IF(J51&gt;50,50,J51)),'Over to underbark'!$A$3:$C$43,IF(A51="Scots pine",3,IF(A51="Sitka spruce",2, "error")),TRUE)/100</f>
        <v>0.84</v>
      </c>
      <c r="W51">
        <f t="shared" si="5"/>
        <v>140.10116399999998</v>
      </c>
      <c r="X51">
        <f t="shared" si="6"/>
        <v>101.87931599999999</v>
      </c>
      <c r="Y51">
        <f t="shared" si="7"/>
        <v>46.09152000000001</v>
      </c>
      <c r="Z51">
        <f t="shared" si="13"/>
        <v>141.23108087999998</v>
      </c>
      <c r="AA51">
        <f t="shared" si="14"/>
        <v>85.713329519999988</v>
      </c>
      <c r="AB51">
        <f t="shared" si="15"/>
        <v>61.127589599999993</v>
      </c>
      <c r="AC51">
        <f>LOOKUP($A51,'Over to underbark'!$A$47:$A$48,'Over to underbark'!E$47:E$48)*Z51</f>
        <v>59.317053969599989</v>
      </c>
      <c r="AD51">
        <f>LOOKUP($A51,'Over to underbark'!$A$47:$A$48,'Over to underbark'!E$47:E$48)*AA51</f>
        <v>35.999598398399996</v>
      </c>
      <c r="AE51">
        <f>LOOKUP($A51,'Over to underbark'!$A$47:$A$48,'Over to underbark'!E$47:E$48)*AB51</f>
        <v>25.673587631999997</v>
      </c>
      <c r="AF51" t="b">
        <f t="shared" si="8"/>
        <v>1</v>
      </c>
      <c r="AG51" t="b">
        <f t="shared" si="9"/>
        <v>1</v>
      </c>
      <c r="AH51">
        <f>LOOKUP(A51,'Over to underbark'!$A$47:$A$48,'Over to underbark'!E$47:E$48)*M51</f>
        <v>134.43359999999998</v>
      </c>
      <c r="AI51" s="27">
        <f>LOOKUP(A51,'Over to underbark'!$A$47:$A$48,'Over to underbark'!$B$47:$B$48)*AH51</f>
        <v>45.707423999999996</v>
      </c>
      <c r="AJ51" s="27">
        <f>LOOKUP(A52,'Over to underbark'!$A$47:$A$48,'Over to underbark'!C$47:C$48)*AH51</f>
        <v>47.051759999999994</v>
      </c>
      <c r="AK51" s="27">
        <f t="shared" si="10"/>
        <v>180.14102399999999</v>
      </c>
      <c r="AL51" s="33">
        <v>428.91</v>
      </c>
      <c r="AM51" s="28">
        <f t="shared" si="11"/>
        <v>360.28204799999997</v>
      </c>
      <c r="AO51">
        <f t="shared" si="12"/>
        <v>0.67164179104477606</v>
      </c>
    </row>
    <row r="52" spans="1:41" x14ac:dyDescent="0.35">
      <c r="A52" t="s">
        <v>39</v>
      </c>
      <c r="B52">
        <v>4</v>
      </c>
      <c r="C52">
        <v>2</v>
      </c>
      <c r="D52" t="s">
        <v>40</v>
      </c>
      <c r="E52">
        <v>2</v>
      </c>
      <c r="F52">
        <v>1</v>
      </c>
      <c r="G52" s="12">
        <v>89</v>
      </c>
      <c r="H52" s="12">
        <v>16.352</v>
      </c>
      <c r="I52" s="12">
        <v>1544</v>
      </c>
      <c r="J52" s="12">
        <v>19.922999999999998</v>
      </c>
      <c r="K52" s="12">
        <v>48.133000000000003</v>
      </c>
      <c r="L52" s="12">
        <v>0.21</v>
      </c>
      <c r="M52" s="22">
        <v>324.14</v>
      </c>
      <c r="N52" s="12">
        <v>2.9169999999999998</v>
      </c>
      <c r="O52" s="13">
        <v>3.6419999999999999</v>
      </c>
      <c r="P52" s="14">
        <v>89</v>
      </c>
      <c r="Q52" s="14">
        <v>19.922999999999998</v>
      </c>
      <c r="R52" s="14">
        <v>185.41399999999999</v>
      </c>
      <c r="S52" s="14">
        <v>138.726</v>
      </c>
      <c r="T52" s="14" t="b">
        <f t="shared" si="3"/>
        <v>1</v>
      </c>
      <c r="U52" s="14" t="b">
        <f t="shared" si="4"/>
        <v>1</v>
      </c>
      <c r="V52" s="15">
        <f>VLOOKUP(IF(J52&lt;10, 10, IF(J52&gt;50,50,J52)),'Over to underbark'!$A$3:$C$43,IF(A52="Scots pine",3,IF(A52="Sitka spruce",2, "error")),TRUE)/100</f>
        <v>0.84</v>
      </c>
      <c r="W52">
        <f t="shared" si="5"/>
        <v>140.17298399999999</v>
      </c>
      <c r="X52">
        <f t="shared" si="6"/>
        <v>104.876856</v>
      </c>
      <c r="Y52">
        <f t="shared" si="7"/>
        <v>46.67616000000001</v>
      </c>
      <c r="Z52">
        <f t="shared" si="13"/>
        <v>142.30628927999999</v>
      </c>
      <c r="AA52">
        <f t="shared" si="14"/>
        <v>86.493597120000004</v>
      </c>
      <c r="AB52">
        <f t="shared" si="15"/>
        <v>62.926113600000001</v>
      </c>
      <c r="AC52">
        <f>LOOKUP($A52,'Over to underbark'!$A$47:$A$48,'Over to underbark'!E$47:E$48)*Z52</f>
        <v>59.768641497599994</v>
      </c>
      <c r="AD52">
        <f>LOOKUP($A52,'Over to underbark'!$A$47:$A$48,'Over to underbark'!E$47:E$48)*AA52</f>
        <v>36.327310790399999</v>
      </c>
      <c r="AE52">
        <f>LOOKUP($A52,'Over to underbark'!$A$47:$A$48,'Over to underbark'!E$47:E$48)*AB52</f>
        <v>26.428967711999999</v>
      </c>
      <c r="AF52" t="b">
        <f t="shared" si="8"/>
        <v>1</v>
      </c>
      <c r="AG52" t="b">
        <f t="shared" si="9"/>
        <v>1</v>
      </c>
      <c r="AH52">
        <f>LOOKUP(A52,'Over to underbark'!$A$47:$A$48,'Over to underbark'!E$47:E$48)*M52</f>
        <v>136.1388</v>
      </c>
      <c r="AI52" s="27">
        <f>LOOKUP(A52,'Over to underbark'!$A$47:$A$48,'Over to underbark'!$B$47:$B$48)*AH52</f>
        <v>46.287192000000005</v>
      </c>
      <c r="AJ52" s="27">
        <f>LOOKUP(A53,'Over to underbark'!$A$47:$A$48,'Over to underbark'!C$47:C$48)*AH52</f>
        <v>47.648579999999995</v>
      </c>
      <c r="AK52" s="27">
        <f t="shared" si="10"/>
        <v>182.42599200000001</v>
      </c>
      <c r="AL52" s="33">
        <v>434.35</v>
      </c>
      <c r="AM52" s="28">
        <f t="shared" si="11"/>
        <v>364.85198400000002</v>
      </c>
      <c r="AO52">
        <f t="shared" si="12"/>
        <v>0.67164179104477606</v>
      </c>
    </row>
    <row r="53" spans="1:41" x14ac:dyDescent="0.35">
      <c r="A53" t="s">
        <v>39</v>
      </c>
      <c r="B53">
        <v>4</v>
      </c>
      <c r="C53">
        <v>2</v>
      </c>
      <c r="D53" t="s">
        <v>40</v>
      </c>
      <c r="E53">
        <v>2</v>
      </c>
      <c r="F53">
        <v>1</v>
      </c>
      <c r="G53" s="12">
        <v>90</v>
      </c>
      <c r="H53" s="12">
        <v>16.440000000000001</v>
      </c>
      <c r="I53" s="12">
        <v>1536</v>
      </c>
      <c r="J53" s="12">
        <v>20.05</v>
      </c>
      <c r="K53" s="12">
        <v>48.496000000000002</v>
      </c>
      <c r="L53" s="12">
        <v>0.214</v>
      </c>
      <c r="M53" s="22">
        <v>328.2</v>
      </c>
      <c r="N53" s="12">
        <v>3.0139999999999998</v>
      </c>
      <c r="O53" s="13">
        <v>3.6469999999999998</v>
      </c>
      <c r="P53" s="14">
        <v>90</v>
      </c>
      <c r="Q53" s="14">
        <v>20.05</v>
      </c>
      <c r="R53" s="14">
        <v>185.44900000000001</v>
      </c>
      <c r="S53" s="14">
        <v>142.751</v>
      </c>
      <c r="T53" s="14" t="b">
        <f t="shared" si="3"/>
        <v>1</v>
      </c>
      <c r="U53" s="14" t="b">
        <f t="shared" si="4"/>
        <v>1</v>
      </c>
      <c r="V53" s="15">
        <f>VLOOKUP(IF(J53&lt;10, 10, IF(J53&gt;50,50,J53)),'Over to underbark'!$A$3:$C$43,IF(A53="Scots pine",3,IF(A53="Sitka spruce",2, "error")),TRUE)/100</f>
        <v>0.84</v>
      </c>
      <c r="W53">
        <f t="shared" si="5"/>
        <v>140.19944400000003</v>
      </c>
      <c r="X53">
        <f t="shared" si="6"/>
        <v>107.91975599999999</v>
      </c>
      <c r="Y53">
        <f t="shared" si="7"/>
        <v>47.260800000000017</v>
      </c>
      <c r="Z53">
        <f t="shared" si="13"/>
        <v>143.36244648000002</v>
      </c>
      <c r="AA53">
        <f t="shared" si="14"/>
        <v>87.265699920000003</v>
      </c>
      <c r="AB53">
        <f t="shared" si="15"/>
        <v>64.75185359999999</v>
      </c>
      <c r="AC53">
        <f>LOOKUP($A53,'Over to underbark'!$A$47:$A$48,'Over to underbark'!E$47:E$48)*Z53</f>
        <v>60.212227521600006</v>
      </c>
      <c r="AD53">
        <f>LOOKUP($A53,'Over to underbark'!$A$47:$A$48,'Over to underbark'!E$47:E$48)*AA53</f>
        <v>36.6515939664</v>
      </c>
      <c r="AE53">
        <f>LOOKUP($A53,'Over to underbark'!$A$47:$A$48,'Over to underbark'!E$47:E$48)*AB53</f>
        <v>27.195778511999993</v>
      </c>
      <c r="AF53" t="b">
        <f t="shared" si="8"/>
        <v>1</v>
      </c>
      <c r="AG53" t="b">
        <f t="shared" si="9"/>
        <v>1</v>
      </c>
      <c r="AH53">
        <f>LOOKUP(A53,'Over to underbark'!$A$47:$A$48,'Over to underbark'!E$47:E$48)*M53</f>
        <v>137.84399999999999</v>
      </c>
      <c r="AI53" s="27">
        <f>LOOKUP(A53,'Over to underbark'!$A$47:$A$48,'Over to underbark'!$B$47:$B$48)*AH53</f>
        <v>46.866959999999999</v>
      </c>
      <c r="AJ53" s="27">
        <f>LOOKUP(A54,'Over to underbark'!$A$47:$A$48,'Over to underbark'!C$47:C$48)*AH53</f>
        <v>48.245399999999997</v>
      </c>
      <c r="AK53" s="27">
        <f t="shared" si="10"/>
        <v>184.71096</v>
      </c>
      <c r="AL53" s="33">
        <v>439.79</v>
      </c>
      <c r="AM53" s="28">
        <f t="shared" si="11"/>
        <v>369.42192</v>
      </c>
      <c r="AO53">
        <f t="shared" si="12"/>
        <v>0.67164179104477617</v>
      </c>
    </row>
    <row r="54" spans="1:41" x14ac:dyDescent="0.35">
      <c r="A54" t="s">
        <v>39</v>
      </c>
      <c r="B54">
        <v>4</v>
      </c>
      <c r="C54">
        <v>2</v>
      </c>
      <c r="D54" t="s">
        <v>40</v>
      </c>
      <c r="E54">
        <v>2</v>
      </c>
      <c r="F54">
        <v>1</v>
      </c>
      <c r="G54" s="12">
        <v>91</v>
      </c>
      <c r="H54" s="12">
        <v>16.515999999999998</v>
      </c>
      <c r="I54" s="12">
        <v>1528</v>
      </c>
      <c r="J54" s="12">
        <v>20.166</v>
      </c>
      <c r="K54" s="12">
        <v>48.805999999999997</v>
      </c>
      <c r="L54" s="12">
        <v>0.217</v>
      </c>
      <c r="M54" s="22">
        <v>331.68</v>
      </c>
      <c r="N54" s="12">
        <v>3.125</v>
      </c>
      <c r="O54" s="13">
        <v>3.645</v>
      </c>
      <c r="P54" s="14">
        <v>91</v>
      </c>
      <c r="Q54" s="14">
        <v>20.166</v>
      </c>
      <c r="R54" s="14">
        <v>185.31800000000001</v>
      </c>
      <c r="S54" s="14">
        <v>146.36199999999999</v>
      </c>
      <c r="T54" s="14" t="b">
        <f t="shared" si="3"/>
        <v>1</v>
      </c>
      <c r="U54" s="14" t="b">
        <f t="shared" si="4"/>
        <v>1</v>
      </c>
      <c r="V54" s="15">
        <f>VLOOKUP(IF(J54&lt;10, 10, IF(J54&gt;50,50,J54)),'Over to underbark'!$A$3:$C$43,IF(A54="Scots pine",3,IF(A54="Sitka spruce",2, "error")),TRUE)/100</f>
        <v>0.84</v>
      </c>
      <c r="W54">
        <f t="shared" si="5"/>
        <v>140.10040799999999</v>
      </c>
      <c r="X54">
        <f t="shared" si="6"/>
        <v>110.649672</v>
      </c>
      <c r="Y54">
        <f t="shared" si="7"/>
        <v>47.761920000000011</v>
      </c>
      <c r="Z54">
        <f t="shared" si="13"/>
        <v>144.21660335999999</v>
      </c>
      <c r="AA54">
        <f t="shared" si="14"/>
        <v>87.90559343999999</v>
      </c>
      <c r="AB54">
        <f t="shared" si="15"/>
        <v>66.389803199999989</v>
      </c>
      <c r="AC54">
        <f>LOOKUP($A54,'Over to underbark'!$A$47:$A$48,'Over to underbark'!E$47:E$48)*Z54</f>
        <v>60.570973411199994</v>
      </c>
      <c r="AD54">
        <f>LOOKUP($A54,'Over to underbark'!$A$47:$A$48,'Over to underbark'!E$47:E$48)*AA54</f>
        <v>36.920349244799993</v>
      </c>
      <c r="AE54">
        <f>LOOKUP($A54,'Over to underbark'!$A$47:$A$48,'Over to underbark'!E$47:E$48)*AB54</f>
        <v>27.883717343999994</v>
      </c>
      <c r="AF54" t="b">
        <f t="shared" si="8"/>
        <v>1</v>
      </c>
      <c r="AG54" t="b">
        <f t="shared" si="9"/>
        <v>1</v>
      </c>
      <c r="AH54">
        <f>LOOKUP(A54,'Over to underbark'!$A$47:$A$48,'Over to underbark'!E$47:E$48)*M54</f>
        <v>139.3056</v>
      </c>
      <c r="AI54" s="27">
        <f>LOOKUP(A54,'Over to underbark'!$A$47:$A$48,'Over to underbark'!$B$47:$B$48)*AH54</f>
        <v>47.363904000000005</v>
      </c>
      <c r="AJ54" s="27">
        <f>LOOKUP(A55,'Over to underbark'!$A$47:$A$48,'Over to underbark'!C$47:C$48)*AH54</f>
        <v>48.756959999999999</v>
      </c>
      <c r="AK54" s="27">
        <f t="shared" si="10"/>
        <v>186.66950400000002</v>
      </c>
      <c r="AL54" s="33">
        <v>444.45</v>
      </c>
      <c r="AM54" s="28">
        <f t="shared" si="11"/>
        <v>373.33900800000004</v>
      </c>
      <c r="AO54">
        <f t="shared" si="12"/>
        <v>0.67164179104477595</v>
      </c>
    </row>
    <row r="55" spans="1:41" x14ac:dyDescent="0.35">
      <c r="A55" t="s">
        <v>39</v>
      </c>
      <c r="B55">
        <v>4</v>
      </c>
      <c r="C55">
        <v>2</v>
      </c>
      <c r="D55" t="s">
        <v>40</v>
      </c>
      <c r="E55">
        <v>2</v>
      </c>
      <c r="F55">
        <v>1</v>
      </c>
      <c r="G55" s="12">
        <v>92</v>
      </c>
      <c r="H55" s="12">
        <v>16.591999999999999</v>
      </c>
      <c r="I55" s="12">
        <v>1521</v>
      </c>
      <c r="J55" s="12">
        <v>20.277000000000001</v>
      </c>
      <c r="K55" s="12">
        <v>49.115000000000002</v>
      </c>
      <c r="L55" s="12">
        <v>0.22</v>
      </c>
      <c r="M55" s="22">
        <v>335.16</v>
      </c>
      <c r="N55" s="12">
        <v>3.234</v>
      </c>
      <c r="O55" s="13">
        <v>3.6429999999999998</v>
      </c>
      <c r="P55" s="14">
        <v>92</v>
      </c>
      <c r="Q55" s="14">
        <v>20.277000000000001</v>
      </c>
      <c r="R55" s="14">
        <v>185.24700000000001</v>
      </c>
      <c r="S55" s="14">
        <v>149.91300000000001</v>
      </c>
      <c r="T55" s="14" t="b">
        <f t="shared" si="3"/>
        <v>1</v>
      </c>
      <c r="U55" s="14" t="b">
        <f t="shared" si="4"/>
        <v>1</v>
      </c>
      <c r="V55" s="15">
        <f>VLOOKUP(IF(J55&lt;10, 10, IF(J55&gt;50,50,J55)),'Over to underbark'!$A$3:$C$43,IF(A55="Scots pine",3,IF(A55="Sitka spruce",2, "error")),TRUE)/100</f>
        <v>0.84</v>
      </c>
      <c r="W55">
        <f t="shared" si="5"/>
        <v>140.04673200000002</v>
      </c>
      <c r="X55">
        <f t="shared" si="6"/>
        <v>113.33422800000001</v>
      </c>
      <c r="Y55">
        <f t="shared" si="7"/>
        <v>48.263040000000011</v>
      </c>
      <c r="Z55">
        <f t="shared" si="13"/>
        <v>145.08981144000001</v>
      </c>
      <c r="AA55">
        <f t="shared" si="14"/>
        <v>88.553651760000008</v>
      </c>
      <c r="AB55">
        <f t="shared" si="15"/>
        <v>68.000536800000006</v>
      </c>
      <c r="AC55">
        <f>LOOKUP($A55,'Over to underbark'!$A$47:$A$48,'Over to underbark'!E$47:E$48)*Z55</f>
        <v>60.937720804800001</v>
      </c>
      <c r="AD55">
        <f>LOOKUP($A55,'Over to underbark'!$A$47:$A$48,'Over to underbark'!E$47:E$48)*AA55</f>
        <v>37.192533739200002</v>
      </c>
      <c r="AE55">
        <f>LOOKUP($A55,'Over to underbark'!$A$47:$A$48,'Over to underbark'!E$47:E$48)*AB55</f>
        <v>28.560225456000001</v>
      </c>
      <c r="AF55" t="b">
        <f t="shared" si="8"/>
        <v>1</v>
      </c>
      <c r="AG55" t="b">
        <f t="shared" si="9"/>
        <v>1</v>
      </c>
      <c r="AH55">
        <f>LOOKUP(A55,'Over to underbark'!$A$47:$A$48,'Over to underbark'!E$47:E$48)*M55</f>
        <v>140.7672</v>
      </c>
      <c r="AI55" s="27">
        <f>LOOKUP(A55,'Over to underbark'!$A$47:$A$48,'Over to underbark'!$B$47:$B$48)*AH55</f>
        <v>47.860848000000004</v>
      </c>
      <c r="AJ55" s="27">
        <f>LOOKUP(A56,'Over to underbark'!$A$47:$A$48,'Over to underbark'!C$47:C$48)*AH55</f>
        <v>49.268519999999995</v>
      </c>
      <c r="AK55" s="27">
        <f t="shared" si="10"/>
        <v>188.62804800000001</v>
      </c>
      <c r="AL55" s="33">
        <v>449.11</v>
      </c>
      <c r="AM55" s="28">
        <f t="shared" si="11"/>
        <v>377.25609600000001</v>
      </c>
      <c r="AO55">
        <f t="shared" si="12"/>
        <v>0.67164179104477606</v>
      </c>
    </row>
    <row r="56" spans="1:41" x14ac:dyDescent="0.35">
      <c r="A56" t="s">
        <v>39</v>
      </c>
      <c r="B56">
        <v>4</v>
      </c>
      <c r="C56">
        <v>2</v>
      </c>
      <c r="D56" t="s">
        <v>40</v>
      </c>
      <c r="E56">
        <v>2</v>
      </c>
      <c r="F56">
        <v>1</v>
      </c>
      <c r="G56" s="12">
        <v>93</v>
      </c>
      <c r="H56" s="12">
        <v>16.667999999999999</v>
      </c>
      <c r="I56" s="12">
        <v>1514</v>
      </c>
      <c r="J56" s="12">
        <v>20.387</v>
      </c>
      <c r="K56" s="12">
        <v>49.423999999999999</v>
      </c>
      <c r="L56" s="12">
        <v>0.224</v>
      </c>
      <c r="M56" s="22">
        <v>338.64</v>
      </c>
      <c r="N56" s="12">
        <v>3.34</v>
      </c>
      <c r="O56" s="13">
        <v>3.641</v>
      </c>
      <c r="P56" s="14">
        <v>93</v>
      </c>
      <c r="Q56" s="14">
        <v>20.387</v>
      </c>
      <c r="R56" s="14">
        <v>185.16499999999999</v>
      </c>
      <c r="S56" s="14">
        <v>153.47499999999999</v>
      </c>
      <c r="T56" s="14" t="b">
        <f t="shared" si="3"/>
        <v>1</v>
      </c>
      <c r="U56" s="14" t="b">
        <f t="shared" si="4"/>
        <v>1</v>
      </c>
      <c r="V56" s="15">
        <f>VLOOKUP(IF(J56&lt;10, 10, IF(J56&gt;50,50,J56)),'Over to underbark'!$A$3:$C$43,IF(A56="Scots pine",3,IF(A56="Sitka spruce",2, "error")),TRUE)/100</f>
        <v>0.84</v>
      </c>
      <c r="W56">
        <f t="shared" si="5"/>
        <v>139.98473999999999</v>
      </c>
      <c r="X56">
        <f t="shared" si="6"/>
        <v>116.02709999999999</v>
      </c>
      <c r="Y56">
        <f t="shared" si="7"/>
        <v>48.764160000000011</v>
      </c>
      <c r="Z56">
        <f t="shared" si="13"/>
        <v>145.95952679999999</v>
      </c>
      <c r="AA56">
        <f t="shared" si="14"/>
        <v>89.200213199999993</v>
      </c>
      <c r="AB56">
        <f t="shared" si="15"/>
        <v>69.616259999999997</v>
      </c>
      <c r="AC56">
        <f>LOOKUP($A56,'Over to underbark'!$A$47:$A$48,'Over to underbark'!E$47:E$48)*Z56</f>
        <v>61.303001255999995</v>
      </c>
      <c r="AD56">
        <f>LOOKUP($A56,'Over to underbark'!$A$47:$A$48,'Over to underbark'!E$47:E$48)*AA56</f>
        <v>37.464089543999997</v>
      </c>
      <c r="AE56">
        <f>LOOKUP($A56,'Over to underbark'!$A$47:$A$48,'Over to underbark'!E$47:E$48)*AB56</f>
        <v>29.238829199999998</v>
      </c>
      <c r="AF56" t="b">
        <f t="shared" si="8"/>
        <v>1</v>
      </c>
      <c r="AG56" t="b">
        <f t="shared" si="9"/>
        <v>1</v>
      </c>
      <c r="AH56">
        <f>LOOKUP(A56,'Over to underbark'!$A$47:$A$48,'Over to underbark'!E$47:E$48)*M56</f>
        <v>142.22879999999998</v>
      </c>
      <c r="AI56" s="27">
        <f>LOOKUP(A56,'Over to underbark'!$A$47:$A$48,'Over to underbark'!$B$47:$B$48)*AH56</f>
        <v>48.357791999999996</v>
      </c>
      <c r="AJ56" s="27">
        <f>LOOKUP(A57,'Over to underbark'!$A$47:$A$48,'Over to underbark'!C$47:C$48)*AH56</f>
        <v>49.780079999999991</v>
      </c>
      <c r="AK56" s="27">
        <f t="shared" si="10"/>
        <v>190.58659199999997</v>
      </c>
      <c r="AL56" s="33">
        <v>453.78</v>
      </c>
      <c r="AM56" s="28">
        <f t="shared" si="11"/>
        <v>381.17318399999994</v>
      </c>
      <c r="AO56">
        <f t="shared" si="12"/>
        <v>0.67164179104477628</v>
      </c>
    </row>
    <row r="57" spans="1:41" x14ac:dyDescent="0.35">
      <c r="A57" t="s">
        <v>39</v>
      </c>
      <c r="B57">
        <v>4</v>
      </c>
      <c r="C57">
        <v>2</v>
      </c>
      <c r="D57" t="s">
        <v>40</v>
      </c>
      <c r="E57">
        <v>2</v>
      </c>
      <c r="F57">
        <v>1</v>
      </c>
      <c r="G57" s="12">
        <v>94</v>
      </c>
      <c r="H57" s="12">
        <v>16.744</v>
      </c>
      <c r="I57" s="12">
        <v>1507</v>
      </c>
      <c r="J57" s="12">
        <v>20.498000000000001</v>
      </c>
      <c r="K57" s="12">
        <v>49.732999999999997</v>
      </c>
      <c r="L57" s="12">
        <v>0.22700000000000001</v>
      </c>
      <c r="M57" s="22">
        <v>342.12</v>
      </c>
      <c r="N57" s="12">
        <v>3.4430000000000001</v>
      </c>
      <c r="O57" s="13">
        <v>3.64</v>
      </c>
      <c r="P57" s="14">
        <v>94</v>
      </c>
      <c r="Q57" s="14">
        <v>20.498000000000001</v>
      </c>
      <c r="R57" s="14">
        <v>185.036</v>
      </c>
      <c r="S57" s="14">
        <v>157.084</v>
      </c>
      <c r="T57" s="14" t="b">
        <f t="shared" si="3"/>
        <v>1</v>
      </c>
      <c r="U57" s="14" t="b">
        <f t="shared" si="4"/>
        <v>1</v>
      </c>
      <c r="V57" s="15">
        <f>VLOOKUP(IF(J57&lt;10, 10, IF(J57&gt;50,50,J57)),'Over to underbark'!$A$3:$C$43,IF(A57="Scots pine",3,IF(A57="Sitka spruce",2, "error")),TRUE)/100</f>
        <v>0.84</v>
      </c>
      <c r="W57">
        <f t="shared" si="5"/>
        <v>139.887216</v>
      </c>
      <c r="X57">
        <f t="shared" si="6"/>
        <v>118.75550400000002</v>
      </c>
      <c r="Y57">
        <f t="shared" si="7"/>
        <v>49.265280000000011</v>
      </c>
      <c r="Z57">
        <f t="shared" si="13"/>
        <v>146.81431872000002</v>
      </c>
      <c r="AA57">
        <f t="shared" si="14"/>
        <v>89.840378880000003</v>
      </c>
      <c r="AB57">
        <f t="shared" si="15"/>
        <v>71.25330240000001</v>
      </c>
      <c r="AC57">
        <f>LOOKUP($A57,'Over to underbark'!$A$47:$A$48,'Over to underbark'!E$47:E$48)*Z57</f>
        <v>61.662013862400002</v>
      </c>
      <c r="AD57">
        <f>LOOKUP($A57,'Over to underbark'!$A$47:$A$48,'Over to underbark'!E$47:E$48)*AA57</f>
        <v>37.732959129599998</v>
      </c>
      <c r="AE57">
        <f>LOOKUP($A57,'Over to underbark'!$A$47:$A$48,'Over to underbark'!E$47:E$48)*AB57</f>
        <v>29.926387008000003</v>
      </c>
      <c r="AF57" t="b">
        <f t="shared" si="8"/>
        <v>1</v>
      </c>
      <c r="AG57" t="b">
        <f t="shared" si="9"/>
        <v>1</v>
      </c>
      <c r="AH57">
        <f>LOOKUP(A57,'Over to underbark'!$A$47:$A$48,'Over to underbark'!E$47:E$48)*M57</f>
        <v>143.69039999999998</v>
      </c>
      <c r="AI57" s="27">
        <f>LOOKUP(A57,'Over to underbark'!$A$47:$A$48,'Over to underbark'!$B$47:$B$48)*AH57</f>
        <v>48.854735999999995</v>
      </c>
      <c r="AJ57" s="27">
        <f>LOOKUP(A58,'Over to underbark'!$A$47:$A$48,'Over to underbark'!C$47:C$48)*AH57</f>
        <v>50.291639999999994</v>
      </c>
      <c r="AK57" s="27">
        <f t="shared" si="10"/>
        <v>192.54513599999999</v>
      </c>
      <c r="AL57" s="33">
        <v>458.44</v>
      </c>
      <c r="AM57" s="28">
        <f t="shared" si="11"/>
        <v>385.09027199999997</v>
      </c>
      <c r="AO57">
        <f t="shared" si="12"/>
        <v>0.67164179104477617</v>
      </c>
    </row>
    <row r="58" spans="1:41" x14ac:dyDescent="0.35">
      <c r="A58" t="s">
        <v>39</v>
      </c>
      <c r="B58">
        <v>4</v>
      </c>
      <c r="C58">
        <v>2</v>
      </c>
      <c r="D58" t="s">
        <v>40</v>
      </c>
      <c r="E58">
        <v>2</v>
      </c>
      <c r="F58">
        <v>1</v>
      </c>
      <c r="G58" s="12">
        <v>95</v>
      </c>
      <c r="H58" s="12">
        <v>16.82</v>
      </c>
      <c r="I58" s="12">
        <v>1500</v>
      </c>
      <c r="J58" s="12">
        <v>20.61</v>
      </c>
      <c r="K58" s="12">
        <v>50.042000000000002</v>
      </c>
      <c r="L58" s="12">
        <v>0.23</v>
      </c>
      <c r="M58" s="22">
        <v>345.6</v>
      </c>
      <c r="N58" s="12">
        <v>3.5449999999999999</v>
      </c>
      <c r="O58" s="13">
        <v>3.6379999999999999</v>
      </c>
      <c r="P58" s="14">
        <v>95</v>
      </c>
      <c r="Q58" s="14">
        <v>20.61</v>
      </c>
      <c r="R58" s="14">
        <v>184.86099999999999</v>
      </c>
      <c r="S58" s="14">
        <v>160.739</v>
      </c>
      <c r="T58" s="14" t="b">
        <f t="shared" si="3"/>
        <v>1</v>
      </c>
      <c r="U58" s="14" t="b">
        <f t="shared" si="4"/>
        <v>1</v>
      </c>
      <c r="V58" s="15">
        <f>VLOOKUP(IF(J58&lt;10, 10, IF(J58&gt;50,50,J58)),'Over to underbark'!$A$3:$C$43,IF(A58="Scots pine",3,IF(A58="Sitka spruce",2, "error")),TRUE)/100</f>
        <v>0.84</v>
      </c>
      <c r="W58">
        <f t="shared" si="5"/>
        <v>139.75491599999998</v>
      </c>
      <c r="X58">
        <f t="shared" si="6"/>
        <v>121.51868399999999</v>
      </c>
      <c r="Y58">
        <f t="shared" si="7"/>
        <v>49.766400000000012</v>
      </c>
      <c r="Z58">
        <f t="shared" si="13"/>
        <v>147.65450471999998</v>
      </c>
      <c r="AA58">
        <f t="shared" si="14"/>
        <v>90.474284879999985</v>
      </c>
      <c r="AB58">
        <f t="shared" si="15"/>
        <v>72.911210399999987</v>
      </c>
      <c r="AC58">
        <f>LOOKUP($A58,'Over to underbark'!$A$47:$A$48,'Over to underbark'!E$47:E$48)*Z58</f>
        <v>62.014891982399988</v>
      </c>
      <c r="AD58">
        <f>LOOKUP($A58,'Over to underbark'!$A$47:$A$48,'Over to underbark'!E$47:E$48)*AA58</f>
        <v>37.999199649599994</v>
      </c>
      <c r="AE58">
        <f>LOOKUP($A58,'Over to underbark'!$A$47:$A$48,'Over to underbark'!E$47:E$48)*AB58</f>
        <v>30.622708367999994</v>
      </c>
      <c r="AF58" t="b">
        <f t="shared" si="8"/>
        <v>1</v>
      </c>
      <c r="AG58" t="b">
        <f t="shared" si="9"/>
        <v>1</v>
      </c>
      <c r="AH58">
        <f>LOOKUP(A58,'Over to underbark'!$A$47:$A$48,'Over to underbark'!E$47:E$48)*M58</f>
        <v>145.15200000000002</v>
      </c>
      <c r="AI58" s="27">
        <f>LOOKUP(A58,'Over to underbark'!$A$47:$A$48,'Over to underbark'!$B$47:$B$48)*AH58</f>
        <v>49.351680000000009</v>
      </c>
      <c r="AJ58" s="27">
        <f>LOOKUP(A59,'Over to underbark'!$A$47:$A$48,'Over to underbark'!C$47:C$48)*AH58</f>
        <v>50.803200000000004</v>
      </c>
      <c r="AK58" s="27">
        <f t="shared" si="10"/>
        <v>194.50368000000003</v>
      </c>
      <c r="AL58" s="33">
        <v>463.1</v>
      </c>
      <c r="AM58" s="28">
        <f t="shared" si="11"/>
        <v>389.00736000000006</v>
      </c>
      <c r="AO58">
        <f t="shared" si="12"/>
        <v>0.67164179104477584</v>
      </c>
    </row>
    <row r="59" spans="1:41" x14ac:dyDescent="0.35">
      <c r="A59" t="s">
        <v>39</v>
      </c>
      <c r="B59">
        <v>4</v>
      </c>
      <c r="C59">
        <v>2</v>
      </c>
      <c r="D59" t="s">
        <v>40</v>
      </c>
      <c r="E59">
        <v>2</v>
      </c>
      <c r="F59">
        <v>1</v>
      </c>
      <c r="G59" s="12">
        <v>96</v>
      </c>
      <c r="H59" s="12">
        <v>16.86</v>
      </c>
      <c r="I59" s="12">
        <v>1493</v>
      </c>
      <c r="J59" s="12">
        <v>20.704000000000001</v>
      </c>
      <c r="K59" s="12">
        <v>50.264000000000003</v>
      </c>
      <c r="L59" s="12">
        <v>0.23300000000000001</v>
      </c>
      <c r="M59" s="22">
        <v>348.38</v>
      </c>
      <c r="N59" s="12">
        <v>3.6509999999999998</v>
      </c>
      <c r="O59" s="13">
        <v>3.629</v>
      </c>
      <c r="P59" s="14">
        <v>96</v>
      </c>
      <c r="Q59" s="14">
        <v>20.704000000000001</v>
      </c>
      <c r="R59" s="14">
        <v>184.61799999999999</v>
      </c>
      <c r="S59" s="14">
        <v>163.762</v>
      </c>
      <c r="T59" s="14" t="b">
        <f t="shared" si="3"/>
        <v>1</v>
      </c>
      <c r="U59" s="14" t="b">
        <f t="shared" si="4"/>
        <v>1</v>
      </c>
      <c r="V59" s="15">
        <f>VLOOKUP(IF(J59&lt;10, 10, IF(J59&gt;50,50,J59)),'Over to underbark'!$A$3:$C$43,IF(A59="Scots pine",3,IF(A59="Sitka spruce",2, "error")),TRUE)/100</f>
        <v>0.84</v>
      </c>
      <c r="W59">
        <f t="shared" si="5"/>
        <v>139.57120800000001</v>
      </c>
      <c r="X59">
        <f t="shared" si="6"/>
        <v>123.80407200000001</v>
      </c>
      <c r="Y59">
        <f t="shared" si="7"/>
        <v>50.166720000000012</v>
      </c>
      <c r="Z59">
        <f t="shared" si="13"/>
        <v>148.29291936000001</v>
      </c>
      <c r="AA59">
        <f t="shared" si="14"/>
        <v>90.96663744</v>
      </c>
      <c r="AB59">
        <f t="shared" si="15"/>
        <v>74.282443200000003</v>
      </c>
      <c r="AC59">
        <f>LOOKUP($A59,'Over to underbark'!$A$47:$A$48,'Over to underbark'!E$47:E$48)*Z59</f>
        <v>62.283026131200003</v>
      </c>
      <c r="AD59">
        <f>LOOKUP($A59,'Over to underbark'!$A$47:$A$48,'Over to underbark'!E$47:E$48)*AA59</f>
        <v>38.205987724799996</v>
      </c>
      <c r="AE59">
        <f>LOOKUP($A59,'Over to underbark'!$A$47:$A$48,'Over to underbark'!E$47:E$48)*AB59</f>
        <v>31.198626143999999</v>
      </c>
      <c r="AF59" t="b">
        <f t="shared" si="8"/>
        <v>1</v>
      </c>
      <c r="AG59" t="b">
        <f t="shared" si="9"/>
        <v>1</v>
      </c>
      <c r="AH59">
        <f>LOOKUP(A59,'Over to underbark'!$A$47:$A$48,'Over to underbark'!E$47:E$48)*M59</f>
        <v>146.31959999999998</v>
      </c>
      <c r="AI59" s="27">
        <f>LOOKUP(A59,'Over to underbark'!$A$47:$A$48,'Over to underbark'!$B$47:$B$48)*AH59</f>
        <v>49.748663999999998</v>
      </c>
      <c r="AJ59" s="27">
        <f>LOOKUP(A60,'Over to underbark'!$A$47:$A$48,'Over to underbark'!C$47:C$48)*AH59</f>
        <v>51.211859999999987</v>
      </c>
      <c r="AK59" s="27">
        <f t="shared" si="10"/>
        <v>196.06826399999997</v>
      </c>
      <c r="AL59" s="33">
        <v>466.83</v>
      </c>
      <c r="AM59" s="28">
        <f t="shared" si="11"/>
        <v>392.13652799999994</v>
      </c>
      <c r="AO59">
        <f t="shared" si="12"/>
        <v>0.67164179104477617</v>
      </c>
    </row>
    <row r="60" spans="1:41" x14ac:dyDescent="0.35">
      <c r="A60" t="s">
        <v>39</v>
      </c>
      <c r="B60">
        <v>4</v>
      </c>
      <c r="C60">
        <v>2</v>
      </c>
      <c r="D60" t="s">
        <v>40</v>
      </c>
      <c r="E60">
        <v>2</v>
      </c>
      <c r="F60">
        <v>1</v>
      </c>
      <c r="G60" s="12">
        <v>97</v>
      </c>
      <c r="H60" s="12">
        <v>16.899999999999999</v>
      </c>
      <c r="I60" s="12">
        <v>1486</v>
      </c>
      <c r="J60" s="12">
        <v>20.797999999999998</v>
      </c>
      <c r="K60" s="12">
        <v>50.485999999999997</v>
      </c>
      <c r="L60" s="12">
        <v>0.23599999999999999</v>
      </c>
      <c r="M60" s="22">
        <v>351.16</v>
      </c>
      <c r="N60" s="12">
        <v>3.7549999999999999</v>
      </c>
      <c r="O60" s="13">
        <v>3.62</v>
      </c>
      <c r="P60" s="14">
        <v>97</v>
      </c>
      <c r="Q60" s="14">
        <v>20.797999999999998</v>
      </c>
      <c r="R60" s="14">
        <v>184.357</v>
      </c>
      <c r="S60" s="14">
        <v>166.803</v>
      </c>
      <c r="T60" s="14" t="b">
        <f t="shared" si="3"/>
        <v>1</v>
      </c>
      <c r="U60" s="14" t="b">
        <f t="shared" si="4"/>
        <v>1</v>
      </c>
      <c r="V60" s="15">
        <f>VLOOKUP(IF(J60&lt;10, 10, IF(J60&gt;50,50,J60)),'Over to underbark'!$A$3:$C$43,IF(A60="Scots pine",3,IF(A60="Sitka spruce",2, "error")),TRUE)/100</f>
        <v>0.84</v>
      </c>
      <c r="W60">
        <f t="shared" si="5"/>
        <v>139.37389199999998</v>
      </c>
      <c r="X60">
        <f t="shared" si="6"/>
        <v>126.10306800000001</v>
      </c>
      <c r="Y60">
        <f t="shared" si="7"/>
        <v>50.567040000000006</v>
      </c>
      <c r="Z60">
        <f t="shared" si="13"/>
        <v>148.92561864000001</v>
      </c>
      <c r="AA60">
        <f t="shared" si="14"/>
        <v>91.456540559999993</v>
      </c>
      <c r="AB60">
        <f t="shared" si="15"/>
        <v>75.661840800000007</v>
      </c>
      <c r="AC60">
        <f>LOOKUP($A60,'Over to underbark'!$A$47:$A$48,'Over to underbark'!E$47:E$48)*Z60</f>
        <v>62.548759828800002</v>
      </c>
      <c r="AD60">
        <f>LOOKUP($A60,'Over to underbark'!$A$47:$A$48,'Over to underbark'!E$47:E$48)*AA60</f>
        <v>38.411747035199994</v>
      </c>
      <c r="AE60">
        <f>LOOKUP($A60,'Over to underbark'!$A$47:$A$48,'Over to underbark'!E$47:E$48)*AB60</f>
        <v>31.777973136000004</v>
      </c>
      <c r="AF60" t="b">
        <f t="shared" si="8"/>
        <v>1</v>
      </c>
      <c r="AG60" t="b">
        <f t="shared" si="9"/>
        <v>1</v>
      </c>
      <c r="AH60">
        <f>LOOKUP(A60,'Over to underbark'!$A$47:$A$48,'Over to underbark'!E$47:E$48)*M60</f>
        <v>147.4872</v>
      </c>
      <c r="AI60" s="27">
        <f>LOOKUP(A60,'Over to underbark'!$A$47:$A$48,'Over to underbark'!$B$47:$B$48)*AH60</f>
        <v>50.145648000000001</v>
      </c>
      <c r="AJ60" s="27">
        <f>LOOKUP(A61,'Over to underbark'!$A$47:$A$48,'Over to underbark'!C$47:C$48)*AH60</f>
        <v>51.620519999999999</v>
      </c>
      <c r="AK60" s="27">
        <f t="shared" si="10"/>
        <v>197.632848</v>
      </c>
      <c r="AL60" s="33">
        <v>470.55</v>
      </c>
      <c r="AM60" s="28">
        <f t="shared" si="11"/>
        <v>395.26569599999999</v>
      </c>
      <c r="AO60">
        <f t="shared" si="12"/>
        <v>0.67164179104477617</v>
      </c>
    </row>
    <row r="61" spans="1:41" x14ac:dyDescent="0.35">
      <c r="A61" t="s">
        <v>39</v>
      </c>
      <c r="B61">
        <v>4</v>
      </c>
      <c r="C61">
        <v>2</v>
      </c>
      <c r="D61" t="s">
        <v>40</v>
      </c>
      <c r="E61">
        <v>2</v>
      </c>
      <c r="F61">
        <v>1</v>
      </c>
      <c r="G61" s="12">
        <v>98</v>
      </c>
      <c r="H61" s="12">
        <v>16.940000000000001</v>
      </c>
      <c r="I61" s="12">
        <v>1480</v>
      </c>
      <c r="J61" s="12">
        <v>20.885999999999999</v>
      </c>
      <c r="K61" s="12">
        <v>50.707000000000001</v>
      </c>
      <c r="L61" s="12">
        <v>0.23899999999999999</v>
      </c>
      <c r="M61" s="22">
        <v>353.94</v>
      </c>
      <c r="N61" s="12">
        <v>3.8570000000000002</v>
      </c>
      <c r="O61" s="13">
        <v>3.6120000000000001</v>
      </c>
      <c r="P61" s="14">
        <v>98</v>
      </c>
      <c r="Q61" s="14">
        <v>20.885999999999999</v>
      </c>
      <c r="R61" s="14">
        <v>184.18899999999999</v>
      </c>
      <c r="S61" s="14">
        <v>169.751</v>
      </c>
      <c r="T61" s="14" t="b">
        <f t="shared" si="3"/>
        <v>1</v>
      </c>
      <c r="U61" s="14" t="b">
        <f t="shared" si="4"/>
        <v>1</v>
      </c>
      <c r="V61" s="15">
        <f>VLOOKUP(IF(J61&lt;10, 10, IF(J61&gt;50,50,J61)),'Over to underbark'!$A$3:$C$43,IF(A61="Scots pine",3,IF(A61="Sitka spruce",2, "error")),TRUE)/100</f>
        <v>0.84</v>
      </c>
      <c r="W61">
        <f t="shared" si="5"/>
        <v>139.24688399999999</v>
      </c>
      <c r="X61">
        <f t="shared" si="6"/>
        <v>128.33175600000001</v>
      </c>
      <c r="Y61">
        <f t="shared" si="7"/>
        <v>50.967360000000006</v>
      </c>
      <c r="Z61">
        <f t="shared" si="13"/>
        <v>149.58784728000001</v>
      </c>
      <c r="AA61">
        <f t="shared" si="14"/>
        <v>91.959099119999991</v>
      </c>
      <c r="AB61">
        <f t="shared" si="15"/>
        <v>76.999053600000011</v>
      </c>
      <c r="AC61">
        <f>LOOKUP($A61,'Over to underbark'!$A$47:$A$48,'Over to underbark'!E$47:E$48)*Z61</f>
        <v>62.8268958576</v>
      </c>
      <c r="AD61">
        <f>LOOKUP($A61,'Over to underbark'!$A$47:$A$48,'Over to underbark'!E$47:E$48)*AA61</f>
        <v>38.622821630399997</v>
      </c>
      <c r="AE61">
        <f>LOOKUP($A61,'Over to underbark'!$A$47:$A$48,'Over to underbark'!E$47:E$48)*AB61</f>
        <v>32.339602512000006</v>
      </c>
      <c r="AF61" t="b">
        <f t="shared" si="8"/>
        <v>1</v>
      </c>
      <c r="AG61" t="b">
        <f t="shared" si="9"/>
        <v>1</v>
      </c>
      <c r="AH61">
        <f>LOOKUP(A61,'Over to underbark'!$A$47:$A$48,'Over to underbark'!E$47:E$48)*M61</f>
        <v>148.65479999999999</v>
      </c>
      <c r="AI61" s="27">
        <f>LOOKUP(A61,'Over to underbark'!$A$47:$A$48,'Over to underbark'!$B$47:$B$48)*AH61</f>
        <v>50.542632000000005</v>
      </c>
      <c r="AJ61" s="27">
        <f>LOOKUP(A62,'Over to underbark'!$A$47:$A$48,'Over to underbark'!C$47:C$48)*AH61</f>
        <v>52.029179999999997</v>
      </c>
      <c r="AK61" s="27">
        <f t="shared" si="10"/>
        <v>199.19743199999999</v>
      </c>
      <c r="AL61" s="33">
        <v>474.28</v>
      </c>
      <c r="AM61" s="28">
        <f t="shared" si="11"/>
        <v>398.39486399999998</v>
      </c>
      <c r="AO61">
        <f t="shared" si="12"/>
        <v>0.67164179104477617</v>
      </c>
    </row>
    <row r="62" spans="1:41" x14ac:dyDescent="0.35">
      <c r="A62" t="s">
        <v>39</v>
      </c>
      <c r="B62">
        <v>4</v>
      </c>
      <c r="C62">
        <v>2</v>
      </c>
      <c r="D62" t="s">
        <v>40</v>
      </c>
      <c r="E62">
        <v>2</v>
      </c>
      <c r="F62">
        <v>1</v>
      </c>
      <c r="G62" s="12">
        <v>99</v>
      </c>
      <c r="H62" s="12">
        <v>16.98</v>
      </c>
      <c r="I62" s="12">
        <v>1473</v>
      </c>
      <c r="J62" s="12">
        <v>20.981000000000002</v>
      </c>
      <c r="K62" s="12">
        <v>50.929000000000002</v>
      </c>
      <c r="L62" s="12">
        <v>0.24199999999999999</v>
      </c>
      <c r="M62" s="22">
        <v>356.72</v>
      </c>
      <c r="N62" s="12">
        <v>3.9580000000000002</v>
      </c>
      <c r="O62" s="13">
        <v>3.6030000000000002</v>
      </c>
      <c r="P62" s="14">
        <v>99</v>
      </c>
      <c r="Q62" s="14">
        <v>20.981000000000002</v>
      </c>
      <c r="R62" s="14">
        <v>183.876</v>
      </c>
      <c r="S62" s="14">
        <v>172.84399999999999</v>
      </c>
      <c r="T62" s="14" t="b">
        <f t="shared" si="3"/>
        <v>1</v>
      </c>
      <c r="U62" s="14" t="b">
        <f t="shared" si="4"/>
        <v>1</v>
      </c>
      <c r="V62" s="15">
        <f>VLOOKUP(IF(J62&lt;10, 10, IF(J62&gt;50,50,J62)),'Over to underbark'!$A$3:$C$43,IF(A62="Scots pine",3,IF(A62="Sitka spruce",2, "error")),TRUE)/100</f>
        <v>0.84</v>
      </c>
      <c r="W62">
        <f t="shared" si="5"/>
        <v>139.010256</v>
      </c>
      <c r="X62">
        <f t="shared" si="6"/>
        <v>130.670064</v>
      </c>
      <c r="Y62">
        <f t="shared" si="7"/>
        <v>51.367680000000021</v>
      </c>
      <c r="Z62">
        <f t="shared" si="13"/>
        <v>150.20403552000002</v>
      </c>
      <c r="AA62">
        <f t="shared" si="14"/>
        <v>92.441926080000002</v>
      </c>
      <c r="AB62">
        <f t="shared" si="15"/>
        <v>78.402038399999995</v>
      </c>
      <c r="AC62">
        <f>LOOKUP($A62,'Over to underbark'!$A$47:$A$48,'Over to underbark'!E$47:E$48)*Z62</f>
        <v>63.085694918400009</v>
      </c>
      <c r="AD62">
        <f>LOOKUP($A62,'Over to underbark'!$A$47:$A$48,'Over to underbark'!E$47:E$48)*AA62</f>
        <v>38.825608953599996</v>
      </c>
      <c r="AE62">
        <f>LOOKUP($A62,'Over to underbark'!$A$47:$A$48,'Over to underbark'!E$47:E$48)*AB62</f>
        <v>32.928856128</v>
      </c>
      <c r="AF62" t="b">
        <f t="shared" si="8"/>
        <v>1</v>
      </c>
      <c r="AG62" t="b">
        <f t="shared" si="9"/>
        <v>1</v>
      </c>
      <c r="AH62">
        <f>LOOKUP(A62,'Over to underbark'!$A$47:$A$48,'Over to underbark'!E$47:E$48)*M62</f>
        <v>149.82240000000002</v>
      </c>
      <c r="AI62" s="27">
        <f>LOOKUP(A62,'Over to underbark'!$A$47:$A$48,'Over to underbark'!$B$47:$B$48)*AH62</f>
        <v>50.939616000000008</v>
      </c>
      <c r="AJ62" s="27">
        <f>LOOKUP(A63,'Over to underbark'!$A$47:$A$48,'Over to underbark'!C$47:C$48)*AH62</f>
        <v>52.437840000000001</v>
      </c>
      <c r="AK62" s="27">
        <f t="shared" si="10"/>
        <v>200.76201600000002</v>
      </c>
      <c r="AL62" s="33">
        <v>478</v>
      </c>
      <c r="AM62" s="28">
        <f t="shared" si="11"/>
        <v>401.52403200000003</v>
      </c>
      <c r="AO62">
        <f t="shared" si="12"/>
        <v>0.67164179104477606</v>
      </c>
    </row>
    <row r="63" spans="1:41" x14ac:dyDescent="0.35">
      <c r="A63" t="s">
        <v>39</v>
      </c>
      <c r="B63">
        <v>4</v>
      </c>
      <c r="C63">
        <v>2</v>
      </c>
      <c r="D63" t="s">
        <v>40</v>
      </c>
      <c r="E63">
        <v>2</v>
      </c>
      <c r="F63">
        <v>1</v>
      </c>
      <c r="G63" s="12">
        <v>100</v>
      </c>
      <c r="H63" s="12">
        <v>17.02</v>
      </c>
      <c r="I63" s="12">
        <v>1467</v>
      </c>
      <c r="J63" s="12">
        <v>21.07</v>
      </c>
      <c r="K63" s="12">
        <v>51.15</v>
      </c>
      <c r="L63" s="12">
        <v>0.245</v>
      </c>
      <c r="M63" s="22">
        <v>359.5</v>
      </c>
      <c r="N63" s="12">
        <v>4.0570000000000004</v>
      </c>
      <c r="O63" s="13">
        <v>3.5950000000000002</v>
      </c>
      <c r="P63" s="14">
        <v>100</v>
      </c>
      <c r="Q63" s="14">
        <v>21.07</v>
      </c>
      <c r="R63" s="14">
        <v>183.65600000000001</v>
      </c>
      <c r="S63" s="14">
        <v>175.84399999999999</v>
      </c>
      <c r="T63" s="14" t="b">
        <f t="shared" si="3"/>
        <v>1</v>
      </c>
      <c r="U63" s="14" t="b">
        <f t="shared" si="4"/>
        <v>1</v>
      </c>
      <c r="V63" s="15">
        <f>VLOOKUP(IF(J63&lt;10, 10, IF(J63&gt;50,50,J63)),'Over to underbark'!$A$3:$C$43,IF(A63="Scots pine",3,IF(A63="Sitka spruce",2, "error")),TRUE)/100</f>
        <v>0.84</v>
      </c>
      <c r="W63">
        <f t="shared" si="5"/>
        <v>138.84393599999999</v>
      </c>
      <c r="X63">
        <f t="shared" si="6"/>
        <v>132.938064</v>
      </c>
      <c r="Y63">
        <f t="shared" si="7"/>
        <v>51.768000000000015</v>
      </c>
      <c r="Z63">
        <f t="shared" si="13"/>
        <v>150.84975312</v>
      </c>
      <c r="AA63">
        <f t="shared" si="14"/>
        <v>92.937408479999988</v>
      </c>
      <c r="AB63">
        <f t="shared" si="15"/>
        <v>79.762838399999993</v>
      </c>
      <c r="AC63">
        <f>LOOKUP($A63,'Over to underbark'!$A$47:$A$48,'Over to underbark'!E$47:E$48)*Z63</f>
        <v>63.356896310399996</v>
      </c>
      <c r="AD63">
        <f>LOOKUP($A63,'Over to underbark'!$A$47:$A$48,'Over to underbark'!E$47:E$48)*AA63</f>
        <v>39.033711561599993</v>
      </c>
      <c r="AE63">
        <f>LOOKUP($A63,'Over to underbark'!$A$47:$A$48,'Over to underbark'!E$47:E$48)*AB63</f>
        <v>33.500392127999994</v>
      </c>
      <c r="AF63" t="b">
        <f t="shared" si="8"/>
        <v>1</v>
      </c>
      <c r="AG63" t="b">
        <f t="shared" si="9"/>
        <v>1</v>
      </c>
      <c r="AH63">
        <f>LOOKUP(A63,'Over to underbark'!$A$47:$A$48,'Over to underbark'!E$47:E$48)*M63</f>
        <v>150.98999999999998</v>
      </c>
      <c r="AI63" s="27">
        <f>LOOKUP(A63,'Over to underbark'!$A$47:$A$48,'Over to underbark'!$B$47:$B$48)*AH63</f>
        <v>51.336599999999997</v>
      </c>
      <c r="AJ63" s="27">
        <f>LOOKUP(A64,'Over to underbark'!$A$47:$A$48,'Over to underbark'!C$47:C$48)*AH63</f>
        <v>52.846499999999992</v>
      </c>
      <c r="AK63" s="27">
        <f t="shared" si="10"/>
        <v>202.32659999999998</v>
      </c>
      <c r="AL63" s="33">
        <v>481.73</v>
      </c>
      <c r="AM63" s="28">
        <f t="shared" si="11"/>
        <v>404.65319999999997</v>
      </c>
      <c r="AO63">
        <f t="shared" si="12"/>
        <v>0.67164179104477617</v>
      </c>
    </row>
    <row r="64" spans="1:41" x14ac:dyDescent="0.35">
      <c r="A64" t="s">
        <v>39</v>
      </c>
      <c r="B64">
        <v>6</v>
      </c>
      <c r="C64">
        <v>2</v>
      </c>
      <c r="D64" t="s">
        <v>40</v>
      </c>
      <c r="E64">
        <v>2</v>
      </c>
      <c r="F64">
        <v>1</v>
      </c>
      <c r="G64" s="16">
        <v>30</v>
      </c>
      <c r="H64" s="16">
        <v>8.0500000000000007</v>
      </c>
      <c r="I64" s="16">
        <v>2193</v>
      </c>
      <c r="J64" s="16">
        <v>10.58</v>
      </c>
      <c r="K64" s="16">
        <v>19.28</v>
      </c>
      <c r="L64" s="16">
        <v>2.5999999999999999E-2</v>
      </c>
      <c r="M64" s="23">
        <v>56.6</v>
      </c>
      <c r="N64" s="16">
        <v>0</v>
      </c>
      <c r="O64" s="17">
        <v>1.887</v>
      </c>
      <c r="P64" s="18">
        <v>30</v>
      </c>
      <c r="Q64" s="18">
        <v>10.58</v>
      </c>
      <c r="R64" s="18">
        <v>56.6</v>
      </c>
      <c r="S64" s="18">
        <v>0</v>
      </c>
      <c r="T64" s="14" t="b">
        <f t="shared" si="3"/>
        <v>1</v>
      </c>
      <c r="U64" s="14" t="b">
        <f t="shared" si="4"/>
        <v>1</v>
      </c>
      <c r="V64" s="15">
        <f>VLOOKUP(IF(J64&lt;10, 10, IF(J64&gt;50,50,J64)),'Over to underbark'!$A$3:$C$43,IF(A64="Scots pine",3,IF(A64="Sitka spruce",2, "error")),TRUE)/100</f>
        <v>0.53</v>
      </c>
      <c r="W64">
        <f t="shared" ref="W64:W127" si="16">R64*0.9*V64</f>
        <v>26.998200000000004</v>
      </c>
      <c r="X64">
        <f t="shared" ref="X64:X127" si="17">S64*0.9*V64</f>
        <v>0</v>
      </c>
      <c r="Y64">
        <f t="shared" si="7"/>
        <v>23.941800000000001</v>
      </c>
      <c r="Z64">
        <f t="shared" si="13"/>
        <v>39.330774000000005</v>
      </c>
      <c r="AA64">
        <f t="shared" si="14"/>
        <v>11.609226000000001</v>
      </c>
      <c r="AB64">
        <f t="shared" si="15"/>
        <v>0</v>
      </c>
      <c r="AC64">
        <f>LOOKUP($A64,'Over to underbark'!$A$47:$A$48,'Over to underbark'!E$47:E$48)*Z64</f>
        <v>16.518925080000002</v>
      </c>
      <c r="AD64">
        <f>LOOKUP($A64,'Over to underbark'!$A$47:$A$48,'Over to underbark'!E$47:E$48)*AA64</f>
        <v>4.8758749200000002</v>
      </c>
      <c r="AE64">
        <f>LOOKUP($A64,'Over to underbark'!$A$47:$A$48,'Over to underbark'!E$47:E$48)*AB64</f>
        <v>0</v>
      </c>
      <c r="AF64" t="b">
        <f t="shared" si="8"/>
        <v>1</v>
      </c>
      <c r="AG64" t="b">
        <f t="shared" si="9"/>
        <v>1</v>
      </c>
      <c r="AH64">
        <f>LOOKUP(A64,'Over to underbark'!$A$47:$A$48,'Over to underbark'!E$47:E$48)*M64</f>
        <v>23.771999999999998</v>
      </c>
      <c r="AI64" s="27">
        <f>LOOKUP(A64,'Over to underbark'!$A$47:$A$48,'Over to underbark'!$B$47:$B$48)*AH64</f>
        <v>8.0824800000000003</v>
      </c>
      <c r="AJ64" s="27">
        <f>LOOKUP(A65,'Over to underbark'!$A$47:$A$48,'Over to underbark'!C$47:C$48)*AH64</f>
        <v>8.3201999999999998</v>
      </c>
      <c r="AK64" s="27">
        <f t="shared" si="10"/>
        <v>31.854479999999999</v>
      </c>
      <c r="AL64" s="33">
        <v>75.84</v>
      </c>
      <c r="AM64" s="28">
        <f t="shared" si="11"/>
        <v>63.708959999999998</v>
      </c>
      <c r="AO64">
        <f t="shared" si="12"/>
        <v>0.67164179104477628</v>
      </c>
    </row>
    <row r="65" spans="1:41" x14ac:dyDescent="0.35">
      <c r="A65" t="s">
        <v>39</v>
      </c>
      <c r="B65">
        <v>6</v>
      </c>
      <c r="C65">
        <v>2</v>
      </c>
      <c r="D65" t="s">
        <v>40</v>
      </c>
      <c r="E65">
        <v>2</v>
      </c>
      <c r="F65">
        <v>1</v>
      </c>
      <c r="G65" s="16">
        <v>31</v>
      </c>
      <c r="H65" s="16">
        <v>8.3559999999999999</v>
      </c>
      <c r="I65" s="16">
        <v>2180</v>
      </c>
      <c r="J65" s="16">
        <v>10.909000000000001</v>
      </c>
      <c r="K65" s="16">
        <v>20.375</v>
      </c>
      <c r="L65" s="16">
        <v>2.9000000000000001E-2</v>
      </c>
      <c r="M65" s="23">
        <v>62.98</v>
      </c>
      <c r="N65" s="16">
        <v>0</v>
      </c>
      <c r="O65" s="17">
        <v>2.032</v>
      </c>
      <c r="P65" s="18">
        <v>31</v>
      </c>
      <c r="Q65" s="18">
        <v>10.909000000000001</v>
      </c>
      <c r="R65" s="18">
        <v>62.98</v>
      </c>
      <c r="S65" s="18">
        <v>0</v>
      </c>
      <c r="T65" s="14" t="b">
        <f t="shared" si="3"/>
        <v>1</v>
      </c>
      <c r="U65" s="14" t="b">
        <f t="shared" si="4"/>
        <v>1</v>
      </c>
      <c r="V65" s="15">
        <f>VLOOKUP(IF(J65&lt;10, 10, IF(J65&gt;50,50,J65)),'Over to underbark'!$A$3:$C$43,IF(A65="Scots pine",3,IF(A65="Sitka spruce",2, "error")),TRUE)/100</f>
        <v>0.53</v>
      </c>
      <c r="W65">
        <f t="shared" si="16"/>
        <v>30.041459999999997</v>
      </c>
      <c r="X65">
        <f t="shared" si="17"/>
        <v>0</v>
      </c>
      <c r="Y65">
        <f t="shared" si="7"/>
        <v>26.640539999999998</v>
      </c>
      <c r="Z65">
        <f t="shared" si="13"/>
        <v>43.76417219999999</v>
      </c>
      <c r="AA65">
        <f t="shared" si="14"/>
        <v>12.917827799999998</v>
      </c>
      <c r="AB65">
        <f t="shared" si="15"/>
        <v>0</v>
      </c>
      <c r="AC65">
        <f>LOOKUP($A65,'Over to underbark'!$A$47:$A$48,'Over to underbark'!E$47:E$48)*Z65</f>
        <v>18.380952323999995</v>
      </c>
      <c r="AD65">
        <f>LOOKUP($A65,'Over to underbark'!$A$47:$A$48,'Over to underbark'!E$47:E$48)*AA65</f>
        <v>5.4254876759999986</v>
      </c>
      <c r="AE65">
        <f>LOOKUP($A65,'Over to underbark'!$A$47:$A$48,'Over to underbark'!E$47:E$48)*AB65</f>
        <v>0</v>
      </c>
      <c r="AF65" t="b">
        <f t="shared" si="8"/>
        <v>1</v>
      </c>
      <c r="AG65" t="b">
        <f t="shared" si="9"/>
        <v>1</v>
      </c>
      <c r="AH65">
        <f>LOOKUP(A65,'Over to underbark'!$A$47:$A$48,'Over to underbark'!E$47:E$48)*M65</f>
        <v>26.451599999999999</v>
      </c>
      <c r="AI65" s="27">
        <f>LOOKUP(A65,'Over to underbark'!$A$47:$A$48,'Over to underbark'!$B$47:$B$48)*AH65</f>
        <v>8.993544</v>
      </c>
      <c r="AJ65" s="27">
        <f>LOOKUP(A66,'Over to underbark'!$A$47:$A$48,'Over to underbark'!C$47:C$48)*AH65</f>
        <v>9.2580599999999986</v>
      </c>
      <c r="AK65" s="27">
        <f t="shared" si="10"/>
        <v>35.445143999999999</v>
      </c>
      <c r="AL65" s="33">
        <v>84.39</v>
      </c>
      <c r="AM65" s="28">
        <f t="shared" si="11"/>
        <v>70.890287999999998</v>
      </c>
      <c r="AO65">
        <f t="shared" si="12"/>
        <v>0.67164179104477595</v>
      </c>
    </row>
    <row r="66" spans="1:41" x14ac:dyDescent="0.35">
      <c r="A66" t="s">
        <v>39</v>
      </c>
      <c r="B66">
        <v>6</v>
      </c>
      <c r="C66">
        <v>2</v>
      </c>
      <c r="D66" t="s">
        <v>40</v>
      </c>
      <c r="E66">
        <v>2</v>
      </c>
      <c r="F66">
        <v>1</v>
      </c>
      <c r="G66" s="16">
        <v>32</v>
      </c>
      <c r="H66" s="16">
        <v>8.6620000000000008</v>
      </c>
      <c r="I66" s="16">
        <v>2167</v>
      </c>
      <c r="J66" s="16">
        <v>11.231</v>
      </c>
      <c r="K66" s="16">
        <v>21.469000000000001</v>
      </c>
      <c r="L66" s="16">
        <v>3.2000000000000001E-2</v>
      </c>
      <c r="M66" s="23">
        <v>69.36</v>
      </c>
      <c r="N66" s="16">
        <v>0</v>
      </c>
      <c r="O66" s="17">
        <v>2.1669999999999998</v>
      </c>
      <c r="P66" s="18">
        <v>32</v>
      </c>
      <c r="Q66" s="18">
        <v>11.231</v>
      </c>
      <c r="R66" s="18">
        <v>69.36</v>
      </c>
      <c r="S66" s="18">
        <v>0</v>
      </c>
      <c r="T66" s="14" t="b">
        <f t="shared" si="3"/>
        <v>1</v>
      </c>
      <c r="U66" s="14" t="b">
        <f t="shared" si="4"/>
        <v>1</v>
      </c>
      <c r="V66" s="15">
        <f>VLOOKUP(IF(J66&lt;10, 10, IF(J66&gt;50,50,J66)),'Over to underbark'!$A$3:$C$43,IF(A66="Scots pine",3,IF(A66="Sitka spruce",2, "error")),TRUE)/100</f>
        <v>0.66</v>
      </c>
      <c r="W66">
        <f t="shared" si="16"/>
        <v>41.199840000000002</v>
      </c>
      <c r="X66">
        <f t="shared" si="17"/>
        <v>0</v>
      </c>
      <c r="Y66">
        <f t="shared" si="7"/>
        <v>21.224159999999998</v>
      </c>
      <c r="Z66">
        <f t="shared" si="13"/>
        <v>44.708068799999992</v>
      </c>
      <c r="AA66">
        <f t="shared" si="14"/>
        <v>17.7159312</v>
      </c>
      <c r="AB66">
        <f t="shared" si="15"/>
        <v>0</v>
      </c>
      <c r="AC66">
        <f>LOOKUP($A66,'Over to underbark'!$A$47:$A$48,'Over to underbark'!E$47:E$48)*Z66</f>
        <v>18.777388895999994</v>
      </c>
      <c r="AD66">
        <f>LOOKUP($A66,'Over to underbark'!$A$47:$A$48,'Over to underbark'!E$47:E$48)*AA66</f>
        <v>7.4406911039999999</v>
      </c>
      <c r="AE66">
        <f>LOOKUP($A66,'Over to underbark'!$A$47:$A$48,'Over to underbark'!E$47:E$48)*AB66</f>
        <v>0</v>
      </c>
      <c r="AF66" t="b">
        <f t="shared" si="8"/>
        <v>1</v>
      </c>
      <c r="AG66" t="b">
        <f t="shared" si="9"/>
        <v>1</v>
      </c>
      <c r="AH66">
        <f>LOOKUP(A66,'Over to underbark'!$A$47:$A$48,'Over to underbark'!E$47:E$48)*M66</f>
        <v>29.1312</v>
      </c>
      <c r="AI66" s="27">
        <f>LOOKUP(A66,'Over to underbark'!$A$47:$A$48,'Over to underbark'!$B$47:$B$48)*AH66</f>
        <v>9.9046080000000014</v>
      </c>
      <c r="AJ66" s="27">
        <f>LOOKUP(A67,'Over to underbark'!$A$47:$A$48,'Over to underbark'!C$47:C$48)*AH66</f>
        <v>10.195919999999999</v>
      </c>
      <c r="AK66" s="27">
        <f t="shared" si="10"/>
        <v>39.035808000000003</v>
      </c>
      <c r="AL66" s="33">
        <v>92.94</v>
      </c>
      <c r="AM66" s="28">
        <f t="shared" si="11"/>
        <v>78.071616000000006</v>
      </c>
      <c r="AO66">
        <f t="shared" si="12"/>
        <v>0.67164179104477595</v>
      </c>
    </row>
    <row r="67" spans="1:41" x14ac:dyDescent="0.35">
      <c r="A67" t="s">
        <v>39</v>
      </c>
      <c r="B67">
        <v>6</v>
      </c>
      <c r="C67">
        <v>2</v>
      </c>
      <c r="D67" t="s">
        <v>40</v>
      </c>
      <c r="E67">
        <v>2</v>
      </c>
      <c r="F67">
        <v>1</v>
      </c>
      <c r="G67" s="16">
        <v>33</v>
      </c>
      <c r="H67" s="16">
        <v>8.968</v>
      </c>
      <c r="I67" s="16">
        <v>2154</v>
      </c>
      <c r="J67" s="16">
        <v>11.548999999999999</v>
      </c>
      <c r="K67" s="16">
        <v>22.564</v>
      </c>
      <c r="L67" s="16">
        <v>3.5000000000000003E-2</v>
      </c>
      <c r="M67" s="23">
        <v>75.739999999999995</v>
      </c>
      <c r="N67" s="16">
        <v>0</v>
      </c>
      <c r="O67" s="17">
        <v>2.2949999999999999</v>
      </c>
      <c r="P67" s="18">
        <v>33</v>
      </c>
      <c r="Q67" s="18">
        <v>11.548999999999999</v>
      </c>
      <c r="R67" s="18">
        <v>75.739999999999995</v>
      </c>
      <c r="S67" s="18">
        <v>0</v>
      </c>
      <c r="T67" s="14" t="b">
        <f t="shared" si="3"/>
        <v>1</v>
      </c>
      <c r="U67" s="14" t="b">
        <f t="shared" si="4"/>
        <v>1</v>
      </c>
      <c r="V67" s="15">
        <f>VLOOKUP(IF(J67&lt;10, 10, IF(J67&gt;50,50,J67)),'Over to underbark'!$A$3:$C$43,IF(A67="Scots pine",3,IF(A67="Sitka spruce",2, "error")),TRUE)/100</f>
        <v>0.66</v>
      </c>
      <c r="W67">
        <f t="shared" si="16"/>
        <v>44.989559999999997</v>
      </c>
      <c r="X67">
        <f t="shared" si="17"/>
        <v>0</v>
      </c>
      <c r="Y67">
        <f t="shared" si="7"/>
        <v>23.176439999999996</v>
      </c>
      <c r="Z67">
        <f t="shared" si="13"/>
        <v>48.820489199999997</v>
      </c>
      <c r="AA67">
        <f t="shared" si="14"/>
        <v>19.3455108</v>
      </c>
      <c r="AB67">
        <f t="shared" si="15"/>
        <v>0</v>
      </c>
      <c r="AC67">
        <f>LOOKUP($A67,'Over to underbark'!$A$47:$A$48,'Over to underbark'!E$47:E$48)*Z67</f>
        <v>20.504605463999997</v>
      </c>
      <c r="AD67">
        <f>LOOKUP($A67,'Over to underbark'!$A$47:$A$48,'Over to underbark'!E$47:E$48)*AA67</f>
        <v>8.1251145359999999</v>
      </c>
      <c r="AE67">
        <f>LOOKUP($A67,'Over to underbark'!$A$47:$A$48,'Over to underbark'!E$47:E$48)*AB67</f>
        <v>0</v>
      </c>
      <c r="AF67" t="b">
        <f t="shared" si="8"/>
        <v>1</v>
      </c>
      <c r="AG67" t="b">
        <f t="shared" si="9"/>
        <v>1</v>
      </c>
      <c r="AH67">
        <f>LOOKUP(A67,'Over to underbark'!$A$47:$A$48,'Over to underbark'!E$47:E$48)*M67</f>
        <v>31.810799999999997</v>
      </c>
      <c r="AI67" s="27">
        <f>LOOKUP(A67,'Over to underbark'!$A$47:$A$48,'Over to underbark'!$B$47:$B$48)*AH67</f>
        <v>10.815671999999999</v>
      </c>
      <c r="AJ67" s="27">
        <f>LOOKUP(A68,'Over to underbark'!$A$47:$A$48,'Over to underbark'!C$47:C$48)*AH67</f>
        <v>11.133779999999998</v>
      </c>
      <c r="AK67" s="27">
        <f t="shared" si="10"/>
        <v>42.626471999999993</v>
      </c>
      <c r="AL67" s="33">
        <v>101.49</v>
      </c>
      <c r="AM67" s="28">
        <f t="shared" si="11"/>
        <v>85.252943999999985</v>
      </c>
      <c r="AO67">
        <f t="shared" si="12"/>
        <v>0.67164179104477617</v>
      </c>
    </row>
    <row r="68" spans="1:41" x14ac:dyDescent="0.35">
      <c r="A68" t="s">
        <v>39</v>
      </c>
      <c r="B68">
        <v>6</v>
      </c>
      <c r="C68">
        <v>2</v>
      </c>
      <c r="D68" t="s">
        <v>40</v>
      </c>
      <c r="E68">
        <v>2</v>
      </c>
      <c r="F68">
        <v>1</v>
      </c>
      <c r="G68" s="16">
        <v>34</v>
      </c>
      <c r="H68" s="16">
        <v>9.2739999999999991</v>
      </c>
      <c r="I68" s="16">
        <v>2141</v>
      </c>
      <c r="J68" s="16">
        <v>11.862</v>
      </c>
      <c r="K68" s="16">
        <v>23.658999999999999</v>
      </c>
      <c r="L68" s="16">
        <v>3.7999999999999999E-2</v>
      </c>
      <c r="M68" s="23">
        <v>82.12</v>
      </c>
      <c r="N68" s="16">
        <v>0</v>
      </c>
      <c r="O68" s="17">
        <v>2.415</v>
      </c>
      <c r="P68" s="18">
        <v>34</v>
      </c>
      <c r="Q68" s="18">
        <v>11.862</v>
      </c>
      <c r="R68" s="18">
        <v>82.12</v>
      </c>
      <c r="S68" s="18">
        <v>0</v>
      </c>
      <c r="T68" s="14" t="b">
        <f t="shared" ref="T68:T131" si="18">G68=P68</f>
        <v>1</v>
      </c>
      <c r="U68" s="14" t="b">
        <f t="shared" ref="U68:U131" si="19">J68=Q68</f>
        <v>1</v>
      </c>
      <c r="V68" s="15">
        <f>VLOOKUP(IF(J68&lt;10, 10, IF(J68&gt;50,50,J68)),'Over to underbark'!$A$3:$C$43,IF(A68="Scots pine",3,IF(A68="Sitka spruce",2, "error")),TRUE)/100</f>
        <v>0.66</v>
      </c>
      <c r="W68">
        <f t="shared" si="16"/>
        <v>48.77928</v>
      </c>
      <c r="X68">
        <f t="shared" si="17"/>
        <v>0</v>
      </c>
      <c r="Y68">
        <f t="shared" ref="Y68:Y131" si="20">(R68+S68)*0.9*(100%-V68)</f>
        <v>25.128719999999998</v>
      </c>
      <c r="Z68">
        <f t="shared" si="13"/>
        <v>52.932909599999995</v>
      </c>
      <c r="AA68">
        <f t="shared" si="14"/>
        <v>20.975090399999999</v>
      </c>
      <c r="AB68">
        <f t="shared" si="15"/>
        <v>0</v>
      </c>
      <c r="AC68">
        <f>LOOKUP($A68,'Over to underbark'!$A$47:$A$48,'Over to underbark'!E$47:E$48)*Z68</f>
        <v>22.231822031999997</v>
      </c>
      <c r="AD68">
        <f>LOOKUP($A68,'Over to underbark'!$A$47:$A$48,'Over to underbark'!E$47:E$48)*AA68</f>
        <v>8.809537967999999</v>
      </c>
      <c r="AE68">
        <f>LOOKUP($A68,'Over to underbark'!$A$47:$A$48,'Over to underbark'!E$47:E$48)*AB68</f>
        <v>0</v>
      </c>
      <c r="AF68" t="b">
        <f t="shared" ref="AF68:AF131" si="21">SUM(W68:Y68)=SUM(Z68:AB68)</f>
        <v>1</v>
      </c>
      <c r="AG68" t="b">
        <f t="shared" ref="AG68:AG131" si="22">SUM(R68:S68)*0.9 = SUM(W68:Y68)</f>
        <v>1</v>
      </c>
      <c r="AH68">
        <f>LOOKUP(A68,'Over to underbark'!$A$47:$A$48,'Over to underbark'!E$47:E$48)*M68</f>
        <v>34.490400000000001</v>
      </c>
      <c r="AI68" s="27">
        <f>LOOKUP(A68,'Over to underbark'!$A$47:$A$48,'Over to underbark'!$B$47:$B$48)*AH68</f>
        <v>11.726736000000001</v>
      </c>
      <c r="AJ68" s="27">
        <f>LOOKUP(A69,'Over to underbark'!$A$47:$A$48,'Over to underbark'!C$47:C$48)*AH68</f>
        <v>12.07164</v>
      </c>
      <c r="AK68" s="27">
        <f t="shared" ref="AK68:AK131" si="23">AH68+AI68</f>
        <v>46.217136000000004</v>
      </c>
      <c r="AL68" s="33">
        <v>110.04</v>
      </c>
      <c r="AM68" s="28">
        <f t="shared" ref="AM68:AM131" si="24">AK68*2</f>
        <v>92.434272000000007</v>
      </c>
      <c r="AO68">
        <f t="shared" ref="AO68:AO131" si="25">(AC68+AD68+AE68)/AK68</f>
        <v>0.67164179104477606</v>
      </c>
    </row>
    <row r="69" spans="1:41" x14ac:dyDescent="0.35">
      <c r="A69" t="s">
        <v>39</v>
      </c>
      <c r="B69">
        <v>6</v>
      </c>
      <c r="C69">
        <v>2</v>
      </c>
      <c r="D69" t="s">
        <v>40</v>
      </c>
      <c r="E69">
        <v>2</v>
      </c>
      <c r="F69">
        <v>1</v>
      </c>
      <c r="G69" s="16">
        <v>35</v>
      </c>
      <c r="H69" s="16">
        <v>9.58</v>
      </c>
      <c r="I69" s="16">
        <v>2128</v>
      </c>
      <c r="J69" s="16">
        <v>12.17</v>
      </c>
      <c r="K69" s="16">
        <v>24.754000000000001</v>
      </c>
      <c r="L69" s="16">
        <v>4.2000000000000003E-2</v>
      </c>
      <c r="M69" s="23">
        <v>88.5</v>
      </c>
      <c r="N69" s="16">
        <v>0</v>
      </c>
      <c r="O69" s="17">
        <v>2.5289999999999999</v>
      </c>
      <c r="P69" s="18">
        <v>35</v>
      </c>
      <c r="Q69" s="18">
        <v>12.17</v>
      </c>
      <c r="R69" s="18">
        <v>88.5</v>
      </c>
      <c r="S69" s="18">
        <v>0</v>
      </c>
      <c r="T69" s="14" t="b">
        <f t="shared" si="18"/>
        <v>1</v>
      </c>
      <c r="U69" s="14" t="b">
        <f t="shared" si="19"/>
        <v>1</v>
      </c>
      <c r="V69" s="15">
        <f>VLOOKUP(IF(J69&lt;10, 10, IF(J69&gt;50,50,J69)),'Over to underbark'!$A$3:$C$43,IF(A69="Scots pine",3,IF(A69="Sitka spruce",2, "error")),TRUE)/100</f>
        <v>0.74</v>
      </c>
      <c r="W69">
        <f t="shared" si="16"/>
        <v>58.941000000000003</v>
      </c>
      <c r="X69">
        <f t="shared" si="17"/>
        <v>0</v>
      </c>
      <c r="Y69">
        <f t="shared" si="20"/>
        <v>20.709000000000003</v>
      </c>
      <c r="Z69">
        <f t="shared" si="13"/>
        <v>54.305370000000003</v>
      </c>
      <c r="AA69">
        <f t="shared" si="14"/>
        <v>25.344630000000002</v>
      </c>
      <c r="AB69">
        <f t="shared" si="15"/>
        <v>0</v>
      </c>
      <c r="AC69">
        <f>LOOKUP($A69,'Over to underbark'!$A$47:$A$48,'Over to underbark'!E$47:E$48)*Z69</f>
        <v>22.8082554</v>
      </c>
      <c r="AD69">
        <f>LOOKUP($A69,'Over to underbark'!$A$47:$A$48,'Over to underbark'!E$47:E$48)*AA69</f>
        <v>10.644744600000001</v>
      </c>
      <c r="AE69">
        <f>LOOKUP($A69,'Over to underbark'!$A$47:$A$48,'Over to underbark'!E$47:E$48)*AB69</f>
        <v>0</v>
      </c>
      <c r="AF69" t="b">
        <f t="shared" si="21"/>
        <v>1</v>
      </c>
      <c r="AG69" t="b">
        <f t="shared" si="22"/>
        <v>1</v>
      </c>
      <c r="AH69">
        <f>LOOKUP(A69,'Over to underbark'!$A$47:$A$48,'Over to underbark'!E$47:E$48)*M69</f>
        <v>37.17</v>
      </c>
      <c r="AI69" s="27">
        <f>LOOKUP(A69,'Over to underbark'!$A$47:$A$48,'Over to underbark'!$B$47:$B$48)*AH69</f>
        <v>12.637800000000002</v>
      </c>
      <c r="AJ69" s="27">
        <f>LOOKUP(A70,'Over to underbark'!$A$47:$A$48,'Over to underbark'!C$47:C$48)*AH69</f>
        <v>13.009499999999999</v>
      </c>
      <c r="AK69" s="27">
        <f t="shared" si="23"/>
        <v>49.8078</v>
      </c>
      <c r="AL69" s="33">
        <v>118.59</v>
      </c>
      <c r="AM69" s="28">
        <f t="shared" si="24"/>
        <v>99.615600000000001</v>
      </c>
      <c r="AO69">
        <f t="shared" si="25"/>
        <v>0.67164179104477617</v>
      </c>
    </row>
    <row r="70" spans="1:41" x14ac:dyDescent="0.35">
      <c r="A70" t="s">
        <v>39</v>
      </c>
      <c r="B70">
        <v>6</v>
      </c>
      <c r="C70">
        <v>2</v>
      </c>
      <c r="D70" t="s">
        <v>40</v>
      </c>
      <c r="E70">
        <v>2</v>
      </c>
      <c r="F70">
        <v>1</v>
      </c>
      <c r="G70" s="16">
        <v>36</v>
      </c>
      <c r="H70" s="16">
        <v>9.8640000000000008</v>
      </c>
      <c r="I70" s="16">
        <v>2103</v>
      </c>
      <c r="J70" s="16">
        <v>12.476000000000001</v>
      </c>
      <c r="K70" s="16">
        <v>25.709</v>
      </c>
      <c r="L70" s="16">
        <v>4.5999999999999999E-2</v>
      </c>
      <c r="M70" s="23">
        <v>96.16</v>
      </c>
      <c r="N70" s="16">
        <v>4.2000000000000003E-2</v>
      </c>
      <c r="O70" s="17">
        <v>2.6709999999999998</v>
      </c>
      <c r="P70" s="18">
        <v>36</v>
      </c>
      <c r="Q70" s="18">
        <v>12.476000000000001</v>
      </c>
      <c r="R70" s="18">
        <v>96.16</v>
      </c>
      <c r="S70" s="18">
        <v>0</v>
      </c>
      <c r="T70" s="14" t="b">
        <f t="shared" si="18"/>
        <v>1</v>
      </c>
      <c r="U70" s="14" t="b">
        <f t="shared" si="19"/>
        <v>1</v>
      </c>
      <c r="V70" s="15">
        <f>VLOOKUP(IF(J70&lt;10, 10, IF(J70&gt;50,50,J70)),'Over to underbark'!$A$3:$C$43,IF(A70="Scots pine",3,IF(A70="Sitka spruce",2, "error")),TRUE)/100</f>
        <v>0.74</v>
      </c>
      <c r="W70">
        <f t="shared" si="16"/>
        <v>64.042559999999995</v>
      </c>
      <c r="X70">
        <f t="shared" si="17"/>
        <v>0</v>
      </c>
      <c r="Y70">
        <f t="shared" si="20"/>
        <v>22.501439999999999</v>
      </c>
      <c r="Z70">
        <f t="shared" si="13"/>
        <v>59.005699199999995</v>
      </c>
      <c r="AA70">
        <f t="shared" si="14"/>
        <v>27.538300799999998</v>
      </c>
      <c r="AB70">
        <f t="shared" si="15"/>
        <v>0</v>
      </c>
      <c r="AC70">
        <f>LOOKUP($A70,'Over to underbark'!$A$47:$A$48,'Over to underbark'!E$47:E$48)*Z70</f>
        <v>24.782393663999997</v>
      </c>
      <c r="AD70">
        <f>LOOKUP($A70,'Over to underbark'!$A$47:$A$48,'Over to underbark'!E$47:E$48)*AA70</f>
        <v>11.566086336</v>
      </c>
      <c r="AE70">
        <f>LOOKUP($A70,'Over to underbark'!$A$47:$A$48,'Over to underbark'!E$47:E$48)*AB70</f>
        <v>0</v>
      </c>
      <c r="AF70" t="b">
        <f t="shared" si="21"/>
        <v>1</v>
      </c>
      <c r="AG70" t="b">
        <f t="shared" si="22"/>
        <v>1</v>
      </c>
      <c r="AH70">
        <f>LOOKUP(A70,'Over to underbark'!$A$47:$A$48,'Over to underbark'!E$47:E$48)*M70</f>
        <v>40.3872</v>
      </c>
      <c r="AI70" s="27">
        <f>LOOKUP(A70,'Over to underbark'!$A$47:$A$48,'Over to underbark'!$B$47:$B$48)*AH70</f>
        <v>13.731648000000002</v>
      </c>
      <c r="AJ70" s="27">
        <f>LOOKUP(A71,'Over to underbark'!$A$47:$A$48,'Over to underbark'!C$47:C$48)*AH70</f>
        <v>14.13552</v>
      </c>
      <c r="AK70" s="27">
        <f t="shared" si="23"/>
        <v>54.118848</v>
      </c>
      <c r="AL70" s="33">
        <v>128.85</v>
      </c>
      <c r="AM70" s="28">
        <f t="shared" si="24"/>
        <v>108.237696</v>
      </c>
      <c r="AO70">
        <f t="shared" si="25"/>
        <v>0.67164179104477606</v>
      </c>
    </row>
    <row r="71" spans="1:41" x14ac:dyDescent="0.35">
      <c r="A71" t="s">
        <v>39</v>
      </c>
      <c r="B71">
        <v>6</v>
      </c>
      <c r="C71">
        <v>2</v>
      </c>
      <c r="D71" t="s">
        <v>40</v>
      </c>
      <c r="E71">
        <v>2</v>
      </c>
      <c r="F71">
        <v>1</v>
      </c>
      <c r="G71" s="16">
        <v>37</v>
      </c>
      <c r="H71" s="16">
        <v>10.148</v>
      </c>
      <c r="I71" s="16">
        <v>2079</v>
      </c>
      <c r="J71" s="16">
        <v>12.779</v>
      </c>
      <c r="K71" s="16">
        <v>26.663</v>
      </c>
      <c r="L71" s="16">
        <v>0.05</v>
      </c>
      <c r="M71" s="23">
        <v>103.82</v>
      </c>
      <c r="N71" s="16">
        <v>7.6999999999999999E-2</v>
      </c>
      <c r="O71" s="17">
        <v>2.806</v>
      </c>
      <c r="P71" s="18">
        <v>37</v>
      </c>
      <c r="Q71" s="18">
        <v>12.779</v>
      </c>
      <c r="R71" s="18">
        <v>103.306</v>
      </c>
      <c r="S71" s="18">
        <v>0.51400000000000001</v>
      </c>
      <c r="T71" s="14" t="b">
        <f t="shared" si="18"/>
        <v>1</v>
      </c>
      <c r="U71" s="14" t="b">
        <f t="shared" si="19"/>
        <v>1</v>
      </c>
      <c r="V71" s="15">
        <f>VLOOKUP(IF(J71&lt;10, 10, IF(J71&gt;50,50,J71)),'Over to underbark'!$A$3:$C$43,IF(A71="Scots pine",3,IF(A71="Sitka spruce",2, "error")),TRUE)/100</f>
        <v>0.74</v>
      </c>
      <c r="W71">
        <f t="shared" si="16"/>
        <v>68.801795999999996</v>
      </c>
      <c r="X71">
        <f t="shared" si="17"/>
        <v>0.34232400000000002</v>
      </c>
      <c r="Y71">
        <f t="shared" si="20"/>
        <v>24.293880000000001</v>
      </c>
      <c r="Z71">
        <f t="shared" si="13"/>
        <v>63.562252319999992</v>
      </c>
      <c r="AA71">
        <f t="shared" si="14"/>
        <v>29.67035328</v>
      </c>
      <c r="AB71">
        <f t="shared" si="15"/>
        <v>0.2053944</v>
      </c>
      <c r="AC71">
        <f>LOOKUP($A71,'Over to underbark'!$A$47:$A$48,'Over to underbark'!E$47:E$48)*Z71</f>
        <v>26.696145974399997</v>
      </c>
      <c r="AD71">
        <f>LOOKUP($A71,'Over to underbark'!$A$47:$A$48,'Over to underbark'!E$47:E$48)*AA71</f>
        <v>12.4615483776</v>
      </c>
      <c r="AE71">
        <f>LOOKUP($A71,'Over to underbark'!$A$47:$A$48,'Over to underbark'!E$47:E$48)*AB71</f>
        <v>8.6265648E-2</v>
      </c>
      <c r="AF71" t="b">
        <f t="shared" si="21"/>
        <v>1</v>
      </c>
      <c r="AG71" t="b">
        <f t="shared" si="22"/>
        <v>1</v>
      </c>
      <c r="AH71">
        <f>LOOKUP(A71,'Over to underbark'!$A$47:$A$48,'Over to underbark'!E$47:E$48)*M71</f>
        <v>43.604399999999998</v>
      </c>
      <c r="AI71" s="27">
        <f>LOOKUP(A71,'Over to underbark'!$A$47:$A$48,'Over to underbark'!$B$47:$B$48)*AH71</f>
        <v>14.825496000000001</v>
      </c>
      <c r="AJ71" s="27">
        <f>LOOKUP(A72,'Over to underbark'!$A$47:$A$48,'Over to underbark'!C$47:C$48)*AH71</f>
        <v>15.261539999999998</v>
      </c>
      <c r="AK71" s="27">
        <f t="shared" si="23"/>
        <v>58.429895999999999</v>
      </c>
      <c r="AL71" s="33">
        <v>139.12</v>
      </c>
      <c r="AM71" s="28">
        <f t="shared" si="24"/>
        <v>116.859792</v>
      </c>
      <c r="AO71">
        <f t="shared" si="25"/>
        <v>0.67164179104477606</v>
      </c>
    </row>
    <row r="72" spans="1:41" x14ac:dyDescent="0.35">
      <c r="A72" t="s">
        <v>39</v>
      </c>
      <c r="B72">
        <v>6</v>
      </c>
      <c r="C72">
        <v>2</v>
      </c>
      <c r="D72" t="s">
        <v>40</v>
      </c>
      <c r="E72">
        <v>2</v>
      </c>
      <c r="F72">
        <v>1</v>
      </c>
      <c r="G72" s="16">
        <v>38</v>
      </c>
      <c r="H72" s="16">
        <v>10.432</v>
      </c>
      <c r="I72" s="16">
        <v>2054</v>
      </c>
      <c r="J72" s="16">
        <v>13.084</v>
      </c>
      <c r="K72" s="16">
        <v>27.617999999999999</v>
      </c>
      <c r="L72" s="16">
        <v>5.3999999999999999E-2</v>
      </c>
      <c r="M72" s="23">
        <v>111.48</v>
      </c>
      <c r="N72" s="16">
        <v>0.108</v>
      </c>
      <c r="O72" s="17">
        <v>2.9340000000000002</v>
      </c>
      <c r="P72" s="18">
        <v>38</v>
      </c>
      <c r="Q72" s="18">
        <v>13.084</v>
      </c>
      <c r="R72" s="18">
        <v>109.04</v>
      </c>
      <c r="S72" s="18">
        <v>2.44</v>
      </c>
      <c r="T72" s="14" t="b">
        <f t="shared" si="18"/>
        <v>1</v>
      </c>
      <c r="U72" s="14" t="b">
        <f t="shared" si="19"/>
        <v>1</v>
      </c>
      <c r="V72" s="15">
        <f>VLOOKUP(IF(J72&lt;10, 10, IF(J72&gt;50,50,J72)),'Over to underbark'!$A$3:$C$43,IF(A72="Scots pine",3,IF(A72="Sitka spruce",2, "error")),TRUE)/100</f>
        <v>0.79</v>
      </c>
      <c r="W72">
        <f t="shared" si="16"/>
        <v>77.527440000000013</v>
      </c>
      <c r="X72">
        <f t="shared" si="17"/>
        <v>1.7348400000000002</v>
      </c>
      <c r="Y72">
        <f t="shared" si="20"/>
        <v>21.069719999999997</v>
      </c>
      <c r="Z72">
        <f t="shared" si="13"/>
        <v>65.520586800000004</v>
      </c>
      <c r="AA72">
        <f t="shared" si="14"/>
        <v>33.770509199999999</v>
      </c>
      <c r="AB72">
        <f t="shared" si="15"/>
        <v>1.0409040000000001</v>
      </c>
      <c r="AC72">
        <f>LOOKUP($A72,'Over to underbark'!$A$47:$A$48,'Over to underbark'!E$47:E$48)*Z72</f>
        <v>27.518646455999999</v>
      </c>
      <c r="AD72">
        <f>LOOKUP($A72,'Over to underbark'!$A$47:$A$48,'Over to underbark'!E$47:E$48)*AA72</f>
        <v>14.183613864</v>
      </c>
      <c r="AE72">
        <f>LOOKUP($A72,'Over to underbark'!$A$47:$A$48,'Over to underbark'!E$47:E$48)*AB72</f>
        <v>0.43717968000000001</v>
      </c>
      <c r="AF72" t="b">
        <f t="shared" si="21"/>
        <v>1</v>
      </c>
      <c r="AG72" t="b">
        <f t="shared" si="22"/>
        <v>1</v>
      </c>
      <c r="AH72">
        <f>LOOKUP(A72,'Over to underbark'!$A$47:$A$48,'Over to underbark'!E$47:E$48)*M72</f>
        <v>46.821599999999997</v>
      </c>
      <c r="AI72" s="27">
        <f>LOOKUP(A72,'Over to underbark'!$A$47:$A$48,'Over to underbark'!$B$47:$B$48)*AH72</f>
        <v>15.919344000000001</v>
      </c>
      <c r="AJ72" s="27">
        <f>LOOKUP(A73,'Over to underbark'!$A$47:$A$48,'Over to underbark'!C$47:C$48)*AH72</f>
        <v>16.387559999999997</v>
      </c>
      <c r="AK72" s="27">
        <f t="shared" si="23"/>
        <v>62.740943999999999</v>
      </c>
      <c r="AL72" s="33">
        <v>149.38</v>
      </c>
      <c r="AM72" s="28">
        <f t="shared" si="24"/>
        <v>125.481888</v>
      </c>
      <c r="AO72">
        <f t="shared" si="25"/>
        <v>0.67164179104477617</v>
      </c>
    </row>
    <row r="73" spans="1:41" x14ac:dyDescent="0.35">
      <c r="A73" t="s">
        <v>39</v>
      </c>
      <c r="B73">
        <v>6</v>
      </c>
      <c r="C73">
        <v>2</v>
      </c>
      <c r="D73" t="s">
        <v>40</v>
      </c>
      <c r="E73">
        <v>2</v>
      </c>
      <c r="F73">
        <v>1</v>
      </c>
      <c r="G73" s="16">
        <v>39</v>
      </c>
      <c r="H73" s="16">
        <v>10.715999999999999</v>
      </c>
      <c r="I73" s="16">
        <v>2030</v>
      </c>
      <c r="J73" s="16">
        <v>13.387</v>
      </c>
      <c r="K73" s="16">
        <v>28.573</v>
      </c>
      <c r="L73" s="16">
        <v>5.8999999999999997E-2</v>
      </c>
      <c r="M73" s="23">
        <v>119.14</v>
      </c>
      <c r="N73" s="16">
        <v>0.13400000000000001</v>
      </c>
      <c r="O73" s="17">
        <v>3.0550000000000002</v>
      </c>
      <c r="P73" s="18">
        <v>39</v>
      </c>
      <c r="Q73" s="18">
        <v>13.387</v>
      </c>
      <c r="R73" s="18">
        <v>114.48699999999999</v>
      </c>
      <c r="S73" s="18">
        <v>4.6529999999999996</v>
      </c>
      <c r="T73" s="14" t="b">
        <f t="shared" si="18"/>
        <v>1</v>
      </c>
      <c r="U73" s="14" t="b">
        <f t="shared" si="19"/>
        <v>1</v>
      </c>
      <c r="V73" s="15">
        <f>VLOOKUP(IF(J73&lt;10, 10, IF(J73&gt;50,50,J73)),'Over to underbark'!$A$3:$C$43,IF(A73="Scots pine",3,IF(A73="Sitka spruce",2, "error")),TRUE)/100</f>
        <v>0.79</v>
      </c>
      <c r="W73">
        <f t="shared" si="16"/>
        <v>81.400256999999996</v>
      </c>
      <c r="X73">
        <f t="shared" si="17"/>
        <v>3.3082829999999999</v>
      </c>
      <c r="Y73">
        <f t="shared" si="20"/>
        <v>22.517459999999996</v>
      </c>
      <c r="Z73">
        <f t="shared" si="13"/>
        <v>69.411848939999985</v>
      </c>
      <c r="AA73">
        <f t="shared" si="14"/>
        <v>35.829181259999999</v>
      </c>
      <c r="AB73">
        <f t="shared" si="15"/>
        <v>1.9849697999999998</v>
      </c>
      <c r="AC73">
        <f>LOOKUP($A73,'Over to underbark'!$A$47:$A$48,'Over to underbark'!E$47:E$48)*Z73</f>
        <v>29.152976554799992</v>
      </c>
      <c r="AD73">
        <f>LOOKUP($A73,'Over to underbark'!$A$47:$A$48,'Over to underbark'!E$47:E$48)*AA73</f>
        <v>15.048256129199999</v>
      </c>
      <c r="AE73">
        <f>LOOKUP($A73,'Over to underbark'!$A$47:$A$48,'Over to underbark'!E$47:E$48)*AB73</f>
        <v>0.8336873159999999</v>
      </c>
      <c r="AF73" t="b">
        <f t="shared" si="21"/>
        <v>1</v>
      </c>
      <c r="AG73" t="b">
        <f t="shared" si="22"/>
        <v>1</v>
      </c>
      <c r="AH73">
        <f>LOOKUP(A73,'Over to underbark'!$A$47:$A$48,'Over to underbark'!E$47:E$48)*M73</f>
        <v>50.038799999999995</v>
      </c>
      <c r="AI73" s="27">
        <f>LOOKUP(A73,'Over to underbark'!$A$47:$A$48,'Over to underbark'!$B$47:$B$48)*AH73</f>
        <v>17.013192</v>
      </c>
      <c r="AJ73" s="27">
        <f>LOOKUP(A74,'Over to underbark'!$A$47:$A$48,'Over to underbark'!C$47:C$48)*AH73</f>
        <v>17.513579999999997</v>
      </c>
      <c r="AK73" s="27">
        <f t="shared" si="23"/>
        <v>67.051991999999998</v>
      </c>
      <c r="AL73" s="33">
        <v>159.65</v>
      </c>
      <c r="AM73" s="28">
        <f t="shared" si="24"/>
        <v>134.103984</v>
      </c>
      <c r="AO73">
        <f t="shared" si="25"/>
        <v>0.67164179104477606</v>
      </c>
    </row>
    <row r="74" spans="1:41" x14ac:dyDescent="0.35">
      <c r="A74" t="s">
        <v>39</v>
      </c>
      <c r="B74">
        <v>6</v>
      </c>
      <c r="C74">
        <v>2</v>
      </c>
      <c r="D74" t="s">
        <v>40</v>
      </c>
      <c r="E74">
        <v>2</v>
      </c>
      <c r="F74">
        <v>1</v>
      </c>
      <c r="G74" s="16">
        <v>40</v>
      </c>
      <c r="H74" s="16">
        <v>11</v>
      </c>
      <c r="I74" s="16">
        <v>2006</v>
      </c>
      <c r="J74" s="16">
        <v>13.69</v>
      </c>
      <c r="K74" s="16">
        <v>29.527999999999999</v>
      </c>
      <c r="L74" s="16">
        <v>6.3E-2</v>
      </c>
      <c r="M74" s="23">
        <v>126.8</v>
      </c>
      <c r="N74" s="16">
        <v>0.157</v>
      </c>
      <c r="O74" s="17">
        <v>3.17</v>
      </c>
      <c r="P74" s="18">
        <v>40</v>
      </c>
      <c r="Q74" s="18">
        <v>13.69</v>
      </c>
      <c r="R74" s="18">
        <v>119.63500000000001</v>
      </c>
      <c r="S74" s="18">
        <v>7.165</v>
      </c>
      <c r="T74" s="14" t="b">
        <f t="shared" si="18"/>
        <v>1</v>
      </c>
      <c r="U74" s="14" t="b">
        <f t="shared" si="19"/>
        <v>1</v>
      </c>
      <c r="V74" s="15">
        <f>VLOOKUP(IF(J74&lt;10, 10, IF(J74&gt;50,50,J74)),'Over to underbark'!$A$3:$C$43,IF(A74="Scots pine",3,IF(A74="Sitka spruce",2, "error")),TRUE)/100</f>
        <v>0.79</v>
      </c>
      <c r="W74">
        <f t="shared" si="16"/>
        <v>85.060485000000014</v>
      </c>
      <c r="X74">
        <f t="shared" si="17"/>
        <v>5.0943149999999999</v>
      </c>
      <c r="Y74">
        <f t="shared" si="20"/>
        <v>23.965199999999999</v>
      </c>
      <c r="Z74">
        <f t="shared" si="13"/>
        <v>73.213823699999992</v>
      </c>
      <c r="AA74">
        <f t="shared" si="14"/>
        <v>37.849587300000003</v>
      </c>
      <c r="AB74">
        <f t="shared" si="15"/>
        <v>3.0565889999999998</v>
      </c>
      <c r="AC74">
        <f>LOOKUP($A74,'Over to underbark'!$A$47:$A$48,'Over to underbark'!E$47:E$48)*Z74</f>
        <v>30.749805953999996</v>
      </c>
      <c r="AD74">
        <f>LOOKUP($A74,'Over to underbark'!$A$47:$A$48,'Over to underbark'!E$47:E$48)*AA74</f>
        <v>15.896826666000001</v>
      </c>
      <c r="AE74">
        <f>LOOKUP($A74,'Over to underbark'!$A$47:$A$48,'Over to underbark'!E$47:E$48)*AB74</f>
        <v>1.2837673799999998</v>
      </c>
      <c r="AF74" t="b">
        <f t="shared" si="21"/>
        <v>1</v>
      </c>
      <c r="AG74" t="b">
        <f t="shared" si="22"/>
        <v>1</v>
      </c>
      <c r="AH74">
        <f>LOOKUP(A74,'Over to underbark'!$A$47:$A$48,'Over to underbark'!E$47:E$48)*M74</f>
        <v>53.256</v>
      </c>
      <c r="AI74" s="27">
        <f>LOOKUP(A74,'Over to underbark'!$A$47:$A$48,'Over to underbark'!$B$47:$B$48)*AH74</f>
        <v>18.107040000000001</v>
      </c>
      <c r="AJ74" s="27">
        <f>LOOKUP(A75,'Over to underbark'!$A$47:$A$48,'Over to underbark'!C$47:C$48)*AH74</f>
        <v>18.639599999999998</v>
      </c>
      <c r="AK74" s="27">
        <f t="shared" si="23"/>
        <v>71.363039999999998</v>
      </c>
      <c r="AL74" s="33">
        <v>169.91</v>
      </c>
      <c r="AM74" s="28">
        <f t="shared" si="24"/>
        <v>142.72608</v>
      </c>
      <c r="AO74">
        <f t="shared" si="25"/>
        <v>0.67164179104477617</v>
      </c>
    </row>
    <row r="75" spans="1:41" x14ac:dyDescent="0.35">
      <c r="A75" t="s">
        <v>39</v>
      </c>
      <c r="B75">
        <v>6</v>
      </c>
      <c r="C75">
        <v>2</v>
      </c>
      <c r="D75" t="s">
        <v>40</v>
      </c>
      <c r="E75">
        <v>2</v>
      </c>
      <c r="F75">
        <v>1</v>
      </c>
      <c r="G75" s="16">
        <v>41</v>
      </c>
      <c r="H75" s="16">
        <v>11.257999999999999</v>
      </c>
      <c r="I75" s="16">
        <v>1984</v>
      </c>
      <c r="J75" s="16">
        <v>13.984</v>
      </c>
      <c r="K75" s="16">
        <v>30.472000000000001</v>
      </c>
      <c r="L75" s="16">
        <v>6.8000000000000005E-2</v>
      </c>
      <c r="M75" s="23">
        <v>135.16</v>
      </c>
      <c r="N75" s="16">
        <v>0.251</v>
      </c>
      <c r="O75" s="17">
        <v>3.2970000000000002</v>
      </c>
      <c r="P75" s="18">
        <v>41</v>
      </c>
      <c r="Q75" s="18">
        <v>13.984</v>
      </c>
      <c r="R75" s="18">
        <v>125.199</v>
      </c>
      <c r="S75" s="18">
        <v>9.9610000000000003</v>
      </c>
      <c r="T75" s="14" t="b">
        <f t="shared" si="18"/>
        <v>1</v>
      </c>
      <c r="U75" s="14" t="b">
        <f t="shared" si="19"/>
        <v>1</v>
      </c>
      <c r="V75" s="15">
        <f>VLOOKUP(IF(J75&lt;10, 10, IF(J75&gt;50,50,J75)),'Over to underbark'!$A$3:$C$43,IF(A75="Scots pine",3,IF(A75="Sitka spruce",2, "error")),TRUE)/100</f>
        <v>0.79</v>
      </c>
      <c r="W75">
        <f t="shared" si="16"/>
        <v>89.016489000000007</v>
      </c>
      <c r="X75">
        <f t="shared" si="17"/>
        <v>7.0822710000000004</v>
      </c>
      <c r="Y75">
        <f t="shared" si="20"/>
        <v>25.545239999999996</v>
      </c>
      <c r="Z75">
        <f t="shared" si="13"/>
        <v>77.346979379999993</v>
      </c>
      <c r="AA75">
        <f t="shared" si="14"/>
        <v>40.04765802</v>
      </c>
      <c r="AB75">
        <f t="shared" si="15"/>
        <v>4.2493626000000004</v>
      </c>
      <c r="AC75">
        <f>LOOKUP($A75,'Over to underbark'!$A$47:$A$48,'Over to underbark'!E$47:E$48)*Z75</f>
        <v>32.485731339599994</v>
      </c>
      <c r="AD75">
        <f>LOOKUP($A75,'Over to underbark'!$A$47:$A$48,'Over to underbark'!E$47:E$48)*AA75</f>
        <v>16.820016368400001</v>
      </c>
      <c r="AE75">
        <f>LOOKUP($A75,'Over to underbark'!$A$47:$A$48,'Over to underbark'!E$47:E$48)*AB75</f>
        <v>1.7847322920000002</v>
      </c>
      <c r="AF75" t="b">
        <f t="shared" si="21"/>
        <v>1</v>
      </c>
      <c r="AG75" t="b">
        <f t="shared" si="22"/>
        <v>1</v>
      </c>
      <c r="AH75">
        <f>LOOKUP(A75,'Over to underbark'!$A$47:$A$48,'Over to underbark'!E$47:E$48)*M75</f>
        <v>56.767199999999995</v>
      </c>
      <c r="AI75" s="27">
        <f>LOOKUP(A75,'Over to underbark'!$A$47:$A$48,'Over to underbark'!$B$47:$B$48)*AH75</f>
        <v>19.300847999999998</v>
      </c>
      <c r="AJ75" s="27">
        <f>LOOKUP(A76,'Over to underbark'!$A$47:$A$48,'Over to underbark'!C$47:C$48)*AH75</f>
        <v>19.868519999999997</v>
      </c>
      <c r="AK75" s="27">
        <f t="shared" si="23"/>
        <v>76.06804799999999</v>
      </c>
      <c r="AL75" s="33">
        <v>181.11</v>
      </c>
      <c r="AM75" s="28">
        <f t="shared" si="24"/>
        <v>152.13609599999998</v>
      </c>
      <c r="AO75">
        <f t="shared" si="25"/>
        <v>0.67164179104477617</v>
      </c>
    </row>
    <row r="76" spans="1:41" x14ac:dyDescent="0.35">
      <c r="A76" t="s">
        <v>39</v>
      </c>
      <c r="B76">
        <v>6</v>
      </c>
      <c r="C76">
        <v>2</v>
      </c>
      <c r="D76" t="s">
        <v>40</v>
      </c>
      <c r="E76">
        <v>2</v>
      </c>
      <c r="F76">
        <v>1</v>
      </c>
      <c r="G76" s="16">
        <v>42</v>
      </c>
      <c r="H76" s="16">
        <v>11.516</v>
      </c>
      <c r="I76" s="16">
        <v>1963</v>
      </c>
      <c r="J76" s="16">
        <v>14.275</v>
      </c>
      <c r="K76" s="16">
        <v>31.417000000000002</v>
      </c>
      <c r="L76" s="16">
        <v>7.2999999999999995E-2</v>
      </c>
      <c r="M76" s="23">
        <v>143.52000000000001</v>
      </c>
      <c r="N76" s="16">
        <v>0.33300000000000002</v>
      </c>
      <c r="O76" s="17">
        <v>3.4169999999999998</v>
      </c>
      <c r="P76" s="18">
        <v>42</v>
      </c>
      <c r="Q76" s="18">
        <v>14.275</v>
      </c>
      <c r="R76" s="18">
        <v>130.471</v>
      </c>
      <c r="S76" s="18">
        <v>13.048999999999999</v>
      </c>
      <c r="T76" s="14" t="b">
        <f t="shared" si="18"/>
        <v>1</v>
      </c>
      <c r="U76" s="14" t="b">
        <f t="shared" si="19"/>
        <v>1</v>
      </c>
      <c r="V76" s="15">
        <f>VLOOKUP(IF(J76&lt;10, 10, IF(J76&gt;50,50,J76)),'Over to underbark'!$A$3:$C$43,IF(A76="Scots pine",3,IF(A76="Sitka spruce",2, "error")),TRUE)/100</f>
        <v>0.82</v>
      </c>
      <c r="W76">
        <f t="shared" si="16"/>
        <v>96.287598000000003</v>
      </c>
      <c r="X76">
        <f t="shared" si="17"/>
        <v>9.6301619999999986</v>
      </c>
      <c r="Y76">
        <f t="shared" si="20"/>
        <v>23.250240000000009</v>
      </c>
      <c r="Z76">
        <f t="shared" si="13"/>
        <v>79.578695160000009</v>
      </c>
      <c r="AA76">
        <f t="shared" si="14"/>
        <v>43.811207640000006</v>
      </c>
      <c r="AB76">
        <f t="shared" si="15"/>
        <v>5.7780971999999986</v>
      </c>
      <c r="AC76">
        <f>LOOKUP($A76,'Over to underbark'!$A$47:$A$48,'Over to underbark'!E$47:E$48)*Z76</f>
        <v>33.423051967200003</v>
      </c>
      <c r="AD76">
        <f>LOOKUP($A76,'Over to underbark'!$A$47:$A$48,'Over to underbark'!E$47:E$48)*AA76</f>
        <v>18.400707208800004</v>
      </c>
      <c r="AE76">
        <f>LOOKUP($A76,'Over to underbark'!$A$47:$A$48,'Over to underbark'!E$47:E$48)*AB76</f>
        <v>2.4268008239999994</v>
      </c>
      <c r="AF76" t="b">
        <f t="shared" si="21"/>
        <v>1</v>
      </c>
      <c r="AG76" t="b">
        <f t="shared" si="22"/>
        <v>1</v>
      </c>
      <c r="AH76">
        <f>LOOKUP(A76,'Over to underbark'!$A$47:$A$48,'Over to underbark'!E$47:E$48)*M76</f>
        <v>60.278400000000005</v>
      </c>
      <c r="AI76" s="27">
        <f>LOOKUP(A76,'Over to underbark'!$A$47:$A$48,'Over to underbark'!$B$47:$B$48)*AH76</f>
        <v>20.494656000000003</v>
      </c>
      <c r="AJ76" s="27">
        <f>LOOKUP(A77,'Over to underbark'!$A$47:$A$48,'Over to underbark'!C$47:C$48)*AH76</f>
        <v>21.097439999999999</v>
      </c>
      <c r="AK76" s="27">
        <f t="shared" si="23"/>
        <v>80.773056000000011</v>
      </c>
      <c r="AL76" s="33">
        <v>192.32</v>
      </c>
      <c r="AM76" s="28">
        <f t="shared" si="24"/>
        <v>161.54611200000002</v>
      </c>
      <c r="AO76">
        <f t="shared" si="25"/>
        <v>0.67164179104477617</v>
      </c>
    </row>
    <row r="77" spans="1:41" x14ac:dyDescent="0.35">
      <c r="A77" t="s">
        <v>39</v>
      </c>
      <c r="B77">
        <v>6</v>
      </c>
      <c r="C77">
        <v>2</v>
      </c>
      <c r="D77" t="s">
        <v>40</v>
      </c>
      <c r="E77">
        <v>2</v>
      </c>
      <c r="F77">
        <v>1</v>
      </c>
      <c r="G77" s="16">
        <v>43</v>
      </c>
      <c r="H77" s="16">
        <v>11.773999999999999</v>
      </c>
      <c r="I77" s="16">
        <v>1942</v>
      </c>
      <c r="J77" s="16">
        <v>14.566000000000001</v>
      </c>
      <c r="K77" s="16">
        <v>32.360999999999997</v>
      </c>
      <c r="L77" s="16">
        <v>7.8E-2</v>
      </c>
      <c r="M77" s="23">
        <v>151.88</v>
      </c>
      <c r="N77" s="16">
        <v>0.40699999999999997</v>
      </c>
      <c r="O77" s="17">
        <v>3.532</v>
      </c>
      <c r="P77" s="18">
        <v>43</v>
      </c>
      <c r="Q77" s="18">
        <v>14.566000000000001</v>
      </c>
      <c r="R77" s="18">
        <v>135.42699999999999</v>
      </c>
      <c r="S77" s="18">
        <v>16.452999999999999</v>
      </c>
      <c r="T77" s="14" t="b">
        <f t="shared" si="18"/>
        <v>1</v>
      </c>
      <c r="U77" s="14" t="b">
        <f t="shared" si="19"/>
        <v>1</v>
      </c>
      <c r="V77" s="15">
        <f>VLOOKUP(IF(J77&lt;10, 10, IF(J77&gt;50,50,J77)),'Over to underbark'!$A$3:$C$43,IF(A77="Scots pine",3,IF(A77="Sitka spruce",2, "error")),TRUE)/100</f>
        <v>0.82</v>
      </c>
      <c r="W77">
        <f t="shared" si="16"/>
        <v>99.945125999999988</v>
      </c>
      <c r="X77">
        <f t="shared" si="17"/>
        <v>12.142313999999999</v>
      </c>
      <c r="Y77">
        <f t="shared" si="20"/>
        <v>24.604560000000006</v>
      </c>
      <c r="Z77">
        <f t="shared" si="13"/>
        <v>83.394628919999988</v>
      </c>
      <c r="AA77">
        <f t="shared" si="14"/>
        <v>46.011982679999996</v>
      </c>
      <c r="AB77">
        <f t="shared" si="15"/>
        <v>7.2853883999999987</v>
      </c>
      <c r="AC77">
        <f>LOOKUP($A77,'Over to underbark'!$A$47:$A$48,'Over to underbark'!E$47:E$48)*Z77</f>
        <v>35.025744146399994</v>
      </c>
      <c r="AD77">
        <f>LOOKUP($A77,'Over to underbark'!$A$47:$A$48,'Over to underbark'!E$47:E$48)*AA77</f>
        <v>19.325032725599996</v>
      </c>
      <c r="AE77">
        <f>LOOKUP($A77,'Over to underbark'!$A$47:$A$48,'Over to underbark'!E$47:E$48)*AB77</f>
        <v>3.0598631279999995</v>
      </c>
      <c r="AF77" t="b">
        <f t="shared" si="21"/>
        <v>1</v>
      </c>
      <c r="AG77" t="b">
        <f t="shared" si="22"/>
        <v>1</v>
      </c>
      <c r="AH77">
        <f>LOOKUP(A77,'Over to underbark'!$A$47:$A$48,'Over to underbark'!E$47:E$48)*M77</f>
        <v>63.789599999999993</v>
      </c>
      <c r="AI77" s="27">
        <f>LOOKUP(A77,'Over to underbark'!$A$47:$A$48,'Over to underbark'!$B$47:$B$48)*AH77</f>
        <v>21.688464</v>
      </c>
      <c r="AJ77" s="27">
        <f>LOOKUP(A78,'Over to underbark'!$A$47:$A$48,'Over to underbark'!C$47:C$48)*AH77</f>
        <v>22.326359999999998</v>
      </c>
      <c r="AK77" s="27">
        <f t="shared" si="23"/>
        <v>85.478063999999989</v>
      </c>
      <c r="AL77" s="33">
        <v>203.52</v>
      </c>
      <c r="AM77" s="28">
        <f t="shared" si="24"/>
        <v>170.95612799999998</v>
      </c>
      <c r="AO77">
        <f t="shared" si="25"/>
        <v>0.67164179104477606</v>
      </c>
    </row>
    <row r="78" spans="1:41" x14ac:dyDescent="0.35">
      <c r="A78" t="s">
        <v>39</v>
      </c>
      <c r="B78">
        <v>6</v>
      </c>
      <c r="C78">
        <v>2</v>
      </c>
      <c r="D78" t="s">
        <v>40</v>
      </c>
      <c r="E78">
        <v>2</v>
      </c>
      <c r="F78">
        <v>1</v>
      </c>
      <c r="G78" s="16">
        <v>44</v>
      </c>
      <c r="H78" s="16">
        <v>12.032</v>
      </c>
      <c r="I78" s="16">
        <v>1921</v>
      </c>
      <c r="J78" s="16">
        <v>14.858000000000001</v>
      </c>
      <c r="K78" s="16">
        <v>33.305999999999997</v>
      </c>
      <c r="L78" s="16">
        <v>8.3000000000000004E-2</v>
      </c>
      <c r="M78" s="23">
        <v>160.24</v>
      </c>
      <c r="N78" s="16">
        <v>0.47199999999999998</v>
      </c>
      <c r="O78" s="17">
        <v>3.6419999999999999</v>
      </c>
      <c r="P78" s="18">
        <v>44</v>
      </c>
      <c r="Q78" s="18">
        <v>14.858000000000001</v>
      </c>
      <c r="R78" s="18">
        <v>140.059</v>
      </c>
      <c r="S78" s="18">
        <v>20.181000000000001</v>
      </c>
      <c r="T78" s="14" t="b">
        <f t="shared" si="18"/>
        <v>1</v>
      </c>
      <c r="U78" s="14" t="b">
        <f t="shared" si="19"/>
        <v>1</v>
      </c>
      <c r="V78" s="15">
        <f>VLOOKUP(IF(J78&lt;10, 10, IF(J78&gt;50,50,J78)),'Over to underbark'!$A$3:$C$43,IF(A78="Scots pine",3,IF(A78="Sitka spruce",2, "error")),TRUE)/100</f>
        <v>0.82</v>
      </c>
      <c r="W78">
        <f t="shared" si="16"/>
        <v>103.363542</v>
      </c>
      <c r="X78">
        <f t="shared" si="17"/>
        <v>14.893578</v>
      </c>
      <c r="Y78">
        <f t="shared" si="20"/>
        <v>25.958880000000008</v>
      </c>
      <c r="Z78">
        <f t="shared" si="13"/>
        <v>87.110135639999996</v>
      </c>
      <c r="AA78">
        <f t="shared" si="14"/>
        <v>48.169717559999995</v>
      </c>
      <c r="AB78">
        <f t="shared" si="15"/>
        <v>8.9361467999999995</v>
      </c>
      <c r="AC78">
        <f>LOOKUP($A78,'Over to underbark'!$A$47:$A$48,'Over to underbark'!E$47:E$48)*Z78</f>
        <v>36.586256968799994</v>
      </c>
      <c r="AD78">
        <f>LOOKUP($A78,'Over to underbark'!$A$47:$A$48,'Over to underbark'!E$47:E$48)*AA78</f>
        <v>20.231281375199998</v>
      </c>
      <c r="AE78">
        <f>LOOKUP($A78,'Over to underbark'!$A$47:$A$48,'Over to underbark'!E$47:E$48)*AB78</f>
        <v>3.7531816559999998</v>
      </c>
      <c r="AF78" t="b">
        <f t="shared" si="21"/>
        <v>1</v>
      </c>
      <c r="AG78" t="b">
        <f t="shared" si="22"/>
        <v>1</v>
      </c>
      <c r="AH78">
        <f>LOOKUP(A78,'Over to underbark'!$A$47:$A$48,'Over to underbark'!E$47:E$48)*M78</f>
        <v>67.300799999999995</v>
      </c>
      <c r="AI78" s="27">
        <f>LOOKUP(A78,'Over to underbark'!$A$47:$A$48,'Over to underbark'!$B$47:$B$48)*AH78</f>
        <v>22.882272</v>
      </c>
      <c r="AJ78" s="27">
        <f>LOOKUP(A79,'Over to underbark'!$A$47:$A$48,'Over to underbark'!C$47:C$48)*AH78</f>
        <v>23.555279999999996</v>
      </c>
      <c r="AK78" s="27">
        <f t="shared" si="23"/>
        <v>90.183071999999996</v>
      </c>
      <c r="AL78" s="33">
        <v>214.72</v>
      </c>
      <c r="AM78" s="28">
        <f t="shared" si="24"/>
        <v>180.36614399999999</v>
      </c>
      <c r="AO78">
        <f t="shared" si="25"/>
        <v>0.67164179104477606</v>
      </c>
    </row>
    <row r="79" spans="1:41" x14ac:dyDescent="0.35">
      <c r="A79" t="s">
        <v>39</v>
      </c>
      <c r="B79">
        <v>6</v>
      </c>
      <c r="C79">
        <v>2</v>
      </c>
      <c r="D79" t="s">
        <v>40</v>
      </c>
      <c r="E79">
        <v>2</v>
      </c>
      <c r="F79">
        <v>1</v>
      </c>
      <c r="G79" s="16">
        <v>45</v>
      </c>
      <c r="H79" s="16">
        <v>12.29</v>
      </c>
      <c r="I79" s="16">
        <v>1900</v>
      </c>
      <c r="J79" s="16">
        <v>15.15</v>
      </c>
      <c r="K79" s="16">
        <v>34.250999999999998</v>
      </c>
      <c r="L79" s="16">
        <v>8.8999999999999996E-2</v>
      </c>
      <c r="M79" s="23">
        <v>168.6</v>
      </c>
      <c r="N79" s="16">
        <v>0.53100000000000003</v>
      </c>
      <c r="O79" s="17">
        <v>3.7469999999999999</v>
      </c>
      <c r="P79" s="18">
        <v>45</v>
      </c>
      <c r="Q79" s="18">
        <v>15.15</v>
      </c>
      <c r="R79" s="18">
        <v>144.375</v>
      </c>
      <c r="S79" s="18">
        <v>24.225000000000001</v>
      </c>
      <c r="T79" s="14" t="b">
        <f t="shared" si="18"/>
        <v>1</v>
      </c>
      <c r="U79" s="14" t="b">
        <f t="shared" si="19"/>
        <v>1</v>
      </c>
      <c r="V79" s="15">
        <f>VLOOKUP(IF(J79&lt;10, 10, IF(J79&gt;50,50,J79)),'Over to underbark'!$A$3:$C$43,IF(A79="Scots pine",3,IF(A79="Sitka spruce",2, "error")),TRUE)/100</f>
        <v>0.84</v>
      </c>
      <c r="W79">
        <f t="shared" si="16"/>
        <v>109.14749999999999</v>
      </c>
      <c r="X79">
        <f t="shared" si="17"/>
        <v>18.3141</v>
      </c>
      <c r="Y79">
        <f t="shared" si="20"/>
        <v>24.278400000000005</v>
      </c>
      <c r="Z79">
        <f t="shared" si="13"/>
        <v>89.239589999999993</v>
      </c>
      <c r="AA79">
        <f t="shared" si="14"/>
        <v>51.511949999999999</v>
      </c>
      <c r="AB79">
        <f t="shared" si="15"/>
        <v>10.98846</v>
      </c>
      <c r="AC79">
        <f>LOOKUP($A79,'Over to underbark'!$A$47:$A$48,'Over to underbark'!E$47:E$48)*Z79</f>
        <v>37.480627799999993</v>
      </c>
      <c r="AD79">
        <f>LOOKUP($A79,'Over to underbark'!$A$47:$A$48,'Over to underbark'!E$47:E$48)*AA79</f>
        <v>21.635019</v>
      </c>
      <c r="AE79">
        <f>LOOKUP($A79,'Over to underbark'!$A$47:$A$48,'Over to underbark'!E$47:E$48)*AB79</f>
        <v>4.6151532</v>
      </c>
      <c r="AF79" t="b">
        <f t="shared" si="21"/>
        <v>1</v>
      </c>
      <c r="AG79" t="b">
        <f t="shared" si="22"/>
        <v>1</v>
      </c>
      <c r="AH79">
        <f>LOOKUP(A79,'Over to underbark'!$A$47:$A$48,'Over to underbark'!E$47:E$48)*M79</f>
        <v>70.811999999999998</v>
      </c>
      <c r="AI79" s="27">
        <f>LOOKUP(A79,'Over to underbark'!$A$47:$A$48,'Over to underbark'!$B$47:$B$48)*AH79</f>
        <v>24.076080000000001</v>
      </c>
      <c r="AJ79" s="27">
        <f>LOOKUP(A80,'Over to underbark'!$A$47:$A$48,'Over to underbark'!C$47:C$48)*AH79</f>
        <v>24.784199999999998</v>
      </c>
      <c r="AK79" s="27">
        <f t="shared" si="23"/>
        <v>94.888080000000002</v>
      </c>
      <c r="AL79" s="33">
        <v>225.92</v>
      </c>
      <c r="AM79" s="28">
        <f t="shared" si="24"/>
        <v>189.77616</v>
      </c>
      <c r="AO79">
        <f t="shared" si="25"/>
        <v>0.67164179104477606</v>
      </c>
    </row>
    <row r="80" spans="1:41" x14ac:dyDescent="0.35">
      <c r="A80" t="s">
        <v>39</v>
      </c>
      <c r="B80">
        <v>6</v>
      </c>
      <c r="C80">
        <v>2</v>
      </c>
      <c r="D80" t="s">
        <v>40</v>
      </c>
      <c r="E80">
        <v>2</v>
      </c>
      <c r="F80">
        <v>1</v>
      </c>
      <c r="G80" s="16">
        <v>46</v>
      </c>
      <c r="H80" s="16">
        <v>12.53</v>
      </c>
      <c r="I80" s="16">
        <v>1880</v>
      </c>
      <c r="J80" s="16">
        <v>15.427</v>
      </c>
      <c r="K80" s="16">
        <v>35.14</v>
      </c>
      <c r="L80" s="16">
        <v>9.4E-2</v>
      </c>
      <c r="M80" s="23">
        <v>177.3</v>
      </c>
      <c r="N80" s="16">
        <v>0.628</v>
      </c>
      <c r="O80" s="17">
        <v>3.8540000000000001</v>
      </c>
      <c r="P80" s="18">
        <v>46</v>
      </c>
      <c r="Q80" s="18">
        <v>15.427</v>
      </c>
      <c r="R80" s="18">
        <v>148.827</v>
      </c>
      <c r="S80" s="18">
        <v>28.472999999999999</v>
      </c>
      <c r="T80" s="14" t="b">
        <f t="shared" si="18"/>
        <v>1</v>
      </c>
      <c r="U80" s="14" t="b">
        <f t="shared" si="19"/>
        <v>1</v>
      </c>
      <c r="V80" s="15">
        <f>VLOOKUP(IF(J80&lt;10, 10, IF(J80&gt;50,50,J80)),'Over to underbark'!$A$3:$C$43,IF(A80="Scots pine",3,IF(A80="Sitka spruce",2, "error")),TRUE)/100</f>
        <v>0.84</v>
      </c>
      <c r="W80">
        <f t="shared" si="16"/>
        <v>112.513212</v>
      </c>
      <c r="X80">
        <f t="shared" si="17"/>
        <v>21.525587999999999</v>
      </c>
      <c r="Y80">
        <f t="shared" si="20"/>
        <v>25.531200000000009</v>
      </c>
      <c r="Z80">
        <f t="shared" si="13"/>
        <v>92.892569039999998</v>
      </c>
      <c r="AA80">
        <f t="shared" si="14"/>
        <v>53.762078159999994</v>
      </c>
      <c r="AB80">
        <f t="shared" si="15"/>
        <v>12.915352799999999</v>
      </c>
      <c r="AC80">
        <f>LOOKUP($A80,'Over to underbark'!$A$47:$A$48,'Over to underbark'!E$47:E$48)*Z80</f>
        <v>39.0148789968</v>
      </c>
      <c r="AD80">
        <f>LOOKUP($A80,'Over to underbark'!$A$47:$A$48,'Over to underbark'!E$47:E$48)*AA80</f>
        <v>22.580072827199995</v>
      </c>
      <c r="AE80">
        <f>LOOKUP($A80,'Over to underbark'!$A$47:$A$48,'Over to underbark'!E$47:E$48)*AB80</f>
        <v>5.4244481759999994</v>
      </c>
      <c r="AF80" t="b">
        <f t="shared" si="21"/>
        <v>1</v>
      </c>
      <c r="AG80" t="b">
        <f t="shared" si="22"/>
        <v>1</v>
      </c>
      <c r="AH80">
        <f>LOOKUP(A80,'Over to underbark'!$A$47:$A$48,'Over to underbark'!E$47:E$48)*M80</f>
        <v>74.466000000000008</v>
      </c>
      <c r="AI80" s="27">
        <f>LOOKUP(A80,'Over to underbark'!$A$47:$A$48,'Over to underbark'!$B$47:$B$48)*AH80</f>
        <v>25.318440000000006</v>
      </c>
      <c r="AJ80" s="27">
        <f>LOOKUP(A81,'Over to underbark'!$A$47:$A$48,'Over to underbark'!C$47:C$48)*AH80</f>
        <v>26.063100000000002</v>
      </c>
      <c r="AK80" s="27">
        <f t="shared" si="23"/>
        <v>99.784440000000018</v>
      </c>
      <c r="AL80" s="33">
        <v>237.58</v>
      </c>
      <c r="AM80" s="28">
        <f t="shared" si="24"/>
        <v>199.56888000000004</v>
      </c>
      <c r="AO80">
        <f t="shared" si="25"/>
        <v>0.67164179104477595</v>
      </c>
    </row>
    <row r="81" spans="1:41" x14ac:dyDescent="0.35">
      <c r="A81" t="s">
        <v>39</v>
      </c>
      <c r="B81">
        <v>6</v>
      </c>
      <c r="C81">
        <v>2</v>
      </c>
      <c r="D81" t="s">
        <v>40</v>
      </c>
      <c r="E81">
        <v>2</v>
      </c>
      <c r="F81">
        <v>1</v>
      </c>
      <c r="G81" s="16">
        <v>47</v>
      </c>
      <c r="H81" s="16">
        <v>12.77</v>
      </c>
      <c r="I81" s="16">
        <v>1860</v>
      </c>
      <c r="J81" s="16">
        <v>15.705</v>
      </c>
      <c r="K81" s="16">
        <v>36.029000000000003</v>
      </c>
      <c r="L81" s="16">
        <v>0.1</v>
      </c>
      <c r="M81" s="23">
        <v>186</v>
      </c>
      <c r="N81" s="16">
        <v>0.71499999999999997</v>
      </c>
      <c r="O81" s="17">
        <v>3.9569999999999999</v>
      </c>
      <c r="P81" s="18">
        <v>47</v>
      </c>
      <c r="Q81" s="18">
        <v>15.705</v>
      </c>
      <c r="R81" s="18">
        <v>152.96299999999999</v>
      </c>
      <c r="S81" s="18">
        <v>33.036999999999999</v>
      </c>
      <c r="T81" s="14" t="b">
        <f t="shared" si="18"/>
        <v>1</v>
      </c>
      <c r="U81" s="14" t="b">
        <f t="shared" si="19"/>
        <v>1</v>
      </c>
      <c r="V81" s="15">
        <f>VLOOKUP(IF(J81&lt;10, 10, IF(J81&gt;50,50,J81)),'Over to underbark'!$A$3:$C$43,IF(A81="Scots pine",3,IF(A81="Sitka spruce",2, "error")),TRUE)/100</f>
        <v>0.84</v>
      </c>
      <c r="W81">
        <f t="shared" si="16"/>
        <v>115.64002799999999</v>
      </c>
      <c r="X81">
        <f t="shared" si="17"/>
        <v>24.975971999999999</v>
      </c>
      <c r="Y81">
        <f t="shared" si="20"/>
        <v>26.784000000000006</v>
      </c>
      <c r="Z81">
        <f t="shared" si="13"/>
        <v>96.445211759999992</v>
      </c>
      <c r="AA81">
        <f t="shared" si="14"/>
        <v>55.969205039999991</v>
      </c>
      <c r="AB81">
        <f t="shared" si="15"/>
        <v>14.985583199999999</v>
      </c>
      <c r="AC81">
        <f>LOOKUP($A81,'Over to underbark'!$A$47:$A$48,'Over to underbark'!E$47:E$48)*Z81</f>
        <v>40.506988939199992</v>
      </c>
      <c r="AD81">
        <f>LOOKUP($A81,'Over to underbark'!$A$47:$A$48,'Over to underbark'!E$47:E$48)*AA81</f>
        <v>23.507066116799997</v>
      </c>
      <c r="AE81">
        <f>LOOKUP($A81,'Over to underbark'!$A$47:$A$48,'Over to underbark'!E$47:E$48)*AB81</f>
        <v>6.2939449439999997</v>
      </c>
      <c r="AF81" t="b">
        <f t="shared" si="21"/>
        <v>1</v>
      </c>
      <c r="AG81" t="b">
        <f t="shared" si="22"/>
        <v>1</v>
      </c>
      <c r="AH81">
        <f>LOOKUP(A81,'Over to underbark'!$A$47:$A$48,'Over to underbark'!E$47:E$48)*M81</f>
        <v>78.11999999999999</v>
      </c>
      <c r="AI81" s="27">
        <f>LOOKUP(A81,'Over to underbark'!$A$47:$A$48,'Over to underbark'!$B$47:$B$48)*AH81</f>
        <v>26.560799999999997</v>
      </c>
      <c r="AJ81" s="27">
        <f>LOOKUP(A82,'Over to underbark'!$A$47:$A$48,'Over to underbark'!C$47:C$48)*AH81</f>
        <v>27.341999999999995</v>
      </c>
      <c r="AK81" s="27">
        <f t="shared" si="23"/>
        <v>104.68079999999999</v>
      </c>
      <c r="AL81" s="33">
        <v>249.24</v>
      </c>
      <c r="AM81" s="28">
        <f t="shared" si="24"/>
        <v>209.36159999999998</v>
      </c>
      <c r="AO81">
        <f t="shared" si="25"/>
        <v>0.67164179104477606</v>
      </c>
    </row>
    <row r="82" spans="1:41" x14ac:dyDescent="0.35">
      <c r="A82" t="s">
        <v>39</v>
      </c>
      <c r="B82">
        <v>6</v>
      </c>
      <c r="C82">
        <v>2</v>
      </c>
      <c r="D82" t="s">
        <v>40</v>
      </c>
      <c r="E82">
        <v>2</v>
      </c>
      <c r="F82">
        <v>1</v>
      </c>
      <c r="G82" s="16">
        <v>48</v>
      </c>
      <c r="H82" s="16">
        <v>13.01</v>
      </c>
      <c r="I82" s="16">
        <v>1840</v>
      </c>
      <c r="J82" s="16">
        <v>15.983000000000001</v>
      </c>
      <c r="K82" s="16">
        <v>36.917999999999999</v>
      </c>
      <c r="L82" s="16">
        <v>0.106</v>
      </c>
      <c r="M82" s="23">
        <v>194.7</v>
      </c>
      <c r="N82" s="16">
        <v>0.79500000000000004</v>
      </c>
      <c r="O82" s="17">
        <v>4.056</v>
      </c>
      <c r="P82" s="18">
        <v>48</v>
      </c>
      <c r="Q82" s="18">
        <v>15.983000000000001</v>
      </c>
      <c r="R82" s="18">
        <v>156.79599999999999</v>
      </c>
      <c r="S82" s="18">
        <v>37.904000000000003</v>
      </c>
      <c r="T82" s="14" t="b">
        <f t="shared" si="18"/>
        <v>1</v>
      </c>
      <c r="U82" s="14" t="b">
        <f t="shared" si="19"/>
        <v>1</v>
      </c>
      <c r="V82" s="15">
        <f>VLOOKUP(IF(J82&lt;10, 10, IF(J82&gt;50,50,J82)),'Over to underbark'!$A$3:$C$43,IF(A82="Scots pine",3,IF(A82="Sitka spruce",2, "error")),TRUE)/100</f>
        <v>0.84</v>
      </c>
      <c r="W82">
        <f t="shared" si="16"/>
        <v>118.53777599999999</v>
      </c>
      <c r="X82">
        <f t="shared" si="17"/>
        <v>28.655424000000004</v>
      </c>
      <c r="Y82">
        <f t="shared" si="20"/>
        <v>28.036800000000003</v>
      </c>
      <c r="Z82">
        <f t="shared" si="13"/>
        <v>99.901645919999993</v>
      </c>
      <c r="AA82">
        <f t="shared" si="14"/>
        <v>58.135099679999996</v>
      </c>
      <c r="AB82">
        <f t="shared" si="15"/>
        <v>17.193254400000001</v>
      </c>
      <c r="AC82">
        <f>LOOKUP($A82,'Over to underbark'!$A$47:$A$48,'Over to underbark'!E$47:E$48)*Z82</f>
        <v>41.958691286399997</v>
      </c>
      <c r="AD82">
        <f>LOOKUP($A82,'Over to underbark'!$A$47:$A$48,'Over to underbark'!E$47:E$48)*AA82</f>
        <v>24.416741865599999</v>
      </c>
      <c r="AE82">
        <f>LOOKUP($A82,'Over to underbark'!$A$47:$A$48,'Over to underbark'!E$47:E$48)*AB82</f>
        <v>7.2211668480000002</v>
      </c>
      <c r="AF82" t="b">
        <f t="shared" si="21"/>
        <v>1</v>
      </c>
      <c r="AG82" t="b">
        <f t="shared" si="22"/>
        <v>1</v>
      </c>
      <c r="AH82">
        <f>LOOKUP(A82,'Over to underbark'!$A$47:$A$48,'Over to underbark'!E$47:E$48)*M82</f>
        <v>81.773999999999987</v>
      </c>
      <c r="AI82" s="27">
        <f>LOOKUP(A82,'Over to underbark'!$A$47:$A$48,'Over to underbark'!$B$47:$B$48)*AH82</f>
        <v>27.803159999999998</v>
      </c>
      <c r="AJ82" s="27">
        <f>LOOKUP(A83,'Over to underbark'!$A$47:$A$48,'Over to underbark'!C$47:C$48)*AH82</f>
        <v>28.620899999999992</v>
      </c>
      <c r="AK82" s="27">
        <f t="shared" si="23"/>
        <v>109.57715999999999</v>
      </c>
      <c r="AL82" s="33">
        <v>260.89999999999998</v>
      </c>
      <c r="AM82" s="28">
        <f t="shared" si="24"/>
        <v>219.15431999999998</v>
      </c>
      <c r="AO82">
        <f t="shared" si="25"/>
        <v>0.67164179104477617</v>
      </c>
    </row>
    <row r="83" spans="1:41" x14ac:dyDescent="0.35">
      <c r="A83" t="s">
        <v>39</v>
      </c>
      <c r="B83">
        <v>6</v>
      </c>
      <c r="C83">
        <v>2</v>
      </c>
      <c r="D83" t="s">
        <v>40</v>
      </c>
      <c r="E83">
        <v>2</v>
      </c>
      <c r="F83">
        <v>1</v>
      </c>
      <c r="G83" s="16">
        <v>49</v>
      </c>
      <c r="H83" s="16">
        <v>13.25</v>
      </c>
      <c r="I83" s="16">
        <v>1820</v>
      </c>
      <c r="J83" s="16">
        <v>16.263000000000002</v>
      </c>
      <c r="K83" s="16">
        <v>37.808</v>
      </c>
      <c r="L83" s="16">
        <v>0.112</v>
      </c>
      <c r="M83" s="23">
        <v>203.4</v>
      </c>
      <c r="N83" s="16">
        <v>0.86799999999999999</v>
      </c>
      <c r="O83" s="17">
        <v>4.1509999999999998</v>
      </c>
      <c r="P83" s="18">
        <v>49</v>
      </c>
      <c r="Q83" s="18">
        <v>16.263000000000002</v>
      </c>
      <c r="R83" s="18">
        <v>160.30600000000001</v>
      </c>
      <c r="S83" s="18">
        <v>43.094000000000001</v>
      </c>
      <c r="T83" s="14" t="b">
        <f t="shared" si="18"/>
        <v>1</v>
      </c>
      <c r="U83" s="14" t="b">
        <f t="shared" si="19"/>
        <v>1</v>
      </c>
      <c r="V83" s="15">
        <f>VLOOKUP(IF(J83&lt;10, 10, IF(J83&gt;50,50,J83)),'Over to underbark'!$A$3:$C$43,IF(A83="Scots pine",3,IF(A83="Sitka spruce",2, "error")),TRUE)/100</f>
        <v>0.84</v>
      </c>
      <c r="W83">
        <f t="shared" si="16"/>
        <v>121.19133600000001</v>
      </c>
      <c r="X83">
        <f t="shared" si="17"/>
        <v>32.579064000000002</v>
      </c>
      <c r="Y83">
        <f t="shared" si="20"/>
        <v>29.289600000000007</v>
      </c>
      <c r="Z83">
        <f t="shared" si="13"/>
        <v>103.25552112</v>
      </c>
      <c r="AA83">
        <f t="shared" si="14"/>
        <v>60.257040480000001</v>
      </c>
      <c r="AB83">
        <f t="shared" si="15"/>
        <v>19.547438400000001</v>
      </c>
      <c r="AC83">
        <f>LOOKUP($A83,'Over to underbark'!$A$47:$A$48,'Over to underbark'!E$47:E$48)*Z83</f>
        <v>43.367318870399998</v>
      </c>
      <c r="AD83">
        <f>LOOKUP($A83,'Over to underbark'!$A$47:$A$48,'Over to underbark'!E$47:E$48)*AA83</f>
        <v>25.307957001599998</v>
      </c>
      <c r="AE83">
        <f>LOOKUP($A83,'Over to underbark'!$A$47:$A$48,'Over to underbark'!E$47:E$48)*AB83</f>
        <v>8.2099241280000008</v>
      </c>
      <c r="AF83" t="b">
        <f t="shared" si="21"/>
        <v>1</v>
      </c>
      <c r="AG83" t="b">
        <f t="shared" si="22"/>
        <v>1</v>
      </c>
      <c r="AH83">
        <f>LOOKUP(A83,'Over to underbark'!$A$47:$A$48,'Over to underbark'!E$47:E$48)*M83</f>
        <v>85.427999999999997</v>
      </c>
      <c r="AI83" s="27">
        <f>LOOKUP(A83,'Over to underbark'!$A$47:$A$48,'Over to underbark'!$B$47:$B$48)*AH83</f>
        <v>29.04552</v>
      </c>
      <c r="AJ83" s="27">
        <f>LOOKUP(A84,'Over to underbark'!$A$47:$A$48,'Over to underbark'!C$47:C$48)*AH83</f>
        <v>29.899799999999995</v>
      </c>
      <c r="AK83" s="27">
        <f t="shared" si="23"/>
        <v>114.47351999999999</v>
      </c>
      <c r="AL83" s="33">
        <v>272.56</v>
      </c>
      <c r="AM83" s="28">
        <f t="shared" si="24"/>
        <v>228.94703999999999</v>
      </c>
      <c r="AO83">
        <f t="shared" si="25"/>
        <v>0.67164179104477617</v>
      </c>
    </row>
    <row r="84" spans="1:41" x14ac:dyDescent="0.35">
      <c r="A84" t="s">
        <v>39</v>
      </c>
      <c r="B84">
        <v>6</v>
      </c>
      <c r="C84">
        <v>2</v>
      </c>
      <c r="D84" t="s">
        <v>40</v>
      </c>
      <c r="E84">
        <v>2</v>
      </c>
      <c r="F84">
        <v>1</v>
      </c>
      <c r="G84" s="16">
        <v>50</v>
      </c>
      <c r="H84" s="16">
        <v>13.49</v>
      </c>
      <c r="I84" s="16">
        <v>1801</v>
      </c>
      <c r="J84" s="16">
        <v>16.54</v>
      </c>
      <c r="K84" s="16">
        <v>38.697000000000003</v>
      </c>
      <c r="L84" s="16">
        <v>0.11799999999999999</v>
      </c>
      <c r="M84" s="23">
        <v>212.1</v>
      </c>
      <c r="N84" s="16">
        <v>0.93400000000000005</v>
      </c>
      <c r="O84" s="17">
        <v>4.242</v>
      </c>
      <c r="P84" s="18">
        <v>50</v>
      </c>
      <c r="Q84" s="18">
        <v>16.54</v>
      </c>
      <c r="R84" s="18">
        <v>163.55799999999999</v>
      </c>
      <c r="S84" s="18">
        <v>48.542000000000002</v>
      </c>
      <c r="T84" s="14" t="b">
        <f t="shared" si="18"/>
        <v>1</v>
      </c>
      <c r="U84" s="14" t="b">
        <f t="shared" si="19"/>
        <v>1</v>
      </c>
      <c r="V84" s="15">
        <f>VLOOKUP(IF(J84&lt;10, 10, IF(J84&gt;50,50,J84)),'Over to underbark'!$A$3:$C$43,IF(A84="Scots pine",3,IF(A84="Sitka spruce",2, "error")),TRUE)/100</f>
        <v>0.84</v>
      </c>
      <c r="W84">
        <f t="shared" si="16"/>
        <v>123.64984800000001</v>
      </c>
      <c r="X84">
        <f t="shared" si="17"/>
        <v>36.697752000000001</v>
      </c>
      <c r="Y84">
        <f t="shared" si="20"/>
        <v>30.542400000000004</v>
      </c>
      <c r="Z84">
        <f t="shared" si="13"/>
        <v>106.52747616000001</v>
      </c>
      <c r="AA84">
        <f t="shared" si="14"/>
        <v>62.343872640000001</v>
      </c>
      <c r="AB84">
        <f t="shared" si="15"/>
        <v>22.018651200000001</v>
      </c>
      <c r="AC84">
        <f>LOOKUP($A84,'Over to underbark'!$A$47:$A$48,'Over to underbark'!E$47:E$48)*Z84</f>
        <v>44.741539987199999</v>
      </c>
      <c r="AD84">
        <f>LOOKUP($A84,'Over to underbark'!$A$47:$A$48,'Over to underbark'!E$47:E$48)*AA84</f>
        <v>26.184426508799998</v>
      </c>
      <c r="AE84">
        <f>LOOKUP($A84,'Over to underbark'!$A$47:$A$48,'Over to underbark'!E$47:E$48)*AB84</f>
        <v>9.2478335040000008</v>
      </c>
      <c r="AF84" t="b">
        <f t="shared" si="21"/>
        <v>1</v>
      </c>
      <c r="AG84" t="b">
        <f t="shared" si="22"/>
        <v>1</v>
      </c>
      <c r="AH84">
        <f>LOOKUP(A84,'Over to underbark'!$A$47:$A$48,'Over to underbark'!E$47:E$48)*M84</f>
        <v>89.081999999999994</v>
      </c>
      <c r="AI84" s="27">
        <f>LOOKUP(A84,'Over to underbark'!$A$47:$A$48,'Over to underbark'!$B$47:$B$48)*AH84</f>
        <v>30.287880000000001</v>
      </c>
      <c r="AJ84" s="27">
        <f>LOOKUP(A85,'Over to underbark'!$A$47:$A$48,'Over to underbark'!C$47:C$48)*AH84</f>
        <v>31.178699999999996</v>
      </c>
      <c r="AK84" s="27">
        <f t="shared" si="23"/>
        <v>119.36987999999999</v>
      </c>
      <c r="AL84" s="33">
        <v>284.20999999999998</v>
      </c>
      <c r="AM84" s="28">
        <f t="shared" si="24"/>
        <v>238.73975999999999</v>
      </c>
      <c r="AO84">
        <f t="shared" si="25"/>
        <v>0.67164179104477617</v>
      </c>
    </row>
    <row r="85" spans="1:41" x14ac:dyDescent="0.35">
      <c r="A85" t="s">
        <v>39</v>
      </c>
      <c r="B85">
        <v>6</v>
      </c>
      <c r="C85">
        <v>2</v>
      </c>
      <c r="D85" t="s">
        <v>40</v>
      </c>
      <c r="E85">
        <v>2</v>
      </c>
      <c r="F85">
        <v>1</v>
      </c>
      <c r="G85" s="16">
        <v>51</v>
      </c>
      <c r="H85" s="16">
        <v>13.71</v>
      </c>
      <c r="I85" s="16">
        <v>1781</v>
      </c>
      <c r="J85" s="16">
        <v>16.8</v>
      </c>
      <c r="K85" s="16">
        <v>39.481000000000002</v>
      </c>
      <c r="L85" s="16">
        <v>0.124</v>
      </c>
      <c r="M85" s="23">
        <v>220.76</v>
      </c>
      <c r="N85" s="16">
        <v>1.0669999999999999</v>
      </c>
      <c r="O85" s="17">
        <v>4.3289999999999997</v>
      </c>
      <c r="P85" s="18">
        <v>51</v>
      </c>
      <c r="Q85" s="18">
        <v>16.8</v>
      </c>
      <c r="R85" s="18">
        <v>166.72200000000001</v>
      </c>
      <c r="S85" s="18">
        <v>54.037999999999997</v>
      </c>
      <c r="T85" s="14" t="b">
        <f t="shared" si="18"/>
        <v>1</v>
      </c>
      <c r="U85" s="14" t="b">
        <f t="shared" si="19"/>
        <v>1</v>
      </c>
      <c r="V85" s="15">
        <f>VLOOKUP(IF(J85&lt;10, 10, IF(J85&gt;50,50,J85)),'Over to underbark'!$A$3:$C$43,IF(A85="Scots pine",3,IF(A85="Sitka spruce",2, "error")),TRUE)/100</f>
        <v>0.84</v>
      </c>
      <c r="W85">
        <f t="shared" si="16"/>
        <v>126.041832</v>
      </c>
      <c r="X85">
        <f t="shared" si="17"/>
        <v>40.852727999999999</v>
      </c>
      <c r="Y85">
        <f t="shared" si="20"/>
        <v>31.789440000000006</v>
      </c>
      <c r="Z85">
        <f t="shared" si="13"/>
        <v>109.76119344</v>
      </c>
      <c r="AA85">
        <f t="shared" si="14"/>
        <v>64.411169759999993</v>
      </c>
      <c r="AB85">
        <f t="shared" si="15"/>
        <v>24.511636799999998</v>
      </c>
      <c r="AC85">
        <f>LOOKUP($A85,'Over to underbark'!$A$47:$A$48,'Over to underbark'!E$47:E$48)*Z85</f>
        <v>46.099701244799995</v>
      </c>
      <c r="AD85">
        <f>LOOKUP($A85,'Over to underbark'!$A$47:$A$48,'Over to underbark'!E$47:E$48)*AA85</f>
        <v>27.052691299199996</v>
      </c>
      <c r="AE85">
        <f>LOOKUP($A85,'Over to underbark'!$A$47:$A$48,'Over to underbark'!E$47:E$48)*AB85</f>
        <v>10.294887456</v>
      </c>
      <c r="AF85" t="b">
        <f t="shared" si="21"/>
        <v>1</v>
      </c>
      <c r="AG85" t="b">
        <f t="shared" si="22"/>
        <v>1</v>
      </c>
      <c r="AH85">
        <f>LOOKUP(A85,'Over to underbark'!$A$47:$A$48,'Over to underbark'!E$47:E$48)*M85</f>
        <v>92.719199999999987</v>
      </c>
      <c r="AI85" s="27">
        <f>LOOKUP(A85,'Over to underbark'!$A$47:$A$48,'Over to underbark'!$B$47:$B$48)*AH85</f>
        <v>31.524527999999997</v>
      </c>
      <c r="AJ85" s="27">
        <f>LOOKUP(A86,'Over to underbark'!$A$47:$A$48,'Over to underbark'!C$47:C$48)*AH85</f>
        <v>32.451719999999995</v>
      </c>
      <c r="AK85" s="27">
        <f t="shared" si="23"/>
        <v>124.24372799999998</v>
      </c>
      <c r="AL85" s="33">
        <v>295.82</v>
      </c>
      <c r="AM85" s="28">
        <f t="shared" si="24"/>
        <v>248.48745599999995</v>
      </c>
      <c r="AO85">
        <f t="shared" si="25"/>
        <v>0.67164179104477617</v>
      </c>
    </row>
    <row r="86" spans="1:41" x14ac:dyDescent="0.35">
      <c r="A86" t="s">
        <v>39</v>
      </c>
      <c r="B86">
        <v>6</v>
      </c>
      <c r="C86">
        <v>2</v>
      </c>
      <c r="D86" t="s">
        <v>40</v>
      </c>
      <c r="E86">
        <v>2</v>
      </c>
      <c r="F86">
        <v>1</v>
      </c>
      <c r="G86" s="16">
        <v>52</v>
      </c>
      <c r="H86" s="16">
        <v>13.93</v>
      </c>
      <c r="I86" s="16">
        <v>1761</v>
      </c>
      <c r="J86" s="16">
        <v>17.062000000000001</v>
      </c>
      <c r="K86" s="16">
        <v>40.265000000000001</v>
      </c>
      <c r="L86" s="16">
        <v>0.13</v>
      </c>
      <c r="M86" s="23">
        <v>229.42</v>
      </c>
      <c r="N86" s="16">
        <v>1.1890000000000001</v>
      </c>
      <c r="O86" s="17">
        <v>4.4119999999999999</v>
      </c>
      <c r="P86" s="18">
        <v>52</v>
      </c>
      <c r="Q86" s="18">
        <v>17.062000000000001</v>
      </c>
      <c r="R86" s="18">
        <v>169.59299999999999</v>
      </c>
      <c r="S86" s="18">
        <v>59.826999999999998</v>
      </c>
      <c r="T86" s="14" t="b">
        <f t="shared" si="18"/>
        <v>1</v>
      </c>
      <c r="U86" s="14" t="b">
        <f t="shared" si="19"/>
        <v>1</v>
      </c>
      <c r="V86" s="15">
        <f>VLOOKUP(IF(J86&lt;10, 10, IF(J86&gt;50,50,J86)),'Over to underbark'!$A$3:$C$43,IF(A86="Scots pine",3,IF(A86="Sitka spruce",2, "error")),TRUE)/100</f>
        <v>0.84</v>
      </c>
      <c r="W86">
        <f t="shared" si="16"/>
        <v>128.21230800000001</v>
      </c>
      <c r="X86">
        <f t="shared" si="17"/>
        <v>45.229211999999997</v>
      </c>
      <c r="Y86">
        <f t="shared" si="20"/>
        <v>33.036480000000005</v>
      </c>
      <c r="Z86">
        <f t="shared" si="13"/>
        <v>112.90187736000001</v>
      </c>
      <c r="AA86">
        <f t="shared" si="14"/>
        <v>66.43859544</v>
      </c>
      <c r="AB86">
        <f t="shared" si="15"/>
        <v>27.137527199999997</v>
      </c>
      <c r="AC86">
        <f>LOOKUP($A86,'Over to underbark'!$A$47:$A$48,'Over to underbark'!E$47:E$48)*Z86</f>
        <v>47.418788491200004</v>
      </c>
      <c r="AD86">
        <f>LOOKUP($A86,'Over to underbark'!$A$47:$A$48,'Over to underbark'!E$47:E$48)*AA86</f>
        <v>27.904210084799999</v>
      </c>
      <c r="AE86">
        <f>LOOKUP($A86,'Over to underbark'!$A$47:$A$48,'Over to underbark'!E$47:E$48)*AB86</f>
        <v>11.397761423999999</v>
      </c>
      <c r="AF86" t="b">
        <f t="shared" si="21"/>
        <v>1</v>
      </c>
      <c r="AG86" t="b">
        <f t="shared" si="22"/>
        <v>1</v>
      </c>
      <c r="AH86">
        <f>LOOKUP(A86,'Over to underbark'!$A$47:$A$48,'Over to underbark'!E$47:E$48)*M86</f>
        <v>96.356399999999994</v>
      </c>
      <c r="AI86" s="27">
        <f>LOOKUP(A86,'Over to underbark'!$A$47:$A$48,'Over to underbark'!$B$47:$B$48)*AH86</f>
        <v>32.761175999999999</v>
      </c>
      <c r="AJ86" s="27">
        <f>LOOKUP(A87,'Over to underbark'!$A$47:$A$48,'Over to underbark'!C$47:C$48)*AH86</f>
        <v>33.724739999999997</v>
      </c>
      <c r="AK86" s="27">
        <f t="shared" si="23"/>
        <v>129.11757599999999</v>
      </c>
      <c r="AL86" s="33">
        <v>307.42</v>
      </c>
      <c r="AM86" s="28">
        <f t="shared" si="24"/>
        <v>258.23515199999997</v>
      </c>
      <c r="AO86">
        <f t="shared" si="25"/>
        <v>0.67164179104477617</v>
      </c>
    </row>
    <row r="87" spans="1:41" x14ac:dyDescent="0.35">
      <c r="A87" t="s">
        <v>39</v>
      </c>
      <c r="B87">
        <v>6</v>
      </c>
      <c r="C87">
        <v>2</v>
      </c>
      <c r="D87" t="s">
        <v>40</v>
      </c>
      <c r="E87">
        <v>2</v>
      </c>
      <c r="F87">
        <v>1</v>
      </c>
      <c r="G87" s="16">
        <v>53</v>
      </c>
      <c r="H87" s="16">
        <v>14.15</v>
      </c>
      <c r="I87" s="16">
        <v>1742</v>
      </c>
      <c r="J87" s="16">
        <v>17.321000000000002</v>
      </c>
      <c r="K87" s="16">
        <v>41.048999999999999</v>
      </c>
      <c r="L87" s="16">
        <v>0.13700000000000001</v>
      </c>
      <c r="M87" s="23">
        <v>238.08</v>
      </c>
      <c r="N87" s="16">
        <v>1.302</v>
      </c>
      <c r="O87" s="17">
        <v>4.492</v>
      </c>
      <c r="P87" s="18">
        <v>53</v>
      </c>
      <c r="Q87" s="18">
        <v>17.321000000000002</v>
      </c>
      <c r="R87" s="18">
        <v>172.24700000000001</v>
      </c>
      <c r="S87" s="18">
        <v>65.832999999999998</v>
      </c>
      <c r="T87" s="14" t="b">
        <f t="shared" si="18"/>
        <v>1</v>
      </c>
      <c r="U87" s="14" t="b">
        <f t="shared" si="19"/>
        <v>1</v>
      </c>
      <c r="V87" s="15">
        <f>VLOOKUP(IF(J87&lt;10, 10, IF(J87&gt;50,50,J87)),'Over to underbark'!$A$3:$C$43,IF(A87="Scots pine",3,IF(A87="Sitka spruce",2, "error")),TRUE)/100</f>
        <v>0.84</v>
      </c>
      <c r="W87">
        <f t="shared" si="16"/>
        <v>130.21873200000002</v>
      </c>
      <c r="X87">
        <f t="shared" si="17"/>
        <v>49.769747999999993</v>
      </c>
      <c r="Y87">
        <f t="shared" si="20"/>
        <v>34.28352000000001</v>
      </c>
      <c r="Z87">
        <f t="shared" si="13"/>
        <v>115.97365944000002</v>
      </c>
      <c r="AA87">
        <f t="shared" si="14"/>
        <v>68.436491759999996</v>
      </c>
      <c r="AB87">
        <f t="shared" si="15"/>
        <v>29.861848799999994</v>
      </c>
      <c r="AC87">
        <f>LOOKUP($A87,'Over to underbark'!$A$47:$A$48,'Over to underbark'!E$47:E$48)*Z87</f>
        <v>48.70893696480001</v>
      </c>
      <c r="AD87">
        <f>LOOKUP($A87,'Over to underbark'!$A$47:$A$48,'Over to underbark'!E$47:E$48)*AA87</f>
        <v>28.743326539199998</v>
      </c>
      <c r="AE87">
        <f>LOOKUP($A87,'Over to underbark'!$A$47:$A$48,'Over to underbark'!E$47:E$48)*AB87</f>
        <v>12.541976495999997</v>
      </c>
      <c r="AF87" t="b">
        <f t="shared" si="21"/>
        <v>1</v>
      </c>
      <c r="AG87" t="b">
        <f t="shared" si="22"/>
        <v>1</v>
      </c>
      <c r="AH87">
        <f>LOOKUP(A87,'Over to underbark'!$A$47:$A$48,'Over to underbark'!E$47:E$48)*M87</f>
        <v>99.993600000000001</v>
      </c>
      <c r="AI87" s="27">
        <f>LOOKUP(A87,'Over to underbark'!$A$47:$A$48,'Over to underbark'!$B$47:$B$48)*AH87</f>
        <v>33.997824000000001</v>
      </c>
      <c r="AJ87" s="27">
        <f>LOOKUP(A88,'Over to underbark'!$A$47:$A$48,'Over to underbark'!C$47:C$48)*AH87</f>
        <v>34.99776</v>
      </c>
      <c r="AK87" s="27">
        <f t="shared" si="23"/>
        <v>133.99142399999999</v>
      </c>
      <c r="AL87" s="33">
        <v>319.02999999999997</v>
      </c>
      <c r="AM87" s="28">
        <f t="shared" si="24"/>
        <v>267.98284799999999</v>
      </c>
      <c r="AO87">
        <f t="shared" si="25"/>
        <v>0.67164179104477606</v>
      </c>
    </row>
    <row r="88" spans="1:41" x14ac:dyDescent="0.35">
      <c r="A88" t="s">
        <v>39</v>
      </c>
      <c r="B88">
        <v>6</v>
      </c>
      <c r="C88">
        <v>2</v>
      </c>
      <c r="D88" t="s">
        <v>40</v>
      </c>
      <c r="E88">
        <v>2</v>
      </c>
      <c r="F88">
        <v>1</v>
      </c>
      <c r="G88" s="16">
        <v>54</v>
      </c>
      <c r="H88" s="16">
        <v>14.37</v>
      </c>
      <c r="I88" s="16">
        <v>1722</v>
      </c>
      <c r="J88" s="16">
        <v>17.587</v>
      </c>
      <c r="K88" s="16">
        <v>41.832999999999998</v>
      </c>
      <c r="L88" s="16">
        <v>0.14299999999999999</v>
      </c>
      <c r="M88" s="23">
        <v>246.74</v>
      </c>
      <c r="N88" s="16">
        <v>1.407</v>
      </c>
      <c r="O88" s="17">
        <v>4.569</v>
      </c>
      <c r="P88" s="18">
        <v>54</v>
      </c>
      <c r="Q88" s="18">
        <v>17.587</v>
      </c>
      <c r="R88" s="18">
        <v>174.54400000000001</v>
      </c>
      <c r="S88" s="18">
        <v>72.195999999999998</v>
      </c>
      <c r="T88" s="14" t="b">
        <f t="shared" si="18"/>
        <v>1</v>
      </c>
      <c r="U88" s="14" t="b">
        <f t="shared" si="19"/>
        <v>1</v>
      </c>
      <c r="V88" s="15">
        <f>VLOOKUP(IF(J88&lt;10, 10, IF(J88&gt;50,50,J88)),'Over to underbark'!$A$3:$C$43,IF(A88="Scots pine",3,IF(A88="Sitka spruce",2, "error")),TRUE)/100</f>
        <v>0.84</v>
      </c>
      <c r="W88">
        <f t="shared" si="16"/>
        <v>131.955264</v>
      </c>
      <c r="X88">
        <f t="shared" si="17"/>
        <v>54.580175999999994</v>
      </c>
      <c r="Y88">
        <f t="shared" si="20"/>
        <v>35.530560000000008</v>
      </c>
      <c r="Z88">
        <f t="shared" si="13"/>
        <v>118.93208688</v>
      </c>
      <c r="AA88">
        <f t="shared" si="14"/>
        <v>70.38580752</v>
      </c>
      <c r="AB88">
        <f t="shared" si="15"/>
        <v>32.748105599999995</v>
      </c>
      <c r="AC88">
        <f>LOOKUP($A88,'Over to underbark'!$A$47:$A$48,'Over to underbark'!E$47:E$48)*Z88</f>
        <v>49.951476489599997</v>
      </c>
      <c r="AD88">
        <f>LOOKUP($A88,'Over to underbark'!$A$47:$A$48,'Over to underbark'!E$47:E$48)*AA88</f>
        <v>29.562039158399998</v>
      </c>
      <c r="AE88">
        <f>LOOKUP($A88,'Over to underbark'!$A$47:$A$48,'Over to underbark'!E$47:E$48)*AB88</f>
        <v>13.754204351999997</v>
      </c>
      <c r="AF88" t="b">
        <f t="shared" si="21"/>
        <v>1</v>
      </c>
      <c r="AG88" t="b">
        <f t="shared" si="22"/>
        <v>1</v>
      </c>
      <c r="AH88">
        <f>LOOKUP(A88,'Over to underbark'!$A$47:$A$48,'Over to underbark'!E$47:E$48)*M88</f>
        <v>103.63079999999999</v>
      </c>
      <c r="AI88" s="27">
        <f>LOOKUP(A88,'Over to underbark'!$A$47:$A$48,'Over to underbark'!$B$47:$B$48)*AH88</f>
        <v>35.234472000000004</v>
      </c>
      <c r="AJ88" s="27">
        <f>LOOKUP(A89,'Over to underbark'!$A$47:$A$48,'Over to underbark'!C$47:C$48)*AH88</f>
        <v>36.270779999999995</v>
      </c>
      <c r="AK88" s="27">
        <f t="shared" si="23"/>
        <v>138.865272</v>
      </c>
      <c r="AL88" s="33">
        <v>330.63</v>
      </c>
      <c r="AM88" s="28">
        <f t="shared" si="24"/>
        <v>277.73054400000001</v>
      </c>
      <c r="AO88">
        <f t="shared" si="25"/>
        <v>0.67164179104477606</v>
      </c>
    </row>
    <row r="89" spans="1:41" x14ac:dyDescent="0.35">
      <c r="A89" t="s">
        <v>39</v>
      </c>
      <c r="B89">
        <v>6</v>
      </c>
      <c r="C89">
        <v>2</v>
      </c>
      <c r="D89" t="s">
        <v>40</v>
      </c>
      <c r="E89">
        <v>2</v>
      </c>
      <c r="F89">
        <v>1</v>
      </c>
      <c r="G89" s="16">
        <v>55</v>
      </c>
      <c r="H89" s="16">
        <v>14.59</v>
      </c>
      <c r="I89" s="16">
        <v>1703</v>
      </c>
      <c r="J89" s="16">
        <v>17.850000000000001</v>
      </c>
      <c r="K89" s="16">
        <v>42.616999999999997</v>
      </c>
      <c r="L89" s="16">
        <v>0.15</v>
      </c>
      <c r="M89" s="23">
        <v>255.4</v>
      </c>
      <c r="N89" s="16">
        <v>1.504</v>
      </c>
      <c r="O89" s="17">
        <v>4.6440000000000001</v>
      </c>
      <c r="P89" s="18">
        <v>55</v>
      </c>
      <c r="Q89" s="18">
        <v>17.850000000000001</v>
      </c>
      <c r="R89" s="18">
        <v>176.63399999999999</v>
      </c>
      <c r="S89" s="18">
        <v>78.766000000000005</v>
      </c>
      <c r="T89" s="14" t="b">
        <f t="shared" si="18"/>
        <v>1</v>
      </c>
      <c r="U89" s="14" t="b">
        <f t="shared" si="19"/>
        <v>1</v>
      </c>
      <c r="V89" s="15">
        <f>VLOOKUP(IF(J89&lt;10, 10, IF(J89&gt;50,50,J89)),'Over to underbark'!$A$3:$C$43,IF(A89="Scots pine",3,IF(A89="Sitka spruce",2, "error")),TRUE)/100</f>
        <v>0.84</v>
      </c>
      <c r="W89">
        <f t="shared" si="16"/>
        <v>133.535304</v>
      </c>
      <c r="X89">
        <f t="shared" si="17"/>
        <v>59.547096000000003</v>
      </c>
      <c r="Y89">
        <f t="shared" si="20"/>
        <v>36.777600000000007</v>
      </c>
      <c r="Z89">
        <f t="shared" si="13"/>
        <v>121.82478768</v>
      </c>
      <c r="AA89">
        <f t="shared" si="14"/>
        <v>72.306954719999993</v>
      </c>
      <c r="AB89">
        <f t="shared" si="15"/>
        <v>35.728257599999999</v>
      </c>
      <c r="AC89">
        <f>LOOKUP($A89,'Over to underbark'!$A$47:$A$48,'Over to underbark'!E$47:E$48)*Z89</f>
        <v>51.166410825599996</v>
      </c>
      <c r="AD89">
        <f>LOOKUP($A89,'Over to underbark'!$A$47:$A$48,'Over to underbark'!E$47:E$48)*AA89</f>
        <v>30.368920982399995</v>
      </c>
      <c r="AE89">
        <f>LOOKUP($A89,'Over to underbark'!$A$47:$A$48,'Over to underbark'!E$47:E$48)*AB89</f>
        <v>15.005868191999999</v>
      </c>
      <c r="AF89" t="b">
        <f t="shared" si="21"/>
        <v>1</v>
      </c>
      <c r="AG89" t="b">
        <f t="shared" si="22"/>
        <v>1</v>
      </c>
      <c r="AH89">
        <f>LOOKUP(A89,'Over to underbark'!$A$47:$A$48,'Over to underbark'!E$47:E$48)*M89</f>
        <v>107.268</v>
      </c>
      <c r="AI89" s="27">
        <f>LOOKUP(A89,'Over to underbark'!$A$47:$A$48,'Over to underbark'!$B$47:$B$48)*AH89</f>
        <v>36.471120000000006</v>
      </c>
      <c r="AJ89" s="27">
        <f>LOOKUP(A90,'Over to underbark'!$A$47:$A$48,'Over to underbark'!C$47:C$48)*AH89</f>
        <v>37.543799999999997</v>
      </c>
      <c r="AK89" s="27">
        <f t="shared" si="23"/>
        <v>143.73912000000001</v>
      </c>
      <c r="AL89" s="33">
        <v>342.24</v>
      </c>
      <c r="AM89" s="28">
        <f t="shared" si="24"/>
        <v>287.47824000000003</v>
      </c>
      <c r="AO89">
        <f t="shared" si="25"/>
        <v>0.67164179104477595</v>
      </c>
    </row>
    <row r="90" spans="1:41" x14ac:dyDescent="0.35">
      <c r="A90" t="s">
        <v>39</v>
      </c>
      <c r="B90">
        <v>6</v>
      </c>
      <c r="C90">
        <v>2</v>
      </c>
      <c r="D90" t="s">
        <v>40</v>
      </c>
      <c r="E90">
        <v>2</v>
      </c>
      <c r="F90">
        <v>1</v>
      </c>
      <c r="G90" s="16">
        <v>56</v>
      </c>
      <c r="H90" s="16">
        <v>14.795999999999999</v>
      </c>
      <c r="I90" s="16">
        <v>1683</v>
      </c>
      <c r="J90" s="16">
        <v>18.097999999999999</v>
      </c>
      <c r="K90" s="16">
        <v>43.292999999999999</v>
      </c>
      <c r="L90" s="16">
        <v>0.157</v>
      </c>
      <c r="M90" s="23">
        <v>263.76</v>
      </c>
      <c r="N90" s="16">
        <v>1.655</v>
      </c>
      <c r="O90" s="17">
        <v>4.71</v>
      </c>
      <c r="P90" s="18">
        <v>56</v>
      </c>
      <c r="Q90" s="18">
        <v>18.097999999999999</v>
      </c>
      <c r="R90" s="18">
        <v>178.51300000000001</v>
      </c>
      <c r="S90" s="18">
        <v>85.247</v>
      </c>
      <c r="T90" s="14" t="b">
        <f t="shared" si="18"/>
        <v>1</v>
      </c>
      <c r="U90" s="14" t="b">
        <f t="shared" si="19"/>
        <v>1</v>
      </c>
      <c r="V90" s="15">
        <f>VLOOKUP(IF(J90&lt;10, 10, IF(J90&gt;50,50,J90)),'Over to underbark'!$A$3:$C$43,IF(A90="Scots pine",3,IF(A90="Sitka spruce",2, "error")),TRUE)/100</f>
        <v>0.84</v>
      </c>
      <c r="W90">
        <f t="shared" si="16"/>
        <v>134.955828</v>
      </c>
      <c r="X90">
        <f t="shared" si="17"/>
        <v>64.446731999999997</v>
      </c>
      <c r="Y90">
        <f t="shared" si="20"/>
        <v>37.981440000000006</v>
      </c>
      <c r="Z90">
        <f t="shared" si="13"/>
        <v>124.57327176</v>
      </c>
      <c r="AA90">
        <f t="shared" si="14"/>
        <v>74.142689039999993</v>
      </c>
      <c r="AB90">
        <f t="shared" si="15"/>
        <v>38.668039199999996</v>
      </c>
      <c r="AC90">
        <f>LOOKUP($A90,'Over to underbark'!$A$47:$A$48,'Over to underbark'!E$47:E$48)*Z90</f>
        <v>52.320774139199997</v>
      </c>
      <c r="AD90">
        <f>LOOKUP($A90,'Over to underbark'!$A$47:$A$48,'Over to underbark'!E$47:E$48)*AA90</f>
        <v>31.139929396799996</v>
      </c>
      <c r="AE90">
        <f>LOOKUP($A90,'Over to underbark'!$A$47:$A$48,'Over to underbark'!E$47:E$48)*AB90</f>
        <v>16.240576463999997</v>
      </c>
      <c r="AF90" t="b">
        <f t="shared" si="21"/>
        <v>1</v>
      </c>
      <c r="AG90" t="b">
        <f t="shared" si="22"/>
        <v>1</v>
      </c>
      <c r="AH90">
        <f>LOOKUP(A90,'Over to underbark'!$A$47:$A$48,'Over to underbark'!E$47:E$48)*M90</f>
        <v>110.77919999999999</v>
      </c>
      <c r="AI90" s="27">
        <f>LOOKUP(A90,'Over to underbark'!$A$47:$A$48,'Over to underbark'!$B$47:$B$48)*AH90</f>
        <v>37.664927999999996</v>
      </c>
      <c r="AJ90" s="27">
        <f>LOOKUP(A91,'Over to underbark'!$A$47:$A$48,'Over to underbark'!C$47:C$48)*AH90</f>
        <v>38.772719999999993</v>
      </c>
      <c r="AK90" s="27">
        <f t="shared" si="23"/>
        <v>148.44412799999998</v>
      </c>
      <c r="AL90" s="33">
        <v>353.44</v>
      </c>
      <c r="AM90" s="28">
        <f t="shared" si="24"/>
        <v>296.88825599999996</v>
      </c>
      <c r="AO90">
        <f t="shared" si="25"/>
        <v>0.67164179104477617</v>
      </c>
    </row>
    <row r="91" spans="1:41" x14ac:dyDescent="0.35">
      <c r="A91" t="s">
        <v>39</v>
      </c>
      <c r="B91">
        <v>6</v>
      </c>
      <c r="C91">
        <v>2</v>
      </c>
      <c r="D91" t="s">
        <v>40</v>
      </c>
      <c r="E91">
        <v>2</v>
      </c>
      <c r="F91">
        <v>1</v>
      </c>
      <c r="G91" s="16">
        <v>57</v>
      </c>
      <c r="H91" s="16">
        <v>15.002000000000001</v>
      </c>
      <c r="I91" s="16">
        <v>1664</v>
      </c>
      <c r="J91" s="16">
        <v>18.341999999999999</v>
      </c>
      <c r="K91" s="16">
        <v>43.968000000000004</v>
      </c>
      <c r="L91" s="16">
        <v>0.16400000000000001</v>
      </c>
      <c r="M91" s="23">
        <v>272.12</v>
      </c>
      <c r="N91" s="16">
        <v>1.7969999999999999</v>
      </c>
      <c r="O91" s="17">
        <v>4.774</v>
      </c>
      <c r="P91" s="18">
        <v>57</v>
      </c>
      <c r="Q91" s="18">
        <v>18.341999999999999</v>
      </c>
      <c r="R91" s="18">
        <v>180.239</v>
      </c>
      <c r="S91" s="18">
        <v>91.881</v>
      </c>
      <c r="T91" s="14" t="b">
        <f t="shared" si="18"/>
        <v>1</v>
      </c>
      <c r="U91" s="14" t="b">
        <f t="shared" si="19"/>
        <v>1</v>
      </c>
      <c r="V91" s="15">
        <f>VLOOKUP(IF(J91&lt;10, 10, IF(J91&gt;50,50,J91)),'Over to underbark'!$A$3:$C$43,IF(A91="Scots pine",3,IF(A91="Sitka spruce",2, "error")),TRUE)/100</f>
        <v>0.84</v>
      </c>
      <c r="W91">
        <f t="shared" si="16"/>
        <v>136.260684</v>
      </c>
      <c r="X91">
        <f t="shared" si="17"/>
        <v>69.462035999999998</v>
      </c>
      <c r="Y91">
        <f t="shared" si="20"/>
        <v>39.185280000000013</v>
      </c>
      <c r="Z91">
        <f t="shared" si="13"/>
        <v>127.27317528000002</v>
      </c>
      <c r="AA91">
        <f t="shared" si="14"/>
        <v>75.957603120000002</v>
      </c>
      <c r="AB91">
        <f t="shared" si="15"/>
        <v>41.677221599999996</v>
      </c>
      <c r="AC91">
        <f>LOOKUP($A91,'Over to underbark'!$A$47:$A$48,'Over to underbark'!E$47:E$48)*Z91</f>
        <v>53.454733617600006</v>
      </c>
      <c r="AD91">
        <f>LOOKUP($A91,'Over to underbark'!$A$47:$A$48,'Over to underbark'!E$47:E$48)*AA91</f>
        <v>31.902193310400001</v>
      </c>
      <c r="AE91">
        <f>LOOKUP($A91,'Over to underbark'!$A$47:$A$48,'Over to underbark'!E$47:E$48)*AB91</f>
        <v>17.504433071999998</v>
      </c>
      <c r="AF91" t="b">
        <f t="shared" si="21"/>
        <v>1</v>
      </c>
      <c r="AG91" t="b">
        <f t="shared" si="22"/>
        <v>1</v>
      </c>
      <c r="AH91">
        <f>LOOKUP(A91,'Over to underbark'!$A$47:$A$48,'Over to underbark'!E$47:E$48)*M91</f>
        <v>114.29039999999999</v>
      </c>
      <c r="AI91" s="27">
        <f>LOOKUP(A91,'Over to underbark'!$A$47:$A$48,'Over to underbark'!$B$47:$B$48)*AH91</f>
        <v>38.858736</v>
      </c>
      <c r="AJ91" s="27">
        <f>LOOKUP(A92,'Over to underbark'!$A$47:$A$48,'Over to underbark'!C$47:C$48)*AH91</f>
        <v>40.001639999999995</v>
      </c>
      <c r="AK91" s="27">
        <f t="shared" si="23"/>
        <v>153.149136</v>
      </c>
      <c r="AL91" s="33">
        <v>364.64</v>
      </c>
      <c r="AM91" s="28">
        <f t="shared" si="24"/>
        <v>306.298272</v>
      </c>
      <c r="AO91">
        <f t="shared" si="25"/>
        <v>0.67164179104477617</v>
      </c>
    </row>
    <row r="92" spans="1:41" x14ac:dyDescent="0.35">
      <c r="A92" t="s">
        <v>39</v>
      </c>
      <c r="B92">
        <v>6</v>
      </c>
      <c r="C92">
        <v>2</v>
      </c>
      <c r="D92" t="s">
        <v>40</v>
      </c>
      <c r="E92">
        <v>2</v>
      </c>
      <c r="F92">
        <v>1</v>
      </c>
      <c r="G92" s="16">
        <v>58</v>
      </c>
      <c r="H92" s="16">
        <v>15.208</v>
      </c>
      <c r="I92" s="16">
        <v>1645</v>
      </c>
      <c r="J92" s="16">
        <v>18.588999999999999</v>
      </c>
      <c r="K92" s="16">
        <v>44.643999999999998</v>
      </c>
      <c r="L92" s="16">
        <v>0.17100000000000001</v>
      </c>
      <c r="M92" s="23">
        <v>280.48</v>
      </c>
      <c r="N92" s="16">
        <v>1.93</v>
      </c>
      <c r="O92" s="17">
        <v>4.8360000000000003</v>
      </c>
      <c r="P92" s="18">
        <v>58</v>
      </c>
      <c r="Q92" s="18">
        <v>18.588999999999999</v>
      </c>
      <c r="R92" s="18">
        <v>181.70699999999999</v>
      </c>
      <c r="S92" s="18">
        <v>98.772999999999996</v>
      </c>
      <c r="T92" s="14" t="b">
        <f t="shared" si="18"/>
        <v>1</v>
      </c>
      <c r="U92" s="14" t="b">
        <f t="shared" si="19"/>
        <v>1</v>
      </c>
      <c r="V92" s="15">
        <f>VLOOKUP(IF(J92&lt;10, 10, IF(J92&gt;50,50,J92)),'Over to underbark'!$A$3:$C$43,IF(A92="Scots pine",3,IF(A92="Sitka spruce",2, "error")),TRUE)/100</f>
        <v>0.84</v>
      </c>
      <c r="W92">
        <f t="shared" si="16"/>
        <v>137.37049200000001</v>
      </c>
      <c r="X92">
        <f t="shared" si="17"/>
        <v>74.672387999999998</v>
      </c>
      <c r="Y92">
        <f t="shared" si="20"/>
        <v>40.389120000000013</v>
      </c>
      <c r="Z92">
        <f t="shared" si="13"/>
        <v>129.89115864000001</v>
      </c>
      <c r="AA92">
        <f t="shared" si="14"/>
        <v>77.737408560000006</v>
      </c>
      <c r="AB92">
        <f t="shared" si="15"/>
        <v>44.803432799999996</v>
      </c>
      <c r="AC92">
        <f>LOOKUP($A92,'Over to underbark'!$A$47:$A$48,'Over to underbark'!E$47:E$48)*Z92</f>
        <v>54.554286628800007</v>
      </c>
      <c r="AD92">
        <f>LOOKUP($A92,'Over to underbark'!$A$47:$A$48,'Over to underbark'!E$47:E$48)*AA92</f>
        <v>32.649711595200003</v>
      </c>
      <c r="AE92">
        <f>LOOKUP($A92,'Over to underbark'!$A$47:$A$48,'Over to underbark'!E$47:E$48)*AB92</f>
        <v>18.817441775999999</v>
      </c>
      <c r="AF92" t="b">
        <f t="shared" si="21"/>
        <v>1</v>
      </c>
      <c r="AG92" t="b">
        <f t="shared" si="22"/>
        <v>1</v>
      </c>
      <c r="AH92">
        <f>LOOKUP(A92,'Over to underbark'!$A$47:$A$48,'Over to underbark'!E$47:E$48)*M92</f>
        <v>117.80160000000001</v>
      </c>
      <c r="AI92" s="27">
        <f>LOOKUP(A92,'Over to underbark'!$A$47:$A$48,'Over to underbark'!$B$47:$B$48)*AH92</f>
        <v>40.052544000000005</v>
      </c>
      <c r="AJ92" s="27">
        <f>LOOKUP(A93,'Over to underbark'!$A$47:$A$48,'Over to underbark'!C$47:C$48)*AH92</f>
        <v>41.230559999999997</v>
      </c>
      <c r="AK92" s="27">
        <f t="shared" si="23"/>
        <v>157.85414400000002</v>
      </c>
      <c r="AL92" s="33">
        <v>375.84</v>
      </c>
      <c r="AM92" s="28">
        <f t="shared" si="24"/>
        <v>315.70828800000004</v>
      </c>
      <c r="AO92">
        <f t="shared" si="25"/>
        <v>0.67164179104477606</v>
      </c>
    </row>
    <row r="93" spans="1:41" x14ac:dyDescent="0.35">
      <c r="A93" t="s">
        <v>39</v>
      </c>
      <c r="B93">
        <v>6</v>
      </c>
      <c r="C93">
        <v>2</v>
      </c>
      <c r="D93" t="s">
        <v>40</v>
      </c>
      <c r="E93">
        <v>2</v>
      </c>
      <c r="F93">
        <v>1</v>
      </c>
      <c r="G93" s="16">
        <v>59</v>
      </c>
      <c r="H93" s="16">
        <v>15.414</v>
      </c>
      <c r="I93" s="16">
        <v>1626</v>
      </c>
      <c r="J93" s="16">
        <v>18.838000000000001</v>
      </c>
      <c r="K93" s="16">
        <v>45.32</v>
      </c>
      <c r="L93" s="16">
        <v>0.17799999999999999</v>
      </c>
      <c r="M93" s="23">
        <v>288.83999999999997</v>
      </c>
      <c r="N93" s="16">
        <v>2.0550000000000002</v>
      </c>
      <c r="O93" s="17">
        <v>4.8959999999999999</v>
      </c>
      <c r="P93" s="18">
        <v>59</v>
      </c>
      <c r="Q93" s="18">
        <v>18.838000000000001</v>
      </c>
      <c r="R93" s="18">
        <v>182.93799999999999</v>
      </c>
      <c r="S93" s="18">
        <v>105.902</v>
      </c>
      <c r="T93" s="14" t="b">
        <f t="shared" si="18"/>
        <v>1</v>
      </c>
      <c r="U93" s="14" t="b">
        <f t="shared" si="19"/>
        <v>1</v>
      </c>
      <c r="V93" s="15">
        <f>VLOOKUP(IF(J93&lt;10, 10, IF(J93&gt;50,50,J93)),'Over to underbark'!$A$3:$C$43,IF(A93="Scots pine",3,IF(A93="Sitka spruce",2, "error")),TRUE)/100</f>
        <v>0.84</v>
      </c>
      <c r="W93">
        <f t="shared" si="16"/>
        <v>138.30112799999998</v>
      </c>
      <c r="X93">
        <f t="shared" si="17"/>
        <v>80.061912000000007</v>
      </c>
      <c r="Y93">
        <f t="shared" si="20"/>
        <v>41.592960000000005</v>
      </c>
      <c r="Z93">
        <f t="shared" si="13"/>
        <v>132.43388976</v>
      </c>
      <c r="AA93">
        <f t="shared" si="14"/>
        <v>79.484963039999997</v>
      </c>
      <c r="AB93">
        <f t="shared" si="15"/>
        <v>48.0371472</v>
      </c>
      <c r="AC93">
        <f>LOOKUP($A93,'Over to underbark'!$A$47:$A$48,'Over to underbark'!E$47:E$48)*Z93</f>
        <v>55.622233699199995</v>
      </c>
      <c r="AD93">
        <f>LOOKUP($A93,'Over to underbark'!$A$47:$A$48,'Over to underbark'!E$47:E$48)*AA93</f>
        <v>33.383684476799999</v>
      </c>
      <c r="AE93">
        <f>LOOKUP($A93,'Over to underbark'!$A$47:$A$48,'Over to underbark'!E$47:E$48)*AB93</f>
        <v>20.175601823999997</v>
      </c>
      <c r="AF93" t="b">
        <f t="shared" si="21"/>
        <v>1</v>
      </c>
      <c r="AG93" t="b">
        <f t="shared" si="22"/>
        <v>1</v>
      </c>
      <c r="AH93">
        <f>LOOKUP(A93,'Over to underbark'!$A$47:$A$48,'Over to underbark'!E$47:E$48)*M93</f>
        <v>121.31279999999998</v>
      </c>
      <c r="AI93" s="27">
        <f>LOOKUP(A93,'Over to underbark'!$A$47:$A$48,'Over to underbark'!$B$47:$B$48)*AH93</f>
        <v>41.246351999999995</v>
      </c>
      <c r="AJ93" s="27">
        <f>LOOKUP(A94,'Over to underbark'!$A$47:$A$48,'Over to underbark'!C$47:C$48)*AH93</f>
        <v>42.459479999999992</v>
      </c>
      <c r="AK93" s="27">
        <f t="shared" si="23"/>
        <v>162.55915199999998</v>
      </c>
      <c r="AL93" s="33">
        <v>387.05</v>
      </c>
      <c r="AM93" s="28">
        <f t="shared" si="24"/>
        <v>325.11830399999997</v>
      </c>
      <c r="AO93">
        <f t="shared" si="25"/>
        <v>0.67164179104477617</v>
      </c>
    </row>
    <row r="94" spans="1:41" x14ac:dyDescent="0.35">
      <c r="A94" t="s">
        <v>39</v>
      </c>
      <c r="B94">
        <v>6</v>
      </c>
      <c r="C94">
        <v>2</v>
      </c>
      <c r="D94" t="s">
        <v>40</v>
      </c>
      <c r="E94">
        <v>2</v>
      </c>
      <c r="F94">
        <v>1</v>
      </c>
      <c r="G94" s="16">
        <v>60</v>
      </c>
      <c r="H94" s="16">
        <v>15.62</v>
      </c>
      <c r="I94" s="16">
        <v>1607</v>
      </c>
      <c r="J94" s="16">
        <v>19.09</v>
      </c>
      <c r="K94" s="16">
        <v>45.996000000000002</v>
      </c>
      <c r="L94" s="16">
        <v>0.185</v>
      </c>
      <c r="M94" s="23">
        <v>297.2</v>
      </c>
      <c r="N94" s="16">
        <v>2.1720000000000002</v>
      </c>
      <c r="O94" s="17">
        <v>4.9530000000000003</v>
      </c>
      <c r="P94" s="18">
        <v>60</v>
      </c>
      <c r="Q94" s="18">
        <v>19.09</v>
      </c>
      <c r="R94" s="18">
        <v>183.91900000000001</v>
      </c>
      <c r="S94" s="18">
        <v>113.28100000000001</v>
      </c>
      <c r="T94" s="14" t="b">
        <f t="shared" si="18"/>
        <v>1</v>
      </c>
      <c r="U94" s="14" t="b">
        <f t="shared" si="19"/>
        <v>1</v>
      </c>
      <c r="V94" s="15">
        <f>VLOOKUP(IF(J94&lt;10, 10, IF(J94&gt;50,50,J94)),'Over to underbark'!$A$3:$C$43,IF(A94="Scots pine",3,IF(A94="Sitka spruce",2, "error")),TRUE)/100</f>
        <v>0.84</v>
      </c>
      <c r="W94">
        <f t="shared" si="16"/>
        <v>139.04276400000001</v>
      </c>
      <c r="X94">
        <f t="shared" si="17"/>
        <v>85.640436000000008</v>
      </c>
      <c r="Y94">
        <f t="shared" si="20"/>
        <v>42.796800000000019</v>
      </c>
      <c r="Z94">
        <f t="shared" si="13"/>
        <v>134.89724088000003</v>
      </c>
      <c r="AA94">
        <f t="shared" si="14"/>
        <v>81.198497520000004</v>
      </c>
      <c r="AB94">
        <f t="shared" si="15"/>
        <v>51.384261600000002</v>
      </c>
      <c r="AC94">
        <f>LOOKUP($A94,'Over to underbark'!$A$47:$A$48,'Over to underbark'!E$47:E$48)*Z94</f>
        <v>56.656841169600007</v>
      </c>
      <c r="AD94">
        <f>LOOKUP($A94,'Over to underbark'!$A$47:$A$48,'Over to underbark'!E$47:E$48)*AA94</f>
        <v>34.103368958399997</v>
      </c>
      <c r="AE94">
        <f>LOOKUP($A94,'Over to underbark'!$A$47:$A$48,'Over to underbark'!E$47:E$48)*AB94</f>
        <v>21.581389871999999</v>
      </c>
      <c r="AF94" t="b">
        <f t="shared" si="21"/>
        <v>1</v>
      </c>
      <c r="AG94" t="b">
        <f t="shared" si="22"/>
        <v>1</v>
      </c>
      <c r="AH94">
        <f>LOOKUP(A94,'Over to underbark'!$A$47:$A$48,'Over to underbark'!E$47:E$48)*M94</f>
        <v>124.82399999999998</v>
      </c>
      <c r="AI94" s="27">
        <f>LOOKUP(A94,'Over to underbark'!$A$47:$A$48,'Over to underbark'!$B$47:$B$48)*AH94</f>
        <v>42.440159999999999</v>
      </c>
      <c r="AJ94" s="27">
        <f>LOOKUP(A95,'Over to underbark'!$A$47:$A$48,'Over to underbark'!C$47:C$48)*AH94</f>
        <v>43.688399999999994</v>
      </c>
      <c r="AK94" s="27">
        <f t="shared" si="23"/>
        <v>167.26415999999998</v>
      </c>
      <c r="AL94" s="33">
        <v>398.25</v>
      </c>
      <c r="AM94" s="28">
        <f t="shared" si="24"/>
        <v>334.52831999999995</v>
      </c>
      <c r="AO94">
        <f t="shared" si="25"/>
        <v>0.67164179104477628</v>
      </c>
    </row>
    <row r="95" spans="1:41" x14ac:dyDescent="0.35">
      <c r="A95" t="s">
        <v>39</v>
      </c>
      <c r="B95">
        <v>6</v>
      </c>
      <c r="C95">
        <v>2</v>
      </c>
      <c r="D95" t="s">
        <v>40</v>
      </c>
      <c r="E95">
        <v>2</v>
      </c>
      <c r="F95">
        <v>1</v>
      </c>
      <c r="G95" s="16">
        <v>61</v>
      </c>
      <c r="H95" s="16">
        <v>15.805999999999999</v>
      </c>
      <c r="I95" s="16">
        <v>1589</v>
      </c>
      <c r="J95" s="16">
        <v>19.32</v>
      </c>
      <c r="K95" s="16">
        <v>46.584000000000003</v>
      </c>
      <c r="L95" s="16">
        <v>0.192</v>
      </c>
      <c r="M95" s="23">
        <v>305.06</v>
      </c>
      <c r="N95" s="16">
        <v>2.331</v>
      </c>
      <c r="O95" s="17">
        <v>5.0010000000000003</v>
      </c>
      <c r="P95" s="18">
        <v>61</v>
      </c>
      <c r="Q95" s="18">
        <v>19.32</v>
      </c>
      <c r="R95" s="18">
        <v>184.78299999999999</v>
      </c>
      <c r="S95" s="18">
        <v>120.277</v>
      </c>
      <c r="T95" s="14" t="b">
        <f t="shared" si="18"/>
        <v>1</v>
      </c>
      <c r="U95" s="14" t="b">
        <f t="shared" si="19"/>
        <v>1</v>
      </c>
      <c r="V95" s="15">
        <f>VLOOKUP(IF(J95&lt;10, 10, IF(J95&gt;50,50,J95)),'Over to underbark'!$A$3:$C$43,IF(A95="Scots pine",3,IF(A95="Sitka spruce",2, "error")),TRUE)/100</f>
        <v>0.84</v>
      </c>
      <c r="W95">
        <f t="shared" si="16"/>
        <v>139.69594799999999</v>
      </c>
      <c r="X95">
        <f t="shared" si="17"/>
        <v>90.929411999999999</v>
      </c>
      <c r="Y95">
        <f t="shared" si="20"/>
        <v>43.928640000000016</v>
      </c>
      <c r="Z95">
        <f t="shared" ref="Z95:Z158" si="26">Y95+(57%*W95)+(15%*X95)</f>
        <v>137.19474216</v>
      </c>
      <c r="AA95">
        <f t="shared" ref="AA95:AA158" si="27">(43%*W95)+(25%*X95)</f>
        <v>82.801610639999993</v>
      </c>
      <c r="AB95">
        <f t="shared" ref="AB95:AB158" si="28">60%*X95</f>
        <v>54.557647199999998</v>
      </c>
      <c r="AC95">
        <f>LOOKUP($A95,'Over to underbark'!$A$47:$A$48,'Over to underbark'!E$47:E$48)*Z95</f>
        <v>57.621791707199996</v>
      </c>
      <c r="AD95">
        <f>LOOKUP($A95,'Over to underbark'!$A$47:$A$48,'Over to underbark'!E$47:E$48)*AA95</f>
        <v>34.776676468799998</v>
      </c>
      <c r="AE95">
        <f>LOOKUP($A95,'Over to underbark'!$A$47:$A$48,'Over to underbark'!E$47:E$48)*AB95</f>
        <v>22.914211823999999</v>
      </c>
      <c r="AF95" t="b">
        <f t="shared" si="21"/>
        <v>1</v>
      </c>
      <c r="AG95" t="b">
        <f t="shared" si="22"/>
        <v>1</v>
      </c>
      <c r="AH95">
        <f>LOOKUP(A95,'Over to underbark'!$A$47:$A$48,'Over to underbark'!E$47:E$48)*M95</f>
        <v>128.12520000000001</v>
      </c>
      <c r="AI95" s="27">
        <f>LOOKUP(A95,'Over to underbark'!$A$47:$A$48,'Over to underbark'!$B$47:$B$48)*AH95</f>
        <v>43.562568000000006</v>
      </c>
      <c r="AJ95" s="27">
        <f>LOOKUP(A96,'Over to underbark'!$A$47:$A$48,'Over to underbark'!C$47:C$48)*AH95</f>
        <v>44.843820000000001</v>
      </c>
      <c r="AK95" s="27">
        <f t="shared" si="23"/>
        <v>171.68776800000001</v>
      </c>
      <c r="AL95" s="33">
        <v>408.78</v>
      </c>
      <c r="AM95" s="28">
        <f t="shared" si="24"/>
        <v>343.37553600000001</v>
      </c>
      <c r="AO95">
        <f t="shared" si="25"/>
        <v>0.67164179104477606</v>
      </c>
    </row>
    <row r="96" spans="1:41" x14ac:dyDescent="0.35">
      <c r="A96" t="s">
        <v>39</v>
      </c>
      <c r="B96">
        <v>6</v>
      </c>
      <c r="C96">
        <v>2</v>
      </c>
      <c r="D96" t="s">
        <v>40</v>
      </c>
      <c r="E96">
        <v>2</v>
      </c>
      <c r="F96">
        <v>1</v>
      </c>
      <c r="G96" s="16">
        <v>62</v>
      </c>
      <c r="H96" s="16">
        <v>15.992000000000001</v>
      </c>
      <c r="I96" s="16">
        <v>1571</v>
      </c>
      <c r="J96" s="16">
        <v>19.553000000000001</v>
      </c>
      <c r="K96" s="16">
        <v>47.171999999999997</v>
      </c>
      <c r="L96" s="16">
        <v>0.19900000000000001</v>
      </c>
      <c r="M96" s="23">
        <v>312.92</v>
      </c>
      <c r="N96" s="16">
        <v>2.4809999999999999</v>
      </c>
      <c r="O96" s="17">
        <v>5.0469999999999997</v>
      </c>
      <c r="P96" s="18">
        <v>62</v>
      </c>
      <c r="Q96" s="18">
        <v>19.553000000000001</v>
      </c>
      <c r="R96" s="18">
        <v>185.43100000000001</v>
      </c>
      <c r="S96" s="18">
        <v>127.489</v>
      </c>
      <c r="T96" s="14" t="b">
        <f t="shared" si="18"/>
        <v>1</v>
      </c>
      <c r="U96" s="14" t="b">
        <f t="shared" si="19"/>
        <v>1</v>
      </c>
      <c r="V96" s="15">
        <f>VLOOKUP(IF(J96&lt;10, 10, IF(J96&gt;50,50,J96)),'Over to underbark'!$A$3:$C$43,IF(A96="Scots pine",3,IF(A96="Sitka spruce",2, "error")),TRUE)/100</f>
        <v>0.84</v>
      </c>
      <c r="W96">
        <f t="shared" si="16"/>
        <v>140.18583599999999</v>
      </c>
      <c r="X96">
        <f t="shared" si="17"/>
        <v>96.381684000000007</v>
      </c>
      <c r="Y96">
        <f t="shared" si="20"/>
        <v>45.060480000000013</v>
      </c>
      <c r="Z96">
        <f t="shared" si="26"/>
        <v>139.42365912</v>
      </c>
      <c r="AA96">
        <f t="shared" si="27"/>
        <v>84.375330480000002</v>
      </c>
      <c r="AB96">
        <f t="shared" si="28"/>
        <v>57.829010400000001</v>
      </c>
      <c r="AC96">
        <f>LOOKUP($A96,'Over to underbark'!$A$47:$A$48,'Over to underbark'!E$47:E$48)*Z96</f>
        <v>58.557936830399996</v>
      </c>
      <c r="AD96">
        <f>LOOKUP($A96,'Over to underbark'!$A$47:$A$48,'Over to underbark'!E$47:E$48)*AA96</f>
        <v>35.437638801600002</v>
      </c>
      <c r="AE96">
        <f>LOOKUP($A96,'Over to underbark'!$A$47:$A$48,'Over to underbark'!E$47:E$48)*AB96</f>
        <v>24.288184368</v>
      </c>
      <c r="AF96" t="b">
        <f t="shared" si="21"/>
        <v>1</v>
      </c>
      <c r="AG96" t="b">
        <f t="shared" si="22"/>
        <v>1</v>
      </c>
      <c r="AH96">
        <f>LOOKUP(A96,'Over to underbark'!$A$47:$A$48,'Over to underbark'!E$47:E$48)*M96</f>
        <v>131.4264</v>
      </c>
      <c r="AI96" s="27">
        <f>LOOKUP(A96,'Over to underbark'!$A$47:$A$48,'Over to underbark'!$B$47:$B$48)*AH96</f>
        <v>44.684976000000006</v>
      </c>
      <c r="AJ96" s="27">
        <f>LOOKUP(A97,'Over to underbark'!$A$47:$A$48,'Over to underbark'!C$47:C$48)*AH96</f>
        <v>45.99924</v>
      </c>
      <c r="AK96" s="27">
        <f t="shared" si="23"/>
        <v>176.11137600000001</v>
      </c>
      <c r="AL96" s="33">
        <v>419.31</v>
      </c>
      <c r="AM96" s="28">
        <f t="shared" si="24"/>
        <v>352.22275200000001</v>
      </c>
      <c r="AO96">
        <f t="shared" si="25"/>
        <v>0.67164179104477606</v>
      </c>
    </row>
    <row r="97" spans="1:41" x14ac:dyDescent="0.35">
      <c r="A97" t="s">
        <v>39</v>
      </c>
      <c r="B97">
        <v>6</v>
      </c>
      <c r="C97">
        <v>2</v>
      </c>
      <c r="D97" t="s">
        <v>40</v>
      </c>
      <c r="E97">
        <v>2</v>
      </c>
      <c r="F97">
        <v>1</v>
      </c>
      <c r="G97" s="16">
        <v>63</v>
      </c>
      <c r="H97" s="16">
        <v>16.178000000000001</v>
      </c>
      <c r="I97" s="16">
        <v>1553</v>
      </c>
      <c r="J97" s="16">
        <v>19.788</v>
      </c>
      <c r="K97" s="16">
        <v>47.761000000000003</v>
      </c>
      <c r="L97" s="16">
        <v>0.20699999999999999</v>
      </c>
      <c r="M97" s="23">
        <v>320.77999999999997</v>
      </c>
      <c r="N97" s="16">
        <v>2.6230000000000002</v>
      </c>
      <c r="O97" s="17">
        <v>5.0919999999999996</v>
      </c>
      <c r="P97" s="18">
        <v>63</v>
      </c>
      <c r="Q97" s="18">
        <v>19.788</v>
      </c>
      <c r="R97" s="18">
        <v>185.88499999999999</v>
      </c>
      <c r="S97" s="18">
        <v>134.89500000000001</v>
      </c>
      <c r="T97" s="14" t="b">
        <f t="shared" si="18"/>
        <v>1</v>
      </c>
      <c r="U97" s="14" t="b">
        <f t="shared" si="19"/>
        <v>1</v>
      </c>
      <c r="V97" s="15">
        <f>VLOOKUP(IF(J97&lt;10, 10, IF(J97&gt;50,50,J97)),'Over to underbark'!$A$3:$C$43,IF(A97="Scots pine",3,IF(A97="Sitka spruce",2, "error")),TRUE)/100</f>
        <v>0.84</v>
      </c>
      <c r="W97">
        <f t="shared" si="16"/>
        <v>140.52906000000002</v>
      </c>
      <c r="X97">
        <f t="shared" si="17"/>
        <v>101.98062000000002</v>
      </c>
      <c r="Y97">
        <f t="shared" si="20"/>
        <v>46.192320000000009</v>
      </c>
      <c r="Z97">
        <f t="shared" si="26"/>
        <v>141.5909772</v>
      </c>
      <c r="AA97">
        <f t="shared" si="27"/>
        <v>85.922650800000014</v>
      </c>
      <c r="AB97">
        <f t="shared" si="28"/>
        <v>61.188372000000008</v>
      </c>
      <c r="AC97">
        <f>LOOKUP($A97,'Over to underbark'!$A$47:$A$48,'Over to underbark'!E$47:E$48)*Z97</f>
        <v>59.468210423999999</v>
      </c>
      <c r="AD97">
        <f>LOOKUP($A97,'Over to underbark'!$A$47:$A$48,'Over to underbark'!E$47:E$48)*AA97</f>
        <v>36.087513336000008</v>
      </c>
      <c r="AE97">
        <f>LOOKUP($A97,'Over to underbark'!$A$47:$A$48,'Over to underbark'!E$47:E$48)*AB97</f>
        <v>25.699116240000002</v>
      </c>
      <c r="AF97" t="b">
        <f t="shared" si="21"/>
        <v>1</v>
      </c>
      <c r="AG97" t="b">
        <f t="shared" si="22"/>
        <v>1</v>
      </c>
      <c r="AH97">
        <f>LOOKUP(A97,'Over to underbark'!$A$47:$A$48,'Over to underbark'!E$47:E$48)*M97</f>
        <v>134.7276</v>
      </c>
      <c r="AI97" s="27">
        <f>LOOKUP(A97,'Over to underbark'!$A$47:$A$48,'Over to underbark'!$B$47:$B$48)*AH97</f>
        <v>45.807383999999999</v>
      </c>
      <c r="AJ97" s="27">
        <f>LOOKUP(A98,'Over to underbark'!$A$47:$A$48,'Over to underbark'!C$47:C$48)*AH97</f>
        <v>47.154659999999993</v>
      </c>
      <c r="AK97" s="27">
        <f t="shared" si="23"/>
        <v>180.53498400000001</v>
      </c>
      <c r="AL97" s="33">
        <v>429.85</v>
      </c>
      <c r="AM97" s="28">
        <f t="shared" si="24"/>
        <v>361.06996800000002</v>
      </c>
      <c r="AO97">
        <f t="shared" si="25"/>
        <v>0.67164179104477606</v>
      </c>
    </row>
    <row r="98" spans="1:41" x14ac:dyDescent="0.35">
      <c r="A98" t="s">
        <v>39</v>
      </c>
      <c r="B98">
        <v>6</v>
      </c>
      <c r="C98">
        <v>2</v>
      </c>
      <c r="D98" t="s">
        <v>40</v>
      </c>
      <c r="E98">
        <v>2</v>
      </c>
      <c r="F98">
        <v>1</v>
      </c>
      <c r="G98" s="16">
        <v>64</v>
      </c>
      <c r="H98" s="16">
        <v>16.364000000000001</v>
      </c>
      <c r="I98" s="16">
        <v>1535</v>
      </c>
      <c r="J98" s="16">
        <v>20.026</v>
      </c>
      <c r="K98" s="16">
        <v>48.348999999999997</v>
      </c>
      <c r="L98" s="16">
        <v>0.214</v>
      </c>
      <c r="M98" s="23">
        <v>328.64</v>
      </c>
      <c r="N98" s="16">
        <v>2.758</v>
      </c>
      <c r="O98" s="17">
        <v>5.1349999999999998</v>
      </c>
      <c r="P98" s="18">
        <v>64</v>
      </c>
      <c r="Q98" s="18">
        <v>20.026</v>
      </c>
      <c r="R98" s="18">
        <v>186.13</v>
      </c>
      <c r="S98" s="18">
        <v>142.51</v>
      </c>
      <c r="T98" s="14" t="b">
        <f t="shared" si="18"/>
        <v>1</v>
      </c>
      <c r="U98" s="14" t="b">
        <f t="shared" si="19"/>
        <v>1</v>
      </c>
      <c r="V98" s="15">
        <f>VLOOKUP(IF(J98&lt;10, 10, IF(J98&gt;50,50,J98)),'Over to underbark'!$A$3:$C$43,IF(A98="Scots pine",3,IF(A98="Sitka spruce",2, "error")),TRUE)/100</f>
        <v>0.84</v>
      </c>
      <c r="W98">
        <f t="shared" si="16"/>
        <v>140.71428</v>
      </c>
      <c r="X98">
        <f t="shared" si="17"/>
        <v>107.73755999999999</v>
      </c>
      <c r="Y98">
        <f t="shared" si="20"/>
        <v>47.324160000000013</v>
      </c>
      <c r="Z98">
        <f t="shared" si="26"/>
        <v>143.6919336</v>
      </c>
      <c r="AA98">
        <f t="shared" si="27"/>
        <v>87.441530399999991</v>
      </c>
      <c r="AB98">
        <f t="shared" si="28"/>
        <v>64.642535999999993</v>
      </c>
      <c r="AC98">
        <f>LOOKUP($A98,'Over to underbark'!$A$47:$A$48,'Over to underbark'!E$47:E$48)*Z98</f>
        <v>60.350612112</v>
      </c>
      <c r="AD98">
        <f>LOOKUP($A98,'Over to underbark'!$A$47:$A$48,'Over to underbark'!E$47:E$48)*AA98</f>
        <v>36.725442767999994</v>
      </c>
      <c r="AE98">
        <f>LOOKUP($A98,'Over to underbark'!$A$47:$A$48,'Over to underbark'!E$47:E$48)*AB98</f>
        <v>27.149865119999998</v>
      </c>
      <c r="AF98" t="b">
        <f t="shared" si="21"/>
        <v>1</v>
      </c>
      <c r="AG98" t="b">
        <f t="shared" si="22"/>
        <v>1</v>
      </c>
      <c r="AH98">
        <f>LOOKUP(A98,'Over to underbark'!$A$47:$A$48,'Over to underbark'!E$47:E$48)*M98</f>
        <v>138.02879999999999</v>
      </c>
      <c r="AI98" s="27">
        <f>LOOKUP(A98,'Over to underbark'!$A$47:$A$48,'Over to underbark'!$B$47:$B$48)*AH98</f>
        <v>46.929791999999999</v>
      </c>
      <c r="AJ98" s="27">
        <f>LOOKUP(A99,'Over to underbark'!$A$47:$A$48,'Over to underbark'!C$47:C$48)*AH98</f>
        <v>48.310079999999992</v>
      </c>
      <c r="AK98" s="27">
        <f t="shared" si="23"/>
        <v>184.95859199999998</v>
      </c>
      <c r="AL98" s="33">
        <v>440.38</v>
      </c>
      <c r="AM98" s="28">
        <f t="shared" si="24"/>
        <v>369.91718399999996</v>
      </c>
      <c r="AO98">
        <f t="shared" si="25"/>
        <v>0.67164179104477617</v>
      </c>
    </row>
    <row r="99" spans="1:41" x14ac:dyDescent="0.35">
      <c r="A99" t="s">
        <v>39</v>
      </c>
      <c r="B99">
        <v>6</v>
      </c>
      <c r="C99">
        <v>2</v>
      </c>
      <c r="D99" t="s">
        <v>40</v>
      </c>
      <c r="E99">
        <v>2</v>
      </c>
      <c r="F99">
        <v>1</v>
      </c>
      <c r="G99" s="16">
        <v>65</v>
      </c>
      <c r="H99" s="16">
        <v>16.55</v>
      </c>
      <c r="I99" s="16">
        <v>1518</v>
      </c>
      <c r="J99" s="16">
        <v>20.260000000000002</v>
      </c>
      <c r="K99" s="16">
        <v>48.936999999999998</v>
      </c>
      <c r="L99" s="16">
        <v>0.222</v>
      </c>
      <c r="M99" s="23">
        <v>336.5</v>
      </c>
      <c r="N99" s="16">
        <v>2.8860000000000001</v>
      </c>
      <c r="O99" s="17">
        <v>5.1769999999999996</v>
      </c>
      <c r="P99" s="18">
        <v>65</v>
      </c>
      <c r="Q99" s="18">
        <v>20.260000000000002</v>
      </c>
      <c r="R99" s="18">
        <v>186.297</v>
      </c>
      <c r="S99" s="18">
        <v>150.203</v>
      </c>
      <c r="T99" s="14" t="b">
        <f t="shared" si="18"/>
        <v>1</v>
      </c>
      <c r="U99" s="14" t="b">
        <f t="shared" si="19"/>
        <v>1</v>
      </c>
      <c r="V99" s="15">
        <f>VLOOKUP(IF(J99&lt;10, 10, IF(J99&gt;50,50,J99)),'Over to underbark'!$A$3:$C$43,IF(A99="Scots pine",3,IF(A99="Sitka spruce",2, "error")),TRUE)/100</f>
        <v>0.84</v>
      </c>
      <c r="W99">
        <f t="shared" si="16"/>
        <v>140.840532</v>
      </c>
      <c r="X99">
        <f t="shared" si="17"/>
        <v>113.55346800000001</v>
      </c>
      <c r="Y99">
        <f t="shared" si="20"/>
        <v>48.45600000000001</v>
      </c>
      <c r="Z99">
        <f t="shared" si="26"/>
        <v>145.76812344000001</v>
      </c>
      <c r="AA99">
        <f t="shared" si="27"/>
        <v>88.949795760000001</v>
      </c>
      <c r="AB99">
        <f t="shared" si="28"/>
        <v>68.132080799999997</v>
      </c>
      <c r="AC99">
        <f>LOOKUP($A99,'Over to underbark'!$A$47:$A$48,'Over to underbark'!E$47:E$48)*Z99</f>
        <v>61.222611844799999</v>
      </c>
      <c r="AD99">
        <f>LOOKUP($A99,'Over to underbark'!$A$47:$A$48,'Over to underbark'!E$47:E$48)*AA99</f>
        <v>37.358914219199995</v>
      </c>
      <c r="AE99">
        <f>LOOKUP($A99,'Over to underbark'!$A$47:$A$48,'Over to underbark'!E$47:E$48)*AB99</f>
        <v>28.615473935999997</v>
      </c>
      <c r="AF99" t="b">
        <f t="shared" si="21"/>
        <v>1</v>
      </c>
      <c r="AG99" t="b">
        <f t="shared" si="22"/>
        <v>1</v>
      </c>
      <c r="AH99">
        <f>LOOKUP(A99,'Over to underbark'!$A$47:$A$48,'Over to underbark'!E$47:E$48)*M99</f>
        <v>141.32999999999998</v>
      </c>
      <c r="AI99" s="27">
        <f>LOOKUP(A99,'Over to underbark'!$A$47:$A$48,'Over to underbark'!$B$47:$B$48)*AH99</f>
        <v>48.052199999999999</v>
      </c>
      <c r="AJ99" s="27">
        <f>LOOKUP(A100,'Over to underbark'!$A$47:$A$48,'Over to underbark'!C$47:C$48)*AH99</f>
        <v>49.465499999999992</v>
      </c>
      <c r="AK99" s="27">
        <f t="shared" si="23"/>
        <v>189.38219999999998</v>
      </c>
      <c r="AL99" s="33">
        <v>450.91</v>
      </c>
      <c r="AM99" s="28">
        <f t="shared" si="24"/>
        <v>378.76439999999997</v>
      </c>
      <c r="AO99">
        <f t="shared" si="25"/>
        <v>0.67164179104477617</v>
      </c>
    </row>
    <row r="100" spans="1:41" x14ac:dyDescent="0.35">
      <c r="A100" t="s">
        <v>39</v>
      </c>
      <c r="B100">
        <v>6</v>
      </c>
      <c r="C100">
        <v>2</v>
      </c>
      <c r="D100" t="s">
        <v>40</v>
      </c>
      <c r="E100">
        <v>2</v>
      </c>
      <c r="F100">
        <v>1</v>
      </c>
      <c r="G100" s="16">
        <v>66</v>
      </c>
      <c r="H100" s="16">
        <v>16.718</v>
      </c>
      <c r="I100" s="16">
        <v>1501</v>
      </c>
      <c r="J100" s="16">
        <v>20.477</v>
      </c>
      <c r="K100" s="16">
        <v>49.432000000000002</v>
      </c>
      <c r="L100" s="16">
        <v>0.22900000000000001</v>
      </c>
      <c r="M100" s="23">
        <v>343.68</v>
      </c>
      <c r="N100" s="16">
        <v>3.0630000000000002</v>
      </c>
      <c r="O100" s="17">
        <v>5.2069999999999999</v>
      </c>
      <c r="P100" s="18">
        <v>66</v>
      </c>
      <c r="Q100" s="18">
        <v>20.477</v>
      </c>
      <c r="R100" s="18">
        <v>186.26499999999999</v>
      </c>
      <c r="S100" s="18">
        <v>157.41499999999999</v>
      </c>
      <c r="T100" s="14" t="b">
        <f t="shared" si="18"/>
        <v>1</v>
      </c>
      <c r="U100" s="14" t="b">
        <f t="shared" si="19"/>
        <v>1</v>
      </c>
      <c r="V100" s="15">
        <f>VLOOKUP(IF(J100&lt;10, 10, IF(J100&gt;50,50,J100)),'Over to underbark'!$A$3:$C$43,IF(A100="Scots pine",3,IF(A100="Sitka spruce",2, "error")),TRUE)/100</f>
        <v>0.84</v>
      </c>
      <c r="W100">
        <f t="shared" si="16"/>
        <v>140.81634</v>
      </c>
      <c r="X100">
        <f t="shared" si="17"/>
        <v>119.00573999999999</v>
      </c>
      <c r="Y100">
        <f t="shared" si="20"/>
        <v>49.489920000000005</v>
      </c>
      <c r="Z100">
        <f t="shared" si="26"/>
        <v>147.60609479999999</v>
      </c>
      <c r="AA100">
        <f t="shared" si="27"/>
        <v>90.302461199999996</v>
      </c>
      <c r="AB100">
        <f t="shared" si="28"/>
        <v>71.403443999999993</v>
      </c>
      <c r="AC100">
        <f>LOOKUP($A100,'Over to underbark'!$A$47:$A$48,'Over to underbark'!E$47:E$48)*Z100</f>
        <v>61.994559815999992</v>
      </c>
      <c r="AD100">
        <f>LOOKUP($A100,'Over to underbark'!$A$47:$A$48,'Over to underbark'!E$47:E$48)*AA100</f>
        <v>37.927033703999996</v>
      </c>
      <c r="AE100">
        <f>LOOKUP($A100,'Over to underbark'!$A$47:$A$48,'Over to underbark'!E$47:E$48)*AB100</f>
        <v>29.989446479999994</v>
      </c>
      <c r="AF100" t="b">
        <f t="shared" si="21"/>
        <v>1</v>
      </c>
      <c r="AG100" t="b">
        <f t="shared" si="22"/>
        <v>1</v>
      </c>
      <c r="AH100">
        <f>LOOKUP(A100,'Over to underbark'!$A$47:$A$48,'Over to underbark'!E$47:E$48)*M100</f>
        <v>144.34559999999999</v>
      </c>
      <c r="AI100" s="27">
        <f>LOOKUP(A100,'Over to underbark'!$A$47:$A$48,'Over to underbark'!$B$47:$B$48)*AH100</f>
        <v>49.077503999999998</v>
      </c>
      <c r="AJ100" s="27">
        <f>LOOKUP(A101,'Over to underbark'!$A$47:$A$48,'Over to underbark'!C$47:C$48)*AH100</f>
        <v>50.520959999999995</v>
      </c>
      <c r="AK100" s="27">
        <f t="shared" si="23"/>
        <v>193.423104</v>
      </c>
      <c r="AL100" s="33">
        <v>460.53</v>
      </c>
      <c r="AM100" s="28">
        <f t="shared" si="24"/>
        <v>386.84620799999999</v>
      </c>
      <c r="AO100">
        <f t="shared" si="25"/>
        <v>0.67164179104477606</v>
      </c>
    </row>
    <row r="101" spans="1:41" x14ac:dyDescent="0.35">
      <c r="A101" t="s">
        <v>39</v>
      </c>
      <c r="B101">
        <v>6</v>
      </c>
      <c r="C101">
        <v>2</v>
      </c>
      <c r="D101" t="s">
        <v>40</v>
      </c>
      <c r="E101">
        <v>2</v>
      </c>
      <c r="F101">
        <v>1</v>
      </c>
      <c r="G101" s="16">
        <v>67</v>
      </c>
      <c r="H101" s="16">
        <v>16.885999999999999</v>
      </c>
      <c r="I101" s="16">
        <v>1485</v>
      </c>
      <c r="J101" s="16">
        <v>20.69</v>
      </c>
      <c r="K101" s="16">
        <v>49.926000000000002</v>
      </c>
      <c r="L101" s="16">
        <v>0.23599999999999999</v>
      </c>
      <c r="M101" s="23">
        <v>350.86</v>
      </c>
      <c r="N101" s="16">
        <v>3.2320000000000002</v>
      </c>
      <c r="O101" s="17">
        <v>5.2370000000000001</v>
      </c>
      <c r="P101" s="18">
        <v>67</v>
      </c>
      <c r="Q101" s="18">
        <v>20.69</v>
      </c>
      <c r="R101" s="18">
        <v>186.191</v>
      </c>
      <c r="S101" s="18">
        <v>164.66900000000001</v>
      </c>
      <c r="T101" s="14" t="b">
        <f t="shared" si="18"/>
        <v>1</v>
      </c>
      <c r="U101" s="14" t="b">
        <f t="shared" si="19"/>
        <v>1</v>
      </c>
      <c r="V101" s="15">
        <f>VLOOKUP(IF(J101&lt;10, 10, IF(J101&gt;50,50,J101)),'Over to underbark'!$A$3:$C$43,IF(A101="Scots pine",3,IF(A101="Sitka spruce",2, "error")),TRUE)/100</f>
        <v>0.84</v>
      </c>
      <c r="W101">
        <f t="shared" si="16"/>
        <v>140.76039599999999</v>
      </c>
      <c r="X101">
        <f t="shared" si="17"/>
        <v>124.48976399999999</v>
      </c>
      <c r="Y101">
        <f t="shared" si="20"/>
        <v>50.523840000000007</v>
      </c>
      <c r="Z101">
        <f t="shared" si="26"/>
        <v>149.43073031999998</v>
      </c>
      <c r="AA101">
        <f t="shared" si="27"/>
        <v>91.649411279999995</v>
      </c>
      <c r="AB101">
        <f t="shared" si="28"/>
        <v>74.693858399999996</v>
      </c>
      <c r="AC101">
        <f>LOOKUP($A101,'Over to underbark'!$A$47:$A$48,'Over to underbark'!E$47:E$48)*Z101</f>
        <v>62.760906734399988</v>
      </c>
      <c r="AD101">
        <f>LOOKUP($A101,'Over to underbark'!$A$47:$A$48,'Over to underbark'!E$47:E$48)*AA101</f>
        <v>38.4927527376</v>
      </c>
      <c r="AE101">
        <f>LOOKUP($A101,'Over to underbark'!$A$47:$A$48,'Over to underbark'!E$47:E$48)*AB101</f>
        <v>31.371420527999998</v>
      </c>
      <c r="AF101" t="b">
        <f t="shared" si="21"/>
        <v>1</v>
      </c>
      <c r="AG101" t="b">
        <f t="shared" si="22"/>
        <v>1</v>
      </c>
      <c r="AH101">
        <f>LOOKUP(A101,'Over to underbark'!$A$47:$A$48,'Over to underbark'!E$47:E$48)*M101</f>
        <v>147.3612</v>
      </c>
      <c r="AI101" s="27">
        <f>LOOKUP(A101,'Over to underbark'!$A$47:$A$48,'Over to underbark'!$B$47:$B$48)*AH101</f>
        <v>50.102808000000003</v>
      </c>
      <c r="AJ101" s="27">
        <f>LOOKUP(A102,'Over to underbark'!$A$47:$A$48,'Over to underbark'!C$47:C$48)*AH101</f>
        <v>51.576419999999999</v>
      </c>
      <c r="AK101" s="27">
        <f t="shared" si="23"/>
        <v>197.46400800000001</v>
      </c>
      <c r="AL101" s="33">
        <v>470.15</v>
      </c>
      <c r="AM101" s="28">
        <f t="shared" si="24"/>
        <v>394.92801600000001</v>
      </c>
      <c r="AO101">
        <f t="shared" si="25"/>
        <v>0.67164179104477595</v>
      </c>
    </row>
    <row r="102" spans="1:41" x14ac:dyDescent="0.35">
      <c r="A102" t="s">
        <v>39</v>
      </c>
      <c r="B102">
        <v>6</v>
      </c>
      <c r="C102">
        <v>2</v>
      </c>
      <c r="D102" t="s">
        <v>40</v>
      </c>
      <c r="E102">
        <v>2</v>
      </c>
      <c r="F102">
        <v>1</v>
      </c>
      <c r="G102" s="16">
        <v>68</v>
      </c>
      <c r="H102" s="16">
        <v>17.053999999999998</v>
      </c>
      <c r="I102" s="16">
        <v>1468</v>
      </c>
      <c r="J102" s="16">
        <v>20.911999999999999</v>
      </c>
      <c r="K102" s="16">
        <v>50.42</v>
      </c>
      <c r="L102" s="16">
        <v>0.24399999999999999</v>
      </c>
      <c r="M102" s="23">
        <v>358.04</v>
      </c>
      <c r="N102" s="16">
        <v>3.3940000000000001</v>
      </c>
      <c r="O102" s="17">
        <v>5.2649999999999997</v>
      </c>
      <c r="P102" s="18">
        <v>68</v>
      </c>
      <c r="Q102" s="18">
        <v>20.911999999999999</v>
      </c>
      <c r="R102" s="18">
        <v>185.83799999999999</v>
      </c>
      <c r="S102" s="18">
        <v>172.202</v>
      </c>
      <c r="T102" s="14" t="b">
        <f t="shared" si="18"/>
        <v>1</v>
      </c>
      <c r="U102" s="14" t="b">
        <f t="shared" si="19"/>
        <v>1</v>
      </c>
      <c r="V102" s="15">
        <f>VLOOKUP(IF(J102&lt;10, 10, IF(J102&gt;50,50,J102)),'Over to underbark'!$A$3:$C$43,IF(A102="Scots pine",3,IF(A102="Sitka spruce",2, "error")),TRUE)/100</f>
        <v>0.84</v>
      </c>
      <c r="W102">
        <f t="shared" si="16"/>
        <v>140.493528</v>
      </c>
      <c r="X102">
        <f t="shared" si="17"/>
        <v>130.18471199999999</v>
      </c>
      <c r="Y102">
        <f t="shared" si="20"/>
        <v>51.557760000000009</v>
      </c>
      <c r="Z102">
        <f t="shared" si="26"/>
        <v>151.16677776</v>
      </c>
      <c r="AA102">
        <f t="shared" si="27"/>
        <v>92.958395039999999</v>
      </c>
      <c r="AB102">
        <f t="shared" si="28"/>
        <v>78.110827199999989</v>
      </c>
      <c r="AC102">
        <f>LOOKUP($A102,'Over to underbark'!$A$47:$A$48,'Over to underbark'!E$47:E$48)*Z102</f>
        <v>63.490046659199997</v>
      </c>
      <c r="AD102">
        <f>LOOKUP($A102,'Over to underbark'!$A$47:$A$48,'Over to underbark'!E$47:E$48)*AA102</f>
        <v>39.042525916799995</v>
      </c>
      <c r="AE102">
        <f>LOOKUP($A102,'Over to underbark'!$A$47:$A$48,'Over to underbark'!E$47:E$48)*AB102</f>
        <v>32.806547423999994</v>
      </c>
      <c r="AF102" t="b">
        <f t="shared" si="21"/>
        <v>1</v>
      </c>
      <c r="AG102" t="b">
        <f t="shared" si="22"/>
        <v>1</v>
      </c>
      <c r="AH102">
        <f>LOOKUP(A102,'Over to underbark'!$A$47:$A$48,'Over to underbark'!E$47:E$48)*M102</f>
        <v>150.3768</v>
      </c>
      <c r="AI102" s="27">
        <f>LOOKUP(A102,'Over to underbark'!$A$47:$A$48,'Over to underbark'!$B$47:$B$48)*AH102</f>
        <v>51.128112000000002</v>
      </c>
      <c r="AJ102" s="27">
        <f>LOOKUP(A103,'Over to underbark'!$A$47:$A$48,'Over to underbark'!C$47:C$48)*AH102</f>
        <v>52.631879999999995</v>
      </c>
      <c r="AK102" s="27">
        <f t="shared" si="23"/>
        <v>201.50491199999999</v>
      </c>
      <c r="AL102" s="33">
        <v>479.77</v>
      </c>
      <c r="AM102" s="28">
        <f t="shared" si="24"/>
        <v>403.00982399999998</v>
      </c>
      <c r="AO102">
        <f t="shared" si="25"/>
        <v>0.67164179104477606</v>
      </c>
    </row>
    <row r="103" spans="1:41" x14ac:dyDescent="0.35">
      <c r="A103" t="s">
        <v>39</v>
      </c>
      <c r="B103">
        <v>6</v>
      </c>
      <c r="C103">
        <v>2</v>
      </c>
      <c r="D103" t="s">
        <v>40</v>
      </c>
      <c r="E103">
        <v>2</v>
      </c>
      <c r="F103">
        <v>1</v>
      </c>
      <c r="G103" s="16">
        <v>69</v>
      </c>
      <c r="H103" s="16">
        <v>17.222000000000001</v>
      </c>
      <c r="I103" s="16">
        <v>1452</v>
      </c>
      <c r="J103" s="16">
        <v>21.13</v>
      </c>
      <c r="K103" s="16">
        <v>50.914999999999999</v>
      </c>
      <c r="L103" s="16">
        <v>0.252</v>
      </c>
      <c r="M103" s="23">
        <v>365.22</v>
      </c>
      <c r="N103" s="16">
        <v>3.5489999999999999</v>
      </c>
      <c r="O103" s="17">
        <v>5.2930000000000001</v>
      </c>
      <c r="P103" s="18">
        <v>69</v>
      </c>
      <c r="Q103" s="18">
        <v>21.13</v>
      </c>
      <c r="R103" s="18">
        <v>185.452</v>
      </c>
      <c r="S103" s="18">
        <v>179.768</v>
      </c>
      <c r="T103" s="14" t="b">
        <f t="shared" si="18"/>
        <v>1</v>
      </c>
      <c r="U103" s="14" t="b">
        <f t="shared" si="19"/>
        <v>1</v>
      </c>
      <c r="V103" s="15">
        <f>VLOOKUP(IF(J103&lt;10, 10, IF(J103&gt;50,50,J103)),'Over to underbark'!$A$3:$C$43,IF(A103="Scots pine",3,IF(A103="Sitka spruce",2, "error")),TRUE)/100</f>
        <v>0.84</v>
      </c>
      <c r="W103">
        <f t="shared" si="16"/>
        <v>140.20171199999999</v>
      </c>
      <c r="X103">
        <f t="shared" si="17"/>
        <v>135.904608</v>
      </c>
      <c r="Y103">
        <f t="shared" si="20"/>
        <v>52.591680000000018</v>
      </c>
      <c r="Z103">
        <f t="shared" si="26"/>
        <v>152.89234704</v>
      </c>
      <c r="AA103">
        <f t="shared" si="27"/>
        <v>94.262888159999989</v>
      </c>
      <c r="AB103">
        <f t="shared" si="28"/>
        <v>81.5427648</v>
      </c>
      <c r="AC103">
        <f>LOOKUP($A103,'Over to underbark'!$A$47:$A$48,'Over to underbark'!E$47:E$48)*Z103</f>
        <v>64.214785756799998</v>
      </c>
      <c r="AD103">
        <f>LOOKUP($A103,'Over to underbark'!$A$47:$A$48,'Over to underbark'!E$47:E$48)*AA103</f>
        <v>39.590413027199993</v>
      </c>
      <c r="AE103">
        <f>LOOKUP($A103,'Over to underbark'!$A$47:$A$48,'Over to underbark'!E$47:E$48)*AB103</f>
        <v>34.247961216</v>
      </c>
      <c r="AF103" t="b">
        <f t="shared" si="21"/>
        <v>1</v>
      </c>
      <c r="AG103" t="b">
        <f t="shared" si="22"/>
        <v>1</v>
      </c>
      <c r="AH103">
        <f>LOOKUP(A103,'Over to underbark'!$A$47:$A$48,'Over to underbark'!E$47:E$48)*M103</f>
        <v>153.39240000000001</v>
      </c>
      <c r="AI103" s="27">
        <f>LOOKUP(A103,'Over to underbark'!$A$47:$A$48,'Over to underbark'!$B$47:$B$48)*AH103</f>
        <v>52.153416000000007</v>
      </c>
      <c r="AJ103" s="27">
        <f>LOOKUP(A104,'Over to underbark'!$A$47:$A$48,'Over to underbark'!C$47:C$48)*AH103</f>
        <v>53.687339999999999</v>
      </c>
      <c r="AK103" s="27">
        <f t="shared" si="23"/>
        <v>205.545816</v>
      </c>
      <c r="AL103" s="33">
        <v>489.39</v>
      </c>
      <c r="AM103" s="28">
        <f t="shared" si="24"/>
        <v>411.091632</v>
      </c>
      <c r="AO103">
        <f t="shared" si="25"/>
        <v>0.67164179104477606</v>
      </c>
    </row>
    <row r="104" spans="1:41" x14ac:dyDescent="0.35">
      <c r="A104" t="s">
        <v>39</v>
      </c>
      <c r="B104">
        <v>6</v>
      </c>
      <c r="C104">
        <v>2</v>
      </c>
      <c r="D104" t="s">
        <v>40</v>
      </c>
      <c r="E104">
        <v>2</v>
      </c>
      <c r="F104">
        <v>1</v>
      </c>
      <c r="G104" s="16">
        <v>70</v>
      </c>
      <c r="H104" s="16">
        <v>17.39</v>
      </c>
      <c r="I104" s="16">
        <v>1436</v>
      </c>
      <c r="J104" s="16">
        <v>21.35</v>
      </c>
      <c r="K104" s="16">
        <v>51.408999999999999</v>
      </c>
      <c r="L104" s="16">
        <v>0.25900000000000001</v>
      </c>
      <c r="M104" s="23">
        <v>372.4</v>
      </c>
      <c r="N104" s="16">
        <v>3.698</v>
      </c>
      <c r="O104" s="17">
        <v>5.32</v>
      </c>
      <c r="P104" s="18">
        <v>70</v>
      </c>
      <c r="Q104" s="18">
        <v>21.35</v>
      </c>
      <c r="R104" s="18">
        <v>184.92500000000001</v>
      </c>
      <c r="S104" s="18">
        <v>187.47499999999999</v>
      </c>
      <c r="T104" s="14" t="b">
        <f t="shared" si="18"/>
        <v>1</v>
      </c>
      <c r="U104" s="14" t="b">
        <f t="shared" si="19"/>
        <v>1</v>
      </c>
      <c r="V104" s="15">
        <f>VLOOKUP(IF(J104&lt;10, 10, IF(J104&gt;50,50,J104)),'Over to underbark'!$A$3:$C$43,IF(A104="Scots pine",3,IF(A104="Sitka spruce",2, "error")),TRUE)/100</f>
        <v>0.84</v>
      </c>
      <c r="W104">
        <f t="shared" si="16"/>
        <v>139.80330000000001</v>
      </c>
      <c r="X104">
        <f t="shared" si="17"/>
        <v>141.7311</v>
      </c>
      <c r="Y104">
        <f t="shared" si="20"/>
        <v>53.625600000000006</v>
      </c>
      <c r="Z104">
        <f t="shared" si="26"/>
        <v>154.57314600000001</v>
      </c>
      <c r="AA104">
        <f t="shared" si="27"/>
        <v>95.548193999999995</v>
      </c>
      <c r="AB104">
        <f t="shared" si="28"/>
        <v>85.038659999999993</v>
      </c>
      <c r="AC104">
        <f>LOOKUP($A104,'Over to underbark'!$A$47:$A$48,'Over to underbark'!E$47:E$48)*Z104</f>
        <v>64.920721319999998</v>
      </c>
      <c r="AD104">
        <f>LOOKUP($A104,'Over to underbark'!$A$47:$A$48,'Over to underbark'!E$47:E$48)*AA104</f>
        <v>40.130241479999995</v>
      </c>
      <c r="AE104">
        <f>LOOKUP($A104,'Over to underbark'!$A$47:$A$48,'Over to underbark'!E$47:E$48)*AB104</f>
        <v>35.716237199999995</v>
      </c>
      <c r="AF104" t="b">
        <f t="shared" si="21"/>
        <v>1</v>
      </c>
      <c r="AG104" t="b">
        <f t="shared" si="22"/>
        <v>1</v>
      </c>
      <c r="AH104">
        <f>LOOKUP(A104,'Over to underbark'!$A$47:$A$48,'Over to underbark'!E$47:E$48)*M104</f>
        <v>156.40799999999999</v>
      </c>
      <c r="AI104" s="27">
        <f>LOOKUP(A104,'Over to underbark'!$A$47:$A$48,'Over to underbark'!$B$47:$B$48)*AH104</f>
        <v>53.178719999999998</v>
      </c>
      <c r="AJ104" s="27">
        <f>LOOKUP(A105,'Over to underbark'!$A$47:$A$48,'Over to underbark'!C$47:C$48)*AH104</f>
        <v>54.742799999999995</v>
      </c>
      <c r="AK104" s="27">
        <f t="shared" si="23"/>
        <v>209.58671999999999</v>
      </c>
      <c r="AL104" s="33">
        <v>499.02</v>
      </c>
      <c r="AM104" s="28">
        <f t="shared" si="24"/>
        <v>419.17343999999997</v>
      </c>
      <c r="AO104">
        <f t="shared" si="25"/>
        <v>0.67164179104477617</v>
      </c>
    </row>
    <row r="105" spans="1:41" x14ac:dyDescent="0.35">
      <c r="A105" t="s">
        <v>39</v>
      </c>
      <c r="B105">
        <v>6</v>
      </c>
      <c r="C105">
        <v>2</v>
      </c>
      <c r="D105" t="s">
        <v>40</v>
      </c>
      <c r="E105">
        <v>2</v>
      </c>
      <c r="F105">
        <v>1</v>
      </c>
      <c r="G105" s="16">
        <v>71</v>
      </c>
      <c r="H105" s="16">
        <v>17.536000000000001</v>
      </c>
      <c r="I105" s="16">
        <v>1421</v>
      </c>
      <c r="J105" s="16">
        <v>21.553999999999998</v>
      </c>
      <c r="K105" s="16">
        <v>51.847000000000001</v>
      </c>
      <c r="L105" s="16">
        <v>0.26700000000000002</v>
      </c>
      <c r="M105" s="23">
        <v>378.74</v>
      </c>
      <c r="N105" s="16">
        <v>3.8969999999999998</v>
      </c>
      <c r="O105" s="17">
        <v>5.3339999999999996</v>
      </c>
      <c r="P105" s="18">
        <v>71</v>
      </c>
      <c r="Q105" s="18">
        <v>21.553999999999998</v>
      </c>
      <c r="R105" s="18">
        <v>184.19200000000001</v>
      </c>
      <c r="S105" s="18">
        <v>194.548</v>
      </c>
      <c r="T105" s="14" t="b">
        <f t="shared" si="18"/>
        <v>1</v>
      </c>
      <c r="U105" s="14" t="b">
        <f t="shared" si="19"/>
        <v>1</v>
      </c>
      <c r="V105" s="15">
        <f>VLOOKUP(IF(J105&lt;10, 10, IF(J105&gt;50,50,J105)),'Over to underbark'!$A$3:$C$43,IF(A105="Scots pine",3,IF(A105="Sitka spruce",2, "error")),TRUE)/100</f>
        <v>0.84</v>
      </c>
      <c r="W105">
        <f t="shared" si="16"/>
        <v>139.24915200000001</v>
      </c>
      <c r="X105">
        <f t="shared" si="17"/>
        <v>147.07828799999999</v>
      </c>
      <c r="Y105">
        <f t="shared" si="20"/>
        <v>54.538560000000018</v>
      </c>
      <c r="Z105">
        <f t="shared" si="26"/>
        <v>155.97231984000001</v>
      </c>
      <c r="AA105">
        <f t="shared" si="27"/>
        <v>96.646707359999994</v>
      </c>
      <c r="AB105">
        <f t="shared" si="28"/>
        <v>88.246972799999995</v>
      </c>
      <c r="AC105">
        <f>LOOKUP($A105,'Over to underbark'!$A$47:$A$48,'Over to underbark'!E$47:E$48)*Z105</f>
        <v>65.508374332800003</v>
      </c>
      <c r="AD105">
        <f>LOOKUP($A105,'Over to underbark'!$A$47:$A$48,'Over to underbark'!E$47:E$48)*AA105</f>
        <v>40.591617091199993</v>
      </c>
      <c r="AE105">
        <f>LOOKUP($A105,'Over to underbark'!$A$47:$A$48,'Over to underbark'!E$47:E$48)*AB105</f>
        <v>37.063728575999995</v>
      </c>
      <c r="AF105" t="b">
        <f t="shared" si="21"/>
        <v>1</v>
      </c>
      <c r="AG105" t="b">
        <f t="shared" si="22"/>
        <v>1</v>
      </c>
      <c r="AH105">
        <f>LOOKUP(A105,'Over to underbark'!$A$47:$A$48,'Over to underbark'!E$47:E$48)*M105</f>
        <v>159.07079999999999</v>
      </c>
      <c r="AI105" s="27">
        <f>LOOKUP(A105,'Over to underbark'!$A$47:$A$48,'Over to underbark'!$B$47:$B$48)*AH105</f>
        <v>54.084071999999999</v>
      </c>
      <c r="AJ105" s="27">
        <f>LOOKUP(A106,'Over to underbark'!$A$47:$A$48,'Over to underbark'!C$47:C$48)*AH105</f>
        <v>55.674779999999991</v>
      </c>
      <c r="AK105" s="27">
        <f t="shared" si="23"/>
        <v>213.15487199999998</v>
      </c>
      <c r="AL105" s="33">
        <v>507.51</v>
      </c>
      <c r="AM105" s="28">
        <f t="shared" si="24"/>
        <v>426.30974399999997</v>
      </c>
      <c r="AO105">
        <f t="shared" si="25"/>
        <v>0.67164179104477606</v>
      </c>
    </row>
    <row r="106" spans="1:41" x14ac:dyDescent="0.35">
      <c r="A106" t="s">
        <v>39</v>
      </c>
      <c r="B106">
        <v>6</v>
      </c>
      <c r="C106">
        <v>2</v>
      </c>
      <c r="D106" t="s">
        <v>40</v>
      </c>
      <c r="E106">
        <v>2</v>
      </c>
      <c r="F106">
        <v>1</v>
      </c>
      <c r="G106" s="16">
        <v>72</v>
      </c>
      <c r="H106" s="16">
        <v>17.681999999999999</v>
      </c>
      <c r="I106" s="16">
        <v>1407</v>
      </c>
      <c r="J106" s="16">
        <v>21.751999999999999</v>
      </c>
      <c r="K106" s="16">
        <v>52.286000000000001</v>
      </c>
      <c r="L106" s="16">
        <v>0.27400000000000002</v>
      </c>
      <c r="M106" s="23">
        <v>385.08</v>
      </c>
      <c r="N106" s="16">
        <v>4.09</v>
      </c>
      <c r="O106" s="17">
        <v>5.3479999999999999</v>
      </c>
      <c r="P106" s="18">
        <v>72</v>
      </c>
      <c r="Q106" s="18">
        <v>21.751999999999999</v>
      </c>
      <c r="R106" s="18">
        <v>183.49700000000001</v>
      </c>
      <c r="S106" s="18">
        <v>201.583</v>
      </c>
      <c r="T106" s="14" t="b">
        <f t="shared" si="18"/>
        <v>1</v>
      </c>
      <c r="U106" s="14" t="b">
        <f t="shared" si="19"/>
        <v>1</v>
      </c>
      <c r="V106" s="15">
        <f>VLOOKUP(IF(J106&lt;10, 10, IF(J106&gt;50,50,J106)),'Over to underbark'!$A$3:$C$43,IF(A106="Scots pine",3,IF(A106="Sitka spruce",2, "error")),TRUE)/100</f>
        <v>0.84</v>
      </c>
      <c r="W106">
        <f t="shared" si="16"/>
        <v>138.72373200000001</v>
      </c>
      <c r="X106">
        <f t="shared" si="17"/>
        <v>152.396748</v>
      </c>
      <c r="Y106">
        <f t="shared" si="20"/>
        <v>55.451520000000023</v>
      </c>
      <c r="Z106">
        <f t="shared" si="26"/>
        <v>157.38355944000003</v>
      </c>
      <c r="AA106">
        <f t="shared" si="27"/>
        <v>97.750391760000014</v>
      </c>
      <c r="AB106">
        <f t="shared" si="28"/>
        <v>91.438048800000004</v>
      </c>
      <c r="AC106">
        <f>LOOKUP($A106,'Over to underbark'!$A$47:$A$48,'Over to underbark'!E$47:E$48)*Z106</f>
        <v>66.101094964800012</v>
      </c>
      <c r="AD106">
        <f>LOOKUP($A106,'Over to underbark'!$A$47:$A$48,'Over to underbark'!E$47:E$48)*AA106</f>
        <v>41.055164539200007</v>
      </c>
      <c r="AE106">
        <f>LOOKUP($A106,'Over to underbark'!$A$47:$A$48,'Over to underbark'!E$47:E$48)*AB106</f>
        <v>38.403980496000003</v>
      </c>
      <c r="AF106" t="b">
        <f t="shared" si="21"/>
        <v>1</v>
      </c>
      <c r="AG106" t="b">
        <f t="shared" si="22"/>
        <v>1</v>
      </c>
      <c r="AH106">
        <f>LOOKUP(A106,'Over to underbark'!$A$47:$A$48,'Over to underbark'!E$47:E$48)*M106</f>
        <v>161.7336</v>
      </c>
      <c r="AI106" s="27">
        <f>LOOKUP(A106,'Over to underbark'!$A$47:$A$48,'Over to underbark'!$B$47:$B$48)*AH106</f>
        <v>54.989424</v>
      </c>
      <c r="AJ106" s="27">
        <f>LOOKUP(A107,'Over to underbark'!$A$47:$A$48,'Over to underbark'!C$47:C$48)*AH106</f>
        <v>56.606759999999994</v>
      </c>
      <c r="AK106" s="27">
        <f t="shared" si="23"/>
        <v>216.72302400000001</v>
      </c>
      <c r="AL106" s="33">
        <v>516.01</v>
      </c>
      <c r="AM106" s="28">
        <f t="shared" si="24"/>
        <v>433.44604800000002</v>
      </c>
      <c r="AO106">
        <f t="shared" si="25"/>
        <v>0.67164179104477617</v>
      </c>
    </row>
    <row r="107" spans="1:41" x14ac:dyDescent="0.35">
      <c r="A107" t="s">
        <v>39</v>
      </c>
      <c r="B107">
        <v>6</v>
      </c>
      <c r="C107">
        <v>2</v>
      </c>
      <c r="D107" t="s">
        <v>40</v>
      </c>
      <c r="E107">
        <v>2</v>
      </c>
      <c r="F107">
        <v>1</v>
      </c>
      <c r="G107" s="16">
        <v>73</v>
      </c>
      <c r="H107" s="16">
        <v>17.827999999999999</v>
      </c>
      <c r="I107" s="16">
        <v>1393</v>
      </c>
      <c r="J107" s="16">
        <v>21.952000000000002</v>
      </c>
      <c r="K107" s="16">
        <v>52.723999999999997</v>
      </c>
      <c r="L107" s="16">
        <v>0.28100000000000003</v>
      </c>
      <c r="M107" s="23">
        <v>391.42</v>
      </c>
      <c r="N107" s="16">
        <v>4.2750000000000004</v>
      </c>
      <c r="O107" s="17">
        <v>5.3620000000000001</v>
      </c>
      <c r="P107" s="18">
        <v>73</v>
      </c>
      <c r="Q107" s="18">
        <v>21.952000000000002</v>
      </c>
      <c r="R107" s="18">
        <v>182.69300000000001</v>
      </c>
      <c r="S107" s="18">
        <v>208.727</v>
      </c>
      <c r="T107" s="14" t="b">
        <f t="shared" si="18"/>
        <v>1</v>
      </c>
      <c r="U107" s="14" t="b">
        <f t="shared" si="19"/>
        <v>1</v>
      </c>
      <c r="V107" s="15">
        <f>VLOOKUP(IF(J107&lt;10, 10, IF(J107&gt;50,50,J107)),'Over to underbark'!$A$3:$C$43,IF(A107="Scots pine",3,IF(A107="Sitka spruce",2, "error")),TRUE)/100</f>
        <v>0.84</v>
      </c>
      <c r="W107">
        <f t="shared" si="16"/>
        <v>138.11590800000002</v>
      </c>
      <c r="X107">
        <f t="shared" si="17"/>
        <v>157.79761199999999</v>
      </c>
      <c r="Y107">
        <f t="shared" si="20"/>
        <v>56.364480000000015</v>
      </c>
      <c r="Z107">
        <f t="shared" si="26"/>
        <v>158.76018936</v>
      </c>
      <c r="AA107">
        <f t="shared" si="27"/>
        <v>98.839243440000004</v>
      </c>
      <c r="AB107">
        <f t="shared" si="28"/>
        <v>94.678567199999989</v>
      </c>
      <c r="AC107">
        <f>LOOKUP($A107,'Over to underbark'!$A$47:$A$48,'Over to underbark'!E$47:E$48)*Z107</f>
        <v>66.679279531199995</v>
      </c>
      <c r="AD107">
        <f>LOOKUP($A107,'Over to underbark'!$A$47:$A$48,'Over to underbark'!E$47:E$48)*AA107</f>
        <v>41.512482244799997</v>
      </c>
      <c r="AE107">
        <f>LOOKUP($A107,'Over to underbark'!$A$47:$A$48,'Over to underbark'!E$47:E$48)*AB107</f>
        <v>39.764998223999996</v>
      </c>
      <c r="AF107" t="b">
        <f t="shared" si="21"/>
        <v>1</v>
      </c>
      <c r="AG107" t="b">
        <f t="shared" si="22"/>
        <v>1</v>
      </c>
      <c r="AH107">
        <f>LOOKUP(A107,'Over to underbark'!$A$47:$A$48,'Over to underbark'!E$47:E$48)*M107</f>
        <v>164.3964</v>
      </c>
      <c r="AI107" s="27">
        <f>LOOKUP(A107,'Over to underbark'!$A$47:$A$48,'Over to underbark'!$B$47:$B$48)*AH107</f>
        <v>55.894776000000007</v>
      </c>
      <c r="AJ107" s="27">
        <f>LOOKUP(A108,'Over to underbark'!$A$47:$A$48,'Over to underbark'!C$47:C$48)*AH107</f>
        <v>57.538739999999997</v>
      </c>
      <c r="AK107" s="27">
        <f t="shared" si="23"/>
        <v>220.29117600000001</v>
      </c>
      <c r="AL107" s="33">
        <v>524.5</v>
      </c>
      <c r="AM107" s="28">
        <f t="shared" si="24"/>
        <v>440.58235200000001</v>
      </c>
      <c r="AO107">
        <f t="shared" si="25"/>
        <v>0.67164179104477595</v>
      </c>
    </row>
    <row r="108" spans="1:41" x14ac:dyDescent="0.35">
      <c r="A108" t="s">
        <v>39</v>
      </c>
      <c r="B108">
        <v>6</v>
      </c>
      <c r="C108">
        <v>2</v>
      </c>
      <c r="D108" t="s">
        <v>40</v>
      </c>
      <c r="E108">
        <v>2</v>
      </c>
      <c r="F108">
        <v>1</v>
      </c>
      <c r="G108" s="16">
        <v>74</v>
      </c>
      <c r="H108" s="16">
        <v>17.974</v>
      </c>
      <c r="I108" s="16">
        <v>1379</v>
      </c>
      <c r="J108" s="16">
        <v>22.155000000000001</v>
      </c>
      <c r="K108" s="16">
        <v>53.161999999999999</v>
      </c>
      <c r="L108" s="16">
        <v>0.28799999999999998</v>
      </c>
      <c r="M108" s="23">
        <v>397.76</v>
      </c>
      <c r="N108" s="16">
        <v>4.4539999999999997</v>
      </c>
      <c r="O108" s="17">
        <v>5.375</v>
      </c>
      <c r="P108" s="18">
        <v>74</v>
      </c>
      <c r="Q108" s="18">
        <v>22.155000000000001</v>
      </c>
      <c r="R108" s="18">
        <v>181.762</v>
      </c>
      <c r="S108" s="18">
        <v>215.99799999999999</v>
      </c>
      <c r="T108" s="14" t="b">
        <f t="shared" si="18"/>
        <v>1</v>
      </c>
      <c r="U108" s="14" t="b">
        <f t="shared" si="19"/>
        <v>1</v>
      </c>
      <c r="V108" s="15">
        <f>VLOOKUP(IF(J108&lt;10, 10, IF(J108&gt;50,50,J108)),'Over to underbark'!$A$3:$C$43,IF(A108="Scots pine",3,IF(A108="Sitka spruce",2, "error")),TRUE)/100</f>
        <v>0.84</v>
      </c>
      <c r="W108">
        <f t="shared" si="16"/>
        <v>137.41207199999999</v>
      </c>
      <c r="X108">
        <f t="shared" si="17"/>
        <v>163.294488</v>
      </c>
      <c r="Y108">
        <f t="shared" si="20"/>
        <v>57.277440000000006</v>
      </c>
      <c r="Z108">
        <f t="shared" si="26"/>
        <v>160.09649424</v>
      </c>
      <c r="AA108">
        <f t="shared" si="27"/>
        <v>99.910812959999987</v>
      </c>
      <c r="AB108">
        <f t="shared" si="28"/>
        <v>97.976692799999995</v>
      </c>
      <c r="AC108">
        <f>LOOKUP($A108,'Over to underbark'!$A$47:$A$48,'Over to underbark'!E$47:E$48)*Z108</f>
        <v>67.240527580799991</v>
      </c>
      <c r="AD108">
        <f>LOOKUP($A108,'Over to underbark'!$A$47:$A$48,'Over to underbark'!E$47:E$48)*AA108</f>
        <v>41.962541443199996</v>
      </c>
      <c r="AE108">
        <f>LOOKUP($A108,'Over to underbark'!$A$47:$A$48,'Over to underbark'!E$47:E$48)*AB108</f>
        <v>41.150210975999997</v>
      </c>
      <c r="AF108" t="b">
        <f t="shared" si="21"/>
        <v>1</v>
      </c>
      <c r="AG108" t="b">
        <f t="shared" si="22"/>
        <v>1</v>
      </c>
      <c r="AH108">
        <f>LOOKUP(A108,'Over to underbark'!$A$47:$A$48,'Over to underbark'!E$47:E$48)*M108</f>
        <v>167.0592</v>
      </c>
      <c r="AI108" s="27">
        <f>LOOKUP(A108,'Over to underbark'!$A$47:$A$48,'Over to underbark'!$B$47:$B$48)*AH108</f>
        <v>56.800128000000008</v>
      </c>
      <c r="AJ108" s="27">
        <f>LOOKUP(A109,'Over to underbark'!$A$47:$A$48,'Over to underbark'!C$47:C$48)*AH108</f>
        <v>58.47072</v>
      </c>
      <c r="AK108" s="27">
        <f t="shared" si="23"/>
        <v>223.859328</v>
      </c>
      <c r="AL108" s="33">
        <v>533</v>
      </c>
      <c r="AM108" s="28">
        <f t="shared" si="24"/>
        <v>447.71865600000001</v>
      </c>
      <c r="AO108">
        <f t="shared" si="25"/>
        <v>0.67164179104477606</v>
      </c>
    </row>
    <row r="109" spans="1:41" x14ac:dyDescent="0.35">
      <c r="A109" t="s">
        <v>39</v>
      </c>
      <c r="B109">
        <v>6</v>
      </c>
      <c r="C109">
        <v>2</v>
      </c>
      <c r="D109" t="s">
        <v>40</v>
      </c>
      <c r="E109">
        <v>2</v>
      </c>
      <c r="F109">
        <v>1</v>
      </c>
      <c r="G109" s="16">
        <v>75</v>
      </c>
      <c r="H109" s="16">
        <v>18.12</v>
      </c>
      <c r="I109" s="16">
        <v>1365</v>
      </c>
      <c r="J109" s="16">
        <v>22.36</v>
      </c>
      <c r="K109" s="16">
        <v>53.6</v>
      </c>
      <c r="L109" s="16">
        <v>0.29599999999999999</v>
      </c>
      <c r="M109" s="23">
        <v>404.1</v>
      </c>
      <c r="N109" s="16">
        <v>4.6260000000000003</v>
      </c>
      <c r="O109" s="17">
        <v>5.3879999999999999</v>
      </c>
      <c r="P109" s="18">
        <v>75</v>
      </c>
      <c r="Q109" s="18">
        <v>22.36</v>
      </c>
      <c r="R109" s="18">
        <v>180.72800000000001</v>
      </c>
      <c r="S109" s="18">
        <v>223.37200000000001</v>
      </c>
      <c r="T109" s="14" t="b">
        <f t="shared" si="18"/>
        <v>1</v>
      </c>
      <c r="U109" s="14" t="b">
        <f t="shared" si="19"/>
        <v>1</v>
      </c>
      <c r="V109" s="15">
        <f>VLOOKUP(IF(J109&lt;10, 10, IF(J109&gt;50,50,J109)),'Over to underbark'!$A$3:$C$43,IF(A109="Scots pine",3,IF(A109="Sitka spruce",2, "error")),TRUE)/100</f>
        <v>0.84</v>
      </c>
      <c r="W109">
        <f t="shared" si="16"/>
        <v>136.630368</v>
      </c>
      <c r="X109">
        <f t="shared" si="17"/>
        <v>168.86923200000001</v>
      </c>
      <c r="Y109">
        <f t="shared" si="20"/>
        <v>58.190400000000018</v>
      </c>
      <c r="Z109">
        <f t="shared" si="26"/>
        <v>161.40009456000001</v>
      </c>
      <c r="AA109">
        <f t="shared" si="27"/>
        <v>100.96836623999999</v>
      </c>
      <c r="AB109">
        <f t="shared" si="28"/>
        <v>101.3215392</v>
      </c>
      <c r="AC109">
        <f>LOOKUP($A109,'Over to underbark'!$A$47:$A$48,'Over to underbark'!E$47:E$48)*Z109</f>
        <v>67.7880397152</v>
      </c>
      <c r="AD109">
        <f>LOOKUP($A109,'Over to underbark'!$A$47:$A$48,'Over to underbark'!E$47:E$48)*AA109</f>
        <v>42.406713820799993</v>
      </c>
      <c r="AE109">
        <f>LOOKUP($A109,'Over to underbark'!$A$47:$A$48,'Over to underbark'!E$47:E$48)*AB109</f>
        <v>42.555046464</v>
      </c>
      <c r="AF109" t="b">
        <f t="shared" si="21"/>
        <v>1</v>
      </c>
      <c r="AG109" t="b">
        <f t="shared" si="22"/>
        <v>1</v>
      </c>
      <c r="AH109">
        <f>LOOKUP(A109,'Over to underbark'!$A$47:$A$48,'Over to underbark'!E$47:E$48)*M109</f>
        <v>169.72200000000001</v>
      </c>
      <c r="AI109" s="27">
        <f>LOOKUP(A109,'Over to underbark'!$A$47:$A$48,'Over to underbark'!$B$47:$B$48)*AH109</f>
        <v>57.705480000000009</v>
      </c>
      <c r="AJ109" s="27">
        <f>LOOKUP(A110,'Over to underbark'!$A$47:$A$48,'Over to underbark'!C$47:C$48)*AH109</f>
        <v>59.402699999999996</v>
      </c>
      <c r="AK109" s="27">
        <f t="shared" si="23"/>
        <v>227.42748</v>
      </c>
      <c r="AL109" s="33">
        <v>541.49</v>
      </c>
      <c r="AM109" s="28">
        <f t="shared" si="24"/>
        <v>454.85496000000001</v>
      </c>
      <c r="AO109">
        <f t="shared" si="25"/>
        <v>0.67164179104477606</v>
      </c>
    </row>
    <row r="110" spans="1:41" x14ac:dyDescent="0.35">
      <c r="A110" t="s">
        <v>39</v>
      </c>
      <c r="B110">
        <v>6</v>
      </c>
      <c r="C110">
        <v>2</v>
      </c>
      <c r="D110" t="s">
        <v>40</v>
      </c>
      <c r="E110">
        <v>2</v>
      </c>
      <c r="F110">
        <v>1</v>
      </c>
      <c r="G110" s="16">
        <v>76</v>
      </c>
      <c r="H110" s="16">
        <v>18.245999999999999</v>
      </c>
      <c r="I110" s="16">
        <v>1352</v>
      </c>
      <c r="J110" s="16">
        <v>22.542999999999999</v>
      </c>
      <c r="K110" s="16">
        <v>53.963999999999999</v>
      </c>
      <c r="L110" s="16">
        <v>0.30299999999999999</v>
      </c>
      <c r="M110" s="23">
        <v>409.52</v>
      </c>
      <c r="N110" s="16">
        <v>4.8339999999999996</v>
      </c>
      <c r="O110" s="17">
        <v>5.3879999999999999</v>
      </c>
      <c r="P110" s="18">
        <v>76</v>
      </c>
      <c r="Q110" s="18">
        <v>22.542999999999999</v>
      </c>
      <c r="R110" s="18">
        <v>179.64599999999999</v>
      </c>
      <c r="S110" s="18">
        <v>229.874</v>
      </c>
      <c r="T110" s="14" t="b">
        <f t="shared" si="18"/>
        <v>1</v>
      </c>
      <c r="U110" s="14" t="b">
        <f t="shared" si="19"/>
        <v>1</v>
      </c>
      <c r="V110" s="15">
        <f>VLOOKUP(IF(J110&lt;10, 10, IF(J110&gt;50,50,J110)),'Over to underbark'!$A$3:$C$43,IF(A110="Scots pine",3,IF(A110="Sitka spruce",2, "error")),TRUE)/100</f>
        <v>0.84</v>
      </c>
      <c r="W110">
        <f t="shared" si="16"/>
        <v>135.812376</v>
      </c>
      <c r="X110">
        <f t="shared" si="17"/>
        <v>173.78474399999999</v>
      </c>
      <c r="Y110">
        <f t="shared" si="20"/>
        <v>58.970880000000008</v>
      </c>
      <c r="Z110">
        <f t="shared" si="26"/>
        <v>162.45164592</v>
      </c>
      <c r="AA110">
        <f t="shared" si="27"/>
        <v>101.84550768</v>
      </c>
      <c r="AB110">
        <f t="shared" si="28"/>
        <v>104.2708464</v>
      </c>
      <c r="AC110">
        <f>LOOKUP($A110,'Over to underbark'!$A$47:$A$48,'Over to underbark'!E$47:E$48)*Z110</f>
        <v>68.229691286399998</v>
      </c>
      <c r="AD110">
        <f>LOOKUP($A110,'Over to underbark'!$A$47:$A$48,'Over to underbark'!E$47:E$48)*AA110</f>
        <v>42.775113225599995</v>
      </c>
      <c r="AE110">
        <f>LOOKUP($A110,'Over to underbark'!$A$47:$A$48,'Over to underbark'!E$47:E$48)*AB110</f>
        <v>43.793755487999995</v>
      </c>
      <c r="AF110" t="b">
        <f t="shared" si="21"/>
        <v>1</v>
      </c>
      <c r="AG110" t="b">
        <f t="shared" si="22"/>
        <v>1</v>
      </c>
      <c r="AH110">
        <f>LOOKUP(A110,'Over to underbark'!$A$47:$A$48,'Over to underbark'!E$47:E$48)*M110</f>
        <v>171.99839999999998</v>
      </c>
      <c r="AI110" s="27">
        <f>LOOKUP(A110,'Over to underbark'!$A$47:$A$48,'Over to underbark'!$B$47:$B$48)*AH110</f>
        <v>58.479455999999999</v>
      </c>
      <c r="AJ110" s="27">
        <f>LOOKUP(A111,'Over to underbark'!$A$47:$A$48,'Over to underbark'!C$47:C$48)*AH110</f>
        <v>60.199439999999989</v>
      </c>
      <c r="AK110" s="27">
        <f t="shared" si="23"/>
        <v>230.47785599999997</v>
      </c>
      <c r="AL110" s="33">
        <v>548.76</v>
      </c>
      <c r="AM110" s="28">
        <f t="shared" si="24"/>
        <v>460.95571199999995</v>
      </c>
      <c r="AO110">
        <f t="shared" si="25"/>
        <v>0.67164179104477606</v>
      </c>
    </row>
    <row r="111" spans="1:41" x14ac:dyDescent="0.35">
      <c r="A111" t="s">
        <v>39</v>
      </c>
      <c r="B111">
        <v>6</v>
      </c>
      <c r="C111">
        <v>2</v>
      </c>
      <c r="D111" t="s">
        <v>40</v>
      </c>
      <c r="E111">
        <v>2</v>
      </c>
      <c r="F111">
        <v>1</v>
      </c>
      <c r="G111" s="16">
        <v>77</v>
      </c>
      <c r="H111" s="16">
        <v>18.372</v>
      </c>
      <c r="I111" s="16">
        <v>1339</v>
      </c>
      <c r="J111" s="16">
        <v>22.728999999999999</v>
      </c>
      <c r="K111" s="16">
        <v>54.328000000000003</v>
      </c>
      <c r="L111" s="16">
        <v>0.31</v>
      </c>
      <c r="M111" s="23">
        <v>414.94</v>
      </c>
      <c r="N111" s="16">
        <v>5.0350000000000001</v>
      </c>
      <c r="O111" s="17">
        <v>5.3890000000000002</v>
      </c>
      <c r="P111" s="18">
        <v>77</v>
      </c>
      <c r="Q111" s="18">
        <v>22.728999999999999</v>
      </c>
      <c r="R111" s="18">
        <v>178.46299999999999</v>
      </c>
      <c r="S111" s="18">
        <v>236.477</v>
      </c>
      <c r="T111" s="14" t="b">
        <f t="shared" si="18"/>
        <v>1</v>
      </c>
      <c r="U111" s="14" t="b">
        <f t="shared" si="19"/>
        <v>1</v>
      </c>
      <c r="V111" s="15">
        <f>VLOOKUP(IF(J111&lt;10, 10, IF(J111&gt;50,50,J111)),'Over to underbark'!$A$3:$C$43,IF(A111="Scots pine",3,IF(A111="Sitka spruce",2, "error")),TRUE)/100</f>
        <v>0.84</v>
      </c>
      <c r="W111">
        <f t="shared" si="16"/>
        <v>134.91802799999999</v>
      </c>
      <c r="X111">
        <f t="shared" si="17"/>
        <v>178.776612</v>
      </c>
      <c r="Y111">
        <f t="shared" si="20"/>
        <v>59.751360000000012</v>
      </c>
      <c r="Z111">
        <f t="shared" si="26"/>
        <v>163.47112776</v>
      </c>
      <c r="AA111">
        <f t="shared" si="27"/>
        <v>102.70890503999999</v>
      </c>
      <c r="AB111">
        <f t="shared" si="28"/>
        <v>107.26596719999999</v>
      </c>
      <c r="AC111">
        <f>LOOKUP($A111,'Over to underbark'!$A$47:$A$48,'Over to underbark'!E$47:E$48)*Z111</f>
        <v>68.657873659199993</v>
      </c>
      <c r="AD111">
        <f>LOOKUP($A111,'Over to underbark'!$A$47:$A$48,'Over to underbark'!E$47:E$48)*AA111</f>
        <v>43.137740116799996</v>
      </c>
      <c r="AE111">
        <f>LOOKUP($A111,'Over to underbark'!$A$47:$A$48,'Over to underbark'!E$47:E$48)*AB111</f>
        <v>45.051706223999993</v>
      </c>
      <c r="AF111" t="b">
        <f t="shared" si="21"/>
        <v>1</v>
      </c>
      <c r="AG111" t="b">
        <f t="shared" si="22"/>
        <v>1</v>
      </c>
      <c r="AH111">
        <f>LOOKUP(A111,'Over to underbark'!$A$47:$A$48,'Over to underbark'!E$47:E$48)*M111</f>
        <v>174.2748</v>
      </c>
      <c r="AI111" s="27">
        <f>LOOKUP(A111,'Over to underbark'!$A$47:$A$48,'Over to underbark'!$B$47:$B$48)*AH111</f>
        <v>59.253432000000004</v>
      </c>
      <c r="AJ111" s="27">
        <f>LOOKUP(A112,'Over to underbark'!$A$47:$A$48,'Over to underbark'!C$47:C$48)*AH111</f>
        <v>60.996179999999995</v>
      </c>
      <c r="AK111" s="27">
        <f t="shared" si="23"/>
        <v>233.528232</v>
      </c>
      <c r="AL111" s="33">
        <v>556.02</v>
      </c>
      <c r="AM111" s="28">
        <f t="shared" si="24"/>
        <v>467.05646400000001</v>
      </c>
      <c r="AO111">
        <f t="shared" si="25"/>
        <v>0.67164179104477595</v>
      </c>
    </row>
    <row r="112" spans="1:41" x14ac:dyDescent="0.35">
      <c r="A112" t="s">
        <v>39</v>
      </c>
      <c r="B112">
        <v>6</v>
      </c>
      <c r="C112">
        <v>2</v>
      </c>
      <c r="D112" t="s">
        <v>40</v>
      </c>
      <c r="E112">
        <v>2</v>
      </c>
      <c r="F112">
        <v>1</v>
      </c>
      <c r="G112" s="16">
        <v>78</v>
      </c>
      <c r="H112" s="16">
        <v>18.498000000000001</v>
      </c>
      <c r="I112" s="16">
        <v>1327</v>
      </c>
      <c r="J112" s="16">
        <v>22.908000000000001</v>
      </c>
      <c r="K112" s="16">
        <v>54.692</v>
      </c>
      <c r="L112" s="16">
        <v>0.317</v>
      </c>
      <c r="M112" s="23">
        <v>420.36</v>
      </c>
      <c r="N112" s="16">
        <v>5.23</v>
      </c>
      <c r="O112" s="17">
        <v>5.3890000000000002</v>
      </c>
      <c r="P112" s="18">
        <v>78</v>
      </c>
      <c r="Q112" s="18">
        <v>22.908000000000001</v>
      </c>
      <c r="R112" s="18">
        <v>177.37100000000001</v>
      </c>
      <c r="S112" s="18">
        <v>242.989</v>
      </c>
      <c r="T112" s="14" t="b">
        <f t="shared" si="18"/>
        <v>1</v>
      </c>
      <c r="U112" s="14" t="b">
        <f t="shared" si="19"/>
        <v>1</v>
      </c>
      <c r="V112" s="15">
        <f>VLOOKUP(IF(J112&lt;10, 10, IF(J112&gt;50,50,J112)),'Over to underbark'!$A$3:$C$43,IF(A112="Scots pine",3,IF(A112="Sitka spruce",2, "error")),TRUE)/100</f>
        <v>0.84</v>
      </c>
      <c r="W112">
        <f t="shared" si="16"/>
        <v>134.092476</v>
      </c>
      <c r="X112">
        <f t="shared" si="17"/>
        <v>183.69968399999999</v>
      </c>
      <c r="Y112">
        <f t="shared" si="20"/>
        <v>60.531840000000017</v>
      </c>
      <c r="Z112">
        <f t="shared" si="26"/>
        <v>164.51950392000001</v>
      </c>
      <c r="AA112">
        <f t="shared" si="27"/>
        <v>103.58468568000001</v>
      </c>
      <c r="AB112">
        <f t="shared" si="28"/>
        <v>110.21981039999999</v>
      </c>
      <c r="AC112">
        <f>LOOKUP($A112,'Over to underbark'!$A$47:$A$48,'Over to underbark'!E$47:E$48)*Z112</f>
        <v>69.098191646399997</v>
      </c>
      <c r="AD112">
        <f>LOOKUP($A112,'Over to underbark'!$A$47:$A$48,'Over to underbark'!E$47:E$48)*AA112</f>
        <v>43.505567985600003</v>
      </c>
      <c r="AE112">
        <f>LOOKUP($A112,'Over to underbark'!$A$47:$A$48,'Over to underbark'!E$47:E$48)*AB112</f>
        <v>46.292320367999992</v>
      </c>
      <c r="AF112" t="b">
        <f t="shared" si="21"/>
        <v>1</v>
      </c>
      <c r="AG112" t="b">
        <f t="shared" si="22"/>
        <v>1</v>
      </c>
      <c r="AH112">
        <f>LOOKUP(A112,'Over to underbark'!$A$47:$A$48,'Over to underbark'!E$47:E$48)*M112</f>
        <v>176.55119999999999</v>
      </c>
      <c r="AI112" s="27">
        <f>LOOKUP(A112,'Over to underbark'!$A$47:$A$48,'Over to underbark'!$B$47:$B$48)*AH112</f>
        <v>60.027408000000001</v>
      </c>
      <c r="AJ112" s="27">
        <f>LOOKUP(A113,'Over to underbark'!$A$47:$A$48,'Over to underbark'!C$47:C$48)*AH112</f>
        <v>61.792919999999995</v>
      </c>
      <c r="AK112" s="27">
        <f t="shared" si="23"/>
        <v>236.578608</v>
      </c>
      <c r="AL112" s="33">
        <v>563.28</v>
      </c>
      <c r="AM112" s="28">
        <f t="shared" si="24"/>
        <v>473.15721600000001</v>
      </c>
      <c r="AO112">
        <f t="shared" si="25"/>
        <v>0.67164179104477606</v>
      </c>
    </row>
    <row r="113" spans="1:41" x14ac:dyDescent="0.35">
      <c r="A113" t="s">
        <v>39</v>
      </c>
      <c r="B113">
        <v>6</v>
      </c>
      <c r="C113">
        <v>2</v>
      </c>
      <c r="D113" t="s">
        <v>40</v>
      </c>
      <c r="E113">
        <v>2</v>
      </c>
      <c r="F113">
        <v>1</v>
      </c>
      <c r="G113" s="16">
        <v>79</v>
      </c>
      <c r="H113" s="16">
        <v>18.623999999999999</v>
      </c>
      <c r="I113" s="16">
        <v>1314</v>
      </c>
      <c r="J113" s="16">
        <v>23.097000000000001</v>
      </c>
      <c r="K113" s="16">
        <v>55.055999999999997</v>
      </c>
      <c r="L113" s="16">
        <v>0.32400000000000001</v>
      </c>
      <c r="M113" s="23">
        <v>425.78</v>
      </c>
      <c r="N113" s="16">
        <v>5.42</v>
      </c>
      <c r="O113" s="17">
        <v>5.39</v>
      </c>
      <c r="P113" s="18">
        <v>79</v>
      </c>
      <c r="Q113" s="18">
        <v>23.097000000000001</v>
      </c>
      <c r="R113" s="18">
        <v>176.05</v>
      </c>
      <c r="S113" s="18">
        <v>249.73</v>
      </c>
      <c r="T113" s="14" t="b">
        <f t="shared" si="18"/>
        <v>1</v>
      </c>
      <c r="U113" s="14" t="b">
        <f t="shared" si="19"/>
        <v>1</v>
      </c>
      <c r="V113" s="15">
        <f>VLOOKUP(IF(J113&lt;10, 10, IF(J113&gt;50,50,J113)),'Over to underbark'!$A$3:$C$43,IF(A113="Scots pine",3,IF(A113="Sitka spruce",2, "error")),TRUE)/100</f>
        <v>0.84</v>
      </c>
      <c r="W113">
        <f t="shared" si="16"/>
        <v>133.09380000000002</v>
      </c>
      <c r="X113">
        <f t="shared" si="17"/>
        <v>188.79588000000001</v>
      </c>
      <c r="Y113">
        <f t="shared" si="20"/>
        <v>61.312320000000014</v>
      </c>
      <c r="Z113">
        <f t="shared" si="26"/>
        <v>165.49516800000001</v>
      </c>
      <c r="AA113">
        <f t="shared" si="27"/>
        <v>104.429304</v>
      </c>
      <c r="AB113">
        <f t="shared" si="28"/>
        <v>113.277528</v>
      </c>
      <c r="AC113">
        <f>LOOKUP($A113,'Over to underbark'!$A$47:$A$48,'Over to underbark'!E$47:E$48)*Z113</f>
        <v>69.507970560000004</v>
      </c>
      <c r="AD113">
        <f>LOOKUP($A113,'Over to underbark'!$A$47:$A$48,'Over to underbark'!E$47:E$48)*AA113</f>
        <v>43.860307679999998</v>
      </c>
      <c r="AE113">
        <f>LOOKUP($A113,'Over to underbark'!$A$47:$A$48,'Over to underbark'!E$47:E$48)*AB113</f>
        <v>47.576561759999997</v>
      </c>
      <c r="AF113" t="b">
        <f t="shared" si="21"/>
        <v>1</v>
      </c>
      <c r="AG113" t="b">
        <f t="shared" si="22"/>
        <v>1</v>
      </c>
      <c r="AH113">
        <f>LOOKUP(A113,'Over to underbark'!$A$47:$A$48,'Over to underbark'!E$47:E$48)*M113</f>
        <v>178.82759999999999</v>
      </c>
      <c r="AI113" s="27">
        <f>LOOKUP(A113,'Over to underbark'!$A$47:$A$48,'Over to underbark'!$B$47:$B$48)*AH113</f>
        <v>60.801383999999999</v>
      </c>
      <c r="AJ113" s="27">
        <f>LOOKUP(A114,'Over to underbark'!$A$47:$A$48,'Over to underbark'!C$47:C$48)*AH113</f>
        <v>62.589659999999995</v>
      </c>
      <c r="AK113" s="27">
        <f t="shared" si="23"/>
        <v>239.628984</v>
      </c>
      <c r="AL113" s="33">
        <v>570.54999999999995</v>
      </c>
      <c r="AM113" s="28">
        <f t="shared" si="24"/>
        <v>479.25796800000001</v>
      </c>
      <c r="AO113">
        <f t="shared" si="25"/>
        <v>0.67164179104477606</v>
      </c>
    </row>
    <row r="114" spans="1:41" x14ac:dyDescent="0.35">
      <c r="A114" t="s">
        <v>39</v>
      </c>
      <c r="B114">
        <v>6</v>
      </c>
      <c r="C114">
        <v>2</v>
      </c>
      <c r="D114" t="s">
        <v>40</v>
      </c>
      <c r="E114">
        <v>2</v>
      </c>
      <c r="F114">
        <v>1</v>
      </c>
      <c r="G114" s="16">
        <v>80</v>
      </c>
      <c r="H114" s="16">
        <v>18.75</v>
      </c>
      <c r="I114" s="16">
        <v>1302</v>
      </c>
      <c r="J114" s="16">
        <v>23.28</v>
      </c>
      <c r="K114" s="16">
        <v>55.42</v>
      </c>
      <c r="L114" s="16">
        <v>0.33100000000000002</v>
      </c>
      <c r="M114" s="23">
        <v>431.2</v>
      </c>
      <c r="N114" s="16">
        <v>5.6040000000000001</v>
      </c>
      <c r="O114" s="17">
        <v>5.39</v>
      </c>
      <c r="P114" s="18">
        <v>80</v>
      </c>
      <c r="Q114" s="18">
        <v>23.28</v>
      </c>
      <c r="R114" s="18">
        <v>174.80500000000001</v>
      </c>
      <c r="S114" s="18">
        <v>256.39499999999998</v>
      </c>
      <c r="T114" s="14" t="b">
        <f t="shared" si="18"/>
        <v>1</v>
      </c>
      <c r="U114" s="14" t="b">
        <f t="shared" si="19"/>
        <v>1</v>
      </c>
      <c r="V114" s="15">
        <f>VLOOKUP(IF(J114&lt;10, 10, IF(J114&gt;50,50,J114)),'Over to underbark'!$A$3:$C$43,IF(A114="Scots pine",3,IF(A114="Sitka spruce",2, "error")),TRUE)/100</f>
        <v>0.84</v>
      </c>
      <c r="W114">
        <f t="shared" si="16"/>
        <v>132.15258</v>
      </c>
      <c r="X114">
        <f t="shared" si="17"/>
        <v>193.83461999999997</v>
      </c>
      <c r="Y114">
        <f t="shared" si="20"/>
        <v>62.092800000000011</v>
      </c>
      <c r="Z114">
        <f t="shared" si="26"/>
        <v>166.49496359999998</v>
      </c>
      <c r="AA114">
        <f t="shared" si="27"/>
        <v>105.28426439999998</v>
      </c>
      <c r="AB114">
        <f t="shared" si="28"/>
        <v>116.30077199999998</v>
      </c>
      <c r="AC114">
        <f>LOOKUP($A114,'Over to underbark'!$A$47:$A$48,'Over to underbark'!E$47:E$48)*Z114</f>
        <v>69.927884711999994</v>
      </c>
      <c r="AD114">
        <f>LOOKUP($A114,'Over to underbark'!$A$47:$A$48,'Over to underbark'!E$47:E$48)*AA114</f>
        <v>44.219391047999991</v>
      </c>
      <c r="AE114">
        <f>LOOKUP($A114,'Over to underbark'!$A$47:$A$48,'Over to underbark'!E$47:E$48)*AB114</f>
        <v>48.846324239999987</v>
      </c>
      <c r="AF114" t="b">
        <f t="shared" si="21"/>
        <v>1</v>
      </c>
      <c r="AG114" t="b">
        <f t="shared" si="22"/>
        <v>1</v>
      </c>
      <c r="AH114">
        <f>LOOKUP(A114,'Over to underbark'!$A$47:$A$48,'Over to underbark'!E$47:E$48)*M114</f>
        <v>181.10399999999998</v>
      </c>
      <c r="AI114" s="27">
        <f>LOOKUP(A114,'Over to underbark'!$A$47:$A$48,'Over to underbark'!$B$47:$B$48)*AH114</f>
        <v>61.575359999999996</v>
      </c>
      <c r="AJ114" s="27">
        <f>LOOKUP(A115,'Over to underbark'!$A$47:$A$48,'Over to underbark'!C$47:C$48)*AH114</f>
        <v>63.386399999999988</v>
      </c>
      <c r="AK114" s="27">
        <f t="shared" si="23"/>
        <v>242.67935999999997</v>
      </c>
      <c r="AL114" s="33">
        <v>577.80999999999995</v>
      </c>
      <c r="AM114" s="28">
        <f t="shared" si="24"/>
        <v>485.35871999999995</v>
      </c>
      <c r="AO114">
        <f t="shared" si="25"/>
        <v>0.67164179104477606</v>
      </c>
    </row>
    <row r="115" spans="1:41" x14ac:dyDescent="0.35">
      <c r="A115" t="s">
        <v>39</v>
      </c>
      <c r="B115">
        <v>6</v>
      </c>
      <c r="C115">
        <v>2</v>
      </c>
      <c r="D115" t="s">
        <v>40</v>
      </c>
      <c r="E115">
        <v>2</v>
      </c>
      <c r="F115">
        <v>1</v>
      </c>
      <c r="G115" s="16">
        <v>81</v>
      </c>
      <c r="H115" s="16">
        <v>18.856000000000002</v>
      </c>
      <c r="I115" s="16">
        <v>1290</v>
      </c>
      <c r="J115" s="16">
        <v>23.452000000000002</v>
      </c>
      <c r="K115" s="16">
        <v>55.722999999999999</v>
      </c>
      <c r="L115" s="16">
        <v>0.33800000000000002</v>
      </c>
      <c r="M115" s="23">
        <v>435.7</v>
      </c>
      <c r="N115" s="16">
        <v>5.827</v>
      </c>
      <c r="O115" s="17">
        <v>5.3789999999999996</v>
      </c>
      <c r="P115" s="18">
        <v>81</v>
      </c>
      <c r="Q115" s="18">
        <v>23.452000000000002</v>
      </c>
      <c r="R115" s="18">
        <v>173.36600000000001</v>
      </c>
      <c r="S115" s="18">
        <v>262.334</v>
      </c>
      <c r="T115" s="14" t="b">
        <f t="shared" si="18"/>
        <v>1</v>
      </c>
      <c r="U115" s="14" t="b">
        <f t="shared" si="19"/>
        <v>1</v>
      </c>
      <c r="V115" s="15">
        <f>VLOOKUP(IF(J115&lt;10, 10, IF(J115&gt;50,50,J115)),'Over to underbark'!$A$3:$C$43,IF(A115="Scots pine",3,IF(A115="Sitka spruce",2, "error")),TRUE)/100</f>
        <v>0.84</v>
      </c>
      <c r="W115">
        <f t="shared" si="16"/>
        <v>131.064696</v>
      </c>
      <c r="X115">
        <f t="shared" si="17"/>
        <v>198.32450400000002</v>
      </c>
      <c r="Y115">
        <f t="shared" si="20"/>
        <v>62.740800000000021</v>
      </c>
      <c r="Z115">
        <f t="shared" si="26"/>
        <v>167.19635232000002</v>
      </c>
      <c r="AA115">
        <f t="shared" si="27"/>
        <v>105.93894528000001</v>
      </c>
      <c r="AB115">
        <f t="shared" si="28"/>
        <v>118.99470240000001</v>
      </c>
      <c r="AC115">
        <f>LOOKUP($A115,'Over to underbark'!$A$47:$A$48,'Over to underbark'!E$47:E$48)*Z115</f>
        <v>70.222467974400004</v>
      </c>
      <c r="AD115">
        <f>LOOKUP($A115,'Over to underbark'!$A$47:$A$48,'Over to underbark'!E$47:E$48)*AA115</f>
        <v>44.494357017600002</v>
      </c>
      <c r="AE115">
        <f>LOOKUP($A115,'Over to underbark'!$A$47:$A$48,'Over to underbark'!E$47:E$48)*AB115</f>
        <v>49.977775008000002</v>
      </c>
      <c r="AF115" t="b">
        <f t="shared" si="21"/>
        <v>1</v>
      </c>
      <c r="AG115" t="b">
        <f t="shared" si="22"/>
        <v>1</v>
      </c>
      <c r="AH115">
        <f>LOOKUP(A115,'Over to underbark'!$A$47:$A$48,'Over to underbark'!E$47:E$48)*M115</f>
        <v>182.994</v>
      </c>
      <c r="AI115" s="27">
        <f>LOOKUP(A115,'Over to underbark'!$A$47:$A$48,'Over to underbark'!$B$47:$B$48)*AH115</f>
        <v>62.217960000000005</v>
      </c>
      <c r="AJ115" s="27">
        <f>LOOKUP(A116,'Over to underbark'!$A$47:$A$48,'Over to underbark'!C$47:C$48)*AH115</f>
        <v>64.047899999999998</v>
      </c>
      <c r="AK115" s="27">
        <f t="shared" si="23"/>
        <v>245.21196</v>
      </c>
      <c r="AL115" s="33">
        <v>583.84</v>
      </c>
      <c r="AM115" s="28">
        <f t="shared" si="24"/>
        <v>490.42392000000001</v>
      </c>
      <c r="AO115">
        <f t="shared" si="25"/>
        <v>0.67164179104477617</v>
      </c>
    </row>
    <row r="116" spans="1:41" x14ac:dyDescent="0.35">
      <c r="A116" t="s">
        <v>39</v>
      </c>
      <c r="B116">
        <v>6</v>
      </c>
      <c r="C116">
        <v>2</v>
      </c>
      <c r="D116" t="s">
        <v>40</v>
      </c>
      <c r="E116">
        <v>2</v>
      </c>
      <c r="F116">
        <v>1</v>
      </c>
      <c r="G116" s="16">
        <v>82</v>
      </c>
      <c r="H116" s="16">
        <v>18.962</v>
      </c>
      <c r="I116" s="16">
        <v>1279</v>
      </c>
      <c r="J116" s="16">
        <v>23.616</v>
      </c>
      <c r="K116" s="16">
        <v>56.024999999999999</v>
      </c>
      <c r="L116" s="16">
        <v>0.34399999999999997</v>
      </c>
      <c r="M116" s="23">
        <v>440.2</v>
      </c>
      <c r="N116" s="16">
        <v>6.0449999999999999</v>
      </c>
      <c r="O116" s="17">
        <v>5.3680000000000003</v>
      </c>
      <c r="P116" s="18">
        <v>82</v>
      </c>
      <c r="Q116" s="18">
        <v>23.616</v>
      </c>
      <c r="R116" s="18">
        <v>172.05600000000001</v>
      </c>
      <c r="S116" s="18">
        <v>268.14400000000001</v>
      </c>
      <c r="T116" s="14" t="b">
        <f t="shared" si="18"/>
        <v>1</v>
      </c>
      <c r="U116" s="14" t="b">
        <f t="shared" si="19"/>
        <v>1</v>
      </c>
      <c r="V116" s="15">
        <f>VLOOKUP(IF(J116&lt;10, 10, IF(J116&gt;50,50,J116)),'Over to underbark'!$A$3:$C$43,IF(A116="Scots pine",3,IF(A116="Sitka spruce",2, "error")),TRUE)/100</f>
        <v>0.84</v>
      </c>
      <c r="W116">
        <f t="shared" si="16"/>
        <v>130.07433599999999</v>
      </c>
      <c r="X116">
        <f t="shared" si="17"/>
        <v>202.71686399999999</v>
      </c>
      <c r="Y116">
        <f t="shared" si="20"/>
        <v>63.388800000000025</v>
      </c>
      <c r="Z116">
        <f t="shared" si="26"/>
        <v>167.93870112000002</v>
      </c>
      <c r="AA116">
        <f t="shared" si="27"/>
        <v>106.61118047999999</v>
      </c>
      <c r="AB116">
        <f t="shared" si="28"/>
        <v>121.63011839999999</v>
      </c>
      <c r="AC116">
        <f>LOOKUP($A116,'Over to underbark'!$A$47:$A$48,'Over to underbark'!E$47:E$48)*Z116</f>
        <v>70.534254470400001</v>
      </c>
      <c r="AD116">
        <f>LOOKUP($A116,'Over to underbark'!$A$47:$A$48,'Over to underbark'!E$47:E$48)*AA116</f>
        <v>44.776695801599992</v>
      </c>
      <c r="AE116">
        <f>LOOKUP($A116,'Over to underbark'!$A$47:$A$48,'Over to underbark'!E$47:E$48)*AB116</f>
        <v>51.084649727999995</v>
      </c>
      <c r="AF116" t="b">
        <f t="shared" si="21"/>
        <v>1</v>
      </c>
      <c r="AG116" t="b">
        <f t="shared" si="22"/>
        <v>1</v>
      </c>
      <c r="AH116">
        <f>LOOKUP(A116,'Over to underbark'!$A$47:$A$48,'Over to underbark'!E$47:E$48)*M116</f>
        <v>184.88399999999999</v>
      </c>
      <c r="AI116" s="27">
        <f>LOOKUP(A116,'Over to underbark'!$A$47:$A$48,'Over to underbark'!$B$47:$B$48)*AH116</f>
        <v>62.86056</v>
      </c>
      <c r="AJ116" s="27">
        <f>LOOKUP(A117,'Over to underbark'!$A$47:$A$48,'Over to underbark'!C$47:C$48)*AH116</f>
        <v>64.709399999999988</v>
      </c>
      <c r="AK116" s="27">
        <f t="shared" si="23"/>
        <v>247.74455999999998</v>
      </c>
      <c r="AL116" s="33">
        <v>589.87</v>
      </c>
      <c r="AM116" s="28">
        <f t="shared" si="24"/>
        <v>495.48911999999996</v>
      </c>
      <c r="AO116">
        <f t="shared" si="25"/>
        <v>0.67164179104477606</v>
      </c>
    </row>
    <row r="117" spans="1:41" x14ac:dyDescent="0.35">
      <c r="A117" t="s">
        <v>39</v>
      </c>
      <c r="B117">
        <v>6</v>
      </c>
      <c r="C117">
        <v>2</v>
      </c>
      <c r="D117" t="s">
        <v>40</v>
      </c>
      <c r="E117">
        <v>2</v>
      </c>
      <c r="F117">
        <v>1</v>
      </c>
      <c r="G117" s="16">
        <v>83</v>
      </c>
      <c r="H117" s="16">
        <v>19.068000000000001</v>
      </c>
      <c r="I117" s="16">
        <v>1268</v>
      </c>
      <c r="J117" s="16">
        <v>23.782</v>
      </c>
      <c r="K117" s="16">
        <v>56.328000000000003</v>
      </c>
      <c r="L117" s="16">
        <v>0.35099999999999998</v>
      </c>
      <c r="M117" s="23">
        <v>444.7</v>
      </c>
      <c r="N117" s="16">
        <v>6.2569999999999997</v>
      </c>
      <c r="O117" s="17">
        <v>5.3579999999999997</v>
      </c>
      <c r="P117" s="18">
        <v>83</v>
      </c>
      <c r="Q117" s="18">
        <v>23.782</v>
      </c>
      <c r="R117" s="18">
        <v>170.68799999999999</v>
      </c>
      <c r="S117" s="18">
        <v>274.012</v>
      </c>
      <c r="T117" s="14" t="b">
        <f t="shared" si="18"/>
        <v>1</v>
      </c>
      <c r="U117" s="14" t="b">
        <f t="shared" si="19"/>
        <v>1</v>
      </c>
      <c r="V117" s="15">
        <f>VLOOKUP(IF(J117&lt;10, 10, IF(J117&gt;50,50,J117)),'Over to underbark'!$A$3:$C$43,IF(A117="Scots pine",3,IF(A117="Sitka spruce",2, "error")),TRUE)/100</f>
        <v>0.84</v>
      </c>
      <c r="W117">
        <f t="shared" si="16"/>
        <v>129.04012800000001</v>
      </c>
      <c r="X117">
        <f t="shared" si="17"/>
        <v>207.15307200000001</v>
      </c>
      <c r="Y117">
        <f t="shared" si="20"/>
        <v>64.036800000000014</v>
      </c>
      <c r="Z117">
        <f t="shared" si="26"/>
        <v>168.66263376000003</v>
      </c>
      <c r="AA117">
        <f t="shared" si="27"/>
        <v>107.27552304</v>
      </c>
      <c r="AB117">
        <f t="shared" si="28"/>
        <v>124.2918432</v>
      </c>
      <c r="AC117">
        <f>LOOKUP($A117,'Over to underbark'!$A$47:$A$48,'Over to underbark'!E$47:E$48)*Z117</f>
        <v>70.838306179200018</v>
      </c>
      <c r="AD117">
        <f>LOOKUP($A117,'Over to underbark'!$A$47:$A$48,'Over to underbark'!E$47:E$48)*AA117</f>
        <v>45.055719676799995</v>
      </c>
      <c r="AE117">
        <f>LOOKUP($A117,'Over to underbark'!$A$47:$A$48,'Over to underbark'!E$47:E$48)*AB117</f>
        <v>52.202574143999996</v>
      </c>
      <c r="AF117" t="b">
        <f t="shared" si="21"/>
        <v>1</v>
      </c>
      <c r="AG117" t="b">
        <f t="shared" si="22"/>
        <v>1</v>
      </c>
      <c r="AH117">
        <f>LOOKUP(A117,'Over to underbark'!$A$47:$A$48,'Over to underbark'!E$47:E$48)*M117</f>
        <v>186.774</v>
      </c>
      <c r="AI117" s="27">
        <f>LOOKUP(A117,'Over to underbark'!$A$47:$A$48,'Over to underbark'!$B$47:$B$48)*AH117</f>
        <v>63.503160000000008</v>
      </c>
      <c r="AJ117" s="27">
        <f>LOOKUP(A118,'Over to underbark'!$A$47:$A$48,'Over to underbark'!C$47:C$48)*AH117</f>
        <v>65.370899999999992</v>
      </c>
      <c r="AK117" s="27">
        <f t="shared" si="23"/>
        <v>250.27716000000001</v>
      </c>
      <c r="AL117" s="33">
        <v>595.9</v>
      </c>
      <c r="AM117" s="28">
        <f t="shared" si="24"/>
        <v>500.55432000000002</v>
      </c>
      <c r="AO117">
        <f t="shared" si="25"/>
        <v>0.67164179104477617</v>
      </c>
    </row>
    <row r="118" spans="1:41" x14ac:dyDescent="0.35">
      <c r="A118" t="s">
        <v>39</v>
      </c>
      <c r="B118">
        <v>6</v>
      </c>
      <c r="C118">
        <v>2</v>
      </c>
      <c r="D118" t="s">
        <v>40</v>
      </c>
      <c r="E118">
        <v>2</v>
      </c>
      <c r="F118">
        <v>1</v>
      </c>
      <c r="G118" s="16">
        <v>84</v>
      </c>
      <c r="H118" s="16">
        <v>19.173999999999999</v>
      </c>
      <c r="I118" s="16">
        <v>1257</v>
      </c>
      <c r="J118" s="16">
        <v>23.95</v>
      </c>
      <c r="K118" s="16">
        <v>56.63</v>
      </c>
      <c r="L118" s="16">
        <v>0.35699999999999998</v>
      </c>
      <c r="M118" s="23">
        <v>449.2</v>
      </c>
      <c r="N118" s="16">
        <v>6.4630000000000001</v>
      </c>
      <c r="O118" s="17">
        <v>5.3479999999999999</v>
      </c>
      <c r="P118" s="18">
        <v>84</v>
      </c>
      <c r="Q118" s="18">
        <v>23.95</v>
      </c>
      <c r="R118" s="18">
        <v>169.26300000000001</v>
      </c>
      <c r="S118" s="18">
        <v>279.93700000000001</v>
      </c>
      <c r="T118" s="14" t="b">
        <f t="shared" si="18"/>
        <v>1</v>
      </c>
      <c r="U118" s="14" t="b">
        <f t="shared" si="19"/>
        <v>1</v>
      </c>
      <c r="V118" s="15">
        <f>VLOOKUP(IF(J118&lt;10, 10, IF(J118&gt;50,50,J118)),'Over to underbark'!$A$3:$C$43,IF(A118="Scots pine",3,IF(A118="Sitka spruce",2, "error")),TRUE)/100</f>
        <v>0.84</v>
      </c>
      <c r="W118">
        <f t="shared" si="16"/>
        <v>127.962828</v>
      </c>
      <c r="X118">
        <f t="shared" si="17"/>
        <v>211.632372</v>
      </c>
      <c r="Y118">
        <f t="shared" si="20"/>
        <v>64.684800000000024</v>
      </c>
      <c r="Z118">
        <f t="shared" si="26"/>
        <v>169.36846776000002</v>
      </c>
      <c r="AA118">
        <f t="shared" si="27"/>
        <v>107.93210904</v>
      </c>
      <c r="AB118">
        <f t="shared" si="28"/>
        <v>126.9794232</v>
      </c>
      <c r="AC118">
        <f>LOOKUP($A118,'Over to underbark'!$A$47:$A$48,'Over to underbark'!E$47:E$48)*Z118</f>
        <v>71.134756459200005</v>
      </c>
      <c r="AD118">
        <f>LOOKUP($A118,'Over to underbark'!$A$47:$A$48,'Over to underbark'!E$47:E$48)*AA118</f>
        <v>45.331485796799996</v>
      </c>
      <c r="AE118">
        <f>LOOKUP($A118,'Over to underbark'!$A$47:$A$48,'Over to underbark'!E$47:E$48)*AB118</f>
        <v>53.331357743999995</v>
      </c>
      <c r="AF118" t="b">
        <f t="shared" si="21"/>
        <v>1</v>
      </c>
      <c r="AG118" t="b">
        <f t="shared" si="22"/>
        <v>1</v>
      </c>
      <c r="AH118">
        <f>LOOKUP(A118,'Over to underbark'!$A$47:$A$48,'Over to underbark'!E$47:E$48)*M118</f>
        <v>188.66399999999999</v>
      </c>
      <c r="AI118" s="27">
        <f>LOOKUP(A118,'Over to underbark'!$A$47:$A$48,'Over to underbark'!$B$47:$B$48)*AH118</f>
        <v>64.145759999999996</v>
      </c>
      <c r="AJ118" s="27">
        <f>LOOKUP(A119,'Over to underbark'!$A$47:$A$48,'Over to underbark'!C$47:C$48)*AH118</f>
        <v>66.032399999999996</v>
      </c>
      <c r="AK118" s="27">
        <f t="shared" si="23"/>
        <v>252.80975999999998</v>
      </c>
      <c r="AL118" s="33">
        <v>601.92999999999995</v>
      </c>
      <c r="AM118" s="28">
        <f t="shared" si="24"/>
        <v>505.61951999999997</v>
      </c>
      <c r="AO118">
        <f t="shared" si="25"/>
        <v>0.67164179104477617</v>
      </c>
    </row>
    <row r="119" spans="1:41" x14ac:dyDescent="0.35">
      <c r="A119" t="s">
        <v>39</v>
      </c>
      <c r="B119">
        <v>6</v>
      </c>
      <c r="C119">
        <v>2</v>
      </c>
      <c r="D119" t="s">
        <v>40</v>
      </c>
      <c r="E119">
        <v>2</v>
      </c>
      <c r="F119">
        <v>1</v>
      </c>
      <c r="G119" s="16">
        <v>85</v>
      </c>
      <c r="H119" s="16">
        <v>19.28</v>
      </c>
      <c r="I119" s="16">
        <v>1246</v>
      </c>
      <c r="J119" s="16">
        <v>24.12</v>
      </c>
      <c r="K119" s="16">
        <v>56.933</v>
      </c>
      <c r="L119" s="16">
        <v>0.36399999999999999</v>
      </c>
      <c r="M119" s="23">
        <v>453.7</v>
      </c>
      <c r="N119" s="16">
        <v>6.665</v>
      </c>
      <c r="O119" s="17">
        <v>5.3380000000000001</v>
      </c>
      <c r="P119" s="18">
        <v>85</v>
      </c>
      <c r="Q119" s="18">
        <v>24.12</v>
      </c>
      <c r="R119" s="18">
        <v>167.78299999999999</v>
      </c>
      <c r="S119" s="18">
        <v>285.91699999999997</v>
      </c>
      <c r="T119" s="14" t="b">
        <f t="shared" si="18"/>
        <v>1</v>
      </c>
      <c r="U119" s="14" t="b">
        <f t="shared" si="19"/>
        <v>1</v>
      </c>
      <c r="V119" s="15">
        <f>VLOOKUP(IF(J119&lt;10, 10, IF(J119&gt;50,50,J119)),'Over to underbark'!$A$3:$C$43,IF(A119="Scots pine",3,IF(A119="Sitka spruce",2, "error")),TRUE)/100</f>
        <v>0.84</v>
      </c>
      <c r="W119">
        <f t="shared" si="16"/>
        <v>126.84394799999998</v>
      </c>
      <c r="X119">
        <f t="shared" si="17"/>
        <v>216.15325199999998</v>
      </c>
      <c r="Y119">
        <f t="shared" si="20"/>
        <v>65.332800000000006</v>
      </c>
      <c r="Z119">
        <f t="shared" si="26"/>
        <v>170.05683815999998</v>
      </c>
      <c r="AA119">
        <f t="shared" si="27"/>
        <v>108.58121063999999</v>
      </c>
      <c r="AB119">
        <f t="shared" si="28"/>
        <v>129.69195119999998</v>
      </c>
      <c r="AC119">
        <f>LOOKUP($A119,'Over to underbark'!$A$47:$A$48,'Over to underbark'!E$47:E$48)*Z119</f>
        <v>71.423872027199991</v>
      </c>
      <c r="AD119">
        <f>LOOKUP($A119,'Over to underbark'!$A$47:$A$48,'Over to underbark'!E$47:E$48)*AA119</f>
        <v>45.604108468799993</v>
      </c>
      <c r="AE119">
        <f>LOOKUP($A119,'Over to underbark'!$A$47:$A$48,'Over to underbark'!E$47:E$48)*AB119</f>
        <v>54.470619503999991</v>
      </c>
      <c r="AF119" t="b">
        <f t="shared" si="21"/>
        <v>1</v>
      </c>
      <c r="AG119" t="b">
        <f t="shared" si="22"/>
        <v>1</v>
      </c>
      <c r="AH119">
        <f>LOOKUP(A119,'Over to underbark'!$A$47:$A$48,'Over to underbark'!E$47:E$48)*M119</f>
        <v>190.554</v>
      </c>
      <c r="AI119" s="27">
        <f>LOOKUP(A119,'Over to underbark'!$A$47:$A$48,'Over to underbark'!$B$47:$B$48)*AH119</f>
        <v>64.788360000000011</v>
      </c>
      <c r="AJ119" s="27">
        <f>LOOKUP(A120,'Over to underbark'!$A$47:$A$48,'Over to underbark'!C$47:C$48)*AH119</f>
        <v>66.693899999999999</v>
      </c>
      <c r="AK119" s="27">
        <f t="shared" si="23"/>
        <v>255.34236000000001</v>
      </c>
      <c r="AL119" s="33">
        <v>607.96</v>
      </c>
      <c r="AM119" s="28">
        <f t="shared" si="24"/>
        <v>510.68472000000003</v>
      </c>
      <c r="AO119">
        <f t="shared" si="25"/>
        <v>0.67164179104477606</v>
      </c>
    </row>
    <row r="120" spans="1:41" x14ac:dyDescent="0.35">
      <c r="A120" t="s">
        <v>39</v>
      </c>
      <c r="B120">
        <v>6</v>
      </c>
      <c r="C120">
        <v>2</v>
      </c>
      <c r="D120" t="s">
        <v>40</v>
      </c>
      <c r="E120">
        <v>2</v>
      </c>
      <c r="F120">
        <v>1</v>
      </c>
      <c r="G120" s="16">
        <v>86</v>
      </c>
      <c r="H120" s="16">
        <v>19.376000000000001</v>
      </c>
      <c r="I120" s="16">
        <v>1235</v>
      </c>
      <c r="J120" s="16">
        <v>24.274999999999999</v>
      </c>
      <c r="K120" s="16">
        <v>57.155999999999999</v>
      </c>
      <c r="L120" s="16">
        <v>0.37</v>
      </c>
      <c r="M120" s="23">
        <v>457.38</v>
      </c>
      <c r="N120" s="16">
        <v>6.8970000000000002</v>
      </c>
      <c r="O120" s="17">
        <v>5.3179999999999996</v>
      </c>
      <c r="P120" s="18">
        <v>86</v>
      </c>
      <c r="Q120" s="18">
        <v>24.274999999999999</v>
      </c>
      <c r="R120" s="18">
        <v>166.26499999999999</v>
      </c>
      <c r="S120" s="18">
        <v>291.11500000000001</v>
      </c>
      <c r="T120" s="14" t="b">
        <f t="shared" si="18"/>
        <v>1</v>
      </c>
      <c r="U120" s="14" t="b">
        <f t="shared" si="19"/>
        <v>1</v>
      </c>
      <c r="V120" s="15">
        <f>VLOOKUP(IF(J120&lt;10, 10, IF(J120&gt;50,50,J120)),'Over to underbark'!$A$3:$C$43,IF(A120="Scots pine",3,IF(A120="Sitka spruce",2, "error")),TRUE)/100</f>
        <v>0.84</v>
      </c>
      <c r="W120">
        <f t="shared" si="16"/>
        <v>125.69633999999999</v>
      </c>
      <c r="X120">
        <f t="shared" si="17"/>
        <v>220.08294000000001</v>
      </c>
      <c r="Y120">
        <f t="shared" si="20"/>
        <v>65.86272000000001</v>
      </c>
      <c r="Z120">
        <f t="shared" si="26"/>
        <v>170.52207480000001</v>
      </c>
      <c r="AA120">
        <f t="shared" si="27"/>
        <v>109.0701612</v>
      </c>
      <c r="AB120">
        <f t="shared" si="28"/>
        <v>132.04976400000001</v>
      </c>
      <c r="AC120">
        <f>LOOKUP($A120,'Over to underbark'!$A$47:$A$48,'Over to underbark'!E$47:E$48)*Z120</f>
        <v>71.619271416000004</v>
      </c>
      <c r="AD120">
        <f>LOOKUP($A120,'Over to underbark'!$A$47:$A$48,'Over to underbark'!E$47:E$48)*AA120</f>
        <v>45.809467703999999</v>
      </c>
      <c r="AE120">
        <f>LOOKUP($A120,'Over to underbark'!$A$47:$A$48,'Over to underbark'!E$47:E$48)*AB120</f>
        <v>55.460900880000004</v>
      </c>
      <c r="AF120" t="b">
        <f t="shared" si="21"/>
        <v>1</v>
      </c>
      <c r="AG120" t="b">
        <f t="shared" si="22"/>
        <v>1</v>
      </c>
      <c r="AH120">
        <f>LOOKUP(A120,'Over to underbark'!$A$47:$A$48,'Over to underbark'!E$47:E$48)*M120</f>
        <v>192.09959999999998</v>
      </c>
      <c r="AI120" s="27">
        <f>LOOKUP(A120,'Over to underbark'!$A$47:$A$48,'Over to underbark'!$B$47:$B$48)*AH120</f>
        <v>65.313863999999995</v>
      </c>
      <c r="AJ120" s="27">
        <f>LOOKUP(A121,'Over to underbark'!$A$47:$A$48,'Over to underbark'!C$47:C$48)*AH120</f>
        <v>67.234859999999983</v>
      </c>
      <c r="AK120" s="27">
        <f t="shared" si="23"/>
        <v>257.41346399999998</v>
      </c>
      <c r="AL120" s="33">
        <v>612.89</v>
      </c>
      <c r="AM120" s="28">
        <f t="shared" si="24"/>
        <v>514.82692799999995</v>
      </c>
      <c r="AO120">
        <f t="shared" si="25"/>
        <v>0.67164179104477628</v>
      </c>
    </row>
    <row r="121" spans="1:41" x14ac:dyDescent="0.35">
      <c r="A121" t="s">
        <v>39</v>
      </c>
      <c r="B121">
        <v>6</v>
      </c>
      <c r="C121">
        <v>2</v>
      </c>
      <c r="D121" t="s">
        <v>40</v>
      </c>
      <c r="E121">
        <v>2</v>
      </c>
      <c r="F121">
        <v>1</v>
      </c>
      <c r="G121" s="16">
        <v>87</v>
      </c>
      <c r="H121" s="16">
        <v>19.472000000000001</v>
      </c>
      <c r="I121" s="16">
        <v>1225</v>
      </c>
      <c r="J121" s="16">
        <v>24.420999999999999</v>
      </c>
      <c r="K121" s="16">
        <v>57.378999999999998</v>
      </c>
      <c r="L121" s="16">
        <v>0.376</v>
      </c>
      <c r="M121" s="23">
        <v>461.06</v>
      </c>
      <c r="N121" s="16">
        <v>7.1230000000000002</v>
      </c>
      <c r="O121" s="17">
        <v>5.3</v>
      </c>
      <c r="P121" s="18">
        <v>87</v>
      </c>
      <c r="Q121" s="18">
        <v>24.420999999999999</v>
      </c>
      <c r="R121" s="18">
        <v>164.90600000000001</v>
      </c>
      <c r="S121" s="18">
        <v>296.154</v>
      </c>
      <c r="T121" s="14" t="b">
        <f t="shared" si="18"/>
        <v>1</v>
      </c>
      <c r="U121" s="14" t="b">
        <f t="shared" si="19"/>
        <v>1</v>
      </c>
      <c r="V121" s="15">
        <f>VLOOKUP(IF(J121&lt;10, 10, IF(J121&gt;50,50,J121)),'Over to underbark'!$A$3:$C$43,IF(A121="Scots pine",3,IF(A121="Sitka spruce",2, "error")),TRUE)/100</f>
        <v>0.84</v>
      </c>
      <c r="W121">
        <f t="shared" si="16"/>
        <v>124.668936</v>
      </c>
      <c r="X121">
        <f t="shared" si="17"/>
        <v>223.89242400000001</v>
      </c>
      <c r="Y121">
        <f t="shared" si="20"/>
        <v>66.392640000000014</v>
      </c>
      <c r="Z121">
        <f t="shared" si="26"/>
        <v>171.03779712000002</v>
      </c>
      <c r="AA121">
        <f t="shared" si="27"/>
        <v>109.58074848000001</v>
      </c>
      <c r="AB121">
        <f t="shared" si="28"/>
        <v>134.3354544</v>
      </c>
      <c r="AC121">
        <f>LOOKUP($A121,'Over to underbark'!$A$47:$A$48,'Over to underbark'!E$47:E$48)*Z121</f>
        <v>71.835874790400013</v>
      </c>
      <c r="AD121">
        <f>LOOKUP($A121,'Over to underbark'!$A$47:$A$48,'Over to underbark'!E$47:E$48)*AA121</f>
        <v>46.023914361600006</v>
      </c>
      <c r="AE121">
        <f>LOOKUP($A121,'Over to underbark'!$A$47:$A$48,'Over to underbark'!E$47:E$48)*AB121</f>
        <v>56.420890847999999</v>
      </c>
      <c r="AF121" t="b">
        <f t="shared" si="21"/>
        <v>1</v>
      </c>
      <c r="AG121" t="b">
        <f t="shared" si="22"/>
        <v>1</v>
      </c>
      <c r="AH121">
        <f>LOOKUP(A121,'Over to underbark'!$A$47:$A$48,'Over to underbark'!E$47:E$48)*M121</f>
        <v>193.64519999999999</v>
      </c>
      <c r="AI121" s="27">
        <f>LOOKUP(A121,'Over to underbark'!$A$47:$A$48,'Over to underbark'!$B$47:$B$48)*AH121</f>
        <v>65.839368000000007</v>
      </c>
      <c r="AJ121" s="27">
        <f>LOOKUP(A122,'Over to underbark'!$A$47:$A$48,'Over to underbark'!C$47:C$48)*AH121</f>
        <v>67.775819999999996</v>
      </c>
      <c r="AK121" s="27">
        <f t="shared" si="23"/>
        <v>259.48456799999997</v>
      </c>
      <c r="AL121" s="33">
        <v>617.82000000000005</v>
      </c>
      <c r="AM121" s="28">
        <f t="shared" si="24"/>
        <v>518.96913599999993</v>
      </c>
      <c r="AO121">
        <f t="shared" si="25"/>
        <v>0.67164179104477628</v>
      </c>
    </row>
    <row r="122" spans="1:41" x14ac:dyDescent="0.35">
      <c r="A122" t="s">
        <v>39</v>
      </c>
      <c r="B122">
        <v>6</v>
      </c>
      <c r="C122">
        <v>2</v>
      </c>
      <c r="D122" t="s">
        <v>40</v>
      </c>
      <c r="E122">
        <v>2</v>
      </c>
      <c r="F122">
        <v>1</v>
      </c>
      <c r="G122" s="16">
        <v>88</v>
      </c>
      <c r="H122" s="16">
        <v>19.568000000000001</v>
      </c>
      <c r="I122" s="16">
        <v>1214</v>
      </c>
      <c r="J122" s="16">
        <v>24.579000000000001</v>
      </c>
      <c r="K122" s="16">
        <v>57.603000000000002</v>
      </c>
      <c r="L122" s="16">
        <v>0.38300000000000001</v>
      </c>
      <c r="M122" s="23">
        <v>464.74</v>
      </c>
      <c r="N122" s="16">
        <v>7.3449999999999998</v>
      </c>
      <c r="O122" s="17">
        <v>5.2809999999999997</v>
      </c>
      <c r="P122" s="18">
        <v>88</v>
      </c>
      <c r="Q122" s="18">
        <v>24.579000000000001</v>
      </c>
      <c r="R122" s="18">
        <v>163.31899999999999</v>
      </c>
      <c r="S122" s="18">
        <v>301.42099999999999</v>
      </c>
      <c r="T122" s="14" t="b">
        <f t="shared" si="18"/>
        <v>1</v>
      </c>
      <c r="U122" s="14" t="b">
        <f t="shared" si="19"/>
        <v>1</v>
      </c>
      <c r="V122" s="15">
        <f>VLOOKUP(IF(J122&lt;10, 10, IF(J122&gt;50,50,J122)),'Over to underbark'!$A$3:$C$43,IF(A122="Scots pine",3,IF(A122="Sitka spruce",2, "error")),TRUE)/100</f>
        <v>0.84</v>
      </c>
      <c r="W122">
        <f t="shared" si="16"/>
        <v>123.46916399999999</v>
      </c>
      <c r="X122">
        <f t="shared" si="17"/>
        <v>227.87427600000001</v>
      </c>
      <c r="Y122">
        <f t="shared" si="20"/>
        <v>66.922560000000018</v>
      </c>
      <c r="Z122">
        <f t="shared" si="26"/>
        <v>171.48112488000001</v>
      </c>
      <c r="AA122">
        <f t="shared" si="27"/>
        <v>110.06030952</v>
      </c>
      <c r="AB122">
        <f t="shared" si="28"/>
        <v>136.72456560000001</v>
      </c>
      <c r="AC122">
        <f>LOOKUP($A122,'Over to underbark'!$A$47:$A$48,'Over to underbark'!E$47:E$48)*Z122</f>
        <v>72.022072449600003</v>
      </c>
      <c r="AD122">
        <f>LOOKUP($A122,'Over to underbark'!$A$47:$A$48,'Over to underbark'!E$47:E$48)*AA122</f>
        <v>46.225329998399999</v>
      </c>
      <c r="AE122">
        <f>LOOKUP($A122,'Over to underbark'!$A$47:$A$48,'Over to underbark'!E$47:E$48)*AB122</f>
        <v>57.424317551999998</v>
      </c>
      <c r="AF122" t="b">
        <f t="shared" si="21"/>
        <v>1</v>
      </c>
      <c r="AG122" t="b">
        <f t="shared" si="22"/>
        <v>1</v>
      </c>
      <c r="AH122">
        <f>LOOKUP(A122,'Over to underbark'!$A$47:$A$48,'Over to underbark'!E$47:E$48)*M122</f>
        <v>195.1908</v>
      </c>
      <c r="AI122" s="27">
        <f>LOOKUP(A122,'Over to underbark'!$A$47:$A$48,'Over to underbark'!$B$47:$B$48)*AH122</f>
        <v>66.364872000000005</v>
      </c>
      <c r="AJ122" s="27">
        <f>LOOKUP(A123,'Over to underbark'!$A$47:$A$48,'Over to underbark'!C$47:C$48)*AH122</f>
        <v>68.316779999999994</v>
      </c>
      <c r="AK122" s="27">
        <f t="shared" si="23"/>
        <v>261.55567200000002</v>
      </c>
      <c r="AL122" s="33">
        <v>622.75</v>
      </c>
      <c r="AM122" s="28">
        <f t="shared" si="24"/>
        <v>523.11134400000003</v>
      </c>
      <c r="AO122">
        <f t="shared" si="25"/>
        <v>0.67164179104477606</v>
      </c>
    </row>
    <row r="123" spans="1:41" x14ac:dyDescent="0.35">
      <c r="A123" t="s">
        <v>39</v>
      </c>
      <c r="B123">
        <v>6</v>
      </c>
      <c r="C123">
        <v>2</v>
      </c>
      <c r="D123" t="s">
        <v>40</v>
      </c>
      <c r="E123">
        <v>2</v>
      </c>
      <c r="F123">
        <v>1</v>
      </c>
      <c r="G123" s="16">
        <v>89</v>
      </c>
      <c r="H123" s="16">
        <v>19.664000000000001</v>
      </c>
      <c r="I123" s="16">
        <v>1204</v>
      </c>
      <c r="J123" s="16">
        <v>24.728999999999999</v>
      </c>
      <c r="K123" s="16">
        <v>57.826000000000001</v>
      </c>
      <c r="L123" s="16">
        <v>0.38900000000000001</v>
      </c>
      <c r="M123" s="23">
        <v>468.42</v>
      </c>
      <c r="N123" s="16">
        <v>7.5620000000000003</v>
      </c>
      <c r="O123" s="17">
        <v>5.2629999999999999</v>
      </c>
      <c r="P123" s="18">
        <v>89</v>
      </c>
      <c r="Q123" s="18">
        <v>24.728999999999999</v>
      </c>
      <c r="R123" s="18">
        <v>161.87200000000001</v>
      </c>
      <c r="S123" s="18">
        <v>306.548</v>
      </c>
      <c r="T123" s="14" t="b">
        <f t="shared" si="18"/>
        <v>1</v>
      </c>
      <c r="U123" s="14" t="b">
        <f t="shared" si="19"/>
        <v>1</v>
      </c>
      <c r="V123" s="15">
        <f>VLOOKUP(IF(J123&lt;10, 10, IF(J123&gt;50,50,J123)),'Over to underbark'!$A$3:$C$43,IF(A123="Scots pine",3,IF(A123="Sitka spruce",2, "error")),TRUE)/100</f>
        <v>0.84</v>
      </c>
      <c r="W123">
        <f t="shared" si="16"/>
        <v>122.37523200000001</v>
      </c>
      <c r="X123">
        <f t="shared" si="17"/>
        <v>231.75028800000001</v>
      </c>
      <c r="Y123">
        <f t="shared" si="20"/>
        <v>67.452480000000023</v>
      </c>
      <c r="Z123">
        <f t="shared" si="26"/>
        <v>171.96890544000004</v>
      </c>
      <c r="AA123">
        <f t="shared" si="27"/>
        <v>110.55892176</v>
      </c>
      <c r="AB123">
        <f t="shared" si="28"/>
        <v>139.05017280000001</v>
      </c>
      <c r="AC123">
        <f>LOOKUP($A123,'Over to underbark'!$A$47:$A$48,'Over to underbark'!E$47:E$48)*Z123</f>
        <v>72.226940284800008</v>
      </c>
      <c r="AD123">
        <f>LOOKUP($A123,'Over to underbark'!$A$47:$A$48,'Over to underbark'!E$47:E$48)*AA123</f>
        <v>46.434747139199999</v>
      </c>
      <c r="AE123">
        <f>LOOKUP($A123,'Over to underbark'!$A$47:$A$48,'Over to underbark'!E$47:E$48)*AB123</f>
        <v>58.401072576000004</v>
      </c>
      <c r="AF123" t="b">
        <f t="shared" si="21"/>
        <v>1</v>
      </c>
      <c r="AG123" t="b">
        <f t="shared" si="22"/>
        <v>1</v>
      </c>
      <c r="AH123">
        <f>LOOKUP(A123,'Over to underbark'!$A$47:$A$48,'Over to underbark'!E$47:E$48)*M123</f>
        <v>196.7364</v>
      </c>
      <c r="AI123" s="27">
        <f>LOOKUP(A123,'Over to underbark'!$A$47:$A$48,'Over to underbark'!$B$47:$B$48)*AH123</f>
        <v>66.890376000000003</v>
      </c>
      <c r="AJ123" s="27">
        <f>LOOKUP(A124,'Over to underbark'!$A$47:$A$48,'Over to underbark'!C$47:C$48)*AH123</f>
        <v>68.857739999999993</v>
      </c>
      <c r="AK123" s="27">
        <f t="shared" si="23"/>
        <v>263.62677600000001</v>
      </c>
      <c r="AL123" s="33">
        <v>627.67999999999995</v>
      </c>
      <c r="AM123" s="28">
        <f t="shared" si="24"/>
        <v>527.25355200000001</v>
      </c>
      <c r="AO123">
        <f t="shared" si="25"/>
        <v>0.67164179104477617</v>
      </c>
    </row>
    <row r="124" spans="1:41" x14ac:dyDescent="0.35">
      <c r="A124" t="s">
        <v>39</v>
      </c>
      <c r="B124">
        <v>6</v>
      </c>
      <c r="C124">
        <v>2</v>
      </c>
      <c r="D124" t="s">
        <v>40</v>
      </c>
      <c r="E124">
        <v>2</v>
      </c>
      <c r="F124">
        <v>1</v>
      </c>
      <c r="G124" s="16">
        <v>90</v>
      </c>
      <c r="H124" s="16">
        <v>19.760000000000002</v>
      </c>
      <c r="I124" s="16">
        <v>1194</v>
      </c>
      <c r="J124" s="16">
        <v>24.88</v>
      </c>
      <c r="K124" s="16">
        <v>58.048999999999999</v>
      </c>
      <c r="L124" s="16">
        <v>0.39500000000000002</v>
      </c>
      <c r="M124" s="23">
        <v>472.1</v>
      </c>
      <c r="N124" s="16">
        <v>7.7750000000000004</v>
      </c>
      <c r="O124" s="17">
        <v>5.2460000000000004</v>
      </c>
      <c r="P124" s="18">
        <v>90</v>
      </c>
      <c r="Q124" s="18">
        <v>24.88</v>
      </c>
      <c r="R124" s="18">
        <v>160.40100000000001</v>
      </c>
      <c r="S124" s="18">
        <v>311.69900000000001</v>
      </c>
      <c r="T124" s="14" t="b">
        <f t="shared" si="18"/>
        <v>1</v>
      </c>
      <c r="U124" s="14" t="b">
        <f t="shared" si="19"/>
        <v>1</v>
      </c>
      <c r="V124" s="15">
        <f>VLOOKUP(IF(J124&lt;10, 10, IF(J124&gt;50,50,J124)),'Over to underbark'!$A$3:$C$43,IF(A124="Scots pine",3,IF(A124="Sitka spruce",2, "error")),TRUE)/100</f>
        <v>0.84</v>
      </c>
      <c r="W124">
        <f t="shared" si="16"/>
        <v>121.26315600000001</v>
      </c>
      <c r="X124">
        <f t="shared" si="17"/>
        <v>235.64444400000002</v>
      </c>
      <c r="Y124">
        <f t="shared" si="20"/>
        <v>67.982400000000027</v>
      </c>
      <c r="Z124">
        <f t="shared" si="26"/>
        <v>172.44906552000003</v>
      </c>
      <c r="AA124">
        <f t="shared" si="27"/>
        <v>111.05426808000001</v>
      </c>
      <c r="AB124">
        <f t="shared" si="28"/>
        <v>141.3866664</v>
      </c>
      <c r="AC124">
        <f>LOOKUP($A124,'Over to underbark'!$A$47:$A$48,'Over to underbark'!E$47:E$48)*Z124</f>
        <v>72.428607518400014</v>
      </c>
      <c r="AD124">
        <f>LOOKUP($A124,'Over to underbark'!$A$47:$A$48,'Over to underbark'!E$47:E$48)*AA124</f>
        <v>46.642792593600007</v>
      </c>
      <c r="AE124">
        <f>LOOKUP($A124,'Over to underbark'!$A$47:$A$48,'Over to underbark'!E$47:E$48)*AB124</f>
        <v>59.382399887999995</v>
      </c>
      <c r="AF124" t="b">
        <f t="shared" si="21"/>
        <v>1</v>
      </c>
      <c r="AG124" t="b">
        <f t="shared" si="22"/>
        <v>1</v>
      </c>
      <c r="AH124">
        <f>LOOKUP(A124,'Over to underbark'!$A$47:$A$48,'Over to underbark'!E$47:E$48)*M124</f>
        <v>198.28200000000001</v>
      </c>
      <c r="AI124" s="27">
        <f>LOOKUP(A124,'Over to underbark'!$A$47:$A$48,'Over to underbark'!$B$47:$B$48)*AH124</f>
        <v>67.415880000000016</v>
      </c>
      <c r="AJ124" s="27">
        <f>LOOKUP(A125,'Over to underbark'!$A$47:$A$48,'Over to underbark'!C$47:C$48)*AH124</f>
        <v>69.398700000000005</v>
      </c>
      <c r="AK124" s="27">
        <f t="shared" si="23"/>
        <v>265.69788000000005</v>
      </c>
      <c r="AL124" s="33">
        <v>632.61</v>
      </c>
      <c r="AM124" s="28">
        <f t="shared" si="24"/>
        <v>531.39576000000011</v>
      </c>
      <c r="AO124">
        <f t="shared" si="25"/>
        <v>0.67164179104477595</v>
      </c>
    </row>
    <row r="125" spans="1:41" x14ac:dyDescent="0.35">
      <c r="A125" t="s">
        <v>39</v>
      </c>
      <c r="B125">
        <v>6</v>
      </c>
      <c r="C125">
        <v>2</v>
      </c>
      <c r="D125" t="s">
        <v>40</v>
      </c>
      <c r="E125">
        <v>2</v>
      </c>
      <c r="F125">
        <v>1</v>
      </c>
      <c r="G125" s="16">
        <v>91</v>
      </c>
      <c r="H125" s="16">
        <v>19.844000000000001</v>
      </c>
      <c r="I125" s="16">
        <v>1184</v>
      </c>
      <c r="J125" s="16">
        <v>25.016999999999999</v>
      </c>
      <c r="K125" s="16">
        <v>58.2</v>
      </c>
      <c r="L125" s="16">
        <v>0.40100000000000002</v>
      </c>
      <c r="M125" s="23">
        <v>474.92</v>
      </c>
      <c r="N125" s="16">
        <v>8.0180000000000007</v>
      </c>
      <c r="O125" s="17">
        <v>5.2190000000000003</v>
      </c>
      <c r="P125" s="18">
        <v>91</v>
      </c>
      <c r="Q125" s="18">
        <v>25.016999999999999</v>
      </c>
      <c r="R125" s="18">
        <v>158.88800000000001</v>
      </c>
      <c r="S125" s="18">
        <v>316.03199999999998</v>
      </c>
      <c r="T125" s="14" t="b">
        <f t="shared" si="18"/>
        <v>1</v>
      </c>
      <c r="U125" s="14" t="b">
        <f t="shared" si="19"/>
        <v>1</v>
      </c>
      <c r="V125" s="15">
        <f>VLOOKUP(IF(J125&lt;10, 10, IF(J125&gt;50,50,J125)),'Over to underbark'!$A$3:$C$43,IF(A125="Scots pine",3,IF(A125="Sitka spruce",2, "error")),TRUE)/100</f>
        <v>0.84</v>
      </c>
      <c r="W125">
        <f t="shared" si="16"/>
        <v>120.119328</v>
      </c>
      <c r="X125">
        <f t="shared" si="17"/>
        <v>238.92019199999996</v>
      </c>
      <c r="Y125">
        <f t="shared" si="20"/>
        <v>68.388480000000015</v>
      </c>
      <c r="Z125">
        <f t="shared" si="26"/>
        <v>172.69452576</v>
      </c>
      <c r="AA125">
        <f t="shared" si="27"/>
        <v>111.38135903999998</v>
      </c>
      <c r="AB125">
        <f t="shared" si="28"/>
        <v>143.35211519999996</v>
      </c>
      <c r="AC125">
        <f>LOOKUP($A125,'Over to underbark'!$A$47:$A$48,'Over to underbark'!E$47:E$48)*Z125</f>
        <v>72.531700819199997</v>
      </c>
      <c r="AD125">
        <f>LOOKUP($A125,'Over to underbark'!$A$47:$A$48,'Over to underbark'!E$47:E$48)*AA125</f>
        <v>46.780170796799986</v>
      </c>
      <c r="AE125">
        <f>LOOKUP($A125,'Over to underbark'!$A$47:$A$48,'Over to underbark'!E$47:E$48)*AB125</f>
        <v>60.207888383999979</v>
      </c>
      <c r="AF125" t="b">
        <f t="shared" si="21"/>
        <v>1</v>
      </c>
      <c r="AG125" t="b">
        <f t="shared" si="22"/>
        <v>1</v>
      </c>
      <c r="AH125">
        <f>LOOKUP(A125,'Over to underbark'!$A$47:$A$48,'Over to underbark'!E$47:E$48)*M125</f>
        <v>199.46639999999999</v>
      </c>
      <c r="AI125" s="27">
        <f>LOOKUP(A125,'Over to underbark'!$A$47:$A$48,'Over to underbark'!$B$47:$B$48)*AH125</f>
        <v>67.818576000000007</v>
      </c>
      <c r="AJ125" s="27">
        <f>LOOKUP(A126,'Over to underbark'!$A$47:$A$48,'Over to underbark'!C$47:C$48)*AH125</f>
        <v>69.813239999999993</v>
      </c>
      <c r="AK125" s="27">
        <f t="shared" si="23"/>
        <v>267.28497600000003</v>
      </c>
      <c r="AL125" s="33">
        <v>636.39</v>
      </c>
      <c r="AM125" s="28">
        <f t="shared" si="24"/>
        <v>534.56995200000006</v>
      </c>
      <c r="AO125">
        <f t="shared" si="25"/>
        <v>0.67164179104477595</v>
      </c>
    </row>
    <row r="126" spans="1:41" x14ac:dyDescent="0.35">
      <c r="A126" t="s">
        <v>39</v>
      </c>
      <c r="B126">
        <v>6</v>
      </c>
      <c r="C126">
        <v>2</v>
      </c>
      <c r="D126" t="s">
        <v>40</v>
      </c>
      <c r="E126">
        <v>2</v>
      </c>
      <c r="F126">
        <v>1</v>
      </c>
      <c r="G126" s="16">
        <v>92</v>
      </c>
      <c r="H126" s="16">
        <v>19.928000000000001</v>
      </c>
      <c r="I126" s="16">
        <v>1174</v>
      </c>
      <c r="J126" s="16">
        <v>25.155999999999999</v>
      </c>
      <c r="K126" s="16">
        <v>58.35</v>
      </c>
      <c r="L126" s="16">
        <v>0.40699999999999997</v>
      </c>
      <c r="M126" s="23">
        <v>477.74</v>
      </c>
      <c r="N126" s="16">
        <v>8.2569999999999997</v>
      </c>
      <c r="O126" s="17">
        <v>5.1929999999999996</v>
      </c>
      <c r="P126" s="18">
        <v>92</v>
      </c>
      <c r="Q126" s="18">
        <v>25.155999999999999</v>
      </c>
      <c r="R126" s="18">
        <v>157.34100000000001</v>
      </c>
      <c r="S126" s="18">
        <v>320.399</v>
      </c>
      <c r="T126" s="14" t="b">
        <f t="shared" si="18"/>
        <v>1</v>
      </c>
      <c r="U126" s="14" t="b">
        <f t="shared" si="19"/>
        <v>1</v>
      </c>
      <c r="V126" s="15">
        <f>VLOOKUP(IF(J126&lt;10, 10, IF(J126&gt;50,50,J126)),'Over to underbark'!$A$3:$C$43,IF(A126="Scots pine",3,IF(A126="Sitka spruce",2, "error")),TRUE)/100</f>
        <v>0.84</v>
      </c>
      <c r="W126">
        <f t="shared" si="16"/>
        <v>118.94979600000002</v>
      </c>
      <c r="X126">
        <f t="shared" si="17"/>
        <v>242.221644</v>
      </c>
      <c r="Y126">
        <f t="shared" si="20"/>
        <v>68.794560000000018</v>
      </c>
      <c r="Z126">
        <f t="shared" si="26"/>
        <v>172.92919032000003</v>
      </c>
      <c r="AA126">
        <f t="shared" si="27"/>
        <v>111.70382328000001</v>
      </c>
      <c r="AB126">
        <f t="shared" si="28"/>
        <v>145.33298639999998</v>
      </c>
      <c r="AC126">
        <f>LOOKUP($A126,'Over to underbark'!$A$47:$A$48,'Over to underbark'!E$47:E$48)*Z126</f>
        <v>72.630259934400016</v>
      </c>
      <c r="AD126">
        <f>LOOKUP($A126,'Over to underbark'!$A$47:$A$48,'Over to underbark'!E$47:E$48)*AA126</f>
        <v>46.9156057776</v>
      </c>
      <c r="AE126">
        <f>LOOKUP($A126,'Over to underbark'!$A$47:$A$48,'Over to underbark'!E$47:E$48)*AB126</f>
        <v>61.039854287999987</v>
      </c>
      <c r="AF126" t="b">
        <f t="shared" si="21"/>
        <v>1</v>
      </c>
      <c r="AG126" t="b">
        <f t="shared" si="22"/>
        <v>1</v>
      </c>
      <c r="AH126">
        <f>LOOKUP(A126,'Over to underbark'!$A$47:$A$48,'Over to underbark'!E$47:E$48)*M126</f>
        <v>200.6508</v>
      </c>
      <c r="AI126" s="27">
        <f>LOOKUP(A126,'Over to underbark'!$A$47:$A$48,'Over to underbark'!$B$47:$B$48)*AH126</f>
        <v>68.221272000000013</v>
      </c>
      <c r="AJ126" s="27">
        <f>LOOKUP(A127,'Over to underbark'!$A$47:$A$48,'Over to underbark'!C$47:C$48)*AH126</f>
        <v>70.227779999999996</v>
      </c>
      <c r="AK126" s="27">
        <f t="shared" si="23"/>
        <v>268.872072</v>
      </c>
      <c r="AL126" s="33">
        <v>640.16999999999996</v>
      </c>
      <c r="AM126" s="28">
        <f t="shared" si="24"/>
        <v>537.74414400000001</v>
      </c>
      <c r="AO126">
        <f t="shared" si="25"/>
        <v>0.67164179104477617</v>
      </c>
    </row>
    <row r="127" spans="1:41" x14ac:dyDescent="0.35">
      <c r="A127" t="s">
        <v>39</v>
      </c>
      <c r="B127">
        <v>6</v>
      </c>
      <c r="C127">
        <v>2</v>
      </c>
      <c r="D127" t="s">
        <v>40</v>
      </c>
      <c r="E127">
        <v>2</v>
      </c>
      <c r="F127">
        <v>1</v>
      </c>
      <c r="G127" s="16">
        <v>93</v>
      </c>
      <c r="H127" s="16">
        <v>20.012</v>
      </c>
      <c r="I127" s="16">
        <v>1165</v>
      </c>
      <c r="J127" s="16">
        <v>25.286000000000001</v>
      </c>
      <c r="K127" s="16">
        <v>58.500999999999998</v>
      </c>
      <c r="L127" s="16">
        <v>0.41199999999999998</v>
      </c>
      <c r="M127" s="23">
        <v>480.56</v>
      </c>
      <c r="N127" s="16">
        <v>8.4930000000000003</v>
      </c>
      <c r="O127" s="17">
        <v>5.1669999999999998</v>
      </c>
      <c r="P127" s="18">
        <v>93</v>
      </c>
      <c r="Q127" s="18">
        <v>25.286000000000001</v>
      </c>
      <c r="R127" s="18">
        <v>155.95599999999999</v>
      </c>
      <c r="S127" s="18">
        <v>324.60399999999998</v>
      </c>
      <c r="T127" s="14" t="b">
        <f t="shared" si="18"/>
        <v>1</v>
      </c>
      <c r="U127" s="14" t="b">
        <f t="shared" si="19"/>
        <v>1</v>
      </c>
      <c r="V127" s="15">
        <f>VLOOKUP(IF(J127&lt;10, 10, IF(J127&gt;50,50,J127)),'Over to underbark'!$A$3:$C$43,IF(A127="Scots pine",3,IF(A127="Sitka spruce",2, "error")),TRUE)/100</f>
        <v>0.84</v>
      </c>
      <c r="W127">
        <f t="shared" si="16"/>
        <v>117.90273599999999</v>
      </c>
      <c r="X127">
        <f t="shared" si="17"/>
        <v>245.40062399999999</v>
      </c>
      <c r="Y127">
        <f t="shared" si="20"/>
        <v>69.200640000000007</v>
      </c>
      <c r="Z127">
        <f t="shared" si="26"/>
        <v>173.21529311999998</v>
      </c>
      <c r="AA127">
        <f t="shared" si="27"/>
        <v>112.04833248</v>
      </c>
      <c r="AB127">
        <f t="shared" si="28"/>
        <v>147.24037439999998</v>
      </c>
      <c r="AC127">
        <f>LOOKUP($A127,'Over to underbark'!$A$47:$A$48,'Over to underbark'!E$47:E$48)*Z127</f>
        <v>72.750423110399993</v>
      </c>
      <c r="AD127">
        <f>LOOKUP($A127,'Over to underbark'!$A$47:$A$48,'Over to underbark'!E$47:E$48)*AA127</f>
        <v>47.060299641599997</v>
      </c>
      <c r="AE127">
        <f>LOOKUP($A127,'Over to underbark'!$A$47:$A$48,'Over to underbark'!E$47:E$48)*AB127</f>
        <v>61.840957247999988</v>
      </c>
      <c r="AF127" t="b">
        <f t="shared" si="21"/>
        <v>1</v>
      </c>
      <c r="AG127" t="b">
        <f t="shared" si="22"/>
        <v>1</v>
      </c>
      <c r="AH127">
        <f>LOOKUP(A127,'Over to underbark'!$A$47:$A$48,'Over to underbark'!E$47:E$48)*M127</f>
        <v>201.83519999999999</v>
      </c>
      <c r="AI127" s="27">
        <f>LOOKUP(A127,'Over to underbark'!$A$47:$A$48,'Over to underbark'!$B$47:$B$48)*AH127</f>
        <v>68.623968000000005</v>
      </c>
      <c r="AJ127" s="27">
        <f>LOOKUP(A128,'Over to underbark'!$A$47:$A$48,'Over to underbark'!C$47:C$48)*AH127</f>
        <v>70.642319999999984</v>
      </c>
      <c r="AK127" s="27">
        <f t="shared" si="23"/>
        <v>270.45916799999998</v>
      </c>
      <c r="AL127" s="33">
        <v>643.95000000000005</v>
      </c>
      <c r="AM127" s="28">
        <f t="shared" si="24"/>
        <v>540.91833599999995</v>
      </c>
      <c r="AO127">
        <f t="shared" si="25"/>
        <v>0.67164179104477606</v>
      </c>
    </row>
    <row r="128" spans="1:41" x14ac:dyDescent="0.35">
      <c r="A128" t="s">
        <v>39</v>
      </c>
      <c r="B128">
        <v>6</v>
      </c>
      <c r="C128">
        <v>2</v>
      </c>
      <c r="D128" t="s">
        <v>40</v>
      </c>
      <c r="E128">
        <v>2</v>
      </c>
      <c r="F128">
        <v>1</v>
      </c>
      <c r="G128" s="16">
        <v>94</v>
      </c>
      <c r="H128" s="16">
        <v>20.096</v>
      </c>
      <c r="I128" s="16">
        <v>1155</v>
      </c>
      <c r="J128" s="16">
        <v>25.428000000000001</v>
      </c>
      <c r="K128" s="16">
        <v>58.652000000000001</v>
      </c>
      <c r="L128" s="16">
        <v>0.41899999999999998</v>
      </c>
      <c r="M128" s="23">
        <v>483.38</v>
      </c>
      <c r="N128" s="16">
        <v>8.7240000000000002</v>
      </c>
      <c r="O128" s="17">
        <v>5.1420000000000003</v>
      </c>
      <c r="P128" s="18">
        <v>94</v>
      </c>
      <c r="Q128" s="18">
        <v>25.428000000000001</v>
      </c>
      <c r="R128" s="18">
        <v>154.36099999999999</v>
      </c>
      <c r="S128" s="18">
        <v>329.01900000000001</v>
      </c>
      <c r="T128" s="14" t="b">
        <f t="shared" si="18"/>
        <v>1</v>
      </c>
      <c r="U128" s="14" t="b">
        <f t="shared" si="19"/>
        <v>1</v>
      </c>
      <c r="V128" s="15">
        <f>VLOOKUP(IF(J128&lt;10, 10, IF(J128&gt;50,50,J128)),'Over to underbark'!$A$3:$C$43,IF(A128="Scots pine",3,IF(A128="Sitka spruce",2, "error")),TRUE)/100</f>
        <v>0.84</v>
      </c>
      <c r="W128">
        <f t="shared" ref="W128:W191" si="29">R128*0.9*V128</f>
        <v>116.696916</v>
      </c>
      <c r="X128">
        <f t="shared" ref="X128:X191" si="30">S128*0.9*V128</f>
        <v>248.73836399999999</v>
      </c>
      <c r="Y128">
        <f t="shared" si="20"/>
        <v>69.606720000000024</v>
      </c>
      <c r="Z128">
        <f t="shared" si="26"/>
        <v>173.43471672000001</v>
      </c>
      <c r="AA128">
        <f t="shared" si="27"/>
        <v>112.36426488000001</v>
      </c>
      <c r="AB128">
        <f t="shared" si="28"/>
        <v>149.24301839999998</v>
      </c>
      <c r="AC128">
        <f>LOOKUP($A128,'Over to underbark'!$A$47:$A$48,'Over to underbark'!E$47:E$48)*Z128</f>
        <v>72.842581022399997</v>
      </c>
      <c r="AD128">
        <f>LOOKUP($A128,'Over to underbark'!$A$47:$A$48,'Over to underbark'!E$47:E$48)*AA128</f>
        <v>47.192991249599999</v>
      </c>
      <c r="AE128">
        <f>LOOKUP($A128,'Over to underbark'!$A$47:$A$48,'Over to underbark'!E$47:E$48)*AB128</f>
        <v>62.682067727999993</v>
      </c>
      <c r="AF128" t="b">
        <f t="shared" si="21"/>
        <v>1</v>
      </c>
      <c r="AG128" t="b">
        <f t="shared" si="22"/>
        <v>1</v>
      </c>
      <c r="AH128">
        <f>LOOKUP(A128,'Over to underbark'!$A$47:$A$48,'Over to underbark'!E$47:E$48)*M128</f>
        <v>203.0196</v>
      </c>
      <c r="AI128" s="27">
        <f>LOOKUP(A128,'Over to underbark'!$A$47:$A$48,'Over to underbark'!$B$47:$B$48)*AH128</f>
        <v>69.026664000000011</v>
      </c>
      <c r="AJ128" s="27">
        <f>LOOKUP(A129,'Over to underbark'!$A$47:$A$48,'Over to underbark'!C$47:C$48)*AH128</f>
        <v>71.05686</v>
      </c>
      <c r="AK128" s="27">
        <f t="shared" si="23"/>
        <v>272.04626400000001</v>
      </c>
      <c r="AL128" s="33">
        <v>647.73</v>
      </c>
      <c r="AM128" s="28">
        <f t="shared" si="24"/>
        <v>544.09252800000002</v>
      </c>
      <c r="AO128">
        <f t="shared" si="25"/>
        <v>0.67164179104477606</v>
      </c>
    </row>
    <row r="129" spans="1:41" x14ac:dyDescent="0.35">
      <c r="A129" t="s">
        <v>39</v>
      </c>
      <c r="B129">
        <v>6</v>
      </c>
      <c r="C129">
        <v>2</v>
      </c>
      <c r="D129" t="s">
        <v>40</v>
      </c>
      <c r="E129">
        <v>2</v>
      </c>
      <c r="F129">
        <v>1</v>
      </c>
      <c r="G129" s="16">
        <v>95</v>
      </c>
      <c r="H129" s="16">
        <v>20.18</v>
      </c>
      <c r="I129" s="16">
        <v>1146</v>
      </c>
      <c r="J129" s="16">
        <v>25.56</v>
      </c>
      <c r="K129" s="16">
        <v>58.802999999999997</v>
      </c>
      <c r="L129" s="16">
        <v>0.42399999999999999</v>
      </c>
      <c r="M129" s="23">
        <v>486.2</v>
      </c>
      <c r="N129" s="16">
        <v>8.9510000000000005</v>
      </c>
      <c r="O129" s="17">
        <v>5.1180000000000003</v>
      </c>
      <c r="P129" s="18">
        <v>95</v>
      </c>
      <c r="Q129" s="18">
        <v>25.56</v>
      </c>
      <c r="R129" s="18">
        <v>152.94399999999999</v>
      </c>
      <c r="S129" s="18">
        <v>333.25599999999997</v>
      </c>
      <c r="T129" s="14" t="b">
        <f t="shared" si="18"/>
        <v>1</v>
      </c>
      <c r="U129" s="14" t="b">
        <f t="shared" si="19"/>
        <v>1</v>
      </c>
      <c r="V129" s="15">
        <f>VLOOKUP(IF(J129&lt;10, 10, IF(J129&gt;50,50,J129)),'Over to underbark'!$A$3:$C$43,IF(A129="Scots pine",3,IF(A129="Sitka spruce",2, "error")),TRUE)/100</f>
        <v>0.84</v>
      </c>
      <c r="W129">
        <f t="shared" si="29"/>
        <v>115.62566399999999</v>
      </c>
      <c r="X129">
        <f t="shared" si="30"/>
        <v>251.94153599999996</v>
      </c>
      <c r="Y129">
        <f t="shared" si="20"/>
        <v>70.012799999999999</v>
      </c>
      <c r="Z129">
        <f t="shared" si="26"/>
        <v>173.71065887999995</v>
      </c>
      <c r="AA129">
        <f t="shared" si="27"/>
        <v>112.70441951999999</v>
      </c>
      <c r="AB129">
        <f t="shared" si="28"/>
        <v>151.16492159999996</v>
      </c>
      <c r="AC129">
        <f>LOOKUP($A129,'Over to underbark'!$A$47:$A$48,'Over to underbark'!E$47:E$48)*Z129</f>
        <v>72.95847672959998</v>
      </c>
      <c r="AD129">
        <f>LOOKUP($A129,'Over to underbark'!$A$47:$A$48,'Over to underbark'!E$47:E$48)*AA129</f>
        <v>47.335856198399995</v>
      </c>
      <c r="AE129">
        <f>LOOKUP($A129,'Over to underbark'!$A$47:$A$48,'Over to underbark'!E$47:E$48)*AB129</f>
        <v>63.489267071999983</v>
      </c>
      <c r="AF129" t="b">
        <f t="shared" si="21"/>
        <v>1</v>
      </c>
      <c r="AG129" t="b">
        <f t="shared" si="22"/>
        <v>1</v>
      </c>
      <c r="AH129">
        <f>LOOKUP(A129,'Over to underbark'!$A$47:$A$48,'Over to underbark'!E$47:E$48)*M129</f>
        <v>204.20399999999998</v>
      </c>
      <c r="AI129" s="27">
        <f>LOOKUP(A129,'Over to underbark'!$A$47:$A$48,'Over to underbark'!$B$47:$B$48)*AH129</f>
        <v>69.429360000000003</v>
      </c>
      <c r="AJ129" s="27">
        <f>LOOKUP(A130,'Over to underbark'!$A$47:$A$48,'Over to underbark'!C$47:C$48)*AH129</f>
        <v>71.471399999999988</v>
      </c>
      <c r="AK129" s="27">
        <f t="shared" si="23"/>
        <v>273.63335999999998</v>
      </c>
      <c r="AL129" s="33">
        <v>651.51</v>
      </c>
      <c r="AM129" s="28">
        <f t="shared" si="24"/>
        <v>547.26671999999996</v>
      </c>
      <c r="AO129">
        <f t="shared" si="25"/>
        <v>0.67164179104477595</v>
      </c>
    </row>
    <row r="130" spans="1:41" x14ac:dyDescent="0.35">
      <c r="A130" t="s">
        <v>39</v>
      </c>
      <c r="B130">
        <v>6</v>
      </c>
      <c r="C130">
        <v>2</v>
      </c>
      <c r="D130" t="s">
        <v>40</v>
      </c>
      <c r="E130">
        <v>2</v>
      </c>
      <c r="F130">
        <v>1</v>
      </c>
      <c r="G130" s="16">
        <v>96</v>
      </c>
      <c r="H130" s="16">
        <v>20.239999999999998</v>
      </c>
      <c r="I130" s="16">
        <v>1137</v>
      </c>
      <c r="J130" s="16">
        <v>25.687999999999999</v>
      </c>
      <c r="K130" s="16">
        <v>58.926000000000002</v>
      </c>
      <c r="L130" s="16">
        <v>0.42899999999999999</v>
      </c>
      <c r="M130" s="23">
        <v>488.32</v>
      </c>
      <c r="N130" s="16">
        <v>9.2270000000000003</v>
      </c>
      <c r="O130" s="17">
        <v>5.0869999999999997</v>
      </c>
      <c r="P130" s="18">
        <v>96</v>
      </c>
      <c r="Q130" s="18">
        <v>25.687999999999999</v>
      </c>
      <c r="R130" s="18">
        <v>151.38200000000001</v>
      </c>
      <c r="S130" s="18">
        <v>336.93799999999999</v>
      </c>
      <c r="T130" s="14" t="b">
        <f t="shared" si="18"/>
        <v>1</v>
      </c>
      <c r="U130" s="14" t="b">
        <f t="shared" si="19"/>
        <v>1</v>
      </c>
      <c r="V130" s="15">
        <f>VLOOKUP(IF(J130&lt;10, 10, IF(J130&gt;50,50,J130)),'Over to underbark'!$A$3:$C$43,IF(A130="Scots pine",3,IF(A130="Sitka spruce",2, "error")),TRUE)/100</f>
        <v>0.84</v>
      </c>
      <c r="W130">
        <f t="shared" si="29"/>
        <v>114.44479200000002</v>
      </c>
      <c r="X130">
        <f t="shared" si="30"/>
        <v>254.72512799999998</v>
      </c>
      <c r="Y130">
        <f t="shared" si="20"/>
        <v>70.318080000000009</v>
      </c>
      <c r="Z130">
        <f t="shared" si="26"/>
        <v>173.76038064000002</v>
      </c>
      <c r="AA130">
        <f t="shared" si="27"/>
        <v>112.89254256000001</v>
      </c>
      <c r="AB130">
        <f t="shared" si="28"/>
        <v>152.8350768</v>
      </c>
      <c r="AC130">
        <f>LOOKUP($A130,'Over to underbark'!$A$47:$A$48,'Over to underbark'!E$47:E$48)*Z130</f>
        <v>72.979359868800003</v>
      </c>
      <c r="AD130">
        <f>LOOKUP($A130,'Over to underbark'!$A$47:$A$48,'Over to underbark'!E$47:E$48)*AA130</f>
        <v>47.414867875200002</v>
      </c>
      <c r="AE130">
        <f>LOOKUP($A130,'Over to underbark'!$A$47:$A$48,'Over to underbark'!E$47:E$48)*AB130</f>
        <v>64.19073225599999</v>
      </c>
      <c r="AF130" t="b">
        <f t="shared" si="21"/>
        <v>1</v>
      </c>
      <c r="AG130" t="b">
        <f t="shared" si="22"/>
        <v>1</v>
      </c>
      <c r="AH130">
        <f>LOOKUP(A130,'Over to underbark'!$A$47:$A$48,'Over to underbark'!E$47:E$48)*M130</f>
        <v>205.09439999999998</v>
      </c>
      <c r="AI130" s="27">
        <f>LOOKUP(A130,'Over to underbark'!$A$47:$A$48,'Over to underbark'!$B$47:$B$48)*AH130</f>
        <v>69.732095999999999</v>
      </c>
      <c r="AJ130" s="27">
        <f>LOOKUP(A131,'Over to underbark'!$A$47:$A$48,'Over to underbark'!C$47:C$48)*AH130</f>
        <v>71.783039999999986</v>
      </c>
      <c r="AK130" s="27">
        <f t="shared" si="23"/>
        <v>274.82649599999996</v>
      </c>
      <c r="AL130" s="33">
        <v>654.35</v>
      </c>
      <c r="AM130" s="28">
        <f t="shared" si="24"/>
        <v>549.65299199999993</v>
      </c>
      <c r="AO130">
        <f t="shared" si="25"/>
        <v>0.67164179104477617</v>
      </c>
    </row>
    <row r="131" spans="1:41" x14ac:dyDescent="0.35">
      <c r="A131" t="s">
        <v>39</v>
      </c>
      <c r="B131">
        <v>6</v>
      </c>
      <c r="C131">
        <v>2</v>
      </c>
      <c r="D131" t="s">
        <v>40</v>
      </c>
      <c r="E131">
        <v>2</v>
      </c>
      <c r="F131">
        <v>1</v>
      </c>
      <c r="G131" s="16">
        <v>97</v>
      </c>
      <c r="H131" s="16">
        <v>20.3</v>
      </c>
      <c r="I131" s="16">
        <v>1128</v>
      </c>
      <c r="J131" s="16">
        <v>25.817</v>
      </c>
      <c r="K131" s="16">
        <v>59.05</v>
      </c>
      <c r="L131" s="16">
        <v>0.435</v>
      </c>
      <c r="M131" s="23">
        <v>490.44</v>
      </c>
      <c r="N131" s="16">
        <v>9.5</v>
      </c>
      <c r="O131" s="17">
        <v>5.056</v>
      </c>
      <c r="P131" s="18">
        <v>97</v>
      </c>
      <c r="Q131" s="18">
        <v>25.817</v>
      </c>
      <c r="R131" s="18">
        <v>149.81</v>
      </c>
      <c r="S131" s="18">
        <v>340.63</v>
      </c>
      <c r="T131" s="14" t="b">
        <f t="shared" si="18"/>
        <v>1</v>
      </c>
      <c r="U131" s="14" t="b">
        <f t="shared" si="19"/>
        <v>1</v>
      </c>
      <c r="V131" s="15">
        <f>VLOOKUP(IF(J131&lt;10, 10, IF(J131&gt;50,50,J131)),'Over to underbark'!$A$3:$C$43,IF(A131="Scots pine",3,IF(A131="Sitka spruce",2, "error")),TRUE)/100</f>
        <v>0.84</v>
      </c>
      <c r="W131">
        <f t="shared" si="29"/>
        <v>113.25636</v>
      </c>
      <c r="X131">
        <f t="shared" si="30"/>
        <v>257.51627999999999</v>
      </c>
      <c r="Y131">
        <f t="shared" si="20"/>
        <v>70.623360000000019</v>
      </c>
      <c r="Z131">
        <f t="shared" si="26"/>
        <v>173.80692720000002</v>
      </c>
      <c r="AA131">
        <f t="shared" si="27"/>
        <v>113.07930479999999</v>
      </c>
      <c r="AB131">
        <f t="shared" si="28"/>
        <v>154.50976799999998</v>
      </c>
      <c r="AC131">
        <f>LOOKUP($A131,'Over to underbark'!$A$47:$A$48,'Over to underbark'!E$47:E$48)*Z131</f>
        <v>72.998909424000004</v>
      </c>
      <c r="AD131">
        <f>LOOKUP($A131,'Over to underbark'!$A$47:$A$48,'Over to underbark'!E$47:E$48)*AA131</f>
        <v>47.493308015999993</v>
      </c>
      <c r="AE131">
        <f>LOOKUP($A131,'Over to underbark'!$A$47:$A$48,'Over to underbark'!E$47:E$48)*AB131</f>
        <v>64.894102559999993</v>
      </c>
      <c r="AF131" t="b">
        <f t="shared" si="21"/>
        <v>1</v>
      </c>
      <c r="AG131" t="b">
        <f t="shared" si="22"/>
        <v>1</v>
      </c>
      <c r="AH131">
        <f>LOOKUP(A131,'Over to underbark'!$A$47:$A$48,'Over to underbark'!E$47:E$48)*M131</f>
        <v>205.98479999999998</v>
      </c>
      <c r="AI131" s="27">
        <f>LOOKUP(A131,'Over to underbark'!$A$47:$A$48,'Over to underbark'!$B$47:$B$48)*AH131</f>
        <v>70.034831999999994</v>
      </c>
      <c r="AJ131" s="27">
        <f>LOOKUP(A132,'Over to underbark'!$A$47:$A$48,'Over to underbark'!C$47:C$48)*AH131</f>
        <v>72.094679999999983</v>
      </c>
      <c r="AK131" s="27">
        <f t="shared" si="23"/>
        <v>276.019632</v>
      </c>
      <c r="AL131" s="33">
        <v>657.19</v>
      </c>
      <c r="AM131" s="28">
        <f t="shared" si="24"/>
        <v>552.039264</v>
      </c>
      <c r="AO131">
        <f t="shared" si="25"/>
        <v>0.67164179104477606</v>
      </c>
    </row>
    <row r="132" spans="1:41" x14ac:dyDescent="0.35">
      <c r="A132" t="s">
        <v>39</v>
      </c>
      <c r="B132">
        <v>6</v>
      </c>
      <c r="C132">
        <v>2</v>
      </c>
      <c r="D132" t="s">
        <v>40</v>
      </c>
      <c r="E132">
        <v>2</v>
      </c>
      <c r="F132">
        <v>1</v>
      </c>
      <c r="G132" s="16">
        <v>98</v>
      </c>
      <c r="H132" s="16">
        <v>20.36</v>
      </c>
      <c r="I132" s="16">
        <v>1120</v>
      </c>
      <c r="J132" s="16">
        <v>25.936</v>
      </c>
      <c r="K132" s="16">
        <v>59.173000000000002</v>
      </c>
      <c r="L132" s="16">
        <v>0.44</v>
      </c>
      <c r="M132" s="23">
        <v>492.56</v>
      </c>
      <c r="N132" s="16">
        <v>9.7680000000000007</v>
      </c>
      <c r="O132" s="17">
        <v>5.0259999999999998</v>
      </c>
      <c r="P132" s="18">
        <v>98</v>
      </c>
      <c r="Q132" s="18">
        <v>25.936</v>
      </c>
      <c r="R132" s="18">
        <v>148.416</v>
      </c>
      <c r="S132" s="18">
        <v>344.14400000000001</v>
      </c>
      <c r="T132" s="14" t="b">
        <f t="shared" ref="T132:T134" si="31">G132=P132</f>
        <v>1</v>
      </c>
      <c r="U132" s="14" t="b">
        <f t="shared" ref="U132:U134" si="32">J132=Q132</f>
        <v>1</v>
      </c>
      <c r="V132" s="15">
        <f>VLOOKUP(IF(J132&lt;10, 10, IF(J132&gt;50,50,J132)),'Over to underbark'!$A$3:$C$43,IF(A132="Scots pine",3,IF(A132="Sitka spruce",2, "error")),TRUE)/100</f>
        <v>0.84</v>
      </c>
      <c r="W132">
        <f t="shared" si="29"/>
        <v>112.202496</v>
      </c>
      <c r="X132">
        <f t="shared" si="30"/>
        <v>260.172864</v>
      </c>
      <c r="Y132">
        <f t="shared" ref="Y132:Y195" si="33">(R132+S132)*0.9*(100%-V132)</f>
        <v>70.928640000000016</v>
      </c>
      <c r="Z132">
        <f t="shared" si="26"/>
        <v>173.90999232000001</v>
      </c>
      <c r="AA132">
        <f t="shared" si="27"/>
        <v>113.29028928</v>
      </c>
      <c r="AB132">
        <f t="shared" si="28"/>
        <v>156.10371839999999</v>
      </c>
      <c r="AC132">
        <f>LOOKUP($A132,'Over to underbark'!$A$47:$A$48,'Over to underbark'!E$47:E$48)*Z132</f>
        <v>73.042196774399997</v>
      </c>
      <c r="AD132">
        <f>LOOKUP($A132,'Over to underbark'!$A$47:$A$48,'Over to underbark'!E$47:E$48)*AA132</f>
        <v>47.5819214976</v>
      </c>
      <c r="AE132">
        <f>LOOKUP($A132,'Over to underbark'!$A$47:$A$48,'Over to underbark'!E$47:E$48)*AB132</f>
        <v>65.563561727999996</v>
      </c>
      <c r="AF132" t="b">
        <f t="shared" ref="AF132:AF195" si="34">SUM(W132:Y132)=SUM(Z132:AB132)</f>
        <v>1</v>
      </c>
      <c r="AG132" t="b">
        <f t="shared" ref="AG132:AG195" si="35">SUM(R132:S132)*0.9 = SUM(W132:Y132)</f>
        <v>1</v>
      </c>
      <c r="AH132">
        <f>LOOKUP(A132,'Over to underbark'!$A$47:$A$48,'Over to underbark'!E$47:E$48)*M132</f>
        <v>206.87520000000001</v>
      </c>
      <c r="AI132" s="27">
        <f>LOOKUP(A132,'Over to underbark'!$A$47:$A$48,'Over to underbark'!$B$47:$B$48)*AH132</f>
        <v>70.337568000000005</v>
      </c>
      <c r="AJ132" s="27">
        <f>LOOKUP(A133,'Over to underbark'!$A$47:$A$48,'Over to underbark'!C$47:C$48)*AH132</f>
        <v>72.406319999999994</v>
      </c>
      <c r="AK132" s="27">
        <f t="shared" ref="AK132:AK195" si="36">AH132+AI132</f>
        <v>277.21276799999998</v>
      </c>
      <c r="AL132" s="33">
        <v>660.03</v>
      </c>
      <c r="AM132" s="28">
        <f t="shared" ref="AM132:AM195" si="37">AK132*2</f>
        <v>554.42553599999997</v>
      </c>
      <c r="AO132">
        <f t="shared" ref="AO132:AO195" si="38">(AC132+AD132+AE132)/AK132</f>
        <v>0.67164179104477617</v>
      </c>
    </row>
    <row r="133" spans="1:41" x14ac:dyDescent="0.35">
      <c r="A133" t="s">
        <v>39</v>
      </c>
      <c r="B133">
        <v>6</v>
      </c>
      <c r="C133">
        <v>2</v>
      </c>
      <c r="D133" t="s">
        <v>40</v>
      </c>
      <c r="E133">
        <v>2</v>
      </c>
      <c r="F133">
        <v>1</v>
      </c>
      <c r="G133" s="16">
        <v>99</v>
      </c>
      <c r="H133" s="16">
        <v>20.420000000000002</v>
      </c>
      <c r="I133" s="16">
        <v>1111</v>
      </c>
      <c r="J133" s="16">
        <v>26.068000000000001</v>
      </c>
      <c r="K133" s="16">
        <v>59.296999999999997</v>
      </c>
      <c r="L133" s="16">
        <v>0.44500000000000001</v>
      </c>
      <c r="M133" s="23">
        <v>494.68</v>
      </c>
      <c r="N133" s="16">
        <v>10.032</v>
      </c>
      <c r="O133" s="17">
        <v>4.9969999999999999</v>
      </c>
      <c r="P133" s="18">
        <v>99</v>
      </c>
      <c r="Q133" s="18">
        <v>26.068000000000001</v>
      </c>
      <c r="R133" s="18">
        <v>146.809</v>
      </c>
      <c r="S133" s="18">
        <v>347.87099999999998</v>
      </c>
      <c r="T133" s="14" t="b">
        <f t="shared" si="31"/>
        <v>1</v>
      </c>
      <c r="U133" s="14" t="b">
        <f t="shared" si="32"/>
        <v>1</v>
      </c>
      <c r="V133" s="15">
        <f>VLOOKUP(IF(J133&lt;10, 10, IF(J133&gt;50,50,J133)),'Over to underbark'!$A$3:$C$43,IF(A133="Scots pine",3,IF(A133="Sitka spruce",2, "error")),TRUE)/100</f>
        <v>0.84</v>
      </c>
      <c r="W133">
        <f t="shared" si="29"/>
        <v>110.98760399999999</v>
      </c>
      <c r="X133">
        <f t="shared" si="30"/>
        <v>262.99047599999994</v>
      </c>
      <c r="Y133">
        <f t="shared" si="33"/>
        <v>71.233920000000012</v>
      </c>
      <c r="Z133">
        <f t="shared" si="26"/>
        <v>173.94542568</v>
      </c>
      <c r="AA133">
        <f t="shared" si="27"/>
        <v>113.47228871999998</v>
      </c>
      <c r="AB133">
        <f t="shared" si="28"/>
        <v>157.79428559999997</v>
      </c>
      <c r="AC133">
        <f>LOOKUP($A133,'Over to underbark'!$A$47:$A$48,'Over to underbark'!E$47:E$48)*Z133</f>
        <v>73.057078785599998</v>
      </c>
      <c r="AD133">
        <f>LOOKUP($A133,'Over to underbark'!$A$47:$A$48,'Over to underbark'!E$47:E$48)*AA133</f>
        <v>47.658361262399993</v>
      </c>
      <c r="AE133">
        <f>LOOKUP($A133,'Over to underbark'!$A$47:$A$48,'Over to underbark'!E$47:E$48)*AB133</f>
        <v>66.273599951999984</v>
      </c>
      <c r="AF133" t="b">
        <f t="shared" si="34"/>
        <v>1</v>
      </c>
      <c r="AG133" t="b">
        <f t="shared" si="35"/>
        <v>1</v>
      </c>
      <c r="AH133">
        <f>LOOKUP(A133,'Over to underbark'!$A$47:$A$48,'Over to underbark'!E$47:E$48)*M133</f>
        <v>207.76560000000001</v>
      </c>
      <c r="AI133" s="27">
        <f>LOOKUP(A133,'Over to underbark'!$A$47:$A$48,'Over to underbark'!$B$47:$B$48)*AH133</f>
        <v>70.640304</v>
      </c>
      <c r="AJ133" s="27">
        <f>LOOKUP(A134,'Over to underbark'!$A$47:$A$48,'Over to underbark'!C$47:C$48)*AH133</f>
        <v>72.717959999999991</v>
      </c>
      <c r="AK133" s="27">
        <f t="shared" si="36"/>
        <v>278.40590400000002</v>
      </c>
      <c r="AL133" s="33">
        <v>662.87</v>
      </c>
      <c r="AM133" s="28">
        <f t="shared" si="37"/>
        <v>556.81180800000004</v>
      </c>
      <c r="AO133">
        <f t="shared" si="38"/>
        <v>0.67164179104477606</v>
      </c>
    </row>
    <row r="134" spans="1:41" x14ac:dyDescent="0.35">
      <c r="A134" t="s">
        <v>39</v>
      </c>
      <c r="B134">
        <v>6</v>
      </c>
      <c r="C134">
        <v>2</v>
      </c>
      <c r="D134" t="s">
        <v>40</v>
      </c>
      <c r="E134">
        <v>2</v>
      </c>
      <c r="F134">
        <v>1</v>
      </c>
      <c r="G134" s="16">
        <v>100</v>
      </c>
      <c r="H134" s="16">
        <v>20.48</v>
      </c>
      <c r="I134" s="16">
        <v>1103</v>
      </c>
      <c r="J134" s="16">
        <v>26.19</v>
      </c>
      <c r="K134" s="16">
        <v>59.420999999999999</v>
      </c>
      <c r="L134" s="16">
        <v>0.45</v>
      </c>
      <c r="M134" s="23">
        <v>496.8</v>
      </c>
      <c r="N134" s="16">
        <v>10.292999999999999</v>
      </c>
      <c r="O134" s="17">
        <v>4.968</v>
      </c>
      <c r="P134" s="18">
        <v>100</v>
      </c>
      <c r="Q134" s="18">
        <v>26.19</v>
      </c>
      <c r="R134" s="18">
        <v>145.37799999999999</v>
      </c>
      <c r="S134" s="18">
        <v>351.42200000000003</v>
      </c>
      <c r="T134" s="14" t="b">
        <f t="shared" si="31"/>
        <v>1</v>
      </c>
      <c r="U134" s="14" t="b">
        <f t="shared" si="32"/>
        <v>1</v>
      </c>
      <c r="V134" s="15">
        <f>VLOOKUP(IF(J134&lt;10, 10, IF(J134&gt;50,50,J134)),'Over to underbark'!$A$3:$C$43,IF(A134="Scots pine",3,IF(A134="Sitka spruce",2, "error")),TRUE)/100</f>
        <v>0.84</v>
      </c>
      <c r="W134">
        <f t="shared" si="29"/>
        <v>109.90576799999998</v>
      </c>
      <c r="X134">
        <f t="shared" si="30"/>
        <v>265.67503199999999</v>
      </c>
      <c r="Y134">
        <f t="shared" si="33"/>
        <v>71.539200000000008</v>
      </c>
      <c r="Z134">
        <f t="shared" si="26"/>
        <v>174.03674255999999</v>
      </c>
      <c r="AA134">
        <f t="shared" si="27"/>
        <v>113.67823823999998</v>
      </c>
      <c r="AB134">
        <f t="shared" si="28"/>
        <v>159.4050192</v>
      </c>
      <c r="AC134">
        <f>LOOKUP($A134,'Over to underbark'!$A$47:$A$48,'Over to underbark'!E$47:E$48)*Z134</f>
        <v>73.095431875199992</v>
      </c>
      <c r="AD134">
        <f>LOOKUP($A134,'Over to underbark'!$A$47:$A$48,'Over to underbark'!E$47:E$48)*AA134</f>
        <v>47.744860060799994</v>
      </c>
      <c r="AE134">
        <f>LOOKUP($A134,'Over to underbark'!$A$47:$A$48,'Over to underbark'!E$47:E$48)*AB134</f>
        <v>66.950108063999991</v>
      </c>
      <c r="AF134" t="b">
        <f t="shared" si="34"/>
        <v>1</v>
      </c>
      <c r="AG134" t="b">
        <f t="shared" si="35"/>
        <v>1</v>
      </c>
      <c r="AH134">
        <f>LOOKUP(A134,'Over to underbark'!$A$47:$A$48,'Over to underbark'!E$47:E$48)*M134</f>
        <v>208.65600000000001</v>
      </c>
      <c r="AI134" s="27">
        <f>LOOKUP(A134,'Over to underbark'!$A$47:$A$48,'Over to underbark'!$B$47:$B$48)*AH134</f>
        <v>70.943040000000011</v>
      </c>
      <c r="AJ134" s="27">
        <f>LOOKUP(A135,'Over to underbark'!$A$47:$A$48,'Over to underbark'!C$47:C$48)*AH134</f>
        <v>73.029600000000002</v>
      </c>
      <c r="AK134" s="27">
        <f t="shared" si="36"/>
        <v>279.59904</v>
      </c>
      <c r="AL134" s="33">
        <v>665.71</v>
      </c>
      <c r="AM134" s="28">
        <f t="shared" si="37"/>
        <v>559.19808</v>
      </c>
      <c r="AO134">
        <f t="shared" si="38"/>
        <v>0.67164179104477606</v>
      </c>
    </row>
    <row r="135" spans="1:41" x14ac:dyDescent="0.35">
      <c r="A135" t="s">
        <v>39</v>
      </c>
      <c r="B135">
        <v>8</v>
      </c>
      <c r="C135">
        <v>2</v>
      </c>
      <c r="D135" t="s">
        <v>40</v>
      </c>
      <c r="E135">
        <v>2</v>
      </c>
      <c r="F135">
        <v>1</v>
      </c>
      <c r="G135" s="16">
        <v>21</v>
      </c>
      <c r="H135" s="16">
        <v>6.71</v>
      </c>
      <c r="I135" s="16">
        <v>2250</v>
      </c>
      <c r="J135" s="16">
        <v>9.2200000000000006</v>
      </c>
      <c r="K135" s="16">
        <v>15.022</v>
      </c>
      <c r="L135" s="16">
        <v>1.6E-2</v>
      </c>
      <c r="M135" s="23">
        <v>35.4</v>
      </c>
      <c r="N135" s="16">
        <v>0</v>
      </c>
      <c r="O135" s="17">
        <v>1.6859999999999999</v>
      </c>
      <c r="P135" s="18">
        <v>21</v>
      </c>
      <c r="Q135" s="18">
        <v>9.2200000000000006</v>
      </c>
      <c r="R135" s="18">
        <v>35.4</v>
      </c>
      <c r="S135" s="18">
        <v>0</v>
      </c>
      <c r="T135" s="14" t="b">
        <f t="shared" ref="T135:T198" si="39">G135=P135</f>
        <v>1</v>
      </c>
      <c r="U135" s="14" t="b">
        <f t="shared" ref="U135:U198" si="40">J135=Q135</f>
        <v>1</v>
      </c>
      <c r="V135" s="15">
        <f>VLOOKUP(IF(J135&lt;10, 10, IF(J135&gt;50,50,J135)),'Over to underbark'!$A$3:$C$43,IF(A135="Scots pine",3,IF(A135="Sitka spruce",2, "error")),TRUE)/100</f>
        <v>0.53</v>
      </c>
      <c r="W135">
        <f t="shared" si="29"/>
        <v>16.8858</v>
      </c>
      <c r="X135">
        <f t="shared" si="30"/>
        <v>0</v>
      </c>
      <c r="Y135">
        <f t="shared" si="33"/>
        <v>14.9742</v>
      </c>
      <c r="Z135">
        <f t="shared" si="26"/>
        <v>24.599105999999999</v>
      </c>
      <c r="AA135">
        <f t="shared" si="27"/>
        <v>7.2608939999999995</v>
      </c>
      <c r="AB135">
        <f t="shared" si="28"/>
        <v>0</v>
      </c>
      <c r="AC135">
        <f>LOOKUP($A135,'Over to underbark'!$A$47:$A$48,'Over to underbark'!E$47:E$48)*Z135</f>
        <v>10.33162452</v>
      </c>
      <c r="AD135">
        <f>LOOKUP($A135,'Over to underbark'!$A$47:$A$48,'Over to underbark'!E$47:E$48)*AA135</f>
        <v>3.0495754799999997</v>
      </c>
      <c r="AE135">
        <f>LOOKUP($A135,'Over to underbark'!$A$47:$A$48,'Over to underbark'!E$47:E$48)*AB135</f>
        <v>0</v>
      </c>
      <c r="AF135" t="b">
        <f t="shared" si="34"/>
        <v>1</v>
      </c>
      <c r="AG135" t="b">
        <f t="shared" si="35"/>
        <v>1</v>
      </c>
      <c r="AH135">
        <f>LOOKUP(A135,'Over to underbark'!$A$47:$A$48,'Over to underbark'!E$47:E$48)*M135</f>
        <v>14.867999999999999</v>
      </c>
      <c r="AI135" s="27">
        <f>LOOKUP(A135,'Over to underbark'!$A$47:$A$48,'Over to underbark'!$B$47:$B$48)*AH135</f>
        <v>5.0551199999999996</v>
      </c>
      <c r="AJ135" s="27">
        <f>LOOKUP(A136,'Over to underbark'!$A$47:$A$48,'Over to underbark'!C$47:C$48)*AH135</f>
        <v>5.2037999999999993</v>
      </c>
      <c r="AK135" s="27">
        <f t="shared" si="36"/>
        <v>19.923119999999997</v>
      </c>
      <c r="AL135" s="33">
        <v>47.44</v>
      </c>
      <c r="AM135" s="28">
        <f t="shared" si="37"/>
        <v>39.846239999999995</v>
      </c>
      <c r="AO135">
        <f t="shared" si="38"/>
        <v>0.67164179104477617</v>
      </c>
    </row>
    <row r="136" spans="1:41" x14ac:dyDescent="0.35">
      <c r="A136" t="s">
        <v>39</v>
      </c>
      <c r="B136">
        <v>8</v>
      </c>
      <c r="C136">
        <v>2</v>
      </c>
      <c r="D136" t="s">
        <v>40</v>
      </c>
      <c r="E136">
        <v>2</v>
      </c>
      <c r="F136">
        <v>1</v>
      </c>
      <c r="G136" s="16">
        <v>22</v>
      </c>
      <c r="H136" s="16">
        <v>7.0839999999999996</v>
      </c>
      <c r="I136" s="16">
        <v>2234</v>
      </c>
      <c r="J136" s="16">
        <v>9.6210000000000004</v>
      </c>
      <c r="K136" s="16">
        <v>16.239999999999998</v>
      </c>
      <c r="L136" s="16">
        <v>1.9E-2</v>
      </c>
      <c r="M136" s="23">
        <v>41.66</v>
      </c>
      <c r="N136" s="16">
        <v>0</v>
      </c>
      <c r="O136" s="17">
        <v>1.8939999999999999</v>
      </c>
      <c r="P136" s="18">
        <v>22</v>
      </c>
      <c r="Q136" s="18">
        <v>9.6210000000000004</v>
      </c>
      <c r="R136" s="18">
        <v>41.66</v>
      </c>
      <c r="S136" s="18">
        <v>0</v>
      </c>
      <c r="T136" s="14" t="b">
        <f t="shared" si="39"/>
        <v>1</v>
      </c>
      <c r="U136" s="14" t="b">
        <f t="shared" si="40"/>
        <v>1</v>
      </c>
      <c r="V136" s="15">
        <f>VLOOKUP(IF(J136&lt;10, 10, IF(J136&gt;50,50,J136)),'Over to underbark'!$A$3:$C$43,IF(A136="Scots pine",3,IF(A136="Sitka spruce",2, "error")),TRUE)/100</f>
        <v>0.53</v>
      </c>
      <c r="W136">
        <f t="shared" si="29"/>
        <v>19.87182</v>
      </c>
      <c r="X136">
        <f t="shared" si="30"/>
        <v>0</v>
      </c>
      <c r="Y136">
        <f t="shared" si="33"/>
        <v>17.62218</v>
      </c>
      <c r="Z136">
        <f t="shared" si="26"/>
        <v>28.949117399999999</v>
      </c>
      <c r="AA136">
        <f t="shared" si="27"/>
        <v>8.5448825999999993</v>
      </c>
      <c r="AB136">
        <f t="shared" si="28"/>
        <v>0</v>
      </c>
      <c r="AC136">
        <f>LOOKUP($A136,'Over to underbark'!$A$47:$A$48,'Over to underbark'!E$47:E$48)*Z136</f>
        <v>12.158629307999998</v>
      </c>
      <c r="AD136">
        <f>LOOKUP($A136,'Over to underbark'!$A$47:$A$48,'Over to underbark'!E$47:E$48)*AA136</f>
        <v>3.5888506919999994</v>
      </c>
      <c r="AE136">
        <f>LOOKUP($A136,'Over to underbark'!$A$47:$A$48,'Over to underbark'!E$47:E$48)*AB136</f>
        <v>0</v>
      </c>
      <c r="AF136" t="b">
        <f t="shared" si="34"/>
        <v>1</v>
      </c>
      <c r="AG136" t="b">
        <f t="shared" si="35"/>
        <v>1</v>
      </c>
      <c r="AH136">
        <f>LOOKUP(A136,'Over to underbark'!$A$47:$A$48,'Over to underbark'!E$47:E$48)*M136</f>
        <v>17.497199999999999</v>
      </c>
      <c r="AI136" s="27">
        <f>LOOKUP(A136,'Over to underbark'!$A$47:$A$48,'Over to underbark'!$B$47:$B$48)*AH136</f>
        <v>5.9490480000000003</v>
      </c>
      <c r="AJ136" s="27">
        <f>LOOKUP(A137,'Over to underbark'!$A$47:$A$48,'Over to underbark'!C$47:C$48)*AH136</f>
        <v>6.1240199999999998</v>
      </c>
      <c r="AK136" s="27">
        <f t="shared" si="36"/>
        <v>23.446248000000001</v>
      </c>
      <c r="AL136" s="33">
        <v>55.82</v>
      </c>
      <c r="AM136" s="28">
        <f t="shared" si="37"/>
        <v>46.892496000000001</v>
      </c>
      <c r="AO136">
        <f t="shared" si="38"/>
        <v>0.67164179104477595</v>
      </c>
    </row>
    <row r="137" spans="1:41" x14ac:dyDescent="0.35">
      <c r="A137" t="s">
        <v>39</v>
      </c>
      <c r="B137">
        <v>8</v>
      </c>
      <c r="C137">
        <v>2</v>
      </c>
      <c r="D137" t="s">
        <v>40</v>
      </c>
      <c r="E137">
        <v>2</v>
      </c>
      <c r="F137">
        <v>1</v>
      </c>
      <c r="G137" s="16">
        <v>23</v>
      </c>
      <c r="H137" s="16">
        <v>7.4580000000000002</v>
      </c>
      <c r="I137" s="16">
        <v>2218</v>
      </c>
      <c r="J137" s="16">
        <v>10.010999999999999</v>
      </c>
      <c r="K137" s="16">
        <v>17.457999999999998</v>
      </c>
      <c r="L137" s="16">
        <v>2.1999999999999999E-2</v>
      </c>
      <c r="M137" s="23">
        <v>47.92</v>
      </c>
      <c r="N137" s="16">
        <v>0</v>
      </c>
      <c r="O137" s="17">
        <v>2.0830000000000002</v>
      </c>
      <c r="P137" s="18">
        <v>23</v>
      </c>
      <c r="Q137" s="18">
        <v>10.010999999999999</v>
      </c>
      <c r="R137" s="18">
        <v>47.92</v>
      </c>
      <c r="S137" s="18">
        <v>0</v>
      </c>
      <c r="T137" s="14" t="b">
        <f t="shared" si="39"/>
        <v>1</v>
      </c>
      <c r="U137" s="14" t="b">
        <f t="shared" si="40"/>
        <v>1</v>
      </c>
      <c r="V137" s="15">
        <f>VLOOKUP(IF(J137&lt;10, 10, IF(J137&gt;50,50,J137)),'Over to underbark'!$A$3:$C$43,IF(A137="Scots pine",3,IF(A137="Sitka spruce",2, "error")),TRUE)/100</f>
        <v>0.53</v>
      </c>
      <c r="W137">
        <f t="shared" si="29"/>
        <v>22.857839999999999</v>
      </c>
      <c r="X137">
        <f t="shared" si="30"/>
        <v>0</v>
      </c>
      <c r="Y137">
        <f t="shared" si="33"/>
        <v>20.270160000000001</v>
      </c>
      <c r="Z137">
        <f t="shared" si="26"/>
        <v>33.299128799999998</v>
      </c>
      <c r="AA137">
        <f t="shared" si="27"/>
        <v>9.8288712</v>
      </c>
      <c r="AB137">
        <f t="shared" si="28"/>
        <v>0</v>
      </c>
      <c r="AC137">
        <f>LOOKUP($A137,'Over to underbark'!$A$47:$A$48,'Over to underbark'!E$47:E$48)*Z137</f>
        <v>13.985634095999998</v>
      </c>
      <c r="AD137">
        <f>LOOKUP($A137,'Over to underbark'!$A$47:$A$48,'Over to underbark'!E$47:E$48)*AA137</f>
        <v>4.128125904</v>
      </c>
      <c r="AE137">
        <f>LOOKUP($A137,'Over to underbark'!$A$47:$A$48,'Over to underbark'!E$47:E$48)*AB137</f>
        <v>0</v>
      </c>
      <c r="AF137" t="b">
        <f t="shared" si="34"/>
        <v>1</v>
      </c>
      <c r="AG137" t="b">
        <f t="shared" si="35"/>
        <v>1</v>
      </c>
      <c r="AH137">
        <f>LOOKUP(A137,'Over to underbark'!$A$47:$A$48,'Over to underbark'!E$47:E$48)*M137</f>
        <v>20.1264</v>
      </c>
      <c r="AI137" s="27">
        <f>LOOKUP(A137,'Over to underbark'!$A$47:$A$48,'Over to underbark'!$B$47:$B$48)*AH137</f>
        <v>6.8429760000000002</v>
      </c>
      <c r="AJ137" s="27">
        <f>LOOKUP(A138,'Over to underbark'!$A$47:$A$48,'Over to underbark'!C$47:C$48)*AH137</f>
        <v>7.0442399999999994</v>
      </c>
      <c r="AK137" s="27">
        <f t="shared" si="36"/>
        <v>26.969376</v>
      </c>
      <c r="AL137" s="33">
        <v>64.209999999999994</v>
      </c>
      <c r="AM137" s="28">
        <f t="shared" si="37"/>
        <v>53.938752000000001</v>
      </c>
      <c r="AO137">
        <f t="shared" si="38"/>
        <v>0.67164179104477606</v>
      </c>
    </row>
    <row r="138" spans="1:41" x14ac:dyDescent="0.35">
      <c r="A138" t="s">
        <v>39</v>
      </c>
      <c r="B138">
        <v>8</v>
      </c>
      <c r="C138">
        <v>2</v>
      </c>
      <c r="D138" t="s">
        <v>40</v>
      </c>
      <c r="E138">
        <v>2</v>
      </c>
      <c r="F138">
        <v>1</v>
      </c>
      <c r="G138" s="16">
        <v>24</v>
      </c>
      <c r="H138" s="16">
        <v>7.8319999999999999</v>
      </c>
      <c r="I138" s="16">
        <v>2202</v>
      </c>
      <c r="J138" s="16">
        <v>10.391999999999999</v>
      </c>
      <c r="K138" s="16">
        <v>18.675999999999998</v>
      </c>
      <c r="L138" s="16">
        <v>2.5000000000000001E-2</v>
      </c>
      <c r="M138" s="23">
        <v>54.18</v>
      </c>
      <c r="N138" s="16">
        <v>0</v>
      </c>
      <c r="O138" s="17">
        <v>2.2570000000000001</v>
      </c>
      <c r="P138" s="18">
        <v>24</v>
      </c>
      <c r="Q138" s="18">
        <v>10.391999999999999</v>
      </c>
      <c r="R138" s="18">
        <v>54.18</v>
      </c>
      <c r="S138" s="18">
        <v>0</v>
      </c>
      <c r="T138" s="14" t="b">
        <f t="shared" si="39"/>
        <v>1</v>
      </c>
      <c r="U138" s="14" t="b">
        <f t="shared" si="40"/>
        <v>1</v>
      </c>
      <c r="V138" s="15">
        <f>VLOOKUP(IF(J138&lt;10, 10, IF(J138&gt;50,50,J138)),'Over to underbark'!$A$3:$C$43,IF(A138="Scots pine",3,IF(A138="Sitka spruce",2, "error")),TRUE)/100</f>
        <v>0.53</v>
      </c>
      <c r="W138">
        <f t="shared" si="29"/>
        <v>25.843860000000003</v>
      </c>
      <c r="X138">
        <f t="shared" si="30"/>
        <v>0</v>
      </c>
      <c r="Y138">
        <f t="shared" si="33"/>
        <v>22.918139999999998</v>
      </c>
      <c r="Z138">
        <f t="shared" si="26"/>
        <v>37.649140199999998</v>
      </c>
      <c r="AA138">
        <f t="shared" si="27"/>
        <v>11.112859800000001</v>
      </c>
      <c r="AB138">
        <f t="shared" si="28"/>
        <v>0</v>
      </c>
      <c r="AC138">
        <f>LOOKUP($A138,'Over to underbark'!$A$47:$A$48,'Over to underbark'!E$47:E$48)*Z138</f>
        <v>15.812638883999998</v>
      </c>
      <c r="AD138">
        <f>LOOKUP($A138,'Over to underbark'!$A$47:$A$48,'Over to underbark'!E$47:E$48)*AA138</f>
        <v>4.6674011159999997</v>
      </c>
      <c r="AE138">
        <f>LOOKUP($A138,'Over to underbark'!$A$47:$A$48,'Over to underbark'!E$47:E$48)*AB138</f>
        <v>0</v>
      </c>
      <c r="AF138" t="b">
        <f t="shared" si="34"/>
        <v>1</v>
      </c>
      <c r="AG138" t="b">
        <f t="shared" si="35"/>
        <v>1</v>
      </c>
      <c r="AH138">
        <f>LOOKUP(A138,'Over to underbark'!$A$47:$A$48,'Over to underbark'!E$47:E$48)*M138</f>
        <v>22.755599999999998</v>
      </c>
      <c r="AI138" s="27">
        <f>LOOKUP(A138,'Over to underbark'!$A$47:$A$48,'Over to underbark'!$B$47:$B$48)*AH138</f>
        <v>7.736904</v>
      </c>
      <c r="AJ138" s="27">
        <f>LOOKUP(A139,'Over to underbark'!$A$47:$A$48,'Over to underbark'!C$47:C$48)*AH138</f>
        <v>7.964459999999999</v>
      </c>
      <c r="AK138" s="27">
        <f t="shared" si="36"/>
        <v>30.492503999999997</v>
      </c>
      <c r="AL138" s="33">
        <v>72.599999999999994</v>
      </c>
      <c r="AM138" s="28">
        <f t="shared" si="37"/>
        <v>60.985007999999993</v>
      </c>
      <c r="AO138">
        <f t="shared" si="38"/>
        <v>0.67164179104477617</v>
      </c>
    </row>
    <row r="139" spans="1:41" x14ac:dyDescent="0.35">
      <c r="A139" t="s">
        <v>39</v>
      </c>
      <c r="B139">
        <v>8</v>
      </c>
      <c r="C139">
        <v>2</v>
      </c>
      <c r="D139" t="s">
        <v>40</v>
      </c>
      <c r="E139">
        <v>2</v>
      </c>
      <c r="F139">
        <v>1</v>
      </c>
      <c r="G139" s="16">
        <v>25</v>
      </c>
      <c r="H139" s="16">
        <v>8.2059999999999995</v>
      </c>
      <c r="I139" s="16">
        <v>2186</v>
      </c>
      <c r="J139" s="16">
        <v>10.765000000000001</v>
      </c>
      <c r="K139" s="16">
        <v>19.893999999999998</v>
      </c>
      <c r="L139" s="16">
        <v>2.8000000000000001E-2</v>
      </c>
      <c r="M139" s="23">
        <v>60.44</v>
      </c>
      <c r="N139" s="16">
        <v>0</v>
      </c>
      <c r="O139" s="17">
        <v>2.4180000000000001</v>
      </c>
      <c r="P139" s="18">
        <v>25</v>
      </c>
      <c r="Q139" s="18">
        <v>10.765000000000001</v>
      </c>
      <c r="R139" s="18">
        <v>60.44</v>
      </c>
      <c r="S139" s="18">
        <v>0</v>
      </c>
      <c r="T139" s="14" t="b">
        <f t="shared" si="39"/>
        <v>1</v>
      </c>
      <c r="U139" s="14" t="b">
        <f t="shared" si="40"/>
        <v>1</v>
      </c>
      <c r="V139" s="15">
        <f>VLOOKUP(IF(J139&lt;10, 10, IF(J139&gt;50,50,J139)),'Over to underbark'!$A$3:$C$43,IF(A139="Scots pine",3,IF(A139="Sitka spruce",2, "error")),TRUE)/100</f>
        <v>0.53</v>
      </c>
      <c r="W139">
        <f t="shared" si="29"/>
        <v>28.829880000000003</v>
      </c>
      <c r="X139">
        <f t="shared" si="30"/>
        <v>0</v>
      </c>
      <c r="Y139">
        <f t="shared" si="33"/>
        <v>25.566119999999998</v>
      </c>
      <c r="Z139">
        <f t="shared" si="26"/>
        <v>41.999151599999998</v>
      </c>
      <c r="AA139">
        <f t="shared" si="27"/>
        <v>12.396848400000001</v>
      </c>
      <c r="AB139">
        <f t="shared" si="28"/>
        <v>0</v>
      </c>
      <c r="AC139">
        <f>LOOKUP($A139,'Over to underbark'!$A$47:$A$48,'Over to underbark'!E$47:E$48)*Z139</f>
        <v>17.639643671999998</v>
      </c>
      <c r="AD139">
        <f>LOOKUP($A139,'Over to underbark'!$A$47:$A$48,'Over to underbark'!E$47:E$48)*AA139</f>
        <v>5.2066763280000004</v>
      </c>
      <c r="AE139">
        <f>LOOKUP($A139,'Over to underbark'!$A$47:$A$48,'Over to underbark'!E$47:E$48)*AB139</f>
        <v>0</v>
      </c>
      <c r="AF139" t="b">
        <f t="shared" si="34"/>
        <v>1</v>
      </c>
      <c r="AG139" t="b">
        <f t="shared" si="35"/>
        <v>1</v>
      </c>
      <c r="AH139">
        <f>LOOKUP(A139,'Over to underbark'!$A$47:$A$48,'Over to underbark'!E$47:E$48)*M139</f>
        <v>25.384799999999998</v>
      </c>
      <c r="AI139" s="27">
        <f>LOOKUP(A139,'Over to underbark'!$A$47:$A$48,'Over to underbark'!$B$47:$B$48)*AH139</f>
        <v>8.6308319999999998</v>
      </c>
      <c r="AJ139" s="27">
        <f>LOOKUP(A140,'Over to underbark'!$A$47:$A$48,'Over to underbark'!C$47:C$48)*AH139</f>
        <v>8.8846799999999995</v>
      </c>
      <c r="AK139" s="27">
        <f t="shared" si="36"/>
        <v>34.015631999999997</v>
      </c>
      <c r="AL139" s="33">
        <v>80.989999999999995</v>
      </c>
      <c r="AM139" s="28">
        <f t="shared" si="37"/>
        <v>68.031263999999993</v>
      </c>
      <c r="AO139">
        <f t="shared" si="38"/>
        <v>0.67164179104477617</v>
      </c>
    </row>
    <row r="140" spans="1:41" x14ac:dyDescent="0.35">
      <c r="A140" t="s">
        <v>39</v>
      </c>
      <c r="B140">
        <v>8</v>
      </c>
      <c r="C140">
        <v>2</v>
      </c>
      <c r="D140" t="s">
        <v>40</v>
      </c>
      <c r="E140">
        <v>2</v>
      </c>
      <c r="F140">
        <v>1</v>
      </c>
      <c r="G140" s="16">
        <v>26</v>
      </c>
      <c r="H140" s="16">
        <v>8.58</v>
      </c>
      <c r="I140" s="16">
        <v>2170</v>
      </c>
      <c r="J140" s="16">
        <v>11.13</v>
      </c>
      <c r="K140" s="16">
        <v>21.113</v>
      </c>
      <c r="L140" s="16">
        <v>3.1E-2</v>
      </c>
      <c r="M140" s="23">
        <v>66.7</v>
      </c>
      <c r="N140" s="16">
        <v>0</v>
      </c>
      <c r="O140" s="17">
        <v>2.5649999999999999</v>
      </c>
      <c r="P140" s="18">
        <v>26</v>
      </c>
      <c r="Q140" s="18">
        <v>11.13</v>
      </c>
      <c r="R140" s="18">
        <v>66.7</v>
      </c>
      <c r="S140" s="18">
        <v>0</v>
      </c>
      <c r="T140" s="14" t="b">
        <f t="shared" si="39"/>
        <v>1</v>
      </c>
      <c r="U140" s="14" t="b">
        <f t="shared" si="40"/>
        <v>1</v>
      </c>
      <c r="V140" s="15">
        <f>VLOOKUP(IF(J140&lt;10, 10, IF(J140&gt;50,50,J140)),'Over to underbark'!$A$3:$C$43,IF(A140="Scots pine",3,IF(A140="Sitka spruce",2, "error")),TRUE)/100</f>
        <v>0.66</v>
      </c>
      <c r="W140">
        <f t="shared" si="29"/>
        <v>39.619800000000005</v>
      </c>
      <c r="X140">
        <f t="shared" si="30"/>
        <v>0</v>
      </c>
      <c r="Y140">
        <f t="shared" si="33"/>
        <v>20.4102</v>
      </c>
      <c r="Z140">
        <f t="shared" si="26"/>
        <v>42.993486000000004</v>
      </c>
      <c r="AA140">
        <f t="shared" si="27"/>
        <v>17.036514</v>
      </c>
      <c r="AB140">
        <f t="shared" si="28"/>
        <v>0</v>
      </c>
      <c r="AC140">
        <f>LOOKUP($A140,'Over to underbark'!$A$47:$A$48,'Over to underbark'!E$47:E$48)*Z140</f>
        <v>18.057264120000003</v>
      </c>
      <c r="AD140">
        <f>LOOKUP($A140,'Over to underbark'!$A$47:$A$48,'Over to underbark'!E$47:E$48)*AA140</f>
        <v>7.15533588</v>
      </c>
      <c r="AE140">
        <f>LOOKUP($A140,'Over to underbark'!$A$47:$A$48,'Over to underbark'!E$47:E$48)*AB140</f>
        <v>0</v>
      </c>
      <c r="AF140" t="b">
        <f t="shared" si="34"/>
        <v>1</v>
      </c>
      <c r="AG140" t="b">
        <f t="shared" si="35"/>
        <v>1</v>
      </c>
      <c r="AH140">
        <f>LOOKUP(A140,'Over to underbark'!$A$47:$A$48,'Over to underbark'!E$47:E$48)*M140</f>
        <v>28.013999999999999</v>
      </c>
      <c r="AI140" s="27">
        <f>LOOKUP(A140,'Over to underbark'!$A$47:$A$48,'Over to underbark'!$B$47:$B$48)*AH140</f>
        <v>9.5247600000000006</v>
      </c>
      <c r="AJ140" s="27">
        <f>LOOKUP(A141,'Over to underbark'!$A$47:$A$48,'Over to underbark'!C$47:C$48)*AH140</f>
        <v>9.8048999999999999</v>
      </c>
      <c r="AK140" s="27">
        <f t="shared" si="36"/>
        <v>37.538759999999996</v>
      </c>
      <c r="AL140" s="33">
        <v>89.38</v>
      </c>
      <c r="AM140" s="28">
        <f t="shared" si="37"/>
        <v>75.077519999999993</v>
      </c>
      <c r="AO140">
        <f t="shared" si="38"/>
        <v>0.67164179104477628</v>
      </c>
    </row>
    <row r="141" spans="1:41" x14ac:dyDescent="0.35">
      <c r="A141" t="s">
        <v>39</v>
      </c>
      <c r="B141">
        <v>8</v>
      </c>
      <c r="C141">
        <v>2</v>
      </c>
      <c r="D141" t="s">
        <v>40</v>
      </c>
      <c r="E141">
        <v>2</v>
      </c>
      <c r="F141">
        <v>1</v>
      </c>
      <c r="G141" s="16">
        <v>27</v>
      </c>
      <c r="H141" s="16">
        <v>8.9320000000000004</v>
      </c>
      <c r="I141" s="16">
        <v>2153</v>
      </c>
      <c r="J141" s="16">
        <v>11.500999999999999</v>
      </c>
      <c r="K141" s="16">
        <v>22.367999999999999</v>
      </c>
      <c r="L141" s="16">
        <v>3.5000000000000003E-2</v>
      </c>
      <c r="M141" s="23">
        <v>75.16</v>
      </c>
      <c r="N141" s="16">
        <v>0</v>
      </c>
      <c r="O141" s="17">
        <v>2.7839999999999998</v>
      </c>
      <c r="P141" s="18">
        <v>27</v>
      </c>
      <c r="Q141" s="18">
        <v>11.500999999999999</v>
      </c>
      <c r="R141" s="18">
        <v>75.16</v>
      </c>
      <c r="S141" s="18">
        <v>0</v>
      </c>
      <c r="T141" s="14" t="b">
        <f t="shared" si="39"/>
        <v>1</v>
      </c>
      <c r="U141" s="14" t="b">
        <f t="shared" si="40"/>
        <v>1</v>
      </c>
      <c r="V141" s="15">
        <f>VLOOKUP(IF(J141&lt;10, 10, IF(J141&gt;50,50,J141)),'Over to underbark'!$A$3:$C$43,IF(A141="Scots pine",3,IF(A141="Sitka spruce",2, "error")),TRUE)/100</f>
        <v>0.66</v>
      </c>
      <c r="W141">
        <f t="shared" si="29"/>
        <v>44.645040000000009</v>
      </c>
      <c r="X141">
        <f t="shared" si="30"/>
        <v>0</v>
      </c>
      <c r="Y141">
        <f t="shared" si="33"/>
        <v>22.99896</v>
      </c>
      <c r="Z141">
        <f t="shared" si="26"/>
        <v>48.446632800000003</v>
      </c>
      <c r="AA141">
        <f t="shared" si="27"/>
        <v>19.197367200000002</v>
      </c>
      <c r="AB141">
        <f t="shared" si="28"/>
        <v>0</v>
      </c>
      <c r="AC141">
        <f>LOOKUP($A141,'Over to underbark'!$A$47:$A$48,'Over to underbark'!E$47:E$48)*Z141</f>
        <v>20.347585775999999</v>
      </c>
      <c r="AD141">
        <f>LOOKUP($A141,'Over to underbark'!$A$47:$A$48,'Over to underbark'!E$47:E$48)*AA141</f>
        <v>8.0628942240000008</v>
      </c>
      <c r="AE141">
        <f>LOOKUP($A141,'Over to underbark'!$A$47:$A$48,'Over to underbark'!E$47:E$48)*AB141</f>
        <v>0</v>
      </c>
      <c r="AF141" t="b">
        <f t="shared" si="34"/>
        <v>1</v>
      </c>
      <c r="AG141" t="b">
        <f t="shared" si="35"/>
        <v>1</v>
      </c>
      <c r="AH141">
        <f>LOOKUP(A141,'Over to underbark'!$A$47:$A$48,'Over to underbark'!E$47:E$48)*M141</f>
        <v>31.567199999999996</v>
      </c>
      <c r="AI141" s="27">
        <f>LOOKUP(A141,'Over to underbark'!$A$47:$A$48,'Over to underbark'!$B$47:$B$48)*AH141</f>
        <v>10.732847999999999</v>
      </c>
      <c r="AJ141" s="27">
        <f>LOOKUP(A142,'Over to underbark'!$A$47:$A$48,'Over to underbark'!C$47:C$48)*AH141</f>
        <v>11.048519999999998</v>
      </c>
      <c r="AK141" s="27">
        <f t="shared" si="36"/>
        <v>42.300047999999997</v>
      </c>
      <c r="AL141" s="33">
        <v>100.71</v>
      </c>
      <c r="AM141" s="28">
        <f t="shared" si="37"/>
        <v>84.600095999999994</v>
      </c>
      <c r="AO141">
        <f t="shared" si="38"/>
        <v>0.67164179104477617</v>
      </c>
    </row>
    <row r="142" spans="1:41" x14ac:dyDescent="0.35">
      <c r="A142" t="s">
        <v>39</v>
      </c>
      <c r="B142">
        <v>8</v>
      </c>
      <c r="C142">
        <v>2</v>
      </c>
      <c r="D142" t="s">
        <v>40</v>
      </c>
      <c r="E142">
        <v>2</v>
      </c>
      <c r="F142">
        <v>1</v>
      </c>
      <c r="G142" s="16">
        <v>28</v>
      </c>
      <c r="H142" s="16">
        <v>9.2840000000000007</v>
      </c>
      <c r="I142" s="16">
        <v>2136</v>
      </c>
      <c r="J142" s="16">
        <v>11.867000000000001</v>
      </c>
      <c r="K142" s="16">
        <v>23.623999999999999</v>
      </c>
      <c r="L142" s="16">
        <v>3.9E-2</v>
      </c>
      <c r="M142" s="23">
        <v>83.62</v>
      </c>
      <c r="N142" s="16">
        <v>0</v>
      </c>
      <c r="O142" s="17">
        <v>2.9860000000000002</v>
      </c>
      <c r="P142" s="18">
        <v>28</v>
      </c>
      <c r="Q142" s="18">
        <v>11.867000000000001</v>
      </c>
      <c r="R142" s="18">
        <v>83.62</v>
      </c>
      <c r="S142" s="18">
        <v>0</v>
      </c>
      <c r="T142" s="14" t="b">
        <f t="shared" si="39"/>
        <v>1</v>
      </c>
      <c r="U142" s="14" t="b">
        <f t="shared" si="40"/>
        <v>1</v>
      </c>
      <c r="V142" s="15">
        <f>VLOOKUP(IF(J142&lt;10, 10, IF(J142&gt;50,50,J142)),'Over to underbark'!$A$3:$C$43,IF(A142="Scots pine",3,IF(A142="Sitka spruce",2, "error")),TRUE)/100</f>
        <v>0.66</v>
      </c>
      <c r="W142">
        <f t="shared" si="29"/>
        <v>49.670280000000005</v>
      </c>
      <c r="X142">
        <f t="shared" si="30"/>
        <v>0</v>
      </c>
      <c r="Y142">
        <f t="shared" si="33"/>
        <v>25.587720000000001</v>
      </c>
      <c r="Z142">
        <f t="shared" si="26"/>
        <v>53.899779600000002</v>
      </c>
      <c r="AA142">
        <f t="shared" si="27"/>
        <v>21.3582204</v>
      </c>
      <c r="AB142">
        <f t="shared" si="28"/>
        <v>0</v>
      </c>
      <c r="AC142">
        <f>LOOKUP($A142,'Over to underbark'!$A$47:$A$48,'Over to underbark'!E$47:E$48)*Z142</f>
        <v>22.637907431999999</v>
      </c>
      <c r="AD142">
        <f>LOOKUP($A142,'Over to underbark'!$A$47:$A$48,'Over to underbark'!E$47:E$48)*AA142</f>
        <v>8.9704525680000007</v>
      </c>
      <c r="AE142">
        <f>LOOKUP($A142,'Over to underbark'!$A$47:$A$48,'Over to underbark'!E$47:E$48)*AB142</f>
        <v>0</v>
      </c>
      <c r="AF142" t="b">
        <f t="shared" si="34"/>
        <v>1</v>
      </c>
      <c r="AG142" t="b">
        <f t="shared" si="35"/>
        <v>1</v>
      </c>
      <c r="AH142">
        <f>LOOKUP(A142,'Over to underbark'!$A$47:$A$48,'Over to underbark'!E$47:E$48)*M142</f>
        <v>35.120400000000004</v>
      </c>
      <c r="AI142" s="27">
        <f>LOOKUP(A142,'Over to underbark'!$A$47:$A$48,'Over to underbark'!$B$47:$B$48)*AH142</f>
        <v>11.940936000000002</v>
      </c>
      <c r="AJ142" s="27">
        <f>LOOKUP(A143,'Over to underbark'!$A$47:$A$48,'Over to underbark'!C$47:C$48)*AH142</f>
        <v>12.29214</v>
      </c>
      <c r="AK142" s="27">
        <f t="shared" si="36"/>
        <v>47.061336000000004</v>
      </c>
      <c r="AL142" s="33">
        <v>112.05</v>
      </c>
      <c r="AM142" s="28">
        <f t="shared" si="37"/>
        <v>94.122672000000009</v>
      </c>
      <c r="AO142">
        <f t="shared" si="38"/>
        <v>0.67164179104477606</v>
      </c>
    </row>
    <row r="143" spans="1:41" x14ac:dyDescent="0.35">
      <c r="A143" t="s">
        <v>39</v>
      </c>
      <c r="B143">
        <v>8</v>
      </c>
      <c r="C143">
        <v>2</v>
      </c>
      <c r="D143" t="s">
        <v>40</v>
      </c>
      <c r="E143">
        <v>2</v>
      </c>
      <c r="F143">
        <v>1</v>
      </c>
      <c r="G143" s="16">
        <v>29</v>
      </c>
      <c r="H143" s="16">
        <v>9.6359999999999992</v>
      </c>
      <c r="I143" s="16">
        <v>2119</v>
      </c>
      <c r="J143" s="16">
        <v>12.227</v>
      </c>
      <c r="K143" s="16">
        <v>24.879000000000001</v>
      </c>
      <c r="L143" s="16">
        <v>4.2999999999999997E-2</v>
      </c>
      <c r="M143" s="23">
        <v>92.08</v>
      </c>
      <c r="N143" s="16">
        <v>0</v>
      </c>
      <c r="O143" s="17">
        <v>3.1749999999999998</v>
      </c>
      <c r="P143" s="18">
        <v>29</v>
      </c>
      <c r="Q143" s="18">
        <v>12.227</v>
      </c>
      <c r="R143" s="18">
        <v>92.08</v>
      </c>
      <c r="S143" s="18">
        <v>0</v>
      </c>
      <c r="T143" s="14" t="b">
        <f t="shared" si="39"/>
        <v>1</v>
      </c>
      <c r="U143" s="14" t="b">
        <f t="shared" si="40"/>
        <v>1</v>
      </c>
      <c r="V143" s="15">
        <f>VLOOKUP(IF(J143&lt;10, 10, IF(J143&gt;50,50,J143)),'Over to underbark'!$A$3:$C$43,IF(A143="Scots pine",3,IF(A143="Sitka spruce",2, "error")),TRUE)/100</f>
        <v>0.74</v>
      </c>
      <c r="W143">
        <f t="shared" si="29"/>
        <v>61.325279999999999</v>
      </c>
      <c r="X143">
        <f t="shared" si="30"/>
        <v>0</v>
      </c>
      <c r="Y143">
        <f t="shared" si="33"/>
        <v>21.546720000000001</v>
      </c>
      <c r="Z143">
        <f t="shared" si="26"/>
        <v>56.502129599999996</v>
      </c>
      <c r="AA143">
        <f t="shared" si="27"/>
        <v>26.3698704</v>
      </c>
      <c r="AB143">
        <f t="shared" si="28"/>
        <v>0</v>
      </c>
      <c r="AC143">
        <f>LOOKUP($A143,'Over to underbark'!$A$47:$A$48,'Over to underbark'!E$47:E$48)*Z143</f>
        <v>23.730894431999996</v>
      </c>
      <c r="AD143">
        <f>LOOKUP($A143,'Over to underbark'!$A$47:$A$48,'Over to underbark'!E$47:E$48)*AA143</f>
        <v>11.075345567999999</v>
      </c>
      <c r="AE143">
        <f>LOOKUP($A143,'Over to underbark'!$A$47:$A$48,'Over to underbark'!E$47:E$48)*AB143</f>
        <v>0</v>
      </c>
      <c r="AF143" t="b">
        <f t="shared" si="34"/>
        <v>1</v>
      </c>
      <c r="AG143" t="b">
        <f t="shared" si="35"/>
        <v>1</v>
      </c>
      <c r="AH143">
        <f>LOOKUP(A143,'Over to underbark'!$A$47:$A$48,'Over to underbark'!E$47:E$48)*M143</f>
        <v>38.6736</v>
      </c>
      <c r="AI143" s="27">
        <f>LOOKUP(A143,'Over to underbark'!$A$47:$A$48,'Over to underbark'!$B$47:$B$48)*AH143</f>
        <v>13.149024000000001</v>
      </c>
      <c r="AJ143" s="27">
        <f>LOOKUP(A144,'Over to underbark'!$A$47:$A$48,'Over to underbark'!C$47:C$48)*AH143</f>
        <v>13.53576</v>
      </c>
      <c r="AK143" s="27">
        <f t="shared" si="36"/>
        <v>51.822624000000005</v>
      </c>
      <c r="AL143" s="33">
        <v>123.39</v>
      </c>
      <c r="AM143" s="28">
        <f t="shared" si="37"/>
        <v>103.64524800000001</v>
      </c>
      <c r="AO143">
        <f t="shared" si="38"/>
        <v>0.67164179104477595</v>
      </c>
    </row>
    <row r="144" spans="1:41" x14ac:dyDescent="0.35">
      <c r="A144" t="s">
        <v>39</v>
      </c>
      <c r="B144">
        <v>8</v>
      </c>
      <c r="C144">
        <v>2</v>
      </c>
      <c r="D144" t="s">
        <v>40</v>
      </c>
      <c r="E144">
        <v>2</v>
      </c>
      <c r="F144">
        <v>1</v>
      </c>
      <c r="G144" s="16">
        <v>30</v>
      </c>
      <c r="H144" s="16">
        <v>9.9879999999999995</v>
      </c>
      <c r="I144" s="16">
        <v>2102</v>
      </c>
      <c r="J144" s="16">
        <v>12.582000000000001</v>
      </c>
      <c r="K144" s="16">
        <v>26.135000000000002</v>
      </c>
      <c r="L144" s="16">
        <v>4.8000000000000001E-2</v>
      </c>
      <c r="M144" s="23">
        <v>100.54</v>
      </c>
      <c r="N144" s="16">
        <v>0</v>
      </c>
      <c r="O144" s="17">
        <v>3.351</v>
      </c>
      <c r="P144" s="18">
        <v>30</v>
      </c>
      <c r="Q144" s="18">
        <v>12.582000000000001</v>
      </c>
      <c r="R144" s="18">
        <v>100.54</v>
      </c>
      <c r="S144" s="18">
        <v>0</v>
      </c>
      <c r="T144" s="14" t="b">
        <f t="shared" si="39"/>
        <v>1</v>
      </c>
      <c r="U144" s="14" t="b">
        <f t="shared" si="40"/>
        <v>1</v>
      </c>
      <c r="V144" s="15">
        <f>VLOOKUP(IF(J144&lt;10, 10, IF(J144&gt;50,50,J144)),'Over to underbark'!$A$3:$C$43,IF(A144="Scots pine",3,IF(A144="Sitka spruce",2, "error")),TRUE)/100</f>
        <v>0.74</v>
      </c>
      <c r="W144">
        <f t="shared" si="29"/>
        <v>66.959640000000007</v>
      </c>
      <c r="X144">
        <f t="shared" si="30"/>
        <v>0</v>
      </c>
      <c r="Y144">
        <f t="shared" si="33"/>
        <v>23.52636</v>
      </c>
      <c r="Z144">
        <f t="shared" si="26"/>
        <v>61.693354799999994</v>
      </c>
      <c r="AA144">
        <f t="shared" si="27"/>
        <v>28.792645200000003</v>
      </c>
      <c r="AB144">
        <f t="shared" si="28"/>
        <v>0</v>
      </c>
      <c r="AC144">
        <f>LOOKUP($A144,'Over to underbark'!$A$47:$A$48,'Over to underbark'!E$47:E$48)*Z144</f>
        <v>25.911209015999997</v>
      </c>
      <c r="AD144">
        <f>LOOKUP($A144,'Over to underbark'!$A$47:$A$48,'Over to underbark'!E$47:E$48)*AA144</f>
        <v>12.092910984000001</v>
      </c>
      <c r="AE144">
        <f>LOOKUP($A144,'Over to underbark'!$A$47:$A$48,'Over to underbark'!E$47:E$48)*AB144</f>
        <v>0</v>
      </c>
      <c r="AF144" t="b">
        <f t="shared" si="34"/>
        <v>1</v>
      </c>
      <c r="AG144" t="b">
        <f t="shared" si="35"/>
        <v>1</v>
      </c>
      <c r="AH144">
        <f>LOOKUP(A144,'Over to underbark'!$A$47:$A$48,'Over to underbark'!E$47:E$48)*M144</f>
        <v>42.226800000000004</v>
      </c>
      <c r="AI144" s="27">
        <f>LOOKUP(A144,'Over to underbark'!$A$47:$A$48,'Over to underbark'!$B$47:$B$48)*AH144</f>
        <v>14.357112000000003</v>
      </c>
      <c r="AJ144" s="27">
        <f>LOOKUP(A145,'Over to underbark'!$A$47:$A$48,'Over to underbark'!C$47:C$48)*AH144</f>
        <v>14.77938</v>
      </c>
      <c r="AK144" s="27">
        <f t="shared" si="36"/>
        <v>56.583912000000005</v>
      </c>
      <c r="AL144" s="33">
        <v>134.72</v>
      </c>
      <c r="AM144" s="28">
        <f t="shared" si="37"/>
        <v>113.16782400000001</v>
      </c>
      <c r="AO144">
        <f t="shared" si="38"/>
        <v>0.67164179104477606</v>
      </c>
    </row>
    <row r="145" spans="1:41" x14ac:dyDescent="0.35">
      <c r="A145" t="s">
        <v>39</v>
      </c>
      <c r="B145">
        <v>8</v>
      </c>
      <c r="C145">
        <v>2</v>
      </c>
      <c r="D145" t="s">
        <v>40</v>
      </c>
      <c r="E145">
        <v>2</v>
      </c>
      <c r="F145">
        <v>1</v>
      </c>
      <c r="G145" s="16">
        <v>31</v>
      </c>
      <c r="H145" s="16">
        <v>10.34</v>
      </c>
      <c r="I145" s="16">
        <v>2086</v>
      </c>
      <c r="J145" s="16">
        <v>12.93</v>
      </c>
      <c r="K145" s="16">
        <v>27.390999999999998</v>
      </c>
      <c r="L145" s="16">
        <v>5.1999999999999998E-2</v>
      </c>
      <c r="M145" s="23">
        <v>109</v>
      </c>
      <c r="N145" s="16">
        <v>0</v>
      </c>
      <c r="O145" s="17">
        <v>3.516</v>
      </c>
      <c r="P145" s="18">
        <v>31</v>
      </c>
      <c r="Q145" s="18">
        <v>12.93</v>
      </c>
      <c r="R145" s="18">
        <v>107.551</v>
      </c>
      <c r="S145" s="18">
        <v>1.4490000000000001</v>
      </c>
      <c r="T145" s="14" t="b">
        <f t="shared" si="39"/>
        <v>1</v>
      </c>
      <c r="U145" s="14" t="b">
        <f t="shared" si="40"/>
        <v>1</v>
      </c>
      <c r="V145" s="15">
        <f>VLOOKUP(IF(J145&lt;10, 10, IF(J145&gt;50,50,J145)),'Over to underbark'!$A$3:$C$43,IF(A145="Scots pine",3,IF(A145="Sitka spruce",2, "error")),TRUE)/100</f>
        <v>0.74</v>
      </c>
      <c r="W145">
        <f t="shared" si="29"/>
        <v>71.628966000000005</v>
      </c>
      <c r="X145">
        <f t="shared" si="30"/>
        <v>0.96503400000000006</v>
      </c>
      <c r="Y145">
        <f t="shared" si="33"/>
        <v>25.506000000000004</v>
      </c>
      <c r="Z145">
        <f t="shared" si="26"/>
        <v>66.479265720000001</v>
      </c>
      <c r="AA145">
        <f t="shared" si="27"/>
        <v>31.041713880000003</v>
      </c>
      <c r="AB145">
        <f t="shared" si="28"/>
        <v>0.57902039999999999</v>
      </c>
      <c r="AC145">
        <f>LOOKUP($A145,'Over to underbark'!$A$47:$A$48,'Over to underbark'!E$47:E$48)*Z145</f>
        <v>27.9212916024</v>
      </c>
      <c r="AD145">
        <f>LOOKUP($A145,'Over to underbark'!$A$47:$A$48,'Over to underbark'!E$47:E$48)*AA145</f>
        <v>13.037519829600001</v>
      </c>
      <c r="AE145">
        <f>LOOKUP($A145,'Over to underbark'!$A$47:$A$48,'Over to underbark'!E$47:E$48)*AB145</f>
        <v>0.24318856799999999</v>
      </c>
      <c r="AF145" t="b">
        <f t="shared" si="34"/>
        <v>1</v>
      </c>
      <c r="AG145" t="b">
        <f t="shared" si="35"/>
        <v>1</v>
      </c>
      <c r="AH145">
        <f>LOOKUP(A145,'Over to underbark'!$A$47:$A$48,'Over to underbark'!E$47:E$48)*M145</f>
        <v>45.78</v>
      </c>
      <c r="AI145" s="27">
        <f>LOOKUP(A145,'Over to underbark'!$A$47:$A$48,'Over to underbark'!$B$47:$B$48)*AH145</f>
        <v>15.565200000000001</v>
      </c>
      <c r="AJ145" s="27">
        <f>LOOKUP(A146,'Over to underbark'!$A$47:$A$48,'Over to underbark'!C$47:C$48)*AH145</f>
        <v>16.023</v>
      </c>
      <c r="AK145" s="27">
        <f t="shared" si="36"/>
        <v>61.345200000000006</v>
      </c>
      <c r="AL145" s="33">
        <v>146.06</v>
      </c>
      <c r="AM145" s="28">
        <f t="shared" si="37"/>
        <v>122.69040000000001</v>
      </c>
      <c r="AO145">
        <f t="shared" si="38"/>
        <v>0.67164179104477617</v>
      </c>
    </row>
    <row r="146" spans="1:41" x14ac:dyDescent="0.35">
      <c r="A146" t="s">
        <v>39</v>
      </c>
      <c r="B146">
        <v>8</v>
      </c>
      <c r="C146">
        <v>2</v>
      </c>
      <c r="D146" t="s">
        <v>40</v>
      </c>
      <c r="E146">
        <v>2</v>
      </c>
      <c r="F146">
        <v>1</v>
      </c>
      <c r="G146" s="16">
        <v>32</v>
      </c>
      <c r="H146" s="16">
        <v>10.667999999999999</v>
      </c>
      <c r="I146" s="16">
        <v>2057</v>
      </c>
      <c r="J146" s="16">
        <v>13.29</v>
      </c>
      <c r="K146" s="16">
        <v>28.535</v>
      </c>
      <c r="L146" s="16">
        <v>5.8000000000000003E-2</v>
      </c>
      <c r="M146" s="23">
        <v>118.98</v>
      </c>
      <c r="N146" s="16">
        <v>0.151</v>
      </c>
      <c r="O146" s="17">
        <v>3.718</v>
      </c>
      <c r="P146" s="18">
        <v>32</v>
      </c>
      <c r="Q146" s="18">
        <v>13.29</v>
      </c>
      <c r="R146" s="18">
        <v>114.991</v>
      </c>
      <c r="S146" s="18">
        <v>3.9889999999999999</v>
      </c>
      <c r="T146" s="14" t="b">
        <f t="shared" si="39"/>
        <v>1</v>
      </c>
      <c r="U146" s="14" t="b">
        <f t="shared" si="40"/>
        <v>1</v>
      </c>
      <c r="V146" s="15">
        <f>VLOOKUP(IF(J146&lt;10, 10, IF(J146&gt;50,50,J146)),'Over to underbark'!$A$3:$C$43,IF(A146="Scots pine",3,IF(A146="Sitka spruce",2, "error")),TRUE)/100</f>
        <v>0.79</v>
      </c>
      <c r="W146">
        <f t="shared" si="29"/>
        <v>81.758600999999999</v>
      </c>
      <c r="X146">
        <f t="shared" si="30"/>
        <v>2.836179</v>
      </c>
      <c r="Y146">
        <f t="shared" si="33"/>
        <v>22.487219999999997</v>
      </c>
      <c r="Z146">
        <f t="shared" si="26"/>
        <v>69.515049419999983</v>
      </c>
      <c r="AA146">
        <f t="shared" si="27"/>
        <v>35.865243179999993</v>
      </c>
      <c r="AB146">
        <f t="shared" si="28"/>
        <v>1.7017073999999999</v>
      </c>
      <c r="AC146">
        <f>LOOKUP($A146,'Over to underbark'!$A$47:$A$48,'Over to underbark'!E$47:E$48)*Z146</f>
        <v>29.196320756399992</v>
      </c>
      <c r="AD146">
        <f>LOOKUP($A146,'Over to underbark'!$A$47:$A$48,'Over to underbark'!E$47:E$48)*AA146</f>
        <v>15.063402135599997</v>
      </c>
      <c r="AE146">
        <f>LOOKUP($A146,'Over to underbark'!$A$47:$A$48,'Over to underbark'!E$47:E$48)*AB146</f>
        <v>0.71471710799999988</v>
      </c>
      <c r="AF146" t="b">
        <f t="shared" si="34"/>
        <v>1</v>
      </c>
      <c r="AG146" t="b">
        <f t="shared" si="35"/>
        <v>1</v>
      </c>
      <c r="AH146">
        <f>LOOKUP(A146,'Over to underbark'!$A$47:$A$48,'Over to underbark'!E$47:E$48)*M146</f>
        <v>49.971600000000002</v>
      </c>
      <c r="AI146" s="27">
        <f>LOOKUP(A146,'Over to underbark'!$A$47:$A$48,'Over to underbark'!$B$47:$B$48)*AH146</f>
        <v>16.990344</v>
      </c>
      <c r="AJ146" s="27">
        <f>LOOKUP(A147,'Over to underbark'!$A$47:$A$48,'Over to underbark'!C$47:C$48)*AH146</f>
        <v>17.49006</v>
      </c>
      <c r="AK146" s="27">
        <f t="shared" si="36"/>
        <v>66.961944000000003</v>
      </c>
      <c r="AL146" s="33">
        <v>159.43</v>
      </c>
      <c r="AM146" s="28">
        <f t="shared" si="37"/>
        <v>133.92388800000001</v>
      </c>
      <c r="AO146">
        <f t="shared" si="38"/>
        <v>0.67164179104477595</v>
      </c>
    </row>
    <row r="147" spans="1:41" x14ac:dyDescent="0.35">
      <c r="A147" t="s">
        <v>39</v>
      </c>
      <c r="B147">
        <v>8</v>
      </c>
      <c r="C147">
        <v>2</v>
      </c>
      <c r="D147" t="s">
        <v>40</v>
      </c>
      <c r="E147">
        <v>2</v>
      </c>
      <c r="F147">
        <v>1</v>
      </c>
      <c r="G147" s="16">
        <v>33</v>
      </c>
      <c r="H147" s="16">
        <v>10.996</v>
      </c>
      <c r="I147" s="16">
        <v>2028</v>
      </c>
      <c r="J147" s="16">
        <v>13.65</v>
      </c>
      <c r="K147" s="16">
        <v>29.678999999999998</v>
      </c>
      <c r="L147" s="16">
        <v>6.4000000000000001E-2</v>
      </c>
      <c r="M147" s="23">
        <v>128.96</v>
      </c>
      <c r="N147" s="16">
        <v>0.27800000000000002</v>
      </c>
      <c r="O147" s="17">
        <v>3.9079999999999999</v>
      </c>
      <c r="P147" s="18">
        <v>33</v>
      </c>
      <c r="Q147" s="18">
        <v>13.65</v>
      </c>
      <c r="R147" s="18">
        <v>121.97199999999999</v>
      </c>
      <c r="S147" s="18">
        <v>6.9880000000000004</v>
      </c>
      <c r="T147" s="14" t="b">
        <f t="shared" si="39"/>
        <v>1</v>
      </c>
      <c r="U147" s="14" t="b">
        <f t="shared" si="40"/>
        <v>1</v>
      </c>
      <c r="V147" s="15">
        <f>VLOOKUP(IF(J147&lt;10, 10, IF(J147&gt;50,50,J147)),'Over to underbark'!$A$3:$C$43,IF(A147="Scots pine",3,IF(A147="Sitka spruce",2, "error")),TRUE)/100</f>
        <v>0.79</v>
      </c>
      <c r="W147">
        <f t="shared" si="29"/>
        <v>86.722092000000004</v>
      </c>
      <c r="X147">
        <f t="shared" si="30"/>
        <v>4.9684680000000006</v>
      </c>
      <c r="Y147">
        <f t="shared" si="33"/>
        <v>24.373439999999999</v>
      </c>
      <c r="Z147">
        <f t="shared" si="26"/>
        <v>74.550302639999984</v>
      </c>
      <c r="AA147">
        <f t="shared" si="27"/>
        <v>38.532616560000001</v>
      </c>
      <c r="AB147">
        <f t="shared" si="28"/>
        <v>2.9810808000000004</v>
      </c>
      <c r="AC147">
        <f>LOOKUP($A147,'Over to underbark'!$A$47:$A$48,'Over to underbark'!E$47:E$48)*Z147</f>
        <v>31.311127108799994</v>
      </c>
      <c r="AD147">
        <f>LOOKUP($A147,'Over to underbark'!$A$47:$A$48,'Over to underbark'!E$47:E$48)*AA147</f>
        <v>16.183698955200001</v>
      </c>
      <c r="AE147">
        <f>LOOKUP($A147,'Over to underbark'!$A$47:$A$48,'Over to underbark'!E$47:E$48)*AB147</f>
        <v>1.252053936</v>
      </c>
      <c r="AF147" t="b">
        <f t="shared" si="34"/>
        <v>1</v>
      </c>
      <c r="AG147" t="b">
        <f t="shared" si="35"/>
        <v>1</v>
      </c>
      <c r="AH147">
        <f>LOOKUP(A147,'Over to underbark'!$A$47:$A$48,'Over to underbark'!E$47:E$48)*M147</f>
        <v>54.163200000000003</v>
      </c>
      <c r="AI147" s="27">
        <f>LOOKUP(A147,'Over to underbark'!$A$47:$A$48,'Over to underbark'!$B$47:$B$48)*AH147</f>
        <v>18.415488000000003</v>
      </c>
      <c r="AJ147" s="27">
        <f>LOOKUP(A148,'Over to underbark'!$A$47:$A$48,'Over to underbark'!C$47:C$48)*AH147</f>
        <v>18.95712</v>
      </c>
      <c r="AK147" s="27">
        <f t="shared" si="36"/>
        <v>72.578688</v>
      </c>
      <c r="AL147" s="33">
        <v>172.81</v>
      </c>
      <c r="AM147" s="28">
        <f t="shared" si="37"/>
        <v>145.157376</v>
      </c>
      <c r="AO147">
        <f t="shared" si="38"/>
        <v>0.67164179104477606</v>
      </c>
    </row>
    <row r="148" spans="1:41" x14ac:dyDescent="0.35">
      <c r="A148" t="s">
        <v>39</v>
      </c>
      <c r="B148">
        <v>8</v>
      </c>
      <c r="C148">
        <v>2</v>
      </c>
      <c r="D148" t="s">
        <v>40</v>
      </c>
      <c r="E148">
        <v>2</v>
      </c>
      <c r="F148">
        <v>1</v>
      </c>
      <c r="G148" s="16">
        <v>34</v>
      </c>
      <c r="H148" s="16">
        <v>11.324</v>
      </c>
      <c r="I148" s="16">
        <v>2000</v>
      </c>
      <c r="J148" s="16">
        <v>14.007999999999999</v>
      </c>
      <c r="K148" s="16">
        <v>30.823</v>
      </c>
      <c r="L148" s="16">
        <v>6.9000000000000006E-2</v>
      </c>
      <c r="M148" s="23">
        <v>138.94</v>
      </c>
      <c r="N148" s="16">
        <v>0.38700000000000001</v>
      </c>
      <c r="O148" s="17">
        <v>4.0860000000000003</v>
      </c>
      <c r="P148" s="18">
        <v>34</v>
      </c>
      <c r="Q148" s="18">
        <v>14.007999999999999</v>
      </c>
      <c r="R148" s="18">
        <v>128.50399999999999</v>
      </c>
      <c r="S148" s="18">
        <v>10.436</v>
      </c>
      <c r="T148" s="14" t="b">
        <f t="shared" si="39"/>
        <v>1</v>
      </c>
      <c r="U148" s="14" t="b">
        <f t="shared" si="40"/>
        <v>1</v>
      </c>
      <c r="V148" s="15">
        <f>VLOOKUP(IF(J148&lt;10, 10, IF(J148&gt;50,50,J148)),'Over to underbark'!$A$3:$C$43,IF(A148="Scots pine",3,IF(A148="Sitka spruce",2, "error")),TRUE)/100</f>
        <v>0.82</v>
      </c>
      <c r="W148">
        <f t="shared" si="29"/>
        <v>94.835951999999992</v>
      </c>
      <c r="X148">
        <f t="shared" si="30"/>
        <v>7.7017679999999995</v>
      </c>
      <c r="Y148">
        <f t="shared" si="33"/>
        <v>22.508280000000006</v>
      </c>
      <c r="Z148">
        <f t="shared" si="26"/>
        <v>77.720037840000003</v>
      </c>
      <c r="AA148">
        <f t="shared" si="27"/>
        <v>42.704901359999994</v>
      </c>
      <c r="AB148">
        <f t="shared" si="28"/>
        <v>4.6210607999999995</v>
      </c>
      <c r="AC148">
        <f>LOOKUP($A148,'Over to underbark'!$A$47:$A$48,'Over to underbark'!E$47:E$48)*Z148</f>
        <v>32.642415892800003</v>
      </c>
      <c r="AD148">
        <f>LOOKUP($A148,'Over to underbark'!$A$47:$A$48,'Over to underbark'!E$47:E$48)*AA148</f>
        <v>17.936058571199997</v>
      </c>
      <c r="AE148">
        <f>LOOKUP($A148,'Over to underbark'!$A$47:$A$48,'Over to underbark'!E$47:E$48)*AB148</f>
        <v>1.9408455359999996</v>
      </c>
      <c r="AF148" t="b">
        <f t="shared" si="34"/>
        <v>1</v>
      </c>
      <c r="AG148" t="b">
        <f t="shared" si="35"/>
        <v>1</v>
      </c>
      <c r="AH148">
        <f>LOOKUP(A148,'Over to underbark'!$A$47:$A$48,'Over to underbark'!E$47:E$48)*M148</f>
        <v>58.354799999999997</v>
      </c>
      <c r="AI148" s="27">
        <f>LOOKUP(A148,'Over to underbark'!$A$47:$A$48,'Over to underbark'!$B$47:$B$48)*AH148</f>
        <v>19.840631999999999</v>
      </c>
      <c r="AJ148" s="27">
        <f>LOOKUP(A149,'Over to underbark'!$A$47:$A$48,'Over to underbark'!C$47:C$48)*AH148</f>
        <v>20.424179999999996</v>
      </c>
      <c r="AK148" s="27">
        <f t="shared" si="36"/>
        <v>78.195431999999997</v>
      </c>
      <c r="AL148" s="33">
        <v>186.18</v>
      </c>
      <c r="AM148" s="28">
        <f t="shared" si="37"/>
        <v>156.39086399999999</v>
      </c>
      <c r="AO148">
        <f t="shared" si="38"/>
        <v>0.67164179104477606</v>
      </c>
    </row>
    <row r="149" spans="1:41" x14ac:dyDescent="0.35">
      <c r="A149" t="s">
        <v>39</v>
      </c>
      <c r="B149">
        <v>8</v>
      </c>
      <c r="C149">
        <v>2</v>
      </c>
      <c r="D149" t="s">
        <v>40</v>
      </c>
      <c r="E149">
        <v>2</v>
      </c>
      <c r="F149">
        <v>1</v>
      </c>
      <c r="G149" s="16">
        <v>35</v>
      </c>
      <c r="H149" s="16">
        <v>11.651999999999999</v>
      </c>
      <c r="I149" s="16">
        <v>1971</v>
      </c>
      <c r="J149" s="16">
        <v>14.37</v>
      </c>
      <c r="K149" s="16">
        <v>31.966999999999999</v>
      </c>
      <c r="L149" s="16">
        <v>7.5999999999999998E-2</v>
      </c>
      <c r="M149" s="23">
        <v>148.91999999999999</v>
      </c>
      <c r="N149" s="16">
        <v>0.48099999999999998</v>
      </c>
      <c r="O149" s="17">
        <v>4.2549999999999999</v>
      </c>
      <c r="P149" s="18">
        <v>35</v>
      </c>
      <c r="Q149" s="18">
        <v>14.37</v>
      </c>
      <c r="R149" s="18">
        <v>134.536</v>
      </c>
      <c r="S149" s="18">
        <v>14.384</v>
      </c>
      <c r="T149" s="14" t="b">
        <f t="shared" si="39"/>
        <v>1</v>
      </c>
      <c r="U149" s="14" t="b">
        <f t="shared" si="40"/>
        <v>1</v>
      </c>
      <c r="V149" s="15">
        <f>VLOOKUP(IF(J149&lt;10, 10, IF(J149&gt;50,50,J149)),'Over to underbark'!$A$3:$C$43,IF(A149="Scots pine",3,IF(A149="Sitka spruce",2, "error")),TRUE)/100</f>
        <v>0.82</v>
      </c>
      <c r="W149">
        <f t="shared" si="29"/>
        <v>99.287567999999993</v>
      </c>
      <c r="X149">
        <f t="shared" si="30"/>
        <v>10.615392</v>
      </c>
      <c r="Y149">
        <f t="shared" si="33"/>
        <v>24.125040000000009</v>
      </c>
      <c r="Z149">
        <f t="shared" si="26"/>
        <v>82.311262560000003</v>
      </c>
      <c r="AA149">
        <f t="shared" si="27"/>
        <v>45.347502239999997</v>
      </c>
      <c r="AB149">
        <f t="shared" si="28"/>
        <v>6.3692351999999994</v>
      </c>
      <c r="AC149">
        <f>LOOKUP($A149,'Over to underbark'!$A$47:$A$48,'Over to underbark'!E$47:E$48)*Z149</f>
        <v>34.570730275199999</v>
      </c>
      <c r="AD149">
        <f>LOOKUP($A149,'Over to underbark'!$A$47:$A$48,'Over to underbark'!E$47:E$48)*AA149</f>
        <v>19.045950940799997</v>
      </c>
      <c r="AE149">
        <f>LOOKUP($A149,'Over to underbark'!$A$47:$A$48,'Over to underbark'!E$47:E$48)*AB149</f>
        <v>2.6750787839999997</v>
      </c>
      <c r="AF149" t="b">
        <f t="shared" si="34"/>
        <v>1</v>
      </c>
      <c r="AG149" t="b">
        <f t="shared" si="35"/>
        <v>1</v>
      </c>
      <c r="AH149">
        <f>LOOKUP(A149,'Over to underbark'!$A$47:$A$48,'Over to underbark'!E$47:E$48)*M149</f>
        <v>62.546399999999991</v>
      </c>
      <c r="AI149" s="27">
        <f>LOOKUP(A149,'Over to underbark'!$A$47:$A$48,'Over to underbark'!$B$47:$B$48)*AH149</f>
        <v>21.265775999999999</v>
      </c>
      <c r="AJ149" s="27">
        <f>LOOKUP(A150,'Over to underbark'!$A$47:$A$48,'Over to underbark'!C$47:C$48)*AH149</f>
        <v>21.891239999999996</v>
      </c>
      <c r="AK149" s="27">
        <f t="shared" si="36"/>
        <v>83.812175999999994</v>
      </c>
      <c r="AL149" s="33">
        <v>199.55</v>
      </c>
      <c r="AM149" s="28">
        <f t="shared" si="37"/>
        <v>167.62435199999999</v>
      </c>
      <c r="AO149">
        <f t="shared" si="38"/>
        <v>0.67164179104477617</v>
      </c>
    </row>
    <row r="150" spans="1:41" x14ac:dyDescent="0.35">
      <c r="A150" t="s">
        <v>39</v>
      </c>
      <c r="B150">
        <v>8</v>
      </c>
      <c r="C150">
        <v>2</v>
      </c>
      <c r="D150" t="s">
        <v>40</v>
      </c>
      <c r="E150">
        <v>2</v>
      </c>
      <c r="F150">
        <v>1</v>
      </c>
      <c r="G150" s="16">
        <v>36</v>
      </c>
      <c r="H150" s="16">
        <v>11.98</v>
      </c>
      <c r="I150" s="16">
        <v>1943</v>
      </c>
      <c r="J150" s="16">
        <v>14.73</v>
      </c>
      <c r="K150" s="16">
        <v>33.110999999999997</v>
      </c>
      <c r="L150" s="16">
        <v>8.2000000000000003E-2</v>
      </c>
      <c r="M150" s="23">
        <v>158.9</v>
      </c>
      <c r="N150" s="16">
        <v>0.56299999999999994</v>
      </c>
      <c r="O150" s="17">
        <v>4.4139999999999997</v>
      </c>
      <c r="P150" s="18">
        <v>36</v>
      </c>
      <c r="Q150" s="18">
        <v>14.73</v>
      </c>
      <c r="R150" s="18">
        <v>140.11699999999999</v>
      </c>
      <c r="S150" s="18">
        <v>18.783000000000001</v>
      </c>
      <c r="T150" s="14" t="b">
        <f t="shared" si="39"/>
        <v>1</v>
      </c>
      <c r="U150" s="14" t="b">
        <f t="shared" si="40"/>
        <v>1</v>
      </c>
      <c r="V150" s="15">
        <f>VLOOKUP(IF(J150&lt;10, 10, IF(J150&gt;50,50,J150)),'Over to underbark'!$A$3:$C$43,IF(A150="Scots pine",3,IF(A150="Sitka spruce",2, "error")),TRUE)/100</f>
        <v>0.82</v>
      </c>
      <c r="W150">
        <f t="shared" si="29"/>
        <v>103.406346</v>
      </c>
      <c r="X150">
        <f t="shared" si="30"/>
        <v>13.861854000000001</v>
      </c>
      <c r="Y150">
        <f t="shared" si="33"/>
        <v>25.741800000000005</v>
      </c>
      <c r="Z150">
        <f t="shared" si="26"/>
        <v>86.762695319999992</v>
      </c>
      <c r="AA150">
        <f t="shared" si="27"/>
        <v>47.93019228</v>
      </c>
      <c r="AB150">
        <f t="shared" si="28"/>
        <v>8.317112400000001</v>
      </c>
      <c r="AC150">
        <f>LOOKUP($A150,'Over to underbark'!$A$47:$A$48,'Over to underbark'!E$47:E$48)*Z150</f>
        <v>36.440332034399994</v>
      </c>
      <c r="AD150">
        <f>LOOKUP($A150,'Over to underbark'!$A$47:$A$48,'Over to underbark'!E$47:E$48)*AA150</f>
        <v>20.1306807576</v>
      </c>
      <c r="AE150">
        <f>LOOKUP($A150,'Over to underbark'!$A$47:$A$48,'Over to underbark'!E$47:E$48)*AB150</f>
        <v>3.4931872080000002</v>
      </c>
      <c r="AF150" t="b">
        <f t="shared" si="34"/>
        <v>1</v>
      </c>
      <c r="AG150" t="b">
        <f t="shared" si="35"/>
        <v>1</v>
      </c>
      <c r="AH150">
        <f>LOOKUP(A150,'Over to underbark'!$A$47:$A$48,'Over to underbark'!E$47:E$48)*M150</f>
        <v>66.738</v>
      </c>
      <c r="AI150" s="27">
        <f>LOOKUP(A150,'Over to underbark'!$A$47:$A$48,'Over to underbark'!$B$47:$B$48)*AH150</f>
        <v>22.690920000000002</v>
      </c>
      <c r="AJ150" s="27">
        <f>LOOKUP(A151,'Over to underbark'!$A$47:$A$48,'Over to underbark'!C$47:C$48)*AH150</f>
        <v>23.3583</v>
      </c>
      <c r="AK150" s="27">
        <f t="shared" si="36"/>
        <v>89.428920000000005</v>
      </c>
      <c r="AL150" s="33">
        <v>212.93</v>
      </c>
      <c r="AM150" s="28">
        <f t="shared" si="37"/>
        <v>178.85784000000001</v>
      </c>
      <c r="AO150">
        <f t="shared" si="38"/>
        <v>0.67164179104477595</v>
      </c>
    </row>
    <row r="151" spans="1:41" x14ac:dyDescent="0.35">
      <c r="A151" t="s">
        <v>39</v>
      </c>
      <c r="B151">
        <v>8</v>
      </c>
      <c r="C151">
        <v>2</v>
      </c>
      <c r="D151" t="s">
        <v>40</v>
      </c>
      <c r="E151">
        <v>2</v>
      </c>
      <c r="F151">
        <v>1</v>
      </c>
      <c r="G151" s="16">
        <v>37</v>
      </c>
      <c r="H151" s="16">
        <v>12.284000000000001</v>
      </c>
      <c r="I151" s="16">
        <v>1916</v>
      </c>
      <c r="J151" s="16">
        <v>15.071999999999999</v>
      </c>
      <c r="K151" s="16">
        <v>34.183</v>
      </c>
      <c r="L151" s="16">
        <v>8.8999999999999996E-2</v>
      </c>
      <c r="M151" s="23">
        <v>169.62</v>
      </c>
      <c r="N151" s="16">
        <v>0.72599999999999998</v>
      </c>
      <c r="O151" s="17">
        <v>4.5839999999999996</v>
      </c>
      <c r="P151" s="18">
        <v>37</v>
      </c>
      <c r="Q151" s="18">
        <v>15.071999999999999</v>
      </c>
      <c r="R151" s="18">
        <v>146.054</v>
      </c>
      <c r="S151" s="18">
        <v>23.565999999999999</v>
      </c>
      <c r="T151" s="14" t="b">
        <f t="shared" si="39"/>
        <v>1</v>
      </c>
      <c r="U151" s="14" t="b">
        <f t="shared" si="40"/>
        <v>1</v>
      </c>
      <c r="V151" s="15">
        <f>VLOOKUP(IF(J151&lt;10, 10, IF(J151&gt;50,50,J151)),'Over to underbark'!$A$3:$C$43,IF(A151="Scots pine",3,IF(A151="Sitka spruce",2, "error")),TRUE)/100</f>
        <v>0.84</v>
      </c>
      <c r="W151">
        <f t="shared" si="29"/>
        <v>110.41682399999999</v>
      </c>
      <c r="X151">
        <f t="shared" si="30"/>
        <v>17.815895999999999</v>
      </c>
      <c r="Y151">
        <f t="shared" si="33"/>
        <v>24.425280000000008</v>
      </c>
      <c r="Z151">
        <f t="shared" si="26"/>
        <v>90.035254079999987</v>
      </c>
      <c r="AA151">
        <f t="shared" si="27"/>
        <v>51.933208319999999</v>
      </c>
      <c r="AB151">
        <f t="shared" si="28"/>
        <v>10.6895376</v>
      </c>
      <c r="AC151">
        <f>LOOKUP($A151,'Over to underbark'!$A$47:$A$48,'Over to underbark'!E$47:E$48)*Z151</f>
        <v>37.814806713599992</v>
      </c>
      <c r="AD151">
        <f>LOOKUP($A151,'Over to underbark'!$A$47:$A$48,'Over to underbark'!E$47:E$48)*AA151</f>
        <v>21.811947494399998</v>
      </c>
      <c r="AE151">
        <f>LOOKUP($A151,'Over to underbark'!$A$47:$A$48,'Over to underbark'!E$47:E$48)*AB151</f>
        <v>4.4896057919999999</v>
      </c>
      <c r="AF151" t="b">
        <f t="shared" si="34"/>
        <v>1</v>
      </c>
      <c r="AG151" t="b">
        <f t="shared" si="35"/>
        <v>1</v>
      </c>
      <c r="AH151">
        <f>LOOKUP(A151,'Over to underbark'!$A$47:$A$48,'Over to underbark'!E$47:E$48)*M151</f>
        <v>71.240399999999994</v>
      </c>
      <c r="AI151" s="27">
        <f>LOOKUP(A151,'Over to underbark'!$A$47:$A$48,'Over to underbark'!$B$47:$B$48)*AH151</f>
        <v>24.221736</v>
      </c>
      <c r="AJ151" s="27">
        <f>LOOKUP(A152,'Over to underbark'!$A$47:$A$48,'Over to underbark'!C$47:C$48)*AH151</f>
        <v>24.934139999999996</v>
      </c>
      <c r="AK151" s="27">
        <f t="shared" si="36"/>
        <v>95.462135999999987</v>
      </c>
      <c r="AL151" s="33">
        <v>227.29</v>
      </c>
      <c r="AM151" s="28">
        <f t="shared" si="37"/>
        <v>190.92427199999997</v>
      </c>
      <c r="AO151">
        <f t="shared" si="38"/>
        <v>0.67164179104477617</v>
      </c>
    </row>
    <row r="152" spans="1:41" x14ac:dyDescent="0.35">
      <c r="A152" t="s">
        <v>39</v>
      </c>
      <c r="B152">
        <v>8</v>
      </c>
      <c r="C152">
        <v>2</v>
      </c>
      <c r="D152" t="s">
        <v>40</v>
      </c>
      <c r="E152">
        <v>2</v>
      </c>
      <c r="F152">
        <v>1</v>
      </c>
      <c r="G152" s="16">
        <v>38</v>
      </c>
      <c r="H152" s="16">
        <v>12.587999999999999</v>
      </c>
      <c r="I152" s="16">
        <v>1889</v>
      </c>
      <c r="J152" s="16">
        <v>15.414999999999999</v>
      </c>
      <c r="K152" s="16">
        <v>35.255000000000003</v>
      </c>
      <c r="L152" s="16">
        <v>9.5000000000000001E-2</v>
      </c>
      <c r="M152" s="23">
        <v>180.34</v>
      </c>
      <c r="N152" s="16">
        <v>0.86899999999999999</v>
      </c>
      <c r="O152" s="17">
        <v>4.7460000000000004</v>
      </c>
      <c r="P152" s="18">
        <v>38</v>
      </c>
      <c r="Q152" s="18">
        <v>15.414999999999999</v>
      </c>
      <c r="R152" s="18">
        <v>151.511</v>
      </c>
      <c r="S152" s="18">
        <v>28.829000000000001</v>
      </c>
      <c r="T152" s="14" t="b">
        <f t="shared" si="39"/>
        <v>1</v>
      </c>
      <c r="U152" s="14" t="b">
        <f t="shared" si="40"/>
        <v>1</v>
      </c>
      <c r="V152" s="15">
        <f>VLOOKUP(IF(J152&lt;10, 10, IF(J152&gt;50,50,J152)),'Over to underbark'!$A$3:$C$43,IF(A152="Scots pine",3,IF(A152="Sitka spruce",2, "error")),TRUE)/100</f>
        <v>0.84</v>
      </c>
      <c r="W152">
        <f t="shared" si="29"/>
        <v>114.542316</v>
      </c>
      <c r="X152">
        <f t="shared" si="30"/>
        <v>21.794723999999999</v>
      </c>
      <c r="Y152">
        <f t="shared" si="33"/>
        <v>25.968960000000006</v>
      </c>
      <c r="Z152">
        <f t="shared" si="26"/>
        <v>94.527288720000001</v>
      </c>
      <c r="AA152">
        <f t="shared" si="27"/>
        <v>54.70187688</v>
      </c>
      <c r="AB152">
        <f t="shared" si="28"/>
        <v>13.076834399999999</v>
      </c>
      <c r="AC152">
        <f>LOOKUP($A152,'Over to underbark'!$A$47:$A$48,'Over to underbark'!E$47:E$48)*Z152</f>
        <v>39.701461262400002</v>
      </c>
      <c r="AD152">
        <f>LOOKUP($A152,'Over to underbark'!$A$47:$A$48,'Over to underbark'!E$47:E$48)*AA152</f>
        <v>22.974788289599999</v>
      </c>
      <c r="AE152">
        <f>LOOKUP($A152,'Over to underbark'!$A$47:$A$48,'Over to underbark'!E$47:E$48)*AB152</f>
        <v>5.4922704479999993</v>
      </c>
      <c r="AF152" t="b">
        <f t="shared" si="34"/>
        <v>1</v>
      </c>
      <c r="AG152" t="b">
        <f t="shared" si="35"/>
        <v>1</v>
      </c>
      <c r="AH152">
        <f>LOOKUP(A152,'Over to underbark'!$A$47:$A$48,'Over to underbark'!E$47:E$48)*M152</f>
        <v>75.742800000000003</v>
      </c>
      <c r="AI152" s="27">
        <f>LOOKUP(A152,'Over to underbark'!$A$47:$A$48,'Over to underbark'!$B$47:$B$48)*AH152</f>
        <v>25.752552000000001</v>
      </c>
      <c r="AJ152" s="27">
        <f>LOOKUP(A153,'Over to underbark'!$A$47:$A$48,'Over to underbark'!C$47:C$48)*AH152</f>
        <v>26.509979999999999</v>
      </c>
      <c r="AK152" s="27">
        <f t="shared" si="36"/>
        <v>101.495352</v>
      </c>
      <c r="AL152" s="33">
        <v>241.66</v>
      </c>
      <c r="AM152" s="28">
        <f t="shared" si="37"/>
        <v>202.99070399999999</v>
      </c>
      <c r="AO152">
        <f t="shared" si="38"/>
        <v>0.67164179104477617</v>
      </c>
    </row>
    <row r="153" spans="1:41" x14ac:dyDescent="0.35">
      <c r="A153" t="s">
        <v>39</v>
      </c>
      <c r="B153">
        <v>8</v>
      </c>
      <c r="C153">
        <v>2</v>
      </c>
      <c r="D153" t="s">
        <v>40</v>
      </c>
      <c r="E153">
        <v>2</v>
      </c>
      <c r="F153">
        <v>1</v>
      </c>
      <c r="G153" s="16">
        <v>39</v>
      </c>
      <c r="H153" s="16">
        <v>12.891999999999999</v>
      </c>
      <c r="I153" s="16">
        <v>1862</v>
      </c>
      <c r="J153" s="16">
        <v>15.760999999999999</v>
      </c>
      <c r="K153" s="16">
        <v>36.328000000000003</v>
      </c>
      <c r="L153" s="16">
        <v>0.10299999999999999</v>
      </c>
      <c r="M153" s="23">
        <v>191.06</v>
      </c>
      <c r="N153" s="16">
        <v>0.995</v>
      </c>
      <c r="O153" s="17">
        <v>4.899</v>
      </c>
      <c r="P153" s="18">
        <v>39</v>
      </c>
      <c r="Q153" s="18">
        <v>15.760999999999999</v>
      </c>
      <c r="R153" s="18">
        <v>156.46799999999999</v>
      </c>
      <c r="S153" s="18">
        <v>34.591999999999999</v>
      </c>
      <c r="T153" s="14" t="b">
        <f t="shared" si="39"/>
        <v>1</v>
      </c>
      <c r="U153" s="14" t="b">
        <f t="shared" si="40"/>
        <v>1</v>
      </c>
      <c r="V153" s="15">
        <f>VLOOKUP(IF(J153&lt;10, 10, IF(J153&gt;50,50,J153)),'Over to underbark'!$A$3:$C$43,IF(A153="Scots pine",3,IF(A153="Sitka spruce",2, "error")),TRUE)/100</f>
        <v>0.84</v>
      </c>
      <c r="W153">
        <f t="shared" si="29"/>
        <v>118.28980799999999</v>
      </c>
      <c r="X153">
        <f t="shared" si="30"/>
        <v>26.151551999999999</v>
      </c>
      <c r="Y153">
        <f t="shared" si="33"/>
        <v>27.512640000000008</v>
      </c>
      <c r="Z153">
        <f t="shared" si="26"/>
        <v>98.86056336</v>
      </c>
      <c r="AA153">
        <f t="shared" si="27"/>
        <v>57.402505439999999</v>
      </c>
      <c r="AB153">
        <f t="shared" si="28"/>
        <v>15.690931199999998</v>
      </c>
      <c r="AC153">
        <f>LOOKUP($A153,'Over to underbark'!$A$47:$A$48,'Over to underbark'!E$47:E$48)*Z153</f>
        <v>41.521436611200002</v>
      </c>
      <c r="AD153">
        <f>LOOKUP($A153,'Over to underbark'!$A$47:$A$48,'Over to underbark'!E$47:E$48)*AA153</f>
        <v>24.109052284799997</v>
      </c>
      <c r="AE153">
        <f>LOOKUP($A153,'Over to underbark'!$A$47:$A$48,'Over to underbark'!E$47:E$48)*AB153</f>
        <v>6.5901911039999987</v>
      </c>
      <c r="AF153" t="b">
        <f t="shared" si="34"/>
        <v>1</v>
      </c>
      <c r="AG153" t="b">
        <f t="shared" si="35"/>
        <v>1</v>
      </c>
      <c r="AH153">
        <f>LOOKUP(A153,'Over to underbark'!$A$47:$A$48,'Over to underbark'!E$47:E$48)*M153</f>
        <v>80.245199999999997</v>
      </c>
      <c r="AI153" s="27">
        <f>LOOKUP(A153,'Over to underbark'!$A$47:$A$48,'Over to underbark'!$B$47:$B$48)*AH153</f>
        <v>27.283367999999999</v>
      </c>
      <c r="AJ153" s="27">
        <f>LOOKUP(A154,'Over to underbark'!$A$47:$A$48,'Over to underbark'!C$47:C$48)*AH153</f>
        <v>28.085819999999998</v>
      </c>
      <c r="AK153" s="27">
        <f t="shared" si="36"/>
        <v>107.52856799999999</v>
      </c>
      <c r="AL153" s="33">
        <v>256.02</v>
      </c>
      <c r="AM153" s="28">
        <f t="shared" si="37"/>
        <v>215.05713599999999</v>
      </c>
      <c r="AO153">
        <f t="shared" si="38"/>
        <v>0.67164179104477617</v>
      </c>
    </row>
    <row r="154" spans="1:41" x14ac:dyDescent="0.35">
      <c r="A154" t="s">
        <v>39</v>
      </c>
      <c r="B154">
        <v>8</v>
      </c>
      <c r="C154">
        <v>2</v>
      </c>
      <c r="D154" t="s">
        <v>40</v>
      </c>
      <c r="E154">
        <v>2</v>
      </c>
      <c r="F154">
        <v>1</v>
      </c>
      <c r="G154" s="16">
        <v>40</v>
      </c>
      <c r="H154" s="16">
        <v>13.196</v>
      </c>
      <c r="I154" s="16">
        <v>1835</v>
      </c>
      <c r="J154" s="16">
        <v>16.109000000000002</v>
      </c>
      <c r="K154" s="16">
        <v>37.4</v>
      </c>
      <c r="L154" s="16">
        <v>0.11</v>
      </c>
      <c r="M154" s="23">
        <v>201.78</v>
      </c>
      <c r="N154" s="16">
        <v>1.1080000000000001</v>
      </c>
      <c r="O154" s="17">
        <v>5.0449999999999999</v>
      </c>
      <c r="P154" s="18">
        <v>40</v>
      </c>
      <c r="Q154" s="18">
        <v>16.109000000000002</v>
      </c>
      <c r="R154" s="18">
        <v>160.93700000000001</v>
      </c>
      <c r="S154" s="18">
        <v>40.843000000000004</v>
      </c>
      <c r="T154" s="14" t="b">
        <f t="shared" si="39"/>
        <v>1</v>
      </c>
      <c r="U154" s="14" t="b">
        <f t="shared" si="40"/>
        <v>1</v>
      </c>
      <c r="V154" s="15">
        <f>VLOOKUP(IF(J154&lt;10, 10, IF(J154&gt;50,50,J154)),'Over to underbark'!$A$3:$C$43,IF(A154="Scots pine",3,IF(A154="Sitka spruce",2, "error")),TRUE)/100</f>
        <v>0.84</v>
      </c>
      <c r="W154">
        <f t="shared" si="29"/>
        <v>121.66837200000002</v>
      </c>
      <c r="X154">
        <f t="shared" si="30"/>
        <v>30.877308000000003</v>
      </c>
      <c r="Y154">
        <f t="shared" si="33"/>
        <v>29.05632000000001</v>
      </c>
      <c r="Z154">
        <f t="shared" si="26"/>
        <v>103.03888824000002</v>
      </c>
      <c r="AA154">
        <f t="shared" si="27"/>
        <v>60.03672696000001</v>
      </c>
      <c r="AB154">
        <f t="shared" si="28"/>
        <v>18.526384800000002</v>
      </c>
      <c r="AC154">
        <f>LOOKUP($A154,'Over to underbark'!$A$47:$A$48,'Over to underbark'!E$47:E$48)*Z154</f>
        <v>43.276333060800006</v>
      </c>
      <c r="AD154">
        <f>LOOKUP($A154,'Over to underbark'!$A$47:$A$48,'Over to underbark'!E$47:E$48)*AA154</f>
        <v>25.215425323200002</v>
      </c>
      <c r="AE154">
        <f>LOOKUP($A154,'Over to underbark'!$A$47:$A$48,'Over to underbark'!E$47:E$48)*AB154</f>
        <v>7.7810816160000007</v>
      </c>
      <c r="AF154" t="b">
        <f t="shared" si="34"/>
        <v>1</v>
      </c>
      <c r="AG154" t="b">
        <f t="shared" si="35"/>
        <v>1</v>
      </c>
      <c r="AH154">
        <f>LOOKUP(A154,'Over to underbark'!$A$47:$A$48,'Over to underbark'!E$47:E$48)*M154</f>
        <v>84.747599999999991</v>
      </c>
      <c r="AI154" s="27">
        <f>LOOKUP(A154,'Over to underbark'!$A$47:$A$48,'Over to underbark'!$B$47:$B$48)*AH154</f>
        <v>28.814184000000001</v>
      </c>
      <c r="AJ154" s="27">
        <f>LOOKUP(A155,'Over to underbark'!$A$47:$A$48,'Over to underbark'!C$47:C$48)*AH154</f>
        <v>29.661659999999994</v>
      </c>
      <c r="AK154" s="27">
        <f t="shared" si="36"/>
        <v>113.56178399999999</v>
      </c>
      <c r="AL154" s="33">
        <v>270.39</v>
      </c>
      <c r="AM154" s="28">
        <f t="shared" si="37"/>
        <v>227.12356799999998</v>
      </c>
      <c r="AO154">
        <f t="shared" si="38"/>
        <v>0.67164179104477617</v>
      </c>
    </row>
    <row r="155" spans="1:41" x14ac:dyDescent="0.35">
      <c r="A155" t="s">
        <v>39</v>
      </c>
      <c r="B155">
        <v>8</v>
      </c>
      <c r="C155">
        <v>2</v>
      </c>
      <c r="D155" t="s">
        <v>40</v>
      </c>
      <c r="E155">
        <v>2</v>
      </c>
      <c r="F155">
        <v>1</v>
      </c>
      <c r="G155" s="16">
        <v>41</v>
      </c>
      <c r="H155" s="16">
        <v>13.5</v>
      </c>
      <c r="I155" s="16">
        <v>1808</v>
      </c>
      <c r="J155" s="16">
        <v>16.46</v>
      </c>
      <c r="K155" s="16">
        <v>38.472000000000001</v>
      </c>
      <c r="L155" s="16">
        <v>0.11799999999999999</v>
      </c>
      <c r="M155" s="23">
        <v>212.5</v>
      </c>
      <c r="N155" s="16">
        <v>1.2090000000000001</v>
      </c>
      <c r="O155" s="17">
        <v>5.1829999999999998</v>
      </c>
      <c r="P155" s="18">
        <v>41</v>
      </c>
      <c r="Q155" s="18">
        <v>16.46</v>
      </c>
      <c r="R155" s="18">
        <v>164.90899999999999</v>
      </c>
      <c r="S155" s="18">
        <v>47.591000000000001</v>
      </c>
      <c r="T155" s="14" t="b">
        <f t="shared" si="39"/>
        <v>1</v>
      </c>
      <c r="U155" s="14" t="b">
        <f t="shared" si="40"/>
        <v>1</v>
      </c>
      <c r="V155" s="15">
        <f>VLOOKUP(IF(J155&lt;10, 10, IF(J155&gt;50,50,J155)),'Over to underbark'!$A$3:$C$43,IF(A155="Scots pine",3,IF(A155="Sitka spruce",2, "error")),TRUE)/100</f>
        <v>0.84</v>
      </c>
      <c r="W155">
        <f t="shared" si="29"/>
        <v>124.671204</v>
      </c>
      <c r="X155">
        <f t="shared" si="30"/>
        <v>35.978796000000003</v>
      </c>
      <c r="Y155">
        <f t="shared" si="33"/>
        <v>30.600000000000005</v>
      </c>
      <c r="Z155">
        <f t="shared" si="26"/>
        <v>107.05940568</v>
      </c>
      <c r="AA155">
        <f t="shared" si="27"/>
        <v>62.603316719999995</v>
      </c>
      <c r="AB155">
        <f t="shared" si="28"/>
        <v>21.5872776</v>
      </c>
      <c r="AC155">
        <f>LOOKUP($A155,'Over to underbark'!$A$47:$A$48,'Over to underbark'!E$47:E$48)*Z155</f>
        <v>44.964950385599998</v>
      </c>
      <c r="AD155">
        <f>LOOKUP($A155,'Over to underbark'!$A$47:$A$48,'Over to underbark'!E$47:E$48)*AA155</f>
        <v>26.293393022399997</v>
      </c>
      <c r="AE155">
        <f>LOOKUP($A155,'Over to underbark'!$A$47:$A$48,'Over to underbark'!E$47:E$48)*AB155</f>
        <v>9.0666565919999993</v>
      </c>
      <c r="AF155" t="b">
        <f t="shared" si="34"/>
        <v>1</v>
      </c>
      <c r="AG155" t="b">
        <f t="shared" si="35"/>
        <v>1</v>
      </c>
      <c r="AH155">
        <f>LOOKUP(A155,'Over to underbark'!$A$47:$A$48,'Over to underbark'!E$47:E$48)*M155</f>
        <v>89.25</v>
      </c>
      <c r="AI155" s="27">
        <f>LOOKUP(A155,'Over to underbark'!$A$47:$A$48,'Over to underbark'!$B$47:$B$48)*AH155</f>
        <v>30.345000000000002</v>
      </c>
      <c r="AJ155" s="27">
        <f>LOOKUP(A156,'Over to underbark'!$A$47:$A$48,'Over to underbark'!C$47:C$48)*AH155</f>
        <v>31.237499999999997</v>
      </c>
      <c r="AK155" s="27">
        <f t="shared" si="36"/>
        <v>119.595</v>
      </c>
      <c r="AL155" s="33">
        <v>284.75</v>
      </c>
      <c r="AM155" s="28">
        <f t="shared" si="37"/>
        <v>239.19</v>
      </c>
      <c r="AO155">
        <f t="shared" si="38"/>
        <v>0.67164179104477617</v>
      </c>
    </row>
    <row r="156" spans="1:41" x14ac:dyDescent="0.35">
      <c r="A156" t="s">
        <v>39</v>
      </c>
      <c r="B156">
        <v>8</v>
      </c>
      <c r="C156">
        <v>2</v>
      </c>
      <c r="D156" t="s">
        <v>40</v>
      </c>
      <c r="E156">
        <v>2</v>
      </c>
      <c r="F156">
        <v>1</v>
      </c>
      <c r="G156" s="16">
        <v>42</v>
      </c>
      <c r="H156" s="16">
        <v>13.782</v>
      </c>
      <c r="I156" s="16">
        <v>1781</v>
      </c>
      <c r="J156" s="16">
        <v>16.786999999999999</v>
      </c>
      <c r="K156" s="16">
        <v>39.417000000000002</v>
      </c>
      <c r="L156" s="16">
        <v>0.125</v>
      </c>
      <c r="M156" s="23">
        <v>223.4</v>
      </c>
      <c r="N156" s="16">
        <v>1.395</v>
      </c>
      <c r="O156" s="17">
        <v>5.319</v>
      </c>
      <c r="P156" s="18">
        <v>42</v>
      </c>
      <c r="Q156" s="18">
        <v>16.786999999999999</v>
      </c>
      <c r="R156" s="18">
        <v>168.893</v>
      </c>
      <c r="S156" s="18">
        <v>54.506999999999998</v>
      </c>
      <c r="T156" s="14" t="b">
        <f t="shared" si="39"/>
        <v>1</v>
      </c>
      <c r="U156" s="14" t="b">
        <f t="shared" si="40"/>
        <v>1</v>
      </c>
      <c r="V156" s="15">
        <f>VLOOKUP(IF(J156&lt;10, 10, IF(J156&gt;50,50,J156)),'Over to underbark'!$A$3:$C$43,IF(A156="Scots pine",3,IF(A156="Sitka spruce",2, "error")),TRUE)/100</f>
        <v>0.84</v>
      </c>
      <c r="W156">
        <f t="shared" si="29"/>
        <v>127.683108</v>
      </c>
      <c r="X156">
        <f t="shared" si="30"/>
        <v>41.207291999999995</v>
      </c>
      <c r="Y156">
        <f t="shared" si="33"/>
        <v>32.16960000000001</v>
      </c>
      <c r="Z156">
        <f t="shared" si="26"/>
        <v>111.13006536000002</v>
      </c>
      <c r="AA156">
        <f t="shared" si="27"/>
        <v>65.205559440000002</v>
      </c>
      <c r="AB156">
        <f t="shared" si="28"/>
        <v>24.724375199999997</v>
      </c>
      <c r="AC156">
        <f>LOOKUP($A156,'Over to underbark'!$A$47:$A$48,'Over to underbark'!E$47:E$48)*Z156</f>
        <v>46.674627451200003</v>
      </c>
      <c r="AD156">
        <f>LOOKUP($A156,'Over to underbark'!$A$47:$A$48,'Over to underbark'!E$47:E$48)*AA156</f>
        <v>27.3863349648</v>
      </c>
      <c r="AE156">
        <f>LOOKUP($A156,'Over to underbark'!$A$47:$A$48,'Over to underbark'!E$47:E$48)*AB156</f>
        <v>10.384237583999999</v>
      </c>
      <c r="AF156" t="b">
        <f t="shared" si="34"/>
        <v>1</v>
      </c>
      <c r="AG156" t="b">
        <f t="shared" si="35"/>
        <v>1</v>
      </c>
      <c r="AH156">
        <f>LOOKUP(A156,'Over to underbark'!$A$47:$A$48,'Over to underbark'!E$47:E$48)*M156</f>
        <v>93.828000000000003</v>
      </c>
      <c r="AI156" s="27">
        <f>LOOKUP(A156,'Over to underbark'!$A$47:$A$48,'Over to underbark'!$B$47:$B$48)*AH156</f>
        <v>31.901520000000005</v>
      </c>
      <c r="AJ156" s="27">
        <f>LOOKUP(A157,'Over to underbark'!$A$47:$A$48,'Over to underbark'!C$47:C$48)*AH156</f>
        <v>32.839799999999997</v>
      </c>
      <c r="AK156" s="27">
        <f t="shared" si="36"/>
        <v>125.72952000000001</v>
      </c>
      <c r="AL156" s="33">
        <v>299.36</v>
      </c>
      <c r="AM156" s="28">
        <f t="shared" si="37"/>
        <v>251.45904000000002</v>
      </c>
      <c r="AO156">
        <f t="shared" si="38"/>
        <v>0.67164179104477606</v>
      </c>
    </row>
    <row r="157" spans="1:41" x14ac:dyDescent="0.35">
      <c r="A157" t="s">
        <v>39</v>
      </c>
      <c r="B157">
        <v>8</v>
      </c>
      <c r="C157">
        <v>2</v>
      </c>
      <c r="D157" t="s">
        <v>40</v>
      </c>
      <c r="E157">
        <v>2</v>
      </c>
      <c r="F157">
        <v>1</v>
      </c>
      <c r="G157" s="16">
        <v>43</v>
      </c>
      <c r="H157" s="16">
        <v>14.064</v>
      </c>
      <c r="I157" s="16">
        <v>1755</v>
      </c>
      <c r="J157" s="16">
        <v>17.111999999999998</v>
      </c>
      <c r="K157" s="16">
        <v>40.362000000000002</v>
      </c>
      <c r="L157" s="16">
        <v>0.13400000000000001</v>
      </c>
      <c r="M157" s="23">
        <v>234.3</v>
      </c>
      <c r="N157" s="16">
        <v>1.5629999999999999</v>
      </c>
      <c r="O157" s="17">
        <v>5.4489999999999998</v>
      </c>
      <c r="P157" s="18">
        <v>43</v>
      </c>
      <c r="Q157" s="18">
        <v>17.111999999999998</v>
      </c>
      <c r="R157" s="18">
        <v>172.488</v>
      </c>
      <c r="S157" s="18">
        <v>61.811999999999998</v>
      </c>
      <c r="T157" s="14" t="b">
        <f t="shared" si="39"/>
        <v>1</v>
      </c>
      <c r="U157" s="14" t="b">
        <f t="shared" si="40"/>
        <v>1</v>
      </c>
      <c r="V157" s="15">
        <f>VLOOKUP(IF(J157&lt;10, 10, IF(J157&gt;50,50,J157)),'Over to underbark'!$A$3:$C$43,IF(A157="Scots pine",3,IF(A157="Sitka spruce",2, "error")),TRUE)/100</f>
        <v>0.84</v>
      </c>
      <c r="W157">
        <f t="shared" si="29"/>
        <v>130.40092799999999</v>
      </c>
      <c r="X157">
        <f t="shared" si="30"/>
        <v>46.729872</v>
      </c>
      <c r="Y157">
        <f t="shared" si="33"/>
        <v>33.739200000000004</v>
      </c>
      <c r="Z157">
        <f t="shared" si="26"/>
        <v>115.07720975999999</v>
      </c>
      <c r="AA157">
        <f t="shared" si="27"/>
        <v>67.754867039999993</v>
      </c>
      <c r="AB157">
        <f t="shared" si="28"/>
        <v>28.037923199999998</v>
      </c>
      <c r="AC157">
        <f>LOOKUP($A157,'Over to underbark'!$A$47:$A$48,'Over to underbark'!E$47:E$48)*Z157</f>
        <v>48.332428099199994</v>
      </c>
      <c r="AD157">
        <f>LOOKUP($A157,'Over to underbark'!$A$47:$A$48,'Over to underbark'!E$47:E$48)*AA157</f>
        <v>28.457044156799995</v>
      </c>
      <c r="AE157">
        <f>LOOKUP($A157,'Over to underbark'!$A$47:$A$48,'Over to underbark'!E$47:E$48)*AB157</f>
        <v>11.775927743999999</v>
      </c>
      <c r="AF157" t="b">
        <f t="shared" si="34"/>
        <v>1</v>
      </c>
      <c r="AG157" t="b">
        <f t="shared" si="35"/>
        <v>1</v>
      </c>
      <c r="AH157">
        <f>LOOKUP(A157,'Over to underbark'!$A$47:$A$48,'Over to underbark'!E$47:E$48)*M157</f>
        <v>98.406000000000006</v>
      </c>
      <c r="AI157" s="27">
        <f>LOOKUP(A157,'Over to underbark'!$A$47:$A$48,'Over to underbark'!$B$47:$B$48)*AH157</f>
        <v>33.458040000000004</v>
      </c>
      <c r="AJ157" s="27">
        <f>LOOKUP(A158,'Over to underbark'!$A$47:$A$48,'Over to underbark'!C$47:C$48)*AH157</f>
        <v>34.442099999999996</v>
      </c>
      <c r="AK157" s="27">
        <f t="shared" si="36"/>
        <v>131.86404000000002</v>
      </c>
      <c r="AL157" s="33">
        <v>313.95999999999998</v>
      </c>
      <c r="AM157" s="28">
        <f t="shared" si="37"/>
        <v>263.72808000000003</v>
      </c>
      <c r="AO157">
        <f t="shared" si="38"/>
        <v>0.67164179104477595</v>
      </c>
    </row>
    <row r="158" spans="1:41" x14ac:dyDescent="0.35">
      <c r="A158" t="s">
        <v>39</v>
      </c>
      <c r="B158">
        <v>8</v>
      </c>
      <c r="C158">
        <v>2</v>
      </c>
      <c r="D158" t="s">
        <v>40</v>
      </c>
      <c r="E158">
        <v>2</v>
      </c>
      <c r="F158">
        <v>1</v>
      </c>
      <c r="G158" s="16">
        <v>44</v>
      </c>
      <c r="H158" s="16">
        <v>14.346</v>
      </c>
      <c r="I158" s="16">
        <v>1729</v>
      </c>
      <c r="J158" s="16">
        <v>17.440999999999999</v>
      </c>
      <c r="K158" s="16">
        <v>41.307000000000002</v>
      </c>
      <c r="L158" s="16">
        <v>0.14199999999999999</v>
      </c>
      <c r="M158" s="23">
        <v>245.2</v>
      </c>
      <c r="N158" s="16">
        <v>1.716</v>
      </c>
      <c r="O158" s="17">
        <v>5.5730000000000004</v>
      </c>
      <c r="P158" s="18">
        <v>44</v>
      </c>
      <c r="Q158" s="18">
        <v>17.440999999999999</v>
      </c>
      <c r="R158" s="18">
        <v>175.61600000000001</v>
      </c>
      <c r="S158" s="18">
        <v>69.584000000000003</v>
      </c>
      <c r="T158" s="14" t="b">
        <f t="shared" si="39"/>
        <v>1</v>
      </c>
      <c r="U158" s="14" t="b">
        <f t="shared" si="40"/>
        <v>1</v>
      </c>
      <c r="V158" s="15">
        <f>VLOOKUP(IF(J158&lt;10, 10, IF(J158&gt;50,50,J158)),'Over to underbark'!$A$3:$C$43,IF(A158="Scots pine",3,IF(A158="Sitka spruce",2, "error")),TRUE)/100</f>
        <v>0.84</v>
      </c>
      <c r="W158">
        <f t="shared" si="29"/>
        <v>132.76569600000002</v>
      </c>
      <c r="X158">
        <f t="shared" si="30"/>
        <v>52.605504000000003</v>
      </c>
      <c r="Y158">
        <f t="shared" si="33"/>
        <v>35.308800000000005</v>
      </c>
      <c r="Z158">
        <f t="shared" si="26"/>
        <v>118.87607232000001</v>
      </c>
      <c r="AA158">
        <f t="shared" si="27"/>
        <v>70.240625280000003</v>
      </c>
      <c r="AB158">
        <f t="shared" si="28"/>
        <v>31.563302400000001</v>
      </c>
      <c r="AC158">
        <f>LOOKUP($A158,'Over to underbark'!$A$47:$A$48,'Over to underbark'!E$47:E$48)*Z158</f>
        <v>49.927950374399998</v>
      </c>
      <c r="AD158">
        <f>LOOKUP($A158,'Over to underbark'!$A$47:$A$48,'Over to underbark'!E$47:E$48)*AA158</f>
        <v>29.501062617599999</v>
      </c>
      <c r="AE158">
        <f>LOOKUP($A158,'Over to underbark'!$A$47:$A$48,'Over to underbark'!E$47:E$48)*AB158</f>
        <v>13.256587008</v>
      </c>
      <c r="AF158" t="b">
        <f t="shared" si="34"/>
        <v>1</v>
      </c>
      <c r="AG158" t="b">
        <f t="shared" si="35"/>
        <v>1</v>
      </c>
      <c r="AH158">
        <f>LOOKUP(A158,'Over to underbark'!$A$47:$A$48,'Over to underbark'!E$47:E$48)*M158</f>
        <v>102.98399999999999</v>
      </c>
      <c r="AI158" s="27">
        <f>LOOKUP(A158,'Over to underbark'!$A$47:$A$48,'Over to underbark'!$B$47:$B$48)*AH158</f>
        <v>35.014560000000003</v>
      </c>
      <c r="AJ158" s="27">
        <f>LOOKUP(A159,'Over to underbark'!$A$47:$A$48,'Over to underbark'!C$47:C$48)*AH158</f>
        <v>36.044399999999996</v>
      </c>
      <c r="AK158" s="27">
        <f t="shared" si="36"/>
        <v>137.99856</v>
      </c>
      <c r="AL158" s="33">
        <v>328.57</v>
      </c>
      <c r="AM158" s="28">
        <f t="shared" si="37"/>
        <v>275.99712</v>
      </c>
      <c r="AO158">
        <f t="shared" si="38"/>
        <v>0.67164179104477606</v>
      </c>
    </row>
    <row r="159" spans="1:41" x14ac:dyDescent="0.35">
      <c r="A159" t="s">
        <v>39</v>
      </c>
      <c r="B159">
        <v>8</v>
      </c>
      <c r="C159">
        <v>2</v>
      </c>
      <c r="D159" t="s">
        <v>40</v>
      </c>
      <c r="E159">
        <v>2</v>
      </c>
      <c r="F159">
        <v>1</v>
      </c>
      <c r="G159" s="16">
        <v>45</v>
      </c>
      <c r="H159" s="16">
        <v>14.628</v>
      </c>
      <c r="I159" s="16">
        <v>1703</v>
      </c>
      <c r="J159" s="16">
        <v>17.774000000000001</v>
      </c>
      <c r="K159" s="16">
        <v>42.253</v>
      </c>
      <c r="L159" s="16">
        <v>0.15</v>
      </c>
      <c r="M159" s="23">
        <v>256.10000000000002</v>
      </c>
      <c r="N159" s="16">
        <v>1.855</v>
      </c>
      <c r="O159" s="17">
        <v>5.6909999999999998</v>
      </c>
      <c r="P159" s="18">
        <v>45</v>
      </c>
      <c r="Q159" s="18">
        <v>17.774000000000001</v>
      </c>
      <c r="R159" s="18">
        <v>178.285</v>
      </c>
      <c r="S159" s="18">
        <v>77.814999999999998</v>
      </c>
      <c r="T159" s="14" t="b">
        <f t="shared" si="39"/>
        <v>1</v>
      </c>
      <c r="U159" s="14" t="b">
        <f t="shared" si="40"/>
        <v>1</v>
      </c>
      <c r="V159" s="15">
        <f>VLOOKUP(IF(J159&lt;10, 10, IF(J159&gt;50,50,J159)),'Over to underbark'!$A$3:$C$43,IF(A159="Scots pine",3,IF(A159="Sitka spruce",2, "error")),TRUE)/100</f>
        <v>0.84</v>
      </c>
      <c r="W159">
        <f t="shared" si="29"/>
        <v>134.78345999999999</v>
      </c>
      <c r="X159">
        <f t="shared" si="30"/>
        <v>58.828139999999998</v>
      </c>
      <c r="Y159">
        <f t="shared" si="33"/>
        <v>36.878400000000013</v>
      </c>
      <c r="Z159">
        <f t="shared" ref="Z159:Z222" si="41">Y159+(57%*W159)+(15%*X159)</f>
        <v>122.52919319999999</v>
      </c>
      <c r="AA159">
        <f t="shared" ref="AA159:AA222" si="42">(43%*W159)+(25%*X159)</f>
        <v>72.663922799999995</v>
      </c>
      <c r="AB159">
        <f t="shared" ref="AB159:AB222" si="43">60%*X159</f>
        <v>35.296883999999999</v>
      </c>
      <c r="AC159">
        <f>LOOKUP($A159,'Over to underbark'!$A$47:$A$48,'Over to underbark'!E$47:E$48)*Z159</f>
        <v>51.462261143999996</v>
      </c>
      <c r="AD159">
        <f>LOOKUP($A159,'Over to underbark'!$A$47:$A$48,'Over to underbark'!E$47:E$48)*AA159</f>
        <v>30.518847575999995</v>
      </c>
      <c r="AE159">
        <f>LOOKUP($A159,'Over to underbark'!$A$47:$A$48,'Over to underbark'!E$47:E$48)*AB159</f>
        <v>14.82469128</v>
      </c>
      <c r="AF159" t="b">
        <f t="shared" si="34"/>
        <v>1</v>
      </c>
      <c r="AG159" t="b">
        <f t="shared" si="35"/>
        <v>1</v>
      </c>
      <c r="AH159">
        <f>LOOKUP(A159,'Over to underbark'!$A$47:$A$48,'Over to underbark'!E$47:E$48)*M159</f>
        <v>107.56200000000001</v>
      </c>
      <c r="AI159" s="27">
        <f>LOOKUP(A159,'Over to underbark'!$A$47:$A$48,'Over to underbark'!$B$47:$B$48)*AH159</f>
        <v>36.571080000000009</v>
      </c>
      <c r="AJ159" s="27">
        <f>LOOKUP(A160,'Over to underbark'!$A$47:$A$48,'Over to underbark'!C$47:C$48)*AH159</f>
        <v>37.646700000000003</v>
      </c>
      <c r="AK159" s="27">
        <f t="shared" si="36"/>
        <v>144.13308000000001</v>
      </c>
      <c r="AL159" s="33">
        <v>343.17</v>
      </c>
      <c r="AM159" s="28">
        <f t="shared" si="37"/>
        <v>288.26616000000001</v>
      </c>
      <c r="AO159">
        <f t="shared" si="38"/>
        <v>0.67164179104477606</v>
      </c>
    </row>
    <row r="160" spans="1:41" x14ac:dyDescent="0.35">
      <c r="A160" t="s">
        <v>39</v>
      </c>
      <c r="B160">
        <v>8</v>
      </c>
      <c r="C160">
        <v>2</v>
      </c>
      <c r="D160" t="s">
        <v>40</v>
      </c>
      <c r="E160">
        <v>2</v>
      </c>
      <c r="F160">
        <v>1</v>
      </c>
      <c r="G160" s="16">
        <v>46</v>
      </c>
      <c r="H160" s="16">
        <v>14.91</v>
      </c>
      <c r="I160" s="16">
        <v>1677</v>
      </c>
      <c r="J160" s="16">
        <v>18.11</v>
      </c>
      <c r="K160" s="16">
        <v>43.198</v>
      </c>
      <c r="L160" s="16">
        <v>0.159</v>
      </c>
      <c r="M160" s="23">
        <v>267</v>
      </c>
      <c r="N160" s="16">
        <v>1.982</v>
      </c>
      <c r="O160" s="17">
        <v>5.8040000000000003</v>
      </c>
      <c r="P160" s="18">
        <v>46</v>
      </c>
      <c r="Q160" s="18">
        <v>18.11</v>
      </c>
      <c r="R160" s="18">
        <v>180.51499999999999</v>
      </c>
      <c r="S160" s="18">
        <v>86.484999999999999</v>
      </c>
      <c r="T160" s="14" t="b">
        <f t="shared" si="39"/>
        <v>1</v>
      </c>
      <c r="U160" s="14" t="b">
        <f t="shared" si="40"/>
        <v>1</v>
      </c>
      <c r="V160" s="15">
        <f>VLOOKUP(IF(J160&lt;10, 10, IF(J160&gt;50,50,J160)),'Over to underbark'!$A$3:$C$43,IF(A160="Scots pine",3,IF(A160="Sitka spruce",2, "error")),TRUE)/100</f>
        <v>0.84</v>
      </c>
      <c r="W160">
        <f t="shared" si="29"/>
        <v>136.46933999999999</v>
      </c>
      <c r="X160">
        <f t="shared" si="30"/>
        <v>65.382660000000001</v>
      </c>
      <c r="Y160">
        <f t="shared" si="33"/>
        <v>38.448000000000008</v>
      </c>
      <c r="Z160">
        <f t="shared" si="41"/>
        <v>126.0429228</v>
      </c>
      <c r="AA160">
        <f t="shared" si="42"/>
        <v>75.027481199999997</v>
      </c>
      <c r="AB160">
        <f t="shared" si="43"/>
        <v>39.229596000000001</v>
      </c>
      <c r="AC160">
        <f>LOOKUP($A160,'Over to underbark'!$A$47:$A$48,'Over to underbark'!E$47:E$48)*Z160</f>
        <v>52.938027575999996</v>
      </c>
      <c r="AD160">
        <f>LOOKUP($A160,'Over to underbark'!$A$47:$A$48,'Over to underbark'!E$47:E$48)*AA160</f>
        <v>31.511542103999997</v>
      </c>
      <c r="AE160">
        <f>LOOKUP($A160,'Over to underbark'!$A$47:$A$48,'Over to underbark'!E$47:E$48)*AB160</f>
        <v>16.476430319999999</v>
      </c>
      <c r="AF160" t="b">
        <f t="shared" si="34"/>
        <v>1</v>
      </c>
      <c r="AG160" t="b">
        <f t="shared" si="35"/>
        <v>1</v>
      </c>
      <c r="AH160">
        <f>LOOKUP(A160,'Over to underbark'!$A$47:$A$48,'Over to underbark'!E$47:E$48)*M160</f>
        <v>112.14</v>
      </c>
      <c r="AI160" s="27">
        <f>LOOKUP(A160,'Over to underbark'!$A$47:$A$48,'Over to underbark'!$B$47:$B$48)*AH160</f>
        <v>38.127600000000001</v>
      </c>
      <c r="AJ160" s="27">
        <f>LOOKUP(A161,'Over to underbark'!$A$47:$A$48,'Over to underbark'!C$47:C$48)*AH160</f>
        <v>39.248999999999995</v>
      </c>
      <c r="AK160" s="27">
        <f t="shared" si="36"/>
        <v>150.26760000000002</v>
      </c>
      <c r="AL160" s="33">
        <v>357.78</v>
      </c>
      <c r="AM160" s="28">
        <f t="shared" si="37"/>
        <v>300.53520000000003</v>
      </c>
      <c r="AO160">
        <f t="shared" si="38"/>
        <v>0.67164179104477595</v>
      </c>
    </row>
    <row r="161" spans="1:41" x14ac:dyDescent="0.35">
      <c r="A161" t="s">
        <v>39</v>
      </c>
      <c r="B161">
        <v>8</v>
      </c>
      <c r="C161">
        <v>2</v>
      </c>
      <c r="D161" t="s">
        <v>40</v>
      </c>
      <c r="E161">
        <v>2</v>
      </c>
      <c r="F161">
        <v>1</v>
      </c>
      <c r="G161" s="16">
        <v>47</v>
      </c>
      <c r="H161" s="16">
        <v>15.167999999999999</v>
      </c>
      <c r="I161" s="16">
        <v>1652</v>
      </c>
      <c r="J161" s="16">
        <v>18.420999999999999</v>
      </c>
      <c r="K161" s="16">
        <v>44.024999999999999</v>
      </c>
      <c r="L161" s="16">
        <v>0.16800000000000001</v>
      </c>
      <c r="M161" s="23">
        <v>277.62</v>
      </c>
      <c r="N161" s="16">
        <v>2.2050000000000001</v>
      </c>
      <c r="O161" s="17">
        <v>5.907</v>
      </c>
      <c r="P161" s="18">
        <v>47</v>
      </c>
      <c r="Q161" s="18">
        <v>18.420999999999999</v>
      </c>
      <c r="R161" s="18">
        <v>182.59</v>
      </c>
      <c r="S161" s="18">
        <v>95.03</v>
      </c>
      <c r="T161" s="14" t="b">
        <f t="shared" si="39"/>
        <v>1</v>
      </c>
      <c r="U161" s="14" t="b">
        <f t="shared" si="40"/>
        <v>1</v>
      </c>
      <c r="V161" s="15">
        <f>VLOOKUP(IF(J161&lt;10, 10, IF(J161&gt;50,50,J161)),'Over to underbark'!$A$3:$C$43,IF(A161="Scots pine",3,IF(A161="Sitka spruce",2, "error")),TRUE)/100</f>
        <v>0.84</v>
      </c>
      <c r="W161">
        <f t="shared" si="29"/>
        <v>138.03804000000002</v>
      </c>
      <c r="X161">
        <f t="shared" si="30"/>
        <v>71.842680000000001</v>
      </c>
      <c r="Y161">
        <f t="shared" si="33"/>
        <v>39.977280000000007</v>
      </c>
      <c r="Z161">
        <f t="shared" si="41"/>
        <v>129.4353648</v>
      </c>
      <c r="AA161">
        <f t="shared" si="42"/>
        <v>77.317027200000012</v>
      </c>
      <c r="AB161">
        <f t="shared" si="43"/>
        <v>43.105607999999997</v>
      </c>
      <c r="AC161">
        <f>LOOKUP($A161,'Over to underbark'!$A$47:$A$48,'Over to underbark'!E$47:E$48)*Z161</f>
        <v>54.362853215999998</v>
      </c>
      <c r="AD161">
        <f>LOOKUP($A161,'Over to underbark'!$A$47:$A$48,'Over to underbark'!E$47:E$48)*AA161</f>
        <v>32.473151424000001</v>
      </c>
      <c r="AE161">
        <f>LOOKUP($A161,'Over to underbark'!$A$47:$A$48,'Over to underbark'!E$47:E$48)*AB161</f>
        <v>18.10435536</v>
      </c>
      <c r="AF161" t="b">
        <f t="shared" si="34"/>
        <v>1</v>
      </c>
      <c r="AG161" t="b">
        <f t="shared" si="35"/>
        <v>1</v>
      </c>
      <c r="AH161">
        <f>LOOKUP(A161,'Over to underbark'!$A$47:$A$48,'Over to underbark'!E$47:E$48)*M161</f>
        <v>116.60039999999999</v>
      </c>
      <c r="AI161" s="27">
        <f>LOOKUP(A161,'Over to underbark'!$A$47:$A$48,'Over to underbark'!$B$47:$B$48)*AH161</f>
        <v>39.644136000000003</v>
      </c>
      <c r="AJ161" s="27">
        <f>LOOKUP(A162,'Over to underbark'!$A$47:$A$48,'Over to underbark'!C$47:C$48)*AH161</f>
        <v>40.810139999999997</v>
      </c>
      <c r="AK161" s="27">
        <f t="shared" si="36"/>
        <v>156.24453599999998</v>
      </c>
      <c r="AL161" s="33">
        <v>372.01</v>
      </c>
      <c r="AM161" s="28">
        <f t="shared" si="37"/>
        <v>312.48907199999996</v>
      </c>
      <c r="AO161">
        <f t="shared" si="38"/>
        <v>0.67164179104477617</v>
      </c>
    </row>
    <row r="162" spans="1:41" x14ac:dyDescent="0.35">
      <c r="A162" t="s">
        <v>39</v>
      </c>
      <c r="B162">
        <v>8</v>
      </c>
      <c r="C162">
        <v>2</v>
      </c>
      <c r="D162" t="s">
        <v>40</v>
      </c>
      <c r="E162">
        <v>2</v>
      </c>
      <c r="F162">
        <v>1</v>
      </c>
      <c r="G162" s="16">
        <v>48</v>
      </c>
      <c r="H162" s="16">
        <v>15.426</v>
      </c>
      <c r="I162" s="16">
        <v>1627</v>
      </c>
      <c r="J162" s="16">
        <v>18.734999999999999</v>
      </c>
      <c r="K162" s="16">
        <v>44.853000000000002</v>
      </c>
      <c r="L162" s="16">
        <v>0.17699999999999999</v>
      </c>
      <c r="M162" s="23">
        <v>288.24</v>
      </c>
      <c r="N162" s="16">
        <v>2.411</v>
      </c>
      <c r="O162" s="17">
        <v>6.0049999999999999</v>
      </c>
      <c r="P162" s="18">
        <v>48</v>
      </c>
      <c r="Q162" s="18">
        <v>18.734999999999999</v>
      </c>
      <c r="R162" s="18">
        <v>184.28100000000001</v>
      </c>
      <c r="S162" s="18">
        <v>103.959</v>
      </c>
      <c r="T162" s="14" t="b">
        <f t="shared" si="39"/>
        <v>1</v>
      </c>
      <c r="U162" s="14" t="b">
        <f t="shared" si="40"/>
        <v>1</v>
      </c>
      <c r="V162" s="15">
        <f>VLOOKUP(IF(J162&lt;10, 10, IF(J162&gt;50,50,J162)),'Over to underbark'!$A$3:$C$43,IF(A162="Scots pine",3,IF(A162="Sitka spruce",2, "error")),TRUE)/100</f>
        <v>0.84</v>
      </c>
      <c r="W162">
        <f t="shared" si="29"/>
        <v>139.31643600000001</v>
      </c>
      <c r="X162">
        <f t="shared" si="30"/>
        <v>78.593004000000008</v>
      </c>
      <c r="Y162">
        <f t="shared" si="33"/>
        <v>41.506560000000007</v>
      </c>
      <c r="Z162">
        <f t="shared" si="41"/>
        <v>132.70587912000002</v>
      </c>
      <c r="AA162">
        <f t="shared" si="42"/>
        <v>79.554318480000006</v>
      </c>
      <c r="AB162">
        <f t="shared" si="43"/>
        <v>47.155802400000006</v>
      </c>
      <c r="AC162">
        <f>LOOKUP($A162,'Over to underbark'!$A$47:$A$48,'Over to underbark'!E$47:E$48)*Z162</f>
        <v>55.736469230400004</v>
      </c>
      <c r="AD162">
        <f>LOOKUP($A162,'Over to underbark'!$A$47:$A$48,'Over to underbark'!E$47:E$48)*AA162</f>
        <v>33.412813761599999</v>
      </c>
      <c r="AE162">
        <f>LOOKUP($A162,'Over to underbark'!$A$47:$A$48,'Over to underbark'!E$47:E$48)*AB162</f>
        <v>19.805437008000002</v>
      </c>
      <c r="AF162" t="b">
        <f t="shared" si="34"/>
        <v>1</v>
      </c>
      <c r="AG162" t="b">
        <f t="shared" si="35"/>
        <v>1</v>
      </c>
      <c r="AH162">
        <f>LOOKUP(A162,'Over to underbark'!$A$47:$A$48,'Over to underbark'!E$47:E$48)*M162</f>
        <v>121.0608</v>
      </c>
      <c r="AI162" s="27">
        <f>LOOKUP(A162,'Over to underbark'!$A$47:$A$48,'Over to underbark'!$B$47:$B$48)*AH162</f>
        <v>41.160672000000005</v>
      </c>
      <c r="AJ162" s="27">
        <f>LOOKUP(A163,'Over to underbark'!$A$47:$A$48,'Over to underbark'!C$47:C$48)*AH162</f>
        <v>42.371279999999999</v>
      </c>
      <c r="AK162" s="27">
        <f t="shared" si="36"/>
        <v>162.22147200000001</v>
      </c>
      <c r="AL162" s="33">
        <v>386.24</v>
      </c>
      <c r="AM162" s="28">
        <f t="shared" si="37"/>
        <v>324.44294400000001</v>
      </c>
      <c r="AO162">
        <f t="shared" si="38"/>
        <v>0.67164179104477606</v>
      </c>
    </row>
    <row r="163" spans="1:41" x14ac:dyDescent="0.35">
      <c r="A163" t="s">
        <v>39</v>
      </c>
      <c r="B163">
        <v>8</v>
      </c>
      <c r="C163">
        <v>2</v>
      </c>
      <c r="D163" t="s">
        <v>40</v>
      </c>
      <c r="E163">
        <v>2</v>
      </c>
      <c r="F163">
        <v>1</v>
      </c>
      <c r="G163" s="16">
        <v>49</v>
      </c>
      <c r="H163" s="16">
        <v>15.683999999999999</v>
      </c>
      <c r="I163" s="16">
        <v>1602</v>
      </c>
      <c r="J163" s="16">
        <v>19.053999999999998</v>
      </c>
      <c r="K163" s="16">
        <v>45.680999999999997</v>
      </c>
      <c r="L163" s="16">
        <v>0.187</v>
      </c>
      <c r="M163" s="23">
        <v>298.86</v>
      </c>
      <c r="N163" s="16">
        <v>2.601</v>
      </c>
      <c r="O163" s="17">
        <v>6.0990000000000002</v>
      </c>
      <c r="P163" s="18">
        <v>49</v>
      </c>
      <c r="Q163" s="18">
        <v>19.053999999999998</v>
      </c>
      <c r="R163" s="18">
        <v>185.56299999999999</v>
      </c>
      <c r="S163" s="18">
        <v>113.297</v>
      </c>
      <c r="T163" s="14" t="b">
        <f t="shared" si="39"/>
        <v>1</v>
      </c>
      <c r="U163" s="14" t="b">
        <f t="shared" si="40"/>
        <v>1</v>
      </c>
      <c r="V163" s="15">
        <f>VLOOKUP(IF(J163&lt;10, 10, IF(J163&gt;50,50,J163)),'Over to underbark'!$A$3:$C$43,IF(A163="Scots pine",3,IF(A163="Sitka spruce",2, "error")),TRUE)/100</f>
        <v>0.84</v>
      </c>
      <c r="W163">
        <f t="shared" si="29"/>
        <v>140.285628</v>
      </c>
      <c r="X163">
        <f t="shared" si="30"/>
        <v>85.652531999999994</v>
      </c>
      <c r="Y163">
        <f t="shared" si="33"/>
        <v>43.035840000000015</v>
      </c>
      <c r="Z163">
        <f t="shared" si="41"/>
        <v>135.84652775999999</v>
      </c>
      <c r="AA163">
        <f t="shared" si="42"/>
        <v>81.735953039999998</v>
      </c>
      <c r="AB163">
        <f t="shared" si="43"/>
        <v>51.391519199999998</v>
      </c>
      <c r="AC163">
        <f>LOOKUP($A163,'Over to underbark'!$A$47:$A$48,'Over to underbark'!E$47:E$48)*Z163</f>
        <v>57.055541659199996</v>
      </c>
      <c r="AD163">
        <f>LOOKUP($A163,'Over to underbark'!$A$47:$A$48,'Over to underbark'!E$47:E$48)*AA163</f>
        <v>34.329100276799998</v>
      </c>
      <c r="AE163">
        <f>LOOKUP($A163,'Over to underbark'!$A$47:$A$48,'Over to underbark'!E$47:E$48)*AB163</f>
        <v>21.584438063999997</v>
      </c>
      <c r="AF163" t="b">
        <f t="shared" si="34"/>
        <v>1</v>
      </c>
      <c r="AG163" t="b">
        <f t="shared" si="35"/>
        <v>1</v>
      </c>
      <c r="AH163">
        <f>LOOKUP(A163,'Over to underbark'!$A$47:$A$48,'Over to underbark'!E$47:E$48)*M163</f>
        <v>125.52120000000001</v>
      </c>
      <c r="AI163" s="27">
        <f>LOOKUP(A163,'Over to underbark'!$A$47:$A$48,'Over to underbark'!$B$47:$B$48)*AH163</f>
        <v>42.677208000000007</v>
      </c>
      <c r="AJ163" s="27">
        <f>LOOKUP(A164,'Over to underbark'!$A$47:$A$48,'Over to underbark'!C$47:C$48)*AH163</f>
        <v>43.93242</v>
      </c>
      <c r="AK163" s="27">
        <f t="shared" si="36"/>
        <v>168.19840800000003</v>
      </c>
      <c r="AL163" s="33">
        <v>400.47</v>
      </c>
      <c r="AM163" s="28">
        <f t="shared" si="37"/>
        <v>336.39681600000006</v>
      </c>
      <c r="AO163">
        <f t="shared" si="38"/>
        <v>0.67164179104477595</v>
      </c>
    </row>
    <row r="164" spans="1:41" x14ac:dyDescent="0.35">
      <c r="A164" t="s">
        <v>39</v>
      </c>
      <c r="B164">
        <v>8</v>
      </c>
      <c r="C164">
        <v>2</v>
      </c>
      <c r="D164" t="s">
        <v>40</v>
      </c>
      <c r="E164">
        <v>2</v>
      </c>
      <c r="F164">
        <v>1</v>
      </c>
      <c r="G164" s="16">
        <v>50</v>
      </c>
      <c r="H164" s="16">
        <v>15.942</v>
      </c>
      <c r="I164" s="16">
        <v>1577</v>
      </c>
      <c r="J164" s="16">
        <v>19.378</v>
      </c>
      <c r="K164" s="16">
        <v>46.509</v>
      </c>
      <c r="L164" s="16">
        <v>0.19600000000000001</v>
      </c>
      <c r="M164" s="23">
        <v>309.48</v>
      </c>
      <c r="N164" s="16">
        <v>2.7770000000000001</v>
      </c>
      <c r="O164" s="17">
        <v>6.19</v>
      </c>
      <c r="P164" s="18">
        <v>50</v>
      </c>
      <c r="Q164" s="18">
        <v>19.378</v>
      </c>
      <c r="R164" s="18">
        <v>186.44300000000001</v>
      </c>
      <c r="S164" s="18">
        <v>123.03700000000001</v>
      </c>
      <c r="T164" s="14" t="b">
        <f t="shared" si="39"/>
        <v>1</v>
      </c>
      <c r="U164" s="14" t="b">
        <f t="shared" si="40"/>
        <v>1</v>
      </c>
      <c r="V164" s="15">
        <f>VLOOKUP(IF(J164&lt;10, 10, IF(J164&gt;50,50,J164)),'Over to underbark'!$A$3:$C$43,IF(A164="Scots pine",3,IF(A164="Sitka spruce",2, "error")),TRUE)/100</f>
        <v>0.84</v>
      </c>
      <c r="W164">
        <f t="shared" si="29"/>
        <v>140.95090800000003</v>
      </c>
      <c r="X164">
        <f t="shared" si="30"/>
        <v>93.015972000000005</v>
      </c>
      <c r="Y164">
        <f t="shared" si="33"/>
        <v>44.565120000000014</v>
      </c>
      <c r="Z164">
        <f t="shared" si="41"/>
        <v>138.85953336000003</v>
      </c>
      <c r="AA164">
        <f t="shared" si="42"/>
        <v>83.862883440000019</v>
      </c>
      <c r="AB164">
        <f t="shared" si="43"/>
        <v>55.809583199999999</v>
      </c>
      <c r="AC164">
        <f>LOOKUP($A164,'Over to underbark'!$A$47:$A$48,'Over to underbark'!E$47:E$48)*Z164</f>
        <v>58.32100401120001</v>
      </c>
      <c r="AD164">
        <f>LOOKUP($A164,'Over to underbark'!$A$47:$A$48,'Over to underbark'!E$47:E$48)*AA164</f>
        <v>35.222411044800005</v>
      </c>
      <c r="AE164">
        <f>LOOKUP($A164,'Over to underbark'!$A$47:$A$48,'Over to underbark'!E$47:E$48)*AB164</f>
        <v>23.440024943999997</v>
      </c>
      <c r="AF164" t="b">
        <f t="shared" si="34"/>
        <v>1</v>
      </c>
      <c r="AG164" t="b">
        <f t="shared" si="35"/>
        <v>1</v>
      </c>
      <c r="AH164">
        <f>LOOKUP(A164,'Over to underbark'!$A$47:$A$48,'Over to underbark'!E$47:E$48)*M164</f>
        <v>129.98160000000001</v>
      </c>
      <c r="AI164" s="27">
        <f>LOOKUP(A164,'Over to underbark'!$A$47:$A$48,'Over to underbark'!$B$47:$B$48)*AH164</f>
        <v>44.193744000000009</v>
      </c>
      <c r="AJ164" s="27">
        <f>LOOKUP(A165,'Over to underbark'!$A$47:$A$48,'Over to underbark'!C$47:C$48)*AH164</f>
        <v>45.493560000000002</v>
      </c>
      <c r="AK164" s="27">
        <f t="shared" si="36"/>
        <v>174.17534400000002</v>
      </c>
      <c r="AL164" s="33">
        <v>414.7</v>
      </c>
      <c r="AM164" s="28">
        <f t="shared" si="37"/>
        <v>348.35068800000005</v>
      </c>
      <c r="AO164">
        <f t="shared" si="38"/>
        <v>0.67164179104477617</v>
      </c>
    </row>
    <row r="165" spans="1:41" x14ac:dyDescent="0.35">
      <c r="A165" t="s">
        <v>39</v>
      </c>
      <c r="B165">
        <v>8</v>
      </c>
      <c r="C165">
        <v>2</v>
      </c>
      <c r="D165" t="s">
        <v>40</v>
      </c>
      <c r="E165">
        <v>2</v>
      </c>
      <c r="F165">
        <v>1</v>
      </c>
      <c r="G165" s="16">
        <v>51</v>
      </c>
      <c r="H165" s="16">
        <v>16.2</v>
      </c>
      <c r="I165" s="16">
        <v>1553</v>
      </c>
      <c r="J165" s="16">
        <v>19.7</v>
      </c>
      <c r="K165" s="16">
        <v>47.335999999999999</v>
      </c>
      <c r="L165" s="16">
        <v>0.20599999999999999</v>
      </c>
      <c r="M165" s="23">
        <v>320.10000000000002</v>
      </c>
      <c r="N165" s="16">
        <v>2.9409999999999998</v>
      </c>
      <c r="O165" s="17">
        <v>6.2759999999999998</v>
      </c>
      <c r="P165" s="18">
        <v>51</v>
      </c>
      <c r="Q165" s="18">
        <v>19.7</v>
      </c>
      <c r="R165" s="18">
        <v>187.05600000000001</v>
      </c>
      <c r="S165" s="18">
        <v>133.04400000000001</v>
      </c>
      <c r="T165" s="14" t="b">
        <f t="shared" si="39"/>
        <v>1</v>
      </c>
      <c r="U165" s="14" t="b">
        <f t="shared" si="40"/>
        <v>1</v>
      </c>
      <c r="V165" s="15">
        <f>VLOOKUP(IF(J165&lt;10, 10, IF(J165&gt;50,50,J165)),'Over to underbark'!$A$3:$C$43,IF(A165="Scots pine",3,IF(A165="Sitka spruce",2, "error")),TRUE)/100</f>
        <v>0.84</v>
      </c>
      <c r="W165">
        <f t="shared" si="29"/>
        <v>141.41433599999999</v>
      </c>
      <c r="X165">
        <f t="shared" si="30"/>
        <v>100.581264</v>
      </c>
      <c r="Y165">
        <f t="shared" si="33"/>
        <v>46.094400000000014</v>
      </c>
      <c r="Z165">
        <f t="shared" si="41"/>
        <v>141.78776112</v>
      </c>
      <c r="AA165">
        <f t="shared" si="42"/>
        <v>85.953480479999996</v>
      </c>
      <c r="AB165">
        <f t="shared" si="43"/>
        <v>60.348758400000001</v>
      </c>
      <c r="AC165">
        <f>LOOKUP($A165,'Over to underbark'!$A$47:$A$48,'Over to underbark'!E$47:E$48)*Z165</f>
        <v>59.550859670399994</v>
      </c>
      <c r="AD165">
        <f>LOOKUP($A165,'Over to underbark'!$A$47:$A$48,'Over to underbark'!E$47:E$48)*AA165</f>
        <v>36.100461801599998</v>
      </c>
      <c r="AE165">
        <f>LOOKUP($A165,'Over to underbark'!$A$47:$A$48,'Over to underbark'!E$47:E$48)*AB165</f>
        <v>25.346478527999999</v>
      </c>
      <c r="AF165" t="b">
        <f t="shared" si="34"/>
        <v>1</v>
      </c>
      <c r="AG165" t="b">
        <f t="shared" si="35"/>
        <v>1</v>
      </c>
      <c r="AH165">
        <f>LOOKUP(A165,'Over to underbark'!$A$47:$A$48,'Over to underbark'!E$47:E$48)*M165</f>
        <v>134.44200000000001</v>
      </c>
      <c r="AI165" s="27">
        <f>LOOKUP(A165,'Over to underbark'!$A$47:$A$48,'Over to underbark'!$B$47:$B$48)*AH165</f>
        <v>45.710280000000004</v>
      </c>
      <c r="AJ165" s="27">
        <f>LOOKUP(A166,'Over to underbark'!$A$47:$A$48,'Over to underbark'!C$47:C$48)*AH165</f>
        <v>47.054699999999997</v>
      </c>
      <c r="AK165" s="27">
        <f t="shared" si="36"/>
        <v>180.15228000000002</v>
      </c>
      <c r="AL165" s="33">
        <v>428.93</v>
      </c>
      <c r="AM165" s="28">
        <f t="shared" si="37"/>
        <v>360.30456000000004</v>
      </c>
      <c r="AO165">
        <f t="shared" si="38"/>
        <v>0.67164179104477595</v>
      </c>
    </row>
    <row r="166" spans="1:41" x14ac:dyDescent="0.35">
      <c r="A166" t="s">
        <v>39</v>
      </c>
      <c r="B166">
        <v>8</v>
      </c>
      <c r="C166">
        <v>2</v>
      </c>
      <c r="D166" t="s">
        <v>40</v>
      </c>
      <c r="E166">
        <v>2</v>
      </c>
      <c r="F166">
        <v>1</v>
      </c>
      <c r="G166" s="16">
        <v>52</v>
      </c>
      <c r="H166" s="16">
        <v>16.436</v>
      </c>
      <c r="I166" s="16">
        <v>1530</v>
      </c>
      <c r="J166" s="16">
        <v>19.998999999999999</v>
      </c>
      <c r="K166" s="16">
        <v>48.058999999999997</v>
      </c>
      <c r="L166" s="16">
        <v>0.216</v>
      </c>
      <c r="M166" s="23">
        <v>330.18</v>
      </c>
      <c r="N166" s="16">
        <v>3.19</v>
      </c>
      <c r="O166" s="17">
        <v>6.35</v>
      </c>
      <c r="P166" s="18">
        <v>52</v>
      </c>
      <c r="Q166" s="18">
        <v>19.998999999999999</v>
      </c>
      <c r="R166" s="18">
        <v>187.49</v>
      </c>
      <c r="S166" s="18">
        <v>142.69</v>
      </c>
      <c r="T166" s="14" t="b">
        <f t="shared" si="39"/>
        <v>1</v>
      </c>
      <c r="U166" s="14" t="b">
        <f t="shared" si="40"/>
        <v>1</v>
      </c>
      <c r="V166" s="15">
        <f>VLOOKUP(IF(J166&lt;10, 10, IF(J166&gt;50,50,J166)),'Over to underbark'!$A$3:$C$43,IF(A166="Scots pine",3,IF(A166="Sitka spruce",2, "error")),TRUE)/100</f>
        <v>0.84</v>
      </c>
      <c r="W166">
        <f t="shared" si="29"/>
        <v>141.74244000000002</v>
      </c>
      <c r="X166">
        <f t="shared" si="30"/>
        <v>107.87363999999999</v>
      </c>
      <c r="Y166">
        <f t="shared" si="33"/>
        <v>47.545920000000017</v>
      </c>
      <c r="Z166">
        <f t="shared" si="41"/>
        <v>144.52015680000002</v>
      </c>
      <c r="AA166">
        <f t="shared" si="42"/>
        <v>87.917659200000003</v>
      </c>
      <c r="AB166">
        <f t="shared" si="43"/>
        <v>64.724183999999994</v>
      </c>
      <c r="AC166">
        <f>LOOKUP($A166,'Over to underbark'!$A$47:$A$48,'Over to underbark'!E$47:E$48)*Z166</f>
        <v>60.698465856000006</v>
      </c>
      <c r="AD166">
        <f>LOOKUP($A166,'Over to underbark'!$A$47:$A$48,'Over to underbark'!E$47:E$48)*AA166</f>
        <v>36.925416863999999</v>
      </c>
      <c r="AE166">
        <f>LOOKUP($A166,'Over to underbark'!$A$47:$A$48,'Over to underbark'!E$47:E$48)*AB166</f>
        <v>27.184157279999997</v>
      </c>
      <c r="AF166" t="b">
        <f t="shared" si="34"/>
        <v>1</v>
      </c>
      <c r="AG166" t="b">
        <f t="shared" si="35"/>
        <v>1</v>
      </c>
      <c r="AH166">
        <f>LOOKUP(A166,'Over to underbark'!$A$47:$A$48,'Over to underbark'!E$47:E$48)*M166</f>
        <v>138.6756</v>
      </c>
      <c r="AI166" s="27">
        <f>LOOKUP(A166,'Over to underbark'!$A$47:$A$48,'Over to underbark'!$B$47:$B$48)*AH166</f>
        <v>47.149704000000007</v>
      </c>
      <c r="AJ166" s="27">
        <f>LOOKUP(A167,'Over to underbark'!$A$47:$A$48,'Over to underbark'!C$47:C$48)*AH166</f>
        <v>48.536459999999998</v>
      </c>
      <c r="AK166" s="27">
        <f t="shared" si="36"/>
        <v>185.82530400000002</v>
      </c>
      <c r="AL166" s="33">
        <v>442.44</v>
      </c>
      <c r="AM166" s="28">
        <f t="shared" si="37"/>
        <v>371.65060800000003</v>
      </c>
      <c r="AO166">
        <f t="shared" si="38"/>
        <v>0.67164179104477606</v>
      </c>
    </row>
    <row r="167" spans="1:41" x14ac:dyDescent="0.35">
      <c r="A167" t="s">
        <v>39</v>
      </c>
      <c r="B167">
        <v>8</v>
      </c>
      <c r="C167">
        <v>2</v>
      </c>
      <c r="D167" t="s">
        <v>40</v>
      </c>
      <c r="E167">
        <v>2</v>
      </c>
      <c r="F167">
        <v>1</v>
      </c>
      <c r="G167" s="16">
        <v>53</v>
      </c>
      <c r="H167" s="16">
        <v>16.672000000000001</v>
      </c>
      <c r="I167" s="16">
        <v>1507</v>
      </c>
      <c r="J167" s="16">
        <v>20.302</v>
      </c>
      <c r="K167" s="16">
        <v>48.781999999999996</v>
      </c>
      <c r="L167" s="16">
        <v>0.22600000000000001</v>
      </c>
      <c r="M167" s="23">
        <v>340.26</v>
      </c>
      <c r="N167" s="16">
        <v>3.423</v>
      </c>
      <c r="O167" s="17">
        <v>6.42</v>
      </c>
      <c r="P167" s="18">
        <v>53</v>
      </c>
      <c r="Q167" s="18">
        <v>20.302</v>
      </c>
      <c r="R167" s="18">
        <v>187.607</v>
      </c>
      <c r="S167" s="18">
        <v>152.65299999999999</v>
      </c>
      <c r="T167" s="14" t="b">
        <f t="shared" si="39"/>
        <v>1</v>
      </c>
      <c r="U167" s="14" t="b">
        <f t="shared" si="40"/>
        <v>1</v>
      </c>
      <c r="V167" s="15">
        <f>VLOOKUP(IF(J167&lt;10, 10, IF(J167&gt;50,50,J167)),'Over to underbark'!$A$3:$C$43,IF(A167="Scots pine",3,IF(A167="Sitka spruce",2, "error")),TRUE)/100</f>
        <v>0.84</v>
      </c>
      <c r="W167">
        <f t="shared" si="29"/>
        <v>141.83089200000001</v>
      </c>
      <c r="X167">
        <f t="shared" si="30"/>
        <v>115.40566799999999</v>
      </c>
      <c r="Y167">
        <f t="shared" si="33"/>
        <v>48.997440000000005</v>
      </c>
      <c r="Z167">
        <f t="shared" si="41"/>
        <v>147.15189864000001</v>
      </c>
      <c r="AA167">
        <f t="shared" si="42"/>
        <v>89.838700560000007</v>
      </c>
      <c r="AB167">
        <f t="shared" si="43"/>
        <v>69.243400799999989</v>
      </c>
      <c r="AC167">
        <f>LOOKUP($A167,'Over to underbark'!$A$47:$A$48,'Over to underbark'!E$47:E$48)*Z167</f>
        <v>61.803797428800003</v>
      </c>
      <c r="AD167">
        <f>LOOKUP($A167,'Over to underbark'!$A$47:$A$48,'Over to underbark'!E$47:E$48)*AA167</f>
        <v>37.732254235200003</v>
      </c>
      <c r="AE167">
        <f>LOOKUP($A167,'Over to underbark'!$A$47:$A$48,'Over to underbark'!E$47:E$48)*AB167</f>
        <v>29.082228335999993</v>
      </c>
      <c r="AF167" t="b">
        <f t="shared" si="34"/>
        <v>1</v>
      </c>
      <c r="AG167" t="b">
        <f t="shared" si="35"/>
        <v>1</v>
      </c>
      <c r="AH167">
        <f>LOOKUP(A167,'Over to underbark'!$A$47:$A$48,'Over to underbark'!E$47:E$48)*M167</f>
        <v>142.9092</v>
      </c>
      <c r="AI167" s="27">
        <f>LOOKUP(A167,'Over to underbark'!$A$47:$A$48,'Over to underbark'!$B$47:$B$48)*AH167</f>
        <v>48.589128000000002</v>
      </c>
      <c r="AJ167" s="27">
        <f>LOOKUP(A168,'Over to underbark'!$A$47:$A$48,'Over to underbark'!C$47:C$48)*AH167</f>
        <v>50.018219999999999</v>
      </c>
      <c r="AK167" s="27">
        <f t="shared" si="36"/>
        <v>191.49832800000001</v>
      </c>
      <c r="AL167" s="33">
        <v>455.95</v>
      </c>
      <c r="AM167" s="28">
        <f t="shared" si="37"/>
        <v>382.99665600000003</v>
      </c>
      <c r="AO167">
        <f t="shared" si="38"/>
        <v>0.67164179104477606</v>
      </c>
    </row>
    <row r="168" spans="1:41" x14ac:dyDescent="0.35">
      <c r="A168" t="s">
        <v>39</v>
      </c>
      <c r="B168">
        <v>8</v>
      </c>
      <c r="C168">
        <v>2</v>
      </c>
      <c r="D168" t="s">
        <v>40</v>
      </c>
      <c r="E168">
        <v>2</v>
      </c>
      <c r="F168">
        <v>1</v>
      </c>
      <c r="G168" s="16">
        <v>54</v>
      </c>
      <c r="H168" s="16">
        <v>16.908000000000001</v>
      </c>
      <c r="I168" s="16">
        <v>1484</v>
      </c>
      <c r="J168" s="16">
        <v>20.609000000000002</v>
      </c>
      <c r="K168" s="16">
        <v>49.505000000000003</v>
      </c>
      <c r="L168" s="16">
        <v>0.23599999999999999</v>
      </c>
      <c r="M168" s="23">
        <v>350.34</v>
      </c>
      <c r="N168" s="16">
        <v>3.6419999999999999</v>
      </c>
      <c r="O168" s="17">
        <v>6.4880000000000004</v>
      </c>
      <c r="P168" s="18">
        <v>54</v>
      </c>
      <c r="Q168" s="18">
        <v>20.609000000000002</v>
      </c>
      <c r="R168" s="18">
        <v>187.41499999999999</v>
      </c>
      <c r="S168" s="18">
        <v>162.92500000000001</v>
      </c>
      <c r="T168" s="14" t="b">
        <f t="shared" si="39"/>
        <v>1</v>
      </c>
      <c r="U168" s="14" t="b">
        <f t="shared" si="40"/>
        <v>1</v>
      </c>
      <c r="V168" s="15">
        <f>VLOOKUP(IF(J168&lt;10, 10, IF(J168&gt;50,50,J168)),'Over to underbark'!$A$3:$C$43,IF(A168="Scots pine",3,IF(A168="Sitka spruce",2, "error")),TRUE)/100</f>
        <v>0.84</v>
      </c>
      <c r="W168">
        <f t="shared" si="29"/>
        <v>141.68573999999998</v>
      </c>
      <c r="X168">
        <f t="shared" si="30"/>
        <v>123.17130000000002</v>
      </c>
      <c r="Y168">
        <f t="shared" si="33"/>
        <v>50.448960000000014</v>
      </c>
      <c r="Z168">
        <f t="shared" si="41"/>
        <v>149.68552679999999</v>
      </c>
      <c r="AA168">
        <f t="shared" si="42"/>
        <v>91.717693199999999</v>
      </c>
      <c r="AB168">
        <f t="shared" si="43"/>
        <v>73.902780000000007</v>
      </c>
      <c r="AC168">
        <f>LOOKUP($A168,'Over to underbark'!$A$47:$A$48,'Over to underbark'!E$47:E$48)*Z168</f>
        <v>62.867921255999995</v>
      </c>
      <c r="AD168">
        <f>LOOKUP($A168,'Over to underbark'!$A$47:$A$48,'Over to underbark'!E$47:E$48)*AA168</f>
        <v>38.521431143999997</v>
      </c>
      <c r="AE168">
        <f>LOOKUP($A168,'Over to underbark'!$A$47:$A$48,'Over to underbark'!E$47:E$48)*AB168</f>
        <v>31.039167600000003</v>
      </c>
      <c r="AF168" t="b">
        <f t="shared" si="34"/>
        <v>1</v>
      </c>
      <c r="AG168" t="b">
        <f t="shared" si="35"/>
        <v>1</v>
      </c>
      <c r="AH168">
        <f>LOOKUP(A168,'Over to underbark'!$A$47:$A$48,'Over to underbark'!E$47:E$48)*M168</f>
        <v>147.14279999999999</v>
      </c>
      <c r="AI168" s="27">
        <f>LOOKUP(A168,'Over to underbark'!$A$47:$A$48,'Over to underbark'!$B$47:$B$48)*AH168</f>
        <v>50.028552000000005</v>
      </c>
      <c r="AJ168" s="27">
        <f>LOOKUP(A169,'Over to underbark'!$A$47:$A$48,'Over to underbark'!C$47:C$48)*AH168</f>
        <v>51.499979999999994</v>
      </c>
      <c r="AK168" s="27">
        <f t="shared" si="36"/>
        <v>197.17135200000001</v>
      </c>
      <c r="AL168" s="33">
        <v>469.46</v>
      </c>
      <c r="AM168" s="28">
        <f t="shared" si="37"/>
        <v>394.34270400000003</v>
      </c>
      <c r="AO168">
        <f t="shared" si="38"/>
        <v>0.67164179104477606</v>
      </c>
    </row>
    <row r="169" spans="1:41" x14ac:dyDescent="0.35">
      <c r="A169" t="s">
        <v>39</v>
      </c>
      <c r="B169">
        <v>8</v>
      </c>
      <c r="C169">
        <v>2</v>
      </c>
      <c r="D169" t="s">
        <v>40</v>
      </c>
      <c r="E169">
        <v>2</v>
      </c>
      <c r="F169">
        <v>1</v>
      </c>
      <c r="G169" s="16">
        <v>55</v>
      </c>
      <c r="H169" s="16">
        <v>17.143999999999998</v>
      </c>
      <c r="I169" s="16">
        <v>1461</v>
      </c>
      <c r="J169" s="16">
        <v>20.922000000000001</v>
      </c>
      <c r="K169" s="16">
        <v>50.228999999999999</v>
      </c>
      <c r="L169" s="16">
        <v>0.247</v>
      </c>
      <c r="M169" s="23">
        <v>360.42</v>
      </c>
      <c r="N169" s="16">
        <v>3.847</v>
      </c>
      <c r="O169" s="17">
        <v>6.5529999999999999</v>
      </c>
      <c r="P169" s="18">
        <v>55</v>
      </c>
      <c r="Q169" s="18">
        <v>20.922000000000001</v>
      </c>
      <c r="R169" s="18">
        <v>186.886</v>
      </c>
      <c r="S169" s="18">
        <v>173.53399999999999</v>
      </c>
      <c r="T169" s="14" t="b">
        <f t="shared" si="39"/>
        <v>1</v>
      </c>
      <c r="U169" s="14" t="b">
        <f t="shared" si="40"/>
        <v>1</v>
      </c>
      <c r="V169" s="15">
        <f>VLOOKUP(IF(J169&lt;10, 10, IF(J169&gt;50,50,J169)),'Over to underbark'!$A$3:$C$43,IF(A169="Scots pine",3,IF(A169="Sitka spruce",2, "error")),TRUE)/100</f>
        <v>0.84</v>
      </c>
      <c r="W169">
        <f t="shared" si="29"/>
        <v>141.28581599999998</v>
      </c>
      <c r="X169">
        <f t="shared" si="30"/>
        <v>131.19170399999999</v>
      </c>
      <c r="Y169">
        <f t="shared" si="33"/>
        <v>51.900480000000009</v>
      </c>
      <c r="Z169">
        <f t="shared" si="41"/>
        <v>152.11215071999999</v>
      </c>
      <c r="AA169">
        <f t="shared" si="42"/>
        <v>93.550826879999988</v>
      </c>
      <c r="AB169">
        <f t="shared" si="43"/>
        <v>78.715022399999995</v>
      </c>
      <c r="AC169">
        <f>LOOKUP($A169,'Over to underbark'!$A$47:$A$48,'Over to underbark'!E$47:E$48)*Z169</f>
        <v>63.887103302399993</v>
      </c>
      <c r="AD169">
        <f>LOOKUP($A169,'Over to underbark'!$A$47:$A$48,'Over to underbark'!E$47:E$48)*AA169</f>
        <v>39.29134728959999</v>
      </c>
      <c r="AE169">
        <f>LOOKUP($A169,'Over to underbark'!$A$47:$A$48,'Over to underbark'!E$47:E$48)*AB169</f>
        <v>33.060309407999995</v>
      </c>
      <c r="AF169" t="b">
        <f t="shared" si="34"/>
        <v>1</v>
      </c>
      <c r="AG169" t="b">
        <f t="shared" si="35"/>
        <v>1</v>
      </c>
      <c r="AH169">
        <f>LOOKUP(A169,'Over to underbark'!$A$47:$A$48,'Over to underbark'!E$47:E$48)*M169</f>
        <v>151.37639999999999</v>
      </c>
      <c r="AI169" s="27">
        <f>LOOKUP(A169,'Over to underbark'!$A$47:$A$48,'Over to underbark'!$B$47:$B$48)*AH169</f>
        <v>51.467976</v>
      </c>
      <c r="AJ169" s="27">
        <f>LOOKUP(A170,'Over to underbark'!$A$47:$A$48,'Over to underbark'!C$47:C$48)*AH169</f>
        <v>52.981739999999995</v>
      </c>
      <c r="AK169" s="27">
        <f t="shared" si="36"/>
        <v>202.84437599999998</v>
      </c>
      <c r="AL169" s="33">
        <v>482.96</v>
      </c>
      <c r="AM169" s="28">
        <f t="shared" si="37"/>
        <v>405.68875199999997</v>
      </c>
      <c r="AO169">
        <f t="shared" si="38"/>
        <v>0.67164179104477606</v>
      </c>
    </row>
    <row r="170" spans="1:41" x14ac:dyDescent="0.35">
      <c r="A170" t="s">
        <v>39</v>
      </c>
      <c r="B170">
        <v>8</v>
      </c>
      <c r="C170">
        <v>2</v>
      </c>
      <c r="D170" t="s">
        <v>40</v>
      </c>
      <c r="E170">
        <v>2</v>
      </c>
      <c r="F170">
        <v>1</v>
      </c>
      <c r="G170" s="16">
        <v>56</v>
      </c>
      <c r="H170" s="16">
        <v>17.38</v>
      </c>
      <c r="I170" s="16">
        <v>1438</v>
      </c>
      <c r="J170" s="16">
        <v>21.24</v>
      </c>
      <c r="K170" s="16">
        <v>50.951999999999998</v>
      </c>
      <c r="L170" s="16">
        <v>0.25800000000000001</v>
      </c>
      <c r="M170" s="23">
        <v>370.5</v>
      </c>
      <c r="N170" s="16">
        <v>4.04</v>
      </c>
      <c r="O170" s="17">
        <v>6.6159999999999997</v>
      </c>
      <c r="P170" s="18">
        <v>56</v>
      </c>
      <c r="Q170" s="18">
        <v>21.24</v>
      </c>
      <c r="R170" s="18">
        <v>186.05</v>
      </c>
      <c r="S170" s="18">
        <v>184.45</v>
      </c>
      <c r="T170" s="14" t="b">
        <f t="shared" si="39"/>
        <v>1</v>
      </c>
      <c r="U170" s="14" t="b">
        <f t="shared" si="40"/>
        <v>1</v>
      </c>
      <c r="V170" s="15">
        <f>VLOOKUP(IF(J170&lt;10, 10, IF(J170&gt;50,50,J170)),'Over to underbark'!$A$3:$C$43,IF(A170="Scots pine",3,IF(A170="Sitka spruce",2, "error")),TRUE)/100</f>
        <v>0.84</v>
      </c>
      <c r="W170">
        <f t="shared" si="29"/>
        <v>140.65380000000002</v>
      </c>
      <c r="X170">
        <f t="shared" si="30"/>
        <v>139.4442</v>
      </c>
      <c r="Y170">
        <f t="shared" si="33"/>
        <v>53.352000000000011</v>
      </c>
      <c r="Z170">
        <f t="shared" si="41"/>
        <v>154.44129600000002</v>
      </c>
      <c r="AA170">
        <f t="shared" si="42"/>
        <v>95.342184000000003</v>
      </c>
      <c r="AB170">
        <f t="shared" si="43"/>
        <v>83.666519999999991</v>
      </c>
      <c r="AC170">
        <f>LOOKUP($A170,'Over to underbark'!$A$47:$A$48,'Over to underbark'!E$47:E$48)*Z170</f>
        <v>64.865344320000005</v>
      </c>
      <c r="AD170">
        <f>LOOKUP($A170,'Over to underbark'!$A$47:$A$48,'Over to underbark'!E$47:E$48)*AA170</f>
        <v>40.043717280000003</v>
      </c>
      <c r="AE170">
        <f>LOOKUP($A170,'Over to underbark'!$A$47:$A$48,'Over to underbark'!E$47:E$48)*AB170</f>
        <v>35.139938399999998</v>
      </c>
      <c r="AF170" t="b">
        <f t="shared" si="34"/>
        <v>1</v>
      </c>
      <c r="AG170" t="b">
        <f t="shared" si="35"/>
        <v>1</v>
      </c>
      <c r="AH170">
        <f>LOOKUP(A170,'Over to underbark'!$A$47:$A$48,'Over to underbark'!E$47:E$48)*M170</f>
        <v>155.60999999999999</v>
      </c>
      <c r="AI170" s="27">
        <f>LOOKUP(A170,'Over to underbark'!$A$47:$A$48,'Over to underbark'!$B$47:$B$48)*AH170</f>
        <v>52.907399999999996</v>
      </c>
      <c r="AJ170" s="27">
        <f>LOOKUP(A171,'Over to underbark'!$A$47:$A$48,'Over to underbark'!C$47:C$48)*AH170</f>
        <v>54.463499999999989</v>
      </c>
      <c r="AK170" s="27">
        <f t="shared" si="36"/>
        <v>208.51739999999998</v>
      </c>
      <c r="AL170" s="33">
        <v>496.47</v>
      </c>
      <c r="AM170" s="28">
        <f t="shared" si="37"/>
        <v>417.03479999999996</v>
      </c>
      <c r="AO170">
        <f t="shared" si="38"/>
        <v>0.67164179104477617</v>
      </c>
    </row>
    <row r="171" spans="1:41" x14ac:dyDescent="0.35">
      <c r="A171" t="s">
        <v>39</v>
      </c>
      <c r="B171">
        <v>8</v>
      </c>
      <c r="C171">
        <v>2</v>
      </c>
      <c r="D171" t="s">
        <v>40</v>
      </c>
      <c r="E171">
        <v>2</v>
      </c>
      <c r="F171">
        <v>1</v>
      </c>
      <c r="G171" s="16">
        <v>57</v>
      </c>
      <c r="H171" s="16">
        <v>17.596</v>
      </c>
      <c r="I171" s="16">
        <v>1417</v>
      </c>
      <c r="J171" s="16">
        <v>21.527999999999999</v>
      </c>
      <c r="K171" s="16">
        <v>51.578000000000003</v>
      </c>
      <c r="L171" s="16">
        <v>0.26800000000000002</v>
      </c>
      <c r="M171" s="23">
        <v>379.84</v>
      </c>
      <c r="N171" s="16">
        <v>4.3220000000000001</v>
      </c>
      <c r="O171" s="17">
        <v>6.6639999999999997</v>
      </c>
      <c r="P171" s="18">
        <v>57</v>
      </c>
      <c r="Q171" s="18">
        <v>21.527999999999999</v>
      </c>
      <c r="R171" s="18">
        <v>185.22</v>
      </c>
      <c r="S171" s="18">
        <v>194.62</v>
      </c>
      <c r="T171" s="14" t="b">
        <f t="shared" si="39"/>
        <v>1</v>
      </c>
      <c r="U171" s="14" t="b">
        <f t="shared" si="40"/>
        <v>1</v>
      </c>
      <c r="V171" s="15">
        <f>VLOOKUP(IF(J171&lt;10, 10, IF(J171&gt;50,50,J171)),'Over to underbark'!$A$3:$C$43,IF(A171="Scots pine",3,IF(A171="Sitka spruce",2, "error")),TRUE)/100</f>
        <v>0.84</v>
      </c>
      <c r="W171">
        <f t="shared" si="29"/>
        <v>140.02632</v>
      </c>
      <c r="X171">
        <f t="shared" si="30"/>
        <v>147.13272000000001</v>
      </c>
      <c r="Y171">
        <f t="shared" si="33"/>
        <v>54.696960000000018</v>
      </c>
      <c r="Z171">
        <f t="shared" si="41"/>
        <v>156.58187040000001</v>
      </c>
      <c r="AA171">
        <f t="shared" si="42"/>
        <v>96.994497600000003</v>
      </c>
      <c r="AB171">
        <f t="shared" si="43"/>
        <v>88.279632000000007</v>
      </c>
      <c r="AC171">
        <f>LOOKUP($A171,'Over to underbark'!$A$47:$A$48,'Over to underbark'!E$47:E$48)*Z171</f>
        <v>65.764385568000009</v>
      </c>
      <c r="AD171">
        <f>LOOKUP($A171,'Over to underbark'!$A$47:$A$48,'Over to underbark'!E$47:E$48)*AA171</f>
        <v>40.737688992000002</v>
      </c>
      <c r="AE171">
        <f>LOOKUP($A171,'Over to underbark'!$A$47:$A$48,'Over to underbark'!E$47:E$48)*AB171</f>
        <v>37.077445439999998</v>
      </c>
      <c r="AF171" t="b">
        <f t="shared" si="34"/>
        <v>1</v>
      </c>
      <c r="AG171" t="b">
        <f t="shared" si="35"/>
        <v>1</v>
      </c>
      <c r="AH171">
        <f>LOOKUP(A171,'Over to underbark'!$A$47:$A$48,'Over to underbark'!E$47:E$48)*M171</f>
        <v>159.53279999999998</v>
      </c>
      <c r="AI171" s="27">
        <f>LOOKUP(A171,'Over to underbark'!$A$47:$A$48,'Over to underbark'!$B$47:$B$48)*AH171</f>
        <v>54.241152</v>
      </c>
      <c r="AJ171" s="27">
        <f>LOOKUP(A172,'Over to underbark'!$A$47:$A$48,'Over to underbark'!C$47:C$48)*AH171</f>
        <v>55.836479999999987</v>
      </c>
      <c r="AK171" s="27">
        <f t="shared" si="36"/>
        <v>213.77395199999998</v>
      </c>
      <c r="AL171" s="33">
        <v>508.99</v>
      </c>
      <c r="AM171" s="28">
        <f t="shared" si="37"/>
        <v>427.54790399999996</v>
      </c>
      <c r="AO171">
        <f t="shared" si="38"/>
        <v>0.67164179104477617</v>
      </c>
    </row>
    <row r="172" spans="1:41" x14ac:dyDescent="0.35">
      <c r="A172" t="s">
        <v>39</v>
      </c>
      <c r="B172">
        <v>8</v>
      </c>
      <c r="C172">
        <v>2</v>
      </c>
      <c r="D172" t="s">
        <v>40</v>
      </c>
      <c r="E172">
        <v>2</v>
      </c>
      <c r="F172">
        <v>1</v>
      </c>
      <c r="G172" s="16">
        <v>58</v>
      </c>
      <c r="H172" s="16">
        <v>17.812000000000001</v>
      </c>
      <c r="I172" s="16">
        <v>1396</v>
      </c>
      <c r="J172" s="16">
        <v>21.821000000000002</v>
      </c>
      <c r="K172" s="16">
        <v>52.204000000000001</v>
      </c>
      <c r="L172" s="16">
        <v>0.27900000000000003</v>
      </c>
      <c r="M172" s="23">
        <v>389.18</v>
      </c>
      <c r="N172" s="16">
        <v>4.5890000000000004</v>
      </c>
      <c r="O172" s="17">
        <v>6.71</v>
      </c>
      <c r="P172" s="18">
        <v>58</v>
      </c>
      <c r="Q172" s="18">
        <v>21.821000000000002</v>
      </c>
      <c r="R172" s="18">
        <v>184.13300000000001</v>
      </c>
      <c r="S172" s="18">
        <v>205.047</v>
      </c>
      <c r="T172" s="14" t="b">
        <f t="shared" si="39"/>
        <v>1</v>
      </c>
      <c r="U172" s="14" t="b">
        <f t="shared" si="40"/>
        <v>1</v>
      </c>
      <c r="V172" s="15">
        <f>VLOOKUP(IF(J172&lt;10, 10, IF(J172&gt;50,50,J172)),'Over to underbark'!$A$3:$C$43,IF(A172="Scots pine",3,IF(A172="Sitka spruce",2, "error")),TRUE)/100</f>
        <v>0.84</v>
      </c>
      <c r="W172">
        <f t="shared" si="29"/>
        <v>139.20454800000002</v>
      </c>
      <c r="X172">
        <f t="shared" si="30"/>
        <v>155.01553200000001</v>
      </c>
      <c r="Y172">
        <f t="shared" si="33"/>
        <v>56.041920000000012</v>
      </c>
      <c r="Z172">
        <f t="shared" si="41"/>
        <v>158.64084216000003</v>
      </c>
      <c r="AA172">
        <f t="shared" si="42"/>
        <v>98.611838640000002</v>
      </c>
      <c r="AB172">
        <f t="shared" si="43"/>
        <v>93.009319200000007</v>
      </c>
      <c r="AC172">
        <f>LOOKUP($A172,'Over to underbark'!$A$47:$A$48,'Over to underbark'!E$47:E$48)*Z172</f>
        <v>66.629153707200018</v>
      </c>
      <c r="AD172">
        <f>LOOKUP($A172,'Over to underbark'!$A$47:$A$48,'Over to underbark'!E$47:E$48)*AA172</f>
        <v>41.416972228799999</v>
      </c>
      <c r="AE172">
        <f>LOOKUP($A172,'Over to underbark'!$A$47:$A$48,'Over to underbark'!E$47:E$48)*AB172</f>
        <v>39.063914064000002</v>
      </c>
      <c r="AF172" t="b">
        <f t="shared" si="34"/>
        <v>1</v>
      </c>
      <c r="AG172" t="b">
        <f t="shared" si="35"/>
        <v>1</v>
      </c>
      <c r="AH172">
        <f>LOOKUP(A172,'Over to underbark'!$A$47:$A$48,'Over to underbark'!E$47:E$48)*M172</f>
        <v>163.4556</v>
      </c>
      <c r="AI172" s="27">
        <f>LOOKUP(A172,'Over to underbark'!$A$47:$A$48,'Over to underbark'!$B$47:$B$48)*AH172</f>
        <v>55.574904000000004</v>
      </c>
      <c r="AJ172" s="27">
        <f>LOOKUP(A173,'Over to underbark'!$A$47:$A$48,'Over to underbark'!C$47:C$48)*AH172</f>
        <v>57.20946</v>
      </c>
      <c r="AK172" s="27">
        <f t="shared" si="36"/>
        <v>219.03050400000001</v>
      </c>
      <c r="AL172" s="33">
        <v>521.5</v>
      </c>
      <c r="AM172" s="28">
        <f t="shared" si="37"/>
        <v>438.06100800000002</v>
      </c>
      <c r="AO172">
        <f t="shared" si="38"/>
        <v>0.67164179104477617</v>
      </c>
    </row>
    <row r="173" spans="1:41" x14ac:dyDescent="0.35">
      <c r="A173" t="s">
        <v>39</v>
      </c>
      <c r="B173">
        <v>8</v>
      </c>
      <c r="C173">
        <v>2</v>
      </c>
      <c r="D173" t="s">
        <v>40</v>
      </c>
      <c r="E173">
        <v>2</v>
      </c>
      <c r="F173">
        <v>1</v>
      </c>
      <c r="G173" s="16">
        <v>59</v>
      </c>
      <c r="H173" s="16">
        <v>18.027999999999999</v>
      </c>
      <c r="I173" s="16">
        <v>1375</v>
      </c>
      <c r="J173" s="16">
        <v>22.117999999999999</v>
      </c>
      <c r="K173" s="16">
        <v>52.831000000000003</v>
      </c>
      <c r="L173" s="16">
        <v>0.28999999999999998</v>
      </c>
      <c r="M173" s="23">
        <v>398.52</v>
      </c>
      <c r="N173" s="16">
        <v>4.8419999999999996</v>
      </c>
      <c r="O173" s="17">
        <v>6.7549999999999999</v>
      </c>
      <c r="P173" s="18">
        <v>59</v>
      </c>
      <c r="Q173" s="18">
        <v>22.117999999999999</v>
      </c>
      <c r="R173" s="18">
        <v>182.816</v>
      </c>
      <c r="S173" s="18">
        <v>215.70400000000001</v>
      </c>
      <c r="T173" s="14" t="b">
        <f t="shared" si="39"/>
        <v>1</v>
      </c>
      <c r="U173" s="14" t="b">
        <f t="shared" si="40"/>
        <v>1</v>
      </c>
      <c r="V173" s="15">
        <f>VLOOKUP(IF(J173&lt;10, 10, IF(J173&gt;50,50,J173)),'Over to underbark'!$A$3:$C$43,IF(A173="Scots pine",3,IF(A173="Sitka spruce",2, "error")),TRUE)/100</f>
        <v>0.84</v>
      </c>
      <c r="W173">
        <f t="shared" si="29"/>
        <v>138.20889600000001</v>
      </c>
      <c r="X173">
        <f t="shared" si="30"/>
        <v>163.07222400000001</v>
      </c>
      <c r="Y173">
        <f t="shared" si="33"/>
        <v>57.386880000000012</v>
      </c>
      <c r="Z173">
        <f t="shared" si="41"/>
        <v>160.62678432000001</v>
      </c>
      <c r="AA173">
        <f t="shared" si="42"/>
        <v>100.19788128</v>
      </c>
      <c r="AB173">
        <f t="shared" si="43"/>
        <v>97.843334400000003</v>
      </c>
      <c r="AC173">
        <f>LOOKUP($A173,'Over to underbark'!$A$47:$A$48,'Over to underbark'!E$47:E$48)*Z173</f>
        <v>67.463249414399996</v>
      </c>
      <c r="AD173">
        <f>LOOKUP($A173,'Over to underbark'!$A$47:$A$48,'Over to underbark'!E$47:E$48)*AA173</f>
        <v>42.083110137600002</v>
      </c>
      <c r="AE173">
        <f>LOOKUP($A173,'Over to underbark'!$A$47:$A$48,'Over to underbark'!E$47:E$48)*AB173</f>
        <v>41.094200448000002</v>
      </c>
      <c r="AF173" t="b">
        <f t="shared" si="34"/>
        <v>1</v>
      </c>
      <c r="AG173" t="b">
        <f t="shared" si="35"/>
        <v>1</v>
      </c>
      <c r="AH173">
        <f>LOOKUP(A173,'Over to underbark'!$A$47:$A$48,'Over to underbark'!E$47:E$48)*M173</f>
        <v>167.3784</v>
      </c>
      <c r="AI173" s="27">
        <f>LOOKUP(A173,'Over to underbark'!$A$47:$A$48,'Over to underbark'!$B$47:$B$48)*AH173</f>
        <v>56.908656000000001</v>
      </c>
      <c r="AJ173" s="27">
        <f>LOOKUP(A174,'Over to underbark'!$A$47:$A$48,'Over to underbark'!C$47:C$48)*AH173</f>
        <v>58.582439999999998</v>
      </c>
      <c r="AK173" s="27">
        <f t="shared" si="36"/>
        <v>224.28705600000001</v>
      </c>
      <c r="AL173" s="33">
        <v>534.02</v>
      </c>
      <c r="AM173" s="28">
        <f t="shared" si="37"/>
        <v>448.57411200000001</v>
      </c>
      <c r="AO173">
        <f t="shared" si="38"/>
        <v>0.67164179104477606</v>
      </c>
    </row>
    <row r="174" spans="1:41" x14ac:dyDescent="0.35">
      <c r="A174" t="s">
        <v>39</v>
      </c>
      <c r="B174">
        <v>8</v>
      </c>
      <c r="C174">
        <v>2</v>
      </c>
      <c r="D174" t="s">
        <v>40</v>
      </c>
      <c r="E174">
        <v>2</v>
      </c>
      <c r="F174">
        <v>1</v>
      </c>
      <c r="G174" s="16">
        <v>60</v>
      </c>
      <c r="H174" s="16">
        <v>18.244</v>
      </c>
      <c r="I174" s="16">
        <v>1354</v>
      </c>
      <c r="J174" s="16">
        <v>22.420999999999999</v>
      </c>
      <c r="K174" s="16">
        <v>53.457000000000001</v>
      </c>
      <c r="L174" s="16">
        <v>0.30099999999999999</v>
      </c>
      <c r="M174" s="23">
        <v>407.86</v>
      </c>
      <c r="N174" s="16">
        <v>5.0830000000000002</v>
      </c>
      <c r="O174" s="17">
        <v>6.798</v>
      </c>
      <c r="P174" s="18">
        <v>60</v>
      </c>
      <c r="Q174" s="18">
        <v>22.420999999999999</v>
      </c>
      <c r="R174" s="18">
        <v>181.24</v>
      </c>
      <c r="S174" s="18">
        <v>226.62</v>
      </c>
      <c r="T174" s="14" t="b">
        <f t="shared" si="39"/>
        <v>1</v>
      </c>
      <c r="U174" s="14" t="b">
        <f t="shared" si="40"/>
        <v>1</v>
      </c>
      <c r="V174" s="15">
        <f>VLOOKUP(IF(J174&lt;10, 10, IF(J174&gt;50,50,J174)),'Over to underbark'!$A$3:$C$43,IF(A174="Scots pine",3,IF(A174="Sitka spruce",2, "error")),TRUE)/100</f>
        <v>0.84</v>
      </c>
      <c r="W174">
        <f t="shared" si="29"/>
        <v>137.01743999999999</v>
      </c>
      <c r="X174">
        <f t="shared" si="30"/>
        <v>171.32471999999999</v>
      </c>
      <c r="Y174">
        <f t="shared" si="33"/>
        <v>58.731840000000012</v>
      </c>
      <c r="Z174">
        <f t="shared" si="41"/>
        <v>162.5304888</v>
      </c>
      <c r="AA174">
        <f t="shared" si="42"/>
        <v>101.7486792</v>
      </c>
      <c r="AB174">
        <f t="shared" si="43"/>
        <v>102.79483199999999</v>
      </c>
      <c r="AC174">
        <f>LOOKUP($A174,'Over to underbark'!$A$47:$A$48,'Over to underbark'!E$47:E$48)*Z174</f>
        <v>68.262805295999996</v>
      </c>
      <c r="AD174">
        <f>LOOKUP($A174,'Over to underbark'!$A$47:$A$48,'Over to underbark'!E$47:E$48)*AA174</f>
        <v>42.734445263999994</v>
      </c>
      <c r="AE174">
        <f>LOOKUP($A174,'Over to underbark'!$A$47:$A$48,'Over to underbark'!E$47:E$48)*AB174</f>
        <v>43.173829439999992</v>
      </c>
      <c r="AF174" t="b">
        <f t="shared" si="34"/>
        <v>1</v>
      </c>
      <c r="AG174" t="b">
        <f t="shared" si="35"/>
        <v>1</v>
      </c>
      <c r="AH174">
        <f>LOOKUP(A174,'Over to underbark'!$A$47:$A$48,'Over to underbark'!E$47:E$48)*M174</f>
        <v>171.30119999999999</v>
      </c>
      <c r="AI174" s="27">
        <f>LOOKUP(A174,'Over to underbark'!$A$47:$A$48,'Over to underbark'!$B$47:$B$48)*AH174</f>
        <v>58.242408000000005</v>
      </c>
      <c r="AJ174" s="27">
        <f>LOOKUP(A175,'Over to underbark'!$A$47:$A$48,'Over to underbark'!C$47:C$48)*AH174</f>
        <v>59.955419999999997</v>
      </c>
      <c r="AK174" s="27">
        <f t="shared" si="36"/>
        <v>229.54360800000001</v>
      </c>
      <c r="AL174" s="33">
        <v>546.53</v>
      </c>
      <c r="AM174" s="28">
        <f t="shared" si="37"/>
        <v>459.08721600000001</v>
      </c>
      <c r="AO174">
        <f t="shared" si="38"/>
        <v>0.67164179104477606</v>
      </c>
    </row>
    <row r="175" spans="1:41" x14ac:dyDescent="0.35">
      <c r="A175" t="s">
        <v>39</v>
      </c>
      <c r="B175">
        <v>8</v>
      </c>
      <c r="C175">
        <v>2</v>
      </c>
      <c r="D175" t="s">
        <v>40</v>
      </c>
      <c r="E175">
        <v>2</v>
      </c>
      <c r="F175">
        <v>1</v>
      </c>
      <c r="G175" s="16">
        <v>61</v>
      </c>
      <c r="H175" s="16">
        <v>18.46</v>
      </c>
      <c r="I175" s="16">
        <v>1334</v>
      </c>
      <c r="J175" s="16">
        <v>22.72</v>
      </c>
      <c r="K175" s="16">
        <v>54.082999999999998</v>
      </c>
      <c r="L175" s="16">
        <v>0.313</v>
      </c>
      <c r="M175" s="23">
        <v>417.2</v>
      </c>
      <c r="N175" s="16">
        <v>5.3109999999999999</v>
      </c>
      <c r="O175" s="17">
        <v>6.8390000000000004</v>
      </c>
      <c r="P175" s="18">
        <v>61</v>
      </c>
      <c r="Q175" s="18">
        <v>22.72</v>
      </c>
      <c r="R175" s="18">
        <v>179.607</v>
      </c>
      <c r="S175" s="18">
        <v>237.59299999999999</v>
      </c>
      <c r="T175" s="14" t="b">
        <f t="shared" si="39"/>
        <v>1</v>
      </c>
      <c r="U175" s="14" t="b">
        <f t="shared" si="40"/>
        <v>1</v>
      </c>
      <c r="V175" s="15">
        <f>VLOOKUP(IF(J175&lt;10, 10, IF(J175&gt;50,50,J175)),'Over to underbark'!$A$3:$C$43,IF(A175="Scots pine",3,IF(A175="Sitka spruce",2, "error")),TRUE)/100</f>
        <v>0.84</v>
      </c>
      <c r="W175">
        <f t="shared" si="29"/>
        <v>135.782892</v>
      </c>
      <c r="X175">
        <f t="shared" si="30"/>
        <v>179.62030799999999</v>
      </c>
      <c r="Y175">
        <f t="shared" si="33"/>
        <v>60.076800000000013</v>
      </c>
      <c r="Z175">
        <f t="shared" si="41"/>
        <v>164.41609464000001</v>
      </c>
      <c r="AA175">
        <f t="shared" si="42"/>
        <v>103.29172056</v>
      </c>
      <c r="AB175">
        <f t="shared" si="43"/>
        <v>107.77218479999999</v>
      </c>
      <c r="AC175">
        <f>LOOKUP($A175,'Over to underbark'!$A$47:$A$48,'Over to underbark'!E$47:E$48)*Z175</f>
        <v>69.054759748799995</v>
      </c>
      <c r="AD175">
        <f>LOOKUP($A175,'Over to underbark'!$A$47:$A$48,'Over to underbark'!E$47:E$48)*AA175</f>
        <v>43.382522635199997</v>
      </c>
      <c r="AE175">
        <f>LOOKUP($A175,'Over to underbark'!$A$47:$A$48,'Over to underbark'!E$47:E$48)*AB175</f>
        <v>45.264317615999992</v>
      </c>
      <c r="AF175" t="b">
        <f t="shared" si="34"/>
        <v>1</v>
      </c>
      <c r="AG175" t="b">
        <f t="shared" si="35"/>
        <v>1</v>
      </c>
      <c r="AH175">
        <f>LOOKUP(A175,'Over to underbark'!$A$47:$A$48,'Over to underbark'!E$47:E$48)*M175</f>
        <v>175.22399999999999</v>
      </c>
      <c r="AI175" s="27">
        <f>LOOKUP(A175,'Over to underbark'!$A$47:$A$48,'Over to underbark'!$B$47:$B$48)*AH175</f>
        <v>59.576160000000002</v>
      </c>
      <c r="AJ175" s="27">
        <f>LOOKUP(A176,'Over to underbark'!$A$47:$A$48,'Over to underbark'!C$47:C$48)*AH175</f>
        <v>61.328399999999995</v>
      </c>
      <c r="AK175" s="27">
        <f t="shared" si="36"/>
        <v>234.80016000000001</v>
      </c>
      <c r="AL175" s="33">
        <v>559.04999999999995</v>
      </c>
      <c r="AM175" s="28">
        <f t="shared" si="37"/>
        <v>469.60032000000001</v>
      </c>
      <c r="AO175">
        <f t="shared" si="38"/>
        <v>0.67164179104477606</v>
      </c>
    </row>
    <row r="176" spans="1:41" x14ac:dyDescent="0.35">
      <c r="A176" t="s">
        <v>39</v>
      </c>
      <c r="B176">
        <v>8</v>
      </c>
      <c r="C176">
        <v>2</v>
      </c>
      <c r="D176" t="s">
        <v>40</v>
      </c>
      <c r="E176">
        <v>2</v>
      </c>
      <c r="F176">
        <v>1</v>
      </c>
      <c r="G176" s="16">
        <v>62</v>
      </c>
      <c r="H176" s="16">
        <v>18.652000000000001</v>
      </c>
      <c r="I176" s="16">
        <v>1315</v>
      </c>
      <c r="J176" s="16">
        <v>22.998000000000001</v>
      </c>
      <c r="K176" s="16">
        <v>54.625999999999998</v>
      </c>
      <c r="L176" s="16">
        <v>0.32400000000000001</v>
      </c>
      <c r="M176" s="23">
        <v>425.66</v>
      </c>
      <c r="N176" s="16">
        <v>5.6059999999999999</v>
      </c>
      <c r="O176" s="17">
        <v>6.8650000000000002</v>
      </c>
      <c r="P176" s="18">
        <v>62</v>
      </c>
      <c r="Q176" s="18">
        <v>22.998000000000001</v>
      </c>
      <c r="R176" s="18">
        <v>177.88300000000001</v>
      </c>
      <c r="S176" s="18">
        <v>247.77699999999999</v>
      </c>
      <c r="T176" s="14" t="b">
        <f t="shared" si="39"/>
        <v>1</v>
      </c>
      <c r="U176" s="14" t="b">
        <f t="shared" si="40"/>
        <v>1</v>
      </c>
      <c r="V176" s="15">
        <f>VLOOKUP(IF(J176&lt;10, 10, IF(J176&gt;50,50,J176)),'Over to underbark'!$A$3:$C$43,IF(A176="Scots pine",3,IF(A176="Sitka spruce",2, "error")),TRUE)/100</f>
        <v>0.84</v>
      </c>
      <c r="W176">
        <f t="shared" si="29"/>
        <v>134.47954800000002</v>
      </c>
      <c r="X176">
        <f t="shared" si="30"/>
        <v>187.319412</v>
      </c>
      <c r="Y176">
        <f t="shared" si="33"/>
        <v>61.295040000000014</v>
      </c>
      <c r="Z176">
        <f t="shared" si="41"/>
        <v>166.04629416000003</v>
      </c>
      <c r="AA176">
        <f t="shared" si="42"/>
        <v>104.65605864000001</v>
      </c>
      <c r="AB176">
        <f t="shared" si="43"/>
        <v>112.39164719999999</v>
      </c>
      <c r="AC176">
        <f>LOOKUP($A176,'Over to underbark'!$A$47:$A$48,'Over to underbark'!E$47:E$48)*Z176</f>
        <v>69.739443547200011</v>
      </c>
      <c r="AD176">
        <f>LOOKUP($A176,'Over to underbark'!$A$47:$A$48,'Over to underbark'!E$47:E$48)*AA176</f>
        <v>43.955544628800006</v>
      </c>
      <c r="AE176">
        <f>LOOKUP($A176,'Over to underbark'!$A$47:$A$48,'Over to underbark'!E$47:E$48)*AB176</f>
        <v>47.204491823999994</v>
      </c>
      <c r="AF176" t="b">
        <f t="shared" si="34"/>
        <v>1</v>
      </c>
      <c r="AG176" t="b">
        <f t="shared" si="35"/>
        <v>1</v>
      </c>
      <c r="AH176">
        <f>LOOKUP(A176,'Over to underbark'!$A$47:$A$48,'Over to underbark'!E$47:E$48)*M176</f>
        <v>178.77719999999999</v>
      </c>
      <c r="AI176" s="27">
        <f>LOOKUP(A176,'Over to underbark'!$A$47:$A$48,'Over to underbark'!$B$47:$B$48)*AH176</f>
        <v>60.784248000000005</v>
      </c>
      <c r="AJ176" s="27">
        <f>LOOKUP(A177,'Over to underbark'!$A$47:$A$48,'Over to underbark'!C$47:C$48)*AH176</f>
        <v>62.572019999999995</v>
      </c>
      <c r="AK176" s="27">
        <f t="shared" si="36"/>
        <v>239.56144799999998</v>
      </c>
      <c r="AL176" s="33">
        <v>570.38</v>
      </c>
      <c r="AM176" s="28">
        <f t="shared" si="37"/>
        <v>479.12289599999997</v>
      </c>
      <c r="AO176">
        <f t="shared" si="38"/>
        <v>0.67164179104477617</v>
      </c>
    </row>
    <row r="177" spans="1:41" x14ac:dyDescent="0.35">
      <c r="A177" t="s">
        <v>39</v>
      </c>
      <c r="B177">
        <v>8</v>
      </c>
      <c r="C177">
        <v>2</v>
      </c>
      <c r="D177" t="s">
        <v>40</v>
      </c>
      <c r="E177">
        <v>2</v>
      </c>
      <c r="F177">
        <v>1</v>
      </c>
      <c r="G177" s="16">
        <v>63</v>
      </c>
      <c r="H177" s="16">
        <v>18.844000000000001</v>
      </c>
      <c r="I177" s="16">
        <v>1297</v>
      </c>
      <c r="J177" s="16">
        <v>23.271999999999998</v>
      </c>
      <c r="K177" s="16">
        <v>55.168999999999997</v>
      </c>
      <c r="L177" s="16">
        <v>0.33500000000000002</v>
      </c>
      <c r="M177" s="23">
        <v>434.12</v>
      </c>
      <c r="N177" s="16">
        <v>5.8879999999999999</v>
      </c>
      <c r="O177" s="17">
        <v>6.891</v>
      </c>
      <c r="P177" s="18">
        <v>63</v>
      </c>
      <c r="Q177" s="18">
        <v>23.271999999999998</v>
      </c>
      <c r="R177" s="18">
        <v>176.142</v>
      </c>
      <c r="S177" s="18">
        <v>257.97800000000001</v>
      </c>
      <c r="T177" s="14" t="b">
        <f t="shared" si="39"/>
        <v>1</v>
      </c>
      <c r="U177" s="14" t="b">
        <f t="shared" si="40"/>
        <v>1</v>
      </c>
      <c r="V177" s="15">
        <f>VLOOKUP(IF(J177&lt;10, 10, IF(J177&gt;50,50,J177)),'Over to underbark'!$A$3:$C$43,IF(A177="Scots pine",3,IF(A177="Sitka spruce",2, "error")),TRUE)/100</f>
        <v>0.84</v>
      </c>
      <c r="W177">
        <f t="shared" si="29"/>
        <v>133.163352</v>
      </c>
      <c r="X177">
        <f t="shared" si="30"/>
        <v>195.03136800000001</v>
      </c>
      <c r="Y177">
        <f t="shared" si="33"/>
        <v>62.513280000000016</v>
      </c>
      <c r="Z177">
        <f t="shared" si="41"/>
        <v>167.67109583999999</v>
      </c>
      <c r="AA177">
        <f t="shared" si="42"/>
        <v>106.01808336000001</v>
      </c>
      <c r="AB177">
        <f t="shared" si="43"/>
        <v>117.0188208</v>
      </c>
      <c r="AC177">
        <f>LOOKUP($A177,'Over to underbark'!$A$47:$A$48,'Over to underbark'!E$47:E$48)*Z177</f>
        <v>70.421860252799988</v>
      </c>
      <c r="AD177">
        <f>LOOKUP($A177,'Over to underbark'!$A$47:$A$48,'Over to underbark'!E$47:E$48)*AA177</f>
        <v>44.527595011199999</v>
      </c>
      <c r="AE177">
        <f>LOOKUP($A177,'Over to underbark'!$A$47:$A$48,'Over to underbark'!E$47:E$48)*AB177</f>
        <v>49.147904736000001</v>
      </c>
      <c r="AF177" t="b">
        <f t="shared" si="34"/>
        <v>1</v>
      </c>
      <c r="AG177" t="b">
        <f t="shared" si="35"/>
        <v>1</v>
      </c>
      <c r="AH177">
        <f>LOOKUP(A177,'Over to underbark'!$A$47:$A$48,'Over to underbark'!E$47:E$48)*M177</f>
        <v>182.3304</v>
      </c>
      <c r="AI177" s="27">
        <f>LOOKUP(A177,'Over to underbark'!$A$47:$A$48,'Over to underbark'!$B$47:$B$48)*AH177</f>
        <v>61.992336000000002</v>
      </c>
      <c r="AJ177" s="27">
        <f>LOOKUP(A178,'Over to underbark'!$A$47:$A$48,'Over to underbark'!C$47:C$48)*AH177</f>
        <v>63.815639999999995</v>
      </c>
      <c r="AK177" s="27">
        <f t="shared" si="36"/>
        <v>244.32273599999999</v>
      </c>
      <c r="AL177" s="33">
        <v>581.72</v>
      </c>
      <c r="AM177" s="28">
        <f t="shared" si="37"/>
        <v>488.64547199999998</v>
      </c>
      <c r="AO177">
        <f t="shared" si="38"/>
        <v>0.67164179104477606</v>
      </c>
    </row>
    <row r="178" spans="1:41" x14ac:dyDescent="0.35">
      <c r="A178" t="s">
        <v>39</v>
      </c>
      <c r="B178">
        <v>8</v>
      </c>
      <c r="C178">
        <v>2</v>
      </c>
      <c r="D178" t="s">
        <v>40</v>
      </c>
      <c r="E178">
        <v>2</v>
      </c>
      <c r="F178">
        <v>1</v>
      </c>
      <c r="G178" s="16">
        <v>64</v>
      </c>
      <c r="H178" s="16">
        <v>19.036000000000001</v>
      </c>
      <c r="I178" s="16">
        <v>1278</v>
      </c>
      <c r="J178" s="16">
        <v>23.559000000000001</v>
      </c>
      <c r="K178" s="16">
        <v>55.712000000000003</v>
      </c>
      <c r="L178" s="16">
        <v>0.34599999999999997</v>
      </c>
      <c r="M178" s="23">
        <v>442.58</v>
      </c>
      <c r="N178" s="16">
        <v>6.157</v>
      </c>
      <c r="O178" s="17">
        <v>6.915</v>
      </c>
      <c r="P178" s="18">
        <v>64</v>
      </c>
      <c r="Q178" s="18">
        <v>23.559000000000001</v>
      </c>
      <c r="R178" s="18">
        <v>174.065</v>
      </c>
      <c r="S178" s="18">
        <v>268.51499999999999</v>
      </c>
      <c r="T178" s="14" t="b">
        <f t="shared" si="39"/>
        <v>1</v>
      </c>
      <c r="U178" s="14" t="b">
        <f t="shared" si="40"/>
        <v>1</v>
      </c>
      <c r="V178" s="15">
        <f>VLOOKUP(IF(J178&lt;10, 10, IF(J178&gt;50,50,J178)),'Over to underbark'!$A$3:$C$43,IF(A178="Scots pine",3,IF(A178="Sitka spruce",2, "error")),TRUE)/100</f>
        <v>0.84</v>
      </c>
      <c r="W178">
        <f t="shared" si="29"/>
        <v>131.59314000000001</v>
      </c>
      <c r="X178">
        <f t="shared" si="30"/>
        <v>202.99733999999998</v>
      </c>
      <c r="Y178">
        <f t="shared" si="33"/>
        <v>63.73152000000001</v>
      </c>
      <c r="Z178">
        <f t="shared" si="41"/>
        <v>169.18921080000001</v>
      </c>
      <c r="AA178">
        <f t="shared" si="42"/>
        <v>107.3343852</v>
      </c>
      <c r="AB178">
        <f t="shared" si="43"/>
        <v>121.79840399999998</v>
      </c>
      <c r="AC178">
        <f>LOOKUP($A178,'Over to underbark'!$A$47:$A$48,'Over to underbark'!E$47:E$48)*Z178</f>
        <v>71.059468535999997</v>
      </c>
      <c r="AD178">
        <f>LOOKUP($A178,'Over to underbark'!$A$47:$A$48,'Over to underbark'!E$47:E$48)*AA178</f>
        <v>45.080441784000001</v>
      </c>
      <c r="AE178">
        <f>LOOKUP($A178,'Over to underbark'!$A$47:$A$48,'Over to underbark'!E$47:E$48)*AB178</f>
        <v>51.155329679999987</v>
      </c>
      <c r="AF178" t="b">
        <f t="shared" si="34"/>
        <v>1</v>
      </c>
      <c r="AG178" t="b">
        <f t="shared" si="35"/>
        <v>1</v>
      </c>
      <c r="AH178">
        <f>LOOKUP(A178,'Over to underbark'!$A$47:$A$48,'Over to underbark'!E$47:E$48)*M178</f>
        <v>185.88359999999997</v>
      </c>
      <c r="AI178" s="27">
        <f>LOOKUP(A178,'Over to underbark'!$A$47:$A$48,'Over to underbark'!$B$47:$B$48)*AH178</f>
        <v>63.200423999999998</v>
      </c>
      <c r="AJ178" s="27">
        <f>LOOKUP(A179,'Over to underbark'!$A$47:$A$48,'Over to underbark'!C$47:C$48)*AH178</f>
        <v>65.059259999999981</v>
      </c>
      <c r="AK178" s="27">
        <f t="shared" si="36"/>
        <v>249.08402399999997</v>
      </c>
      <c r="AL178" s="33">
        <v>593.05999999999995</v>
      </c>
      <c r="AM178" s="28">
        <f t="shared" si="37"/>
        <v>498.16804799999994</v>
      </c>
      <c r="AO178">
        <f t="shared" si="38"/>
        <v>0.67164179104477606</v>
      </c>
    </row>
    <row r="179" spans="1:41" x14ac:dyDescent="0.35">
      <c r="A179" t="s">
        <v>39</v>
      </c>
      <c r="B179">
        <v>8</v>
      </c>
      <c r="C179">
        <v>2</v>
      </c>
      <c r="D179" t="s">
        <v>40</v>
      </c>
      <c r="E179">
        <v>2</v>
      </c>
      <c r="F179">
        <v>1</v>
      </c>
      <c r="G179" s="16">
        <v>65</v>
      </c>
      <c r="H179" s="16">
        <v>19.228000000000002</v>
      </c>
      <c r="I179" s="16">
        <v>1260</v>
      </c>
      <c r="J179" s="16">
        <v>23.841999999999999</v>
      </c>
      <c r="K179" s="16">
        <v>56.253999999999998</v>
      </c>
      <c r="L179" s="16">
        <v>0.35799999999999998</v>
      </c>
      <c r="M179" s="23">
        <v>451.04</v>
      </c>
      <c r="N179" s="16">
        <v>6.415</v>
      </c>
      <c r="O179" s="17">
        <v>6.9390000000000001</v>
      </c>
      <c r="P179" s="18">
        <v>65</v>
      </c>
      <c r="Q179" s="18">
        <v>23.841999999999999</v>
      </c>
      <c r="R179" s="18">
        <v>171.98599999999999</v>
      </c>
      <c r="S179" s="18">
        <v>279.05399999999997</v>
      </c>
      <c r="T179" s="14" t="b">
        <f t="shared" si="39"/>
        <v>1</v>
      </c>
      <c r="U179" s="14" t="b">
        <f t="shared" si="40"/>
        <v>1</v>
      </c>
      <c r="V179" s="15">
        <f>VLOOKUP(IF(J179&lt;10, 10, IF(J179&gt;50,50,J179)),'Over to underbark'!$A$3:$C$43,IF(A179="Scots pine",3,IF(A179="Sitka spruce",2, "error")),TRUE)/100</f>
        <v>0.84</v>
      </c>
      <c r="W179">
        <f t="shared" si="29"/>
        <v>130.02141599999999</v>
      </c>
      <c r="X179">
        <f t="shared" si="30"/>
        <v>210.96482399999999</v>
      </c>
      <c r="Y179">
        <f t="shared" si="33"/>
        <v>64.949760000000012</v>
      </c>
      <c r="Z179">
        <f t="shared" si="41"/>
        <v>170.70669072000001</v>
      </c>
      <c r="AA179">
        <f t="shared" si="42"/>
        <v>108.65041488</v>
      </c>
      <c r="AB179">
        <f t="shared" si="43"/>
        <v>126.5788944</v>
      </c>
      <c r="AC179">
        <f>LOOKUP($A179,'Over to underbark'!$A$47:$A$48,'Over to underbark'!E$47:E$48)*Z179</f>
        <v>71.696810102400008</v>
      </c>
      <c r="AD179">
        <f>LOOKUP($A179,'Over to underbark'!$A$47:$A$48,'Over to underbark'!E$47:E$48)*AA179</f>
        <v>45.633174249599996</v>
      </c>
      <c r="AE179">
        <f>LOOKUP($A179,'Over to underbark'!$A$47:$A$48,'Over to underbark'!E$47:E$48)*AB179</f>
        <v>53.163135647999994</v>
      </c>
      <c r="AF179" t="b">
        <f t="shared" si="34"/>
        <v>1</v>
      </c>
      <c r="AG179" t="b">
        <f t="shared" si="35"/>
        <v>1</v>
      </c>
      <c r="AH179">
        <f>LOOKUP(A179,'Over to underbark'!$A$47:$A$48,'Over to underbark'!E$47:E$48)*M179</f>
        <v>189.43680000000001</v>
      </c>
      <c r="AI179" s="27">
        <f>LOOKUP(A179,'Over to underbark'!$A$47:$A$48,'Over to underbark'!$B$47:$B$48)*AH179</f>
        <v>64.408512000000002</v>
      </c>
      <c r="AJ179" s="27">
        <f>LOOKUP(A180,'Over to underbark'!$A$47:$A$48,'Over to underbark'!C$47:C$48)*AH179</f>
        <v>66.302880000000002</v>
      </c>
      <c r="AK179" s="27">
        <f t="shared" si="36"/>
        <v>253.84531200000001</v>
      </c>
      <c r="AL179" s="33">
        <v>604.39</v>
      </c>
      <c r="AM179" s="28">
        <f t="shared" si="37"/>
        <v>507.69062400000001</v>
      </c>
      <c r="AO179">
        <f t="shared" si="38"/>
        <v>0.67164179104477606</v>
      </c>
    </row>
    <row r="180" spans="1:41" x14ac:dyDescent="0.35">
      <c r="A180" t="s">
        <v>39</v>
      </c>
      <c r="B180">
        <v>8</v>
      </c>
      <c r="C180">
        <v>2</v>
      </c>
      <c r="D180" t="s">
        <v>40</v>
      </c>
      <c r="E180">
        <v>2</v>
      </c>
      <c r="F180">
        <v>1</v>
      </c>
      <c r="G180" s="16">
        <v>66</v>
      </c>
      <c r="H180" s="16">
        <v>19.420000000000002</v>
      </c>
      <c r="I180" s="16">
        <v>1242</v>
      </c>
      <c r="J180" s="16">
        <v>24.13</v>
      </c>
      <c r="K180" s="16">
        <v>56.796999999999997</v>
      </c>
      <c r="L180" s="16">
        <v>0.37</v>
      </c>
      <c r="M180" s="23">
        <v>459.5</v>
      </c>
      <c r="N180" s="16">
        <v>6.6630000000000003</v>
      </c>
      <c r="O180" s="17">
        <v>6.9619999999999997</v>
      </c>
      <c r="P180" s="18">
        <v>66</v>
      </c>
      <c r="Q180" s="18">
        <v>24.13</v>
      </c>
      <c r="R180" s="18">
        <v>169.74</v>
      </c>
      <c r="S180" s="18">
        <v>289.76</v>
      </c>
      <c r="T180" s="14" t="b">
        <f t="shared" si="39"/>
        <v>1</v>
      </c>
      <c r="U180" s="14" t="b">
        <f t="shared" si="40"/>
        <v>1</v>
      </c>
      <c r="V180" s="15">
        <f>VLOOKUP(IF(J180&lt;10, 10, IF(J180&gt;50,50,J180)),'Over to underbark'!$A$3:$C$43,IF(A180="Scots pine",3,IF(A180="Sitka spruce",2, "error")),TRUE)/100</f>
        <v>0.84</v>
      </c>
      <c r="W180">
        <f t="shared" si="29"/>
        <v>128.32344000000001</v>
      </c>
      <c r="X180">
        <f t="shared" si="30"/>
        <v>219.05855999999997</v>
      </c>
      <c r="Y180">
        <f t="shared" si="33"/>
        <v>66.168000000000021</v>
      </c>
      <c r="Z180">
        <f t="shared" si="41"/>
        <v>172.17114480000001</v>
      </c>
      <c r="AA180">
        <f t="shared" si="42"/>
        <v>109.9437192</v>
      </c>
      <c r="AB180">
        <f t="shared" si="43"/>
        <v>131.43513599999997</v>
      </c>
      <c r="AC180">
        <f>LOOKUP($A180,'Over to underbark'!$A$47:$A$48,'Over to underbark'!E$47:E$48)*Z180</f>
        <v>72.311880815999999</v>
      </c>
      <c r="AD180">
        <f>LOOKUP($A180,'Over to underbark'!$A$47:$A$48,'Over to underbark'!E$47:E$48)*AA180</f>
        <v>46.176362064000003</v>
      </c>
      <c r="AE180">
        <f>LOOKUP($A180,'Over to underbark'!$A$47:$A$48,'Over to underbark'!E$47:E$48)*AB180</f>
        <v>55.202757119999987</v>
      </c>
      <c r="AF180" t="b">
        <f t="shared" si="34"/>
        <v>1</v>
      </c>
      <c r="AG180" t="b">
        <f t="shared" si="35"/>
        <v>1</v>
      </c>
      <c r="AH180">
        <f>LOOKUP(A180,'Over to underbark'!$A$47:$A$48,'Over to underbark'!E$47:E$48)*M180</f>
        <v>192.98999999999998</v>
      </c>
      <c r="AI180" s="27">
        <f>LOOKUP(A180,'Over to underbark'!$A$47:$A$48,'Over to underbark'!$B$47:$B$48)*AH180</f>
        <v>65.616599999999991</v>
      </c>
      <c r="AJ180" s="27">
        <f>LOOKUP(A181,'Over to underbark'!$A$47:$A$48,'Over to underbark'!C$47:C$48)*AH180</f>
        <v>67.546499999999995</v>
      </c>
      <c r="AK180" s="27">
        <f t="shared" si="36"/>
        <v>258.60659999999996</v>
      </c>
      <c r="AL180" s="33">
        <v>615.73</v>
      </c>
      <c r="AM180" s="28">
        <f t="shared" si="37"/>
        <v>517.21319999999992</v>
      </c>
      <c r="AO180">
        <f t="shared" si="38"/>
        <v>0.67164179104477617</v>
      </c>
    </row>
    <row r="181" spans="1:41" x14ac:dyDescent="0.35">
      <c r="A181" t="s">
        <v>39</v>
      </c>
      <c r="B181">
        <v>8</v>
      </c>
      <c r="C181">
        <v>2</v>
      </c>
      <c r="D181" t="s">
        <v>40</v>
      </c>
      <c r="E181">
        <v>2</v>
      </c>
      <c r="F181">
        <v>1</v>
      </c>
      <c r="G181" s="16">
        <v>67</v>
      </c>
      <c r="H181" s="16">
        <v>19.594000000000001</v>
      </c>
      <c r="I181" s="16">
        <v>1226</v>
      </c>
      <c r="J181" s="16">
        <v>24.388000000000002</v>
      </c>
      <c r="K181" s="16">
        <v>57.268999999999998</v>
      </c>
      <c r="L181" s="16">
        <v>0.38100000000000001</v>
      </c>
      <c r="M181" s="23">
        <v>466.96</v>
      </c>
      <c r="N181" s="16">
        <v>6.9649999999999999</v>
      </c>
      <c r="O181" s="17">
        <v>6.97</v>
      </c>
      <c r="P181" s="18">
        <v>67</v>
      </c>
      <c r="Q181" s="18">
        <v>24.388000000000002</v>
      </c>
      <c r="R181" s="18">
        <v>167.63</v>
      </c>
      <c r="S181" s="18">
        <v>299.33</v>
      </c>
      <c r="T181" s="14" t="b">
        <f t="shared" si="39"/>
        <v>1</v>
      </c>
      <c r="U181" s="14" t="b">
        <f t="shared" si="40"/>
        <v>1</v>
      </c>
      <c r="V181" s="15">
        <f>VLOOKUP(IF(J181&lt;10, 10, IF(J181&gt;50,50,J181)),'Over to underbark'!$A$3:$C$43,IF(A181="Scots pine",3,IF(A181="Sitka spruce",2, "error")),TRUE)/100</f>
        <v>0.84</v>
      </c>
      <c r="W181">
        <f t="shared" si="29"/>
        <v>126.72827999999998</v>
      </c>
      <c r="X181">
        <f t="shared" si="30"/>
        <v>226.29347999999999</v>
      </c>
      <c r="Y181">
        <f t="shared" si="33"/>
        <v>67.24224000000001</v>
      </c>
      <c r="Z181">
        <f t="shared" si="41"/>
        <v>173.42138159999999</v>
      </c>
      <c r="AA181">
        <f t="shared" si="42"/>
        <v>111.06653039999999</v>
      </c>
      <c r="AB181">
        <f t="shared" si="43"/>
        <v>135.77608799999999</v>
      </c>
      <c r="AC181">
        <f>LOOKUP($A181,'Over to underbark'!$A$47:$A$48,'Over to underbark'!E$47:E$48)*Z181</f>
        <v>72.836980271999991</v>
      </c>
      <c r="AD181">
        <f>LOOKUP($A181,'Over to underbark'!$A$47:$A$48,'Over to underbark'!E$47:E$48)*AA181</f>
        <v>46.647942767999993</v>
      </c>
      <c r="AE181">
        <f>LOOKUP($A181,'Over to underbark'!$A$47:$A$48,'Over to underbark'!E$47:E$48)*AB181</f>
        <v>57.025956959999995</v>
      </c>
      <c r="AF181" t="b">
        <f t="shared" si="34"/>
        <v>1</v>
      </c>
      <c r="AG181" t="b">
        <f t="shared" si="35"/>
        <v>1</v>
      </c>
      <c r="AH181">
        <f>LOOKUP(A181,'Over to underbark'!$A$47:$A$48,'Over to underbark'!E$47:E$48)*M181</f>
        <v>196.1232</v>
      </c>
      <c r="AI181" s="27">
        <f>LOOKUP(A181,'Over to underbark'!$A$47:$A$48,'Over to underbark'!$B$47:$B$48)*AH181</f>
        <v>66.681888000000001</v>
      </c>
      <c r="AJ181" s="27">
        <f>LOOKUP(A182,'Over to underbark'!$A$47:$A$48,'Over to underbark'!C$47:C$48)*AH181</f>
        <v>68.643119999999996</v>
      </c>
      <c r="AK181" s="27">
        <f t="shared" si="36"/>
        <v>262.80508800000001</v>
      </c>
      <c r="AL181" s="33">
        <v>625.73</v>
      </c>
      <c r="AM181" s="28">
        <f t="shared" si="37"/>
        <v>525.61017600000002</v>
      </c>
      <c r="AO181">
        <f t="shared" si="38"/>
        <v>0.67164179104477606</v>
      </c>
    </row>
    <row r="182" spans="1:41" x14ac:dyDescent="0.35">
      <c r="A182" t="s">
        <v>39</v>
      </c>
      <c r="B182">
        <v>8</v>
      </c>
      <c r="C182">
        <v>2</v>
      </c>
      <c r="D182" t="s">
        <v>40</v>
      </c>
      <c r="E182">
        <v>2</v>
      </c>
      <c r="F182">
        <v>1</v>
      </c>
      <c r="G182" s="16">
        <v>68</v>
      </c>
      <c r="H182" s="16">
        <v>19.768000000000001</v>
      </c>
      <c r="I182" s="16">
        <v>1210</v>
      </c>
      <c r="J182" s="16">
        <v>24.649000000000001</v>
      </c>
      <c r="K182" s="16">
        <v>57.741</v>
      </c>
      <c r="L182" s="16">
        <v>0.39200000000000002</v>
      </c>
      <c r="M182" s="23">
        <v>474.42</v>
      </c>
      <c r="N182" s="16">
        <v>7.2569999999999997</v>
      </c>
      <c r="O182" s="17">
        <v>6.9770000000000003</v>
      </c>
      <c r="P182" s="18">
        <v>68</v>
      </c>
      <c r="Q182" s="18">
        <v>24.649000000000001</v>
      </c>
      <c r="R182" s="18">
        <v>165.42099999999999</v>
      </c>
      <c r="S182" s="18">
        <v>308.99900000000002</v>
      </c>
      <c r="T182" s="14" t="b">
        <f t="shared" si="39"/>
        <v>1</v>
      </c>
      <c r="U182" s="14" t="b">
        <f t="shared" si="40"/>
        <v>1</v>
      </c>
      <c r="V182" s="15">
        <f>VLOOKUP(IF(J182&lt;10, 10, IF(J182&gt;50,50,J182)),'Over to underbark'!$A$3:$C$43,IF(A182="Scots pine",3,IF(A182="Sitka spruce",2, "error")),TRUE)/100</f>
        <v>0.84</v>
      </c>
      <c r="W182">
        <f t="shared" si="29"/>
        <v>125.05827599999998</v>
      </c>
      <c r="X182">
        <f t="shared" si="30"/>
        <v>233.60324400000002</v>
      </c>
      <c r="Y182">
        <f t="shared" si="33"/>
        <v>68.316480000000013</v>
      </c>
      <c r="Z182">
        <f t="shared" si="41"/>
        <v>174.64018392</v>
      </c>
      <c r="AA182">
        <f t="shared" si="42"/>
        <v>112.17586967999999</v>
      </c>
      <c r="AB182">
        <f t="shared" si="43"/>
        <v>140.16194640000001</v>
      </c>
      <c r="AC182">
        <f>LOOKUP($A182,'Over to underbark'!$A$47:$A$48,'Over to underbark'!E$47:E$48)*Z182</f>
        <v>73.348877246399994</v>
      </c>
      <c r="AD182">
        <f>LOOKUP($A182,'Over to underbark'!$A$47:$A$48,'Over to underbark'!E$47:E$48)*AA182</f>
        <v>47.113865265599998</v>
      </c>
      <c r="AE182">
        <f>LOOKUP($A182,'Over to underbark'!$A$47:$A$48,'Over to underbark'!E$47:E$48)*AB182</f>
        <v>58.868017488</v>
      </c>
      <c r="AF182" t="b">
        <f t="shared" si="34"/>
        <v>1</v>
      </c>
      <c r="AG182" t="b">
        <f t="shared" si="35"/>
        <v>1</v>
      </c>
      <c r="AH182">
        <f>LOOKUP(A182,'Over to underbark'!$A$47:$A$48,'Over to underbark'!E$47:E$48)*M182</f>
        <v>199.25640000000001</v>
      </c>
      <c r="AI182" s="27">
        <f>LOOKUP(A182,'Over to underbark'!$A$47:$A$48,'Over to underbark'!$B$47:$B$48)*AH182</f>
        <v>67.74717600000001</v>
      </c>
      <c r="AJ182" s="27">
        <f>LOOKUP(A183,'Over to underbark'!$A$47:$A$48,'Over to underbark'!C$47:C$48)*AH182</f>
        <v>69.739739999999998</v>
      </c>
      <c r="AK182" s="27">
        <f t="shared" si="36"/>
        <v>267.00357600000001</v>
      </c>
      <c r="AL182" s="33">
        <v>635.72</v>
      </c>
      <c r="AM182" s="28">
        <f t="shared" si="37"/>
        <v>534.00715200000002</v>
      </c>
      <c r="AO182">
        <f t="shared" si="38"/>
        <v>0.67164179104477606</v>
      </c>
    </row>
    <row r="183" spans="1:41" x14ac:dyDescent="0.35">
      <c r="A183" t="s">
        <v>39</v>
      </c>
      <c r="B183">
        <v>8</v>
      </c>
      <c r="C183">
        <v>2</v>
      </c>
      <c r="D183" t="s">
        <v>40</v>
      </c>
      <c r="E183">
        <v>2</v>
      </c>
      <c r="F183">
        <v>1</v>
      </c>
      <c r="G183" s="16">
        <v>69</v>
      </c>
      <c r="H183" s="16">
        <v>19.942</v>
      </c>
      <c r="I183" s="16">
        <v>1194</v>
      </c>
      <c r="J183" s="16">
        <v>24.914999999999999</v>
      </c>
      <c r="K183" s="16">
        <v>58.213999999999999</v>
      </c>
      <c r="L183" s="16">
        <v>0.40400000000000003</v>
      </c>
      <c r="M183" s="23">
        <v>481.88</v>
      </c>
      <c r="N183" s="16">
        <v>7.5369999999999999</v>
      </c>
      <c r="O183" s="17">
        <v>6.984</v>
      </c>
      <c r="P183" s="18">
        <v>69</v>
      </c>
      <c r="Q183" s="18">
        <v>24.914999999999999</v>
      </c>
      <c r="R183" s="18">
        <v>163.08000000000001</v>
      </c>
      <c r="S183" s="18">
        <v>318.8</v>
      </c>
      <c r="T183" s="14" t="b">
        <f t="shared" si="39"/>
        <v>1</v>
      </c>
      <c r="U183" s="14" t="b">
        <f t="shared" si="40"/>
        <v>1</v>
      </c>
      <c r="V183" s="15">
        <f>VLOOKUP(IF(J183&lt;10, 10, IF(J183&gt;50,50,J183)),'Over to underbark'!$A$3:$C$43,IF(A183="Scots pine",3,IF(A183="Sitka spruce",2, "error")),TRUE)/100</f>
        <v>0.84</v>
      </c>
      <c r="W183">
        <f t="shared" si="29"/>
        <v>123.28848000000001</v>
      </c>
      <c r="X183">
        <f t="shared" si="30"/>
        <v>241.0128</v>
      </c>
      <c r="Y183">
        <f t="shared" si="33"/>
        <v>69.390720000000016</v>
      </c>
      <c r="Z183">
        <f t="shared" si="41"/>
        <v>175.81707359999999</v>
      </c>
      <c r="AA183">
        <f t="shared" si="42"/>
        <v>113.2672464</v>
      </c>
      <c r="AB183">
        <f t="shared" si="43"/>
        <v>144.60767999999999</v>
      </c>
      <c r="AC183">
        <f>LOOKUP($A183,'Over to underbark'!$A$47:$A$48,'Over to underbark'!E$47:E$48)*Z183</f>
        <v>73.843170911999991</v>
      </c>
      <c r="AD183">
        <f>LOOKUP($A183,'Over to underbark'!$A$47:$A$48,'Over to underbark'!E$47:E$48)*AA183</f>
        <v>47.572243487999998</v>
      </c>
      <c r="AE183">
        <f>LOOKUP($A183,'Over to underbark'!$A$47:$A$48,'Over to underbark'!E$47:E$48)*AB183</f>
        <v>60.735225599999993</v>
      </c>
      <c r="AF183" t="b">
        <f t="shared" si="34"/>
        <v>1</v>
      </c>
      <c r="AG183" t="b">
        <f t="shared" si="35"/>
        <v>1</v>
      </c>
      <c r="AH183">
        <f>LOOKUP(A183,'Over to underbark'!$A$47:$A$48,'Over to underbark'!E$47:E$48)*M183</f>
        <v>202.3896</v>
      </c>
      <c r="AI183" s="27">
        <f>LOOKUP(A183,'Over to underbark'!$A$47:$A$48,'Over to underbark'!$B$47:$B$48)*AH183</f>
        <v>68.812464000000006</v>
      </c>
      <c r="AJ183" s="27">
        <f>LOOKUP(A184,'Over to underbark'!$A$47:$A$48,'Over to underbark'!C$47:C$48)*AH183</f>
        <v>70.836359999999999</v>
      </c>
      <c r="AK183" s="27">
        <f t="shared" si="36"/>
        <v>271.20206400000001</v>
      </c>
      <c r="AL183" s="33">
        <v>645.72</v>
      </c>
      <c r="AM183" s="28">
        <f t="shared" si="37"/>
        <v>542.40412800000001</v>
      </c>
      <c r="AO183">
        <f t="shared" si="38"/>
        <v>0.67164179104477606</v>
      </c>
    </row>
    <row r="184" spans="1:41" x14ac:dyDescent="0.35">
      <c r="A184" t="s">
        <v>39</v>
      </c>
      <c r="B184">
        <v>8</v>
      </c>
      <c r="C184">
        <v>2</v>
      </c>
      <c r="D184" t="s">
        <v>40</v>
      </c>
      <c r="E184">
        <v>2</v>
      </c>
      <c r="F184">
        <v>1</v>
      </c>
      <c r="G184" s="16">
        <v>70</v>
      </c>
      <c r="H184" s="16">
        <v>20.116</v>
      </c>
      <c r="I184" s="16">
        <v>1178</v>
      </c>
      <c r="J184" s="16">
        <v>25.184999999999999</v>
      </c>
      <c r="K184" s="16">
        <v>58.686</v>
      </c>
      <c r="L184" s="16">
        <v>0.41499999999999998</v>
      </c>
      <c r="M184" s="23">
        <v>489.34</v>
      </c>
      <c r="N184" s="16">
        <v>7.8070000000000004</v>
      </c>
      <c r="O184" s="17">
        <v>6.9909999999999997</v>
      </c>
      <c r="P184" s="18">
        <v>70</v>
      </c>
      <c r="Q184" s="18">
        <v>25.184999999999999</v>
      </c>
      <c r="R184" s="18">
        <v>160.63399999999999</v>
      </c>
      <c r="S184" s="18">
        <v>328.70600000000002</v>
      </c>
      <c r="T184" s="14" t="b">
        <f t="shared" si="39"/>
        <v>1</v>
      </c>
      <c r="U184" s="14" t="b">
        <f t="shared" si="40"/>
        <v>1</v>
      </c>
      <c r="V184" s="15">
        <f>VLOOKUP(IF(J184&lt;10, 10, IF(J184&gt;50,50,J184)),'Over to underbark'!$A$3:$C$43,IF(A184="Scots pine",3,IF(A184="Sitka spruce",2, "error")),TRUE)/100</f>
        <v>0.84</v>
      </c>
      <c r="W184">
        <f t="shared" si="29"/>
        <v>121.43930399999998</v>
      </c>
      <c r="X184">
        <f t="shared" si="30"/>
        <v>248.50173600000002</v>
      </c>
      <c r="Y184">
        <f t="shared" si="33"/>
        <v>70.464960000000019</v>
      </c>
      <c r="Z184">
        <f t="shared" si="41"/>
        <v>176.96062368</v>
      </c>
      <c r="AA184">
        <f t="shared" si="42"/>
        <v>114.34433472000001</v>
      </c>
      <c r="AB184">
        <f t="shared" si="43"/>
        <v>149.1010416</v>
      </c>
      <c r="AC184">
        <f>LOOKUP($A184,'Over to underbark'!$A$47:$A$48,'Over to underbark'!E$47:E$48)*Z184</f>
        <v>74.323461945600002</v>
      </c>
      <c r="AD184">
        <f>LOOKUP($A184,'Over to underbark'!$A$47:$A$48,'Over to underbark'!E$47:E$48)*AA184</f>
        <v>48.024620582400004</v>
      </c>
      <c r="AE184">
        <f>LOOKUP($A184,'Over to underbark'!$A$47:$A$48,'Over to underbark'!E$47:E$48)*AB184</f>
        <v>62.622437472000001</v>
      </c>
      <c r="AF184" t="b">
        <f t="shared" si="34"/>
        <v>1</v>
      </c>
      <c r="AG184" t="b">
        <f t="shared" si="35"/>
        <v>1</v>
      </c>
      <c r="AH184">
        <f>LOOKUP(A184,'Over to underbark'!$A$47:$A$48,'Over to underbark'!E$47:E$48)*M184</f>
        <v>205.52279999999999</v>
      </c>
      <c r="AI184" s="27">
        <f>LOOKUP(A184,'Over to underbark'!$A$47:$A$48,'Over to underbark'!$B$47:$B$48)*AH184</f>
        <v>69.877752000000001</v>
      </c>
      <c r="AJ184" s="27">
        <f>LOOKUP(A185,'Over to underbark'!$A$47:$A$48,'Over to underbark'!C$47:C$48)*AH184</f>
        <v>71.932979999999986</v>
      </c>
      <c r="AK184" s="27">
        <f t="shared" si="36"/>
        <v>275.400552</v>
      </c>
      <c r="AL184" s="33">
        <v>655.72</v>
      </c>
      <c r="AM184" s="28">
        <f t="shared" si="37"/>
        <v>550.80110400000001</v>
      </c>
      <c r="AO184">
        <f t="shared" si="38"/>
        <v>0.67164179104477617</v>
      </c>
    </row>
    <row r="185" spans="1:41" x14ac:dyDescent="0.35">
      <c r="A185" t="s">
        <v>39</v>
      </c>
      <c r="B185">
        <v>8</v>
      </c>
      <c r="C185">
        <v>2</v>
      </c>
      <c r="D185" t="s">
        <v>40</v>
      </c>
      <c r="E185">
        <v>2</v>
      </c>
      <c r="F185">
        <v>1</v>
      </c>
      <c r="G185" s="16">
        <v>71</v>
      </c>
      <c r="H185" s="16">
        <v>20.29</v>
      </c>
      <c r="I185" s="16">
        <v>1162</v>
      </c>
      <c r="J185" s="16">
        <v>25.46</v>
      </c>
      <c r="K185" s="16">
        <v>59.158000000000001</v>
      </c>
      <c r="L185" s="16">
        <v>0.42799999999999999</v>
      </c>
      <c r="M185" s="23">
        <v>496.8</v>
      </c>
      <c r="N185" s="16">
        <v>8.0679999999999996</v>
      </c>
      <c r="O185" s="17">
        <v>6.9969999999999999</v>
      </c>
      <c r="P185" s="18">
        <v>71</v>
      </c>
      <c r="Q185" s="18">
        <v>25.46</v>
      </c>
      <c r="R185" s="18">
        <v>158.07</v>
      </c>
      <c r="S185" s="18">
        <v>338.73</v>
      </c>
      <c r="T185" s="14" t="b">
        <f t="shared" si="39"/>
        <v>1</v>
      </c>
      <c r="U185" s="14" t="b">
        <f t="shared" si="40"/>
        <v>1</v>
      </c>
      <c r="V185" s="15">
        <f>VLOOKUP(IF(J185&lt;10, 10, IF(J185&gt;50,50,J185)),'Over to underbark'!$A$3:$C$43,IF(A185="Scots pine",3,IF(A185="Sitka spruce",2, "error")),TRUE)/100</f>
        <v>0.84</v>
      </c>
      <c r="W185">
        <f t="shared" si="29"/>
        <v>119.50091999999999</v>
      </c>
      <c r="X185">
        <f t="shared" si="30"/>
        <v>256.07988</v>
      </c>
      <c r="Y185">
        <f t="shared" si="33"/>
        <v>71.539200000000008</v>
      </c>
      <c r="Z185">
        <f t="shared" si="41"/>
        <v>178.06670639999999</v>
      </c>
      <c r="AA185">
        <f t="shared" si="42"/>
        <v>115.4053656</v>
      </c>
      <c r="AB185">
        <f t="shared" si="43"/>
        <v>153.64792800000001</v>
      </c>
      <c r="AC185">
        <f>LOOKUP($A185,'Over to underbark'!$A$47:$A$48,'Over to underbark'!E$47:E$48)*Z185</f>
        <v>74.788016687999985</v>
      </c>
      <c r="AD185">
        <f>LOOKUP($A185,'Over to underbark'!$A$47:$A$48,'Over to underbark'!E$47:E$48)*AA185</f>
        <v>48.470253551999996</v>
      </c>
      <c r="AE185">
        <f>LOOKUP($A185,'Over to underbark'!$A$47:$A$48,'Over to underbark'!E$47:E$48)*AB185</f>
        <v>64.532129760000004</v>
      </c>
      <c r="AF185" t="b">
        <f t="shared" si="34"/>
        <v>1</v>
      </c>
      <c r="AG185" t="b">
        <f t="shared" si="35"/>
        <v>1</v>
      </c>
      <c r="AH185">
        <f>LOOKUP(A185,'Over to underbark'!$A$47:$A$48,'Over to underbark'!E$47:E$48)*M185</f>
        <v>208.65600000000001</v>
      </c>
      <c r="AI185" s="27">
        <f>LOOKUP(A185,'Over to underbark'!$A$47:$A$48,'Over to underbark'!$B$47:$B$48)*AH185</f>
        <v>70.943040000000011</v>
      </c>
      <c r="AJ185" s="27">
        <f>LOOKUP(A186,'Over to underbark'!$A$47:$A$48,'Over to underbark'!C$47:C$48)*AH185</f>
        <v>73.029600000000002</v>
      </c>
      <c r="AK185" s="27">
        <f t="shared" si="36"/>
        <v>279.59904</v>
      </c>
      <c r="AL185" s="33">
        <v>665.71</v>
      </c>
      <c r="AM185" s="28">
        <f t="shared" si="37"/>
        <v>559.19808</v>
      </c>
      <c r="AO185">
        <f t="shared" si="38"/>
        <v>0.67164179104477606</v>
      </c>
    </row>
    <row r="186" spans="1:41" x14ac:dyDescent="0.35">
      <c r="A186" t="s">
        <v>39</v>
      </c>
      <c r="B186">
        <v>8</v>
      </c>
      <c r="C186">
        <v>2</v>
      </c>
      <c r="D186" t="s">
        <v>40</v>
      </c>
      <c r="E186">
        <v>2</v>
      </c>
      <c r="F186">
        <v>1</v>
      </c>
      <c r="G186" s="16">
        <v>72</v>
      </c>
      <c r="H186" s="16">
        <v>20.442</v>
      </c>
      <c r="I186" s="16">
        <v>1148</v>
      </c>
      <c r="J186" s="16">
        <v>25.704000000000001</v>
      </c>
      <c r="K186" s="16">
        <v>59.57</v>
      </c>
      <c r="L186" s="16">
        <v>0.438</v>
      </c>
      <c r="M186" s="23">
        <v>503.26</v>
      </c>
      <c r="N186" s="16">
        <v>8.3480000000000008</v>
      </c>
      <c r="O186" s="17">
        <v>6.99</v>
      </c>
      <c r="P186" s="18">
        <v>72</v>
      </c>
      <c r="Q186" s="18">
        <v>25.704000000000001</v>
      </c>
      <c r="R186" s="18">
        <v>155.72800000000001</v>
      </c>
      <c r="S186" s="18">
        <v>347.53199999999998</v>
      </c>
      <c r="T186" s="14" t="b">
        <f t="shared" si="39"/>
        <v>1</v>
      </c>
      <c r="U186" s="14" t="b">
        <f t="shared" si="40"/>
        <v>1</v>
      </c>
      <c r="V186" s="15">
        <f>VLOOKUP(IF(J186&lt;10, 10, IF(J186&gt;50,50,J186)),'Over to underbark'!$A$3:$C$43,IF(A186="Scots pine",3,IF(A186="Sitka spruce",2, "error")),TRUE)/100</f>
        <v>0.84</v>
      </c>
      <c r="W186">
        <f t="shared" si="29"/>
        <v>117.730368</v>
      </c>
      <c r="X186">
        <f t="shared" si="30"/>
        <v>262.73419200000001</v>
      </c>
      <c r="Y186">
        <f t="shared" si="33"/>
        <v>72.46944000000002</v>
      </c>
      <c r="Z186">
        <f t="shared" si="41"/>
        <v>178.98587856</v>
      </c>
      <c r="AA186">
        <f t="shared" si="42"/>
        <v>116.30760624</v>
      </c>
      <c r="AB186">
        <f t="shared" si="43"/>
        <v>157.64051520000001</v>
      </c>
      <c r="AC186">
        <f>LOOKUP($A186,'Over to underbark'!$A$47:$A$48,'Over to underbark'!E$47:E$48)*Z186</f>
        <v>75.174068995200003</v>
      </c>
      <c r="AD186">
        <f>LOOKUP($A186,'Over to underbark'!$A$47:$A$48,'Over to underbark'!E$47:E$48)*AA186</f>
        <v>48.849194620799999</v>
      </c>
      <c r="AE186">
        <f>LOOKUP($A186,'Over to underbark'!$A$47:$A$48,'Over to underbark'!E$47:E$48)*AB186</f>
        <v>66.209016384000009</v>
      </c>
      <c r="AF186" t="b">
        <f t="shared" si="34"/>
        <v>1</v>
      </c>
      <c r="AG186" t="b">
        <f t="shared" si="35"/>
        <v>1</v>
      </c>
      <c r="AH186">
        <f>LOOKUP(A186,'Over to underbark'!$A$47:$A$48,'Over to underbark'!E$47:E$48)*M186</f>
        <v>211.36919999999998</v>
      </c>
      <c r="AI186" s="27">
        <f>LOOKUP(A186,'Over to underbark'!$A$47:$A$48,'Over to underbark'!$B$47:$B$48)*AH186</f>
        <v>71.865527999999998</v>
      </c>
      <c r="AJ186" s="27">
        <f>LOOKUP(A187,'Over to underbark'!$A$47:$A$48,'Over to underbark'!C$47:C$48)*AH186</f>
        <v>73.979219999999984</v>
      </c>
      <c r="AK186" s="27">
        <f t="shared" si="36"/>
        <v>283.23472799999996</v>
      </c>
      <c r="AL186" s="33">
        <v>674.37</v>
      </c>
      <c r="AM186" s="28">
        <f t="shared" si="37"/>
        <v>566.46945599999992</v>
      </c>
      <c r="AO186">
        <f t="shared" si="38"/>
        <v>0.67164179104477617</v>
      </c>
    </row>
    <row r="187" spans="1:41" x14ac:dyDescent="0.35">
      <c r="A187" t="s">
        <v>39</v>
      </c>
      <c r="B187">
        <v>8</v>
      </c>
      <c r="C187">
        <v>2</v>
      </c>
      <c r="D187" t="s">
        <v>40</v>
      </c>
      <c r="E187">
        <v>2</v>
      </c>
      <c r="F187">
        <v>1</v>
      </c>
      <c r="G187" s="16">
        <v>73</v>
      </c>
      <c r="H187" s="16">
        <v>20.594000000000001</v>
      </c>
      <c r="I187" s="16">
        <v>1135</v>
      </c>
      <c r="J187" s="16">
        <v>25.94</v>
      </c>
      <c r="K187" s="16">
        <v>59.981999999999999</v>
      </c>
      <c r="L187" s="16">
        <v>0.44900000000000001</v>
      </c>
      <c r="M187" s="23">
        <v>509.72</v>
      </c>
      <c r="N187" s="16">
        <v>8.6199999999999992</v>
      </c>
      <c r="O187" s="17">
        <v>6.9820000000000002</v>
      </c>
      <c r="P187" s="18">
        <v>73</v>
      </c>
      <c r="Q187" s="18">
        <v>25.94</v>
      </c>
      <c r="R187" s="18">
        <v>153.51599999999999</v>
      </c>
      <c r="S187" s="18">
        <v>356.20400000000001</v>
      </c>
      <c r="T187" s="14" t="b">
        <f t="shared" si="39"/>
        <v>1</v>
      </c>
      <c r="U187" s="14" t="b">
        <f t="shared" si="40"/>
        <v>1</v>
      </c>
      <c r="V187" s="15">
        <f>VLOOKUP(IF(J187&lt;10, 10, IF(J187&gt;50,50,J187)),'Over to underbark'!$A$3:$C$43,IF(A187="Scots pine",3,IF(A187="Sitka spruce",2, "error")),TRUE)/100</f>
        <v>0.84</v>
      </c>
      <c r="W187">
        <f t="shared" si="29"/>
        <v>116.05809599999999</v>
      </c>
      <c r="X187">
        <f t="shared" si="30"/>
        <v>269.29022399999997</v>
      </c>
      <c r="Y187">
        <f t="shared" si="33"/>
        <v>73.399680000000018</v>
      </c>
      <c r="Z187">
        <f t="shared" si="41"/>
        <v>179.94632831999999</v>
      </c>
      <c r="AA187">
        <f t="shared" si="42"/>
        <v>117.22753727999998</v>
      </c>
      <c r="AB187">
        <f t="shared" si="43"/>
        <v>161.57413439999996</v>
      </c>
      <c r="AC187">
        <f>LOOKUP($A187,'Over to underbark'!$A$47:$A$48,'Over to underbark'!E$47:E$48)*Z187</f>
        <v>75.577457894399998</v>
      </c>
      <c r="AD187">
        <f>LOOKUP($A187,'Over to underbark'!$A$47:$A$48,'Over to underbark'!E$47:E$48)*AA187</f>
        <v>49.235565657599992</v>
      </c>
      <c r="AE187">
        <f>LOOKUP($A187,'Over to underbark'!$A$47:$A$48,'Over to underbark'!E$47:E$48)*AB187</f>
        <v>67.861136447999982</v>
      </c>
      <c r="AF187" t="b">
        <f t="shared" si="34"/>
        <v>1</v>
      </c>
      <c r="AG187" t="b">
        <f t="shared" si="35"/>
        <v>1</v>
      </c>
      <c r="AH187">
        <f>LOOKUP(A187,'Over to underbark'!$A$47:$A$48,'Over to underbark'!E$47:E$48)*M187</f>
        <v>214.08240000000001</v>
      </c>
      <c r="AI187" s="27">
        <f>LOOKUP(A187,'Over to underbark'!$A$47:$A$48,'Over to underbark'!$B$47:$B$48)*AH187</f>
        <v>72.788016000000013</v>
      </c>
      <c r="AJ187" s="27">
        <f>LOOKUP(A188,'Over to underbark'!$A$47:$A$48,'Over to underbark'!C$47:C$48)*AH187</f>
        <v>74.928839999999994</v>
      </c>
      <c r="AK187" s="27">
        <f t="shared" si="36"/>
        <v>286.87041600000003</v>
      </c>
      <c r="AL187" s="33">
        <v>683.02</v>
      </c>
      <c r="AM187" s="28">
        <f t="shared" si="37"/>
        <v>573.74083200000007</v>
      </c>
      <c r="AO187">
        <f t="shared" si="38"/>
        <v>0.67164179104477595</v>
      </c>
    </row>
    <row r="188" spans="1:41" x14ac:dyDescent="0.35">
      <c r="A188" t="s">
        <v>39</v>
      </c>
      <c r="B188">
        <v>8</v>
      </c>
      <c r="C188">
        <v>2</v>
      </c>
      <c r="D188" t="s">
        <v>40</v>
      </c>
      <c r="E188">
        <v>2</v>
      </c>
      <c r="F188">
        <v>1</v>
      </c>
      <c r="G188" s="16">
        <v>74</v>
      </c>
      <c r="H188" s="16">
        <v>20.745999999999999</v>
      </c>
      <c r="I188" s="16">
        <v>1121</v>
      </c>
      <c r="J188" s="16">
        <v>26.190999999999999</v>
      </c>
      <c r="K188" s="16">
        <v>60.393999999999998</v>
      </c>
      <c r="L188" s="16">
        <v>0.46</v>
      </c>
      <c r="M188" s="23">
        <v>516.17999999999995</v>
      </c>
      <c r="N188" s="16">
        <v>8.8829999999999991</v>
      </c>
      <c r="O188" s="17">
        <v>6.9749999999999996</v>
      </c>
      <c r="P188" s="18">
        <v>74</v>
      </c>
      <c r="Q188" s="18">
        <v>26.190999999999999</v>
      </c>
      <c r="R188" s="18">
        <v>151.03200000000001</v>
      </c>
      <c r="S188" s="18">
        <v>365.14800000000002</v>
      </c>
      <c r="T188" s="14" t="b">
        <f t="shared" si="39"/>
        <v>1</v>
      </c>
      <c r="U188" s="14" t="b">
        <f t="shared" si="40"/>
        <v>1</v>
      </c>
      <c r="V188" s="15">
        <f>VLOOKUP(IF(J188&lt;10, 10, IF(J188&gt;50,50,J188)),'Over to underbark'!$A$3:$C$43,IF(A188="Scots pine",3,IF(A188="Sitka spruce",2, "error")),TRUE)/100</f>
        <v>0.84</v>
      </c>
      <c r="W188">
        <f t="shared" si="29"/>
        <v>114.18019200000002</v>
      </c>
      <c r="X188">
        <f t="shared" si="30"/>
        <v>276.05188800000002</v>
      </c>
      <c r="Y188">
        <f t="shared" si="33"/>
        <v>74.32992000000003</v>
      </c>
      <c r="Z188">
        <f t="shared" si="41"/>
        <v>180.82041264000006</v>
      </c>
      <c r="AA188">
        <f t="shared" si="42"/>
        <v>118.11045456000002</v>
      </c>
      <c r="AB188">
        <f t="shared" si="43"/>
        <v>165.63113280000002</v>
      </c>
      <c r="AC188">
        <f>LOOKUP($A188,'Over to underbark'!$A$47:$A$48,'Over to underbark'!E$47:E$48)*Z188</f>
        <v>75.944573308800017</v>
      </c>
      <c r="AD188">
        <f>LOOKUP($A188,'Over to underbark'!$A$47:$A$48,'Over to underbark'!E$47:E$48)*AA188</f>
        <v>49.606390915200009</v>
      </c>
      <c r="AE188">
        <f>LOOKUP($A188,'Over to underbark'!$A$47:$A$48,'Over to underbark'!E$47:E$48)*AB188</f>
        <v>69.565075776</v>
      </c>
      <c r="AF188" t="b">
        <f t="shared" si="34"/>
        <v>1</v>
      </c>
      <c r="AG188" t="b">
        <f t="shared" si="35"/>
        <v>1</v>
      </c>
      <c r="AH188">
        <f>LOOKUP(A188,'Over to underbark'!$A$47:$A$48,'Over to underbark'!E$47:E$48)*M188</f>
        <v>216.79559999999998</v>
      </c>
      <c r="AI188" s="27">
        <f>LOOKUP(A188,'Over to underbark'!$A$47:$A$48,'Over to underbark'!$B$47:$B$48)*AH188</f>
        <v>73.710504</v>
      </c>
      <c r="AJ188" s="27">
        <f>LOOKUP(A189,'Over to underbark'!$A$47:$A$48,'Over to underbark'!C$47:C$48)*AH188</f>
        <v>75.87845999999999</v>
      </c>
      <c r="AK188" s="27">
        <f t="shared" si="36"/>
        <v>290.50610399999999</v>
      </c>
      <c r="AL188" s="33">
        <v>691.68</v>
      </c>
      <c r="AM188" s="28">
        <f t="shared" si="37"/>
        <v>581.01220799999999</v>
      </c>
      <c r="AO188">
        <f t="shared" si="38"/>
        <v>0.67164179104477617</v>
      </c>
    </row>
    <row r="189" spans="1:41" x14ac:dyDescent="0.35">
      <c r="A189" t="s">
        <v>39</v>
      </c>
      <c r="B189">
        <v>8</v>
      </c>
      <c r="C189">
        <v>2</v>
      </c>
      <c r="D189" t="s">
        <v>40</v>
      </c>
      <c r="E189">
        <v>2</v>
      </c>
      <c r="F189">
        <v>1</v>
      </c>
      <c r="G189" s="16">
        <v>75</v>
      </c>
      <c r="H189" s="16">
        <v>20.898</v>
      </c>
      <c r="I189" s="16">
        <v>1108</v>
      </c>
      <c r="J189" s="16">
        <v>26.434000000000001</v>
      </c>
      <c r="K189" s="16">
        <v>60.805999999999997</v>
      </c>
      <c r="L189" s="16">
        <v>0.47199999999999998</v>
      </c>
      <c r="M189" s="23">
        <v>522.64</v>
      </c>
      <c r="N189" s="16">
        <v>9.1379999999999999</v>
      </c>
      <c r="O189" s="17">
        <v>6.9690000000000003</v>
      </c>
      <c r="P189" s="18">
        <v>75</v>
      </c>
      <c r="Q189" s="18">
        <v>26.434000000000001</v>
      </c>
      <c r="R189" s="18">
        <v>148.68299999999999</v>
      </c>
      <c r="S189" s="18">
        <v>373.95699999999999</v>
      </c>
      <c r="T189" s="14" t="b">
        <f t="shared" si="39"/>
        <v>1</v>
      </c>
      <c r="U189" s="14" t="b">
        <f t="shared" si="40"/>
        <v>1</v>
      </c>
      <c r="V189" s="15">
        <f>VLOOKUP(IF(J189&lt;10, 10, IF(J189&gt;50,50,J189)),'Over to underbark'!$A$3:$C$43,IF(A189="Scots pine",3,IF(A189="Sitka spruce",2, "error")),TRUE)/100</f>
        <v>0.84</v>
      </c>
      <c r="W189">
        <f t="shared" si="29"/>
        <v>112.40434799999998</v>
      </c>
      <c r="X189">
        <f t="shared" si="30"/>
        <v>282.71149200000002</v>
      </c>
      <c r="Y189">
        <f t="shared" si="33"/>
        <v>75.260160000000013</v>
      </c>
      <c r="Z189">
        <f t="shared" si="41"/>
        <v>181.73736216</v>
      </c>
      <c r="AA189">
        <f t="shared" si="42"/>
        <v>119.01174263999999</v>
      </c>
      <c r="AB189">
        <f t="shared" si="43"/>
        <v>169.62689520000001</v>
      </c>
      <c r="AC189">
        <f>LOOKUP($A189,'Over to underbark'!$A$47:$A$48,'Over to underbark'!E$47:E$48)*Z189</f>
        <v>76.329692107200003</v>
      </c>
      <c r="AD189">
        <f>LOOKUP($A189,'Over to underbark'!$A$47:$A$48,'Over to underbark'!E$47:E$48)*AA189</f>
        <v>49.984931908799993</v>
      </c>
      <c r="AE189">
        <f>LOOKUP($A189,'Over to underbark'!$A$47:$A$48,'Over to underbark'!E$47:E$48)*AB189</f>
        <v>71.243295984</v>
      </c>
      <c r="AF189" t="b">
        <f t="shared" si="34"/>
        <v>1</v>
      </c>
      <c r="AG189" t="b">
        <f t="shared" si="35"/>
        <v>1</v>
      </c>
      <c r="AH189">
        <f>LOOKUP(A189,'Over to underbark'!$A$47:$A$48,'Over to underbark'!E$47:E$48)*M189</f>
        <v>219.50879999999998</v>
      </c>
      <c r="AI189" s="27">
        <f>LOOKUP(A189,'Over to underbark'!$A$47:$A$48,'Over to underbark'!$B$47:$B$48)*AH189</f>
        <v>74.632992000000002</v>
      </c>
      <c r="AJ189" s="27">
        <f>LOOKUP(A190,'Over to underbark'!$A$47:$A$48,'Over to underbark'!C$47:C$48)*AH189</f>
        <v>76.828079999999986</v>
      </c>
      <c r="AK189" s="27">
        <f t="shared" si="36"/>
        <v>294.14179200000001</v>
      </c>
      <c r="AL189" s="33">
        <v>700.34</v>
      </c>
      <c r="AM189" s="28">
        <f t="shared" si="37"/>
        <v>588.28358400000002</v>
      </c>
      <c r="AO189">
        <f t="shared" si="38"/>
        <v>0.67164179104477606</v>
      </c>
    </row>
    <row r="190" spans="1:41" x14ac:dyDescent="0.35">
      <c r="A190" t="s">
        <v>39</v>
      </c>
      <c r="B190">
        <v>8</v>
      </c>
      <c r="C190">
        <v>2</v>
      </c>
      <c r="D190" t="s">
        <v>40</v>
      </c>
      <c r="E190">
        <v>2</v>
      </c>
      <c r="F190">
        <v>1</v>
      </c>
      <c r="G190" s="16">
        <v>76</v>
      </c>
      <c r="H190" s="16">
        <v>21.05</v>
      </c>
      <c r="I190" s="16">
        <v>1095</v>
      </c>
      <c r="J190" s="16">
        <v>26.68</v>
      </c>
      <c r="K190" s="16">
        <v>61.218000000000004</v>
      </c>
      <c r="L190" s="16">
        <v>0.48299999999999998</v>
      </c>
      <c r="M190" s="23">
        <v>529.1</v>
      </c>
      <c r="N190" s="16">
        <v>9.3849999999999998</v>
      </c>
      <c r="O190" s="17">
        <v>6.9619999999999997</v>
      </c>
      <c r="P190" s="18">
        <v>76</v>
      </c>
      <c r="Q190" s="18">
        <v>26.68</v>
      </c>
      <c r="R190" s="18">
        <v>146.279</v>
      </c>
      <c r="S190" s="18">
        <v>382.82100000000003</v>
      </c>
      <c r="T190" s="14" t="b">
        <f t="shared" si="39"/>
        <v>1</v>
      </c>
      <c r="U190" s="14" t="b">
        <f t="shared" si="40"/>
        <v>1</v>
      </c>
      <c r="V190" s="15">
        <f>VLOOKUP(IF(J190&lt;10, 10, IF(J190&gt;50,50,J190)),'Over to underbark'!$A$3:$C$43,IF(A190="Scots pine",3,IF(A190="Sitka spruce",2, "error")),TRUE)/100</f>
        <v>0.84</v>
      </c>
      <c r="W190">
        <f t="shared" si="29"/>
        <v>110.58692400000001</v>
      </c>
      <c r="X190">
        <f t="shared" si="30"/>
        <v>289.41267599999998</v>
      </c>
      <c r="Y190">
        <f t="shared" si="33"/>
        <v>76.190400000000025</v>
      </c>
      <c r="Z190">
        <f t="shared" si="41"/>
        <v>182.63684808000002</v>
      </c>
      <c r="AA190">
        <f t="shared" si="42"/>
        <v>119.90554632</v>
      </c>
      <c r="AB190">
        <f t="shared" si="43"/>
        <v>173.64760559999999</v>
      </c>
      <c r="AC190">
        <f>LOOKUP($A190,'Over to underbark'!$A$47:$A$48,'Over to underbark'!E$47:E$48)*Z190</f>
        <v>76.707476193600002</v>
      </c>
      <c r="AD190">
        <f>LOOKUP($A190,'Over to underbark'!$A$47:$A$48,'Over to underbark'!E$47:E$48)*AA190</f>
        <v>50.360329454399995</v>
      </c>
      <c r="AE190">
        <f>LOOKUP($A190,'Over to underbark'!$A$47:$A$48,'Over to underbark'!E$47:E$48)*AB190</f>
        <v>72.93199435199999</v>
      </c>
      <c r="AF190" t="b">
        <f t="shared" si="34"/>
        <v>1</v>
      </c>
      <c r="AG190" t="b">
        <f t="shared" si="35"/>
        <v>1</v>
      </c>
      <c r="AH190">
        <f>LOOKUP(A190,'Over to underbark'!$A$47:$A$48,'Over to underbark'!E$47:E$48)*M190</f>
        <v>222.22200000000001</v>
      </c>
      <c r="AI190" s="27">
        <f>LOOKUP(A190,'Over to underbark'!$A$47:$A$48,'Over to underbark'!$B$47:$B$48)*AH190</f>
        <v>75.555480000000003</v>
      </c>
      <c r="AJ190" s="27">
        <f>LOOKUP(A191,'Over to underbark'!$A$47:$A$48,'Over to underbark'!C$47:C$48)*AH190</f>
        <v>77.777699999999996</v>
      </c>
      <c r="AK190" s="27">
        <f t="shared" si="36"/>
        <v>297.77748000000003</v>
      </c>
      <c r="AL190" s="33">
        <v>708.99</v>
      </c>
      <c r="AM190" s="28">
        <f t="shared" si="37"/>
        <v>595.55496000000005</v>
      </c>
      <c r="AO190">
        <f t="shared" si="38"/>
        <v>0.67164179104477606</v>
      </c>
    </row>
    <row r="191" spans="1:41" x14ac:dyDescent="0.35">
      <c r="A191" t="s">
        <v>39</v>
      </c>
      <c r="B191">
        <v>8</v>
      </c>
      <c r="C191">
        <v>2</v>
      </c>
      <c r="D191" t="s">
        <v>40</v>
      </c>
      <c r="E191">
        <v>2</v>
      </c>
      <c r="F191">
        <v>1</v>
      </c>
      <c r="G191" s="16">
        <v>77</v>
      </c>
      <c r="H191" s="16">
        <v>21.181999999999999</v>
      </c>
      <c r="I191" s="16">
        <v>1083</v>
      </c>
      <c r="J191" s="16">
        <v>26.895</v>
      </c>
      <c r="K191" s="16">
        <v>61.527000000000001</v>
      </c>
      <c r="L191" s="16">
        <v>0.49399999999999999</v>
      </c>
      <c r="M191" s="23">
        <v>534.54</v>
      </c>
      <c r="N191" s="16">
        <v>9.6329999999999991</v>
      </c>
      <c r="O191" s="17">
        <v>6.9420000000000002</v>
      </c>
      <c r="P191" s="18">
        <v>77</v>
      </c>
      <c r="Q191" s="18">
        <v>26.895</v>
      </c>
      <c r="R191" s="18">
        <v>144.12299999999999</v>
      </c>
      <c r="S191" s="18">
        <v>390.41699999999997</v>
      </c>
      <c r="T191" s="14" t="b">
        <f t="shared" si="39"/>
        <v>1</v>
      </c>
      <c r="U191" s="14" t="b">
        <f t="shared" si="40"/>
        <v>1</v>
      </c>
      <c r="V191" s="15">
        <f>VLOOKUP(IF(J191&lt;10, 10, IF(J191&gt;50,50,J191)),'Over to underbark'!$A$3:$C$43,IF(A191="Scots pine",3,IF(A191="Sitka spruce",2, "error")),TRUE)/100</f>
        <v>0.84</v>
      </c>
      <c r="W191">
        <f t="shared" si="29"/>
        <v>108.956988</v>
      </c>
      <c r="X191">
        <f t="shared" si="30"/>
        <v>295.15525199999996</v>
      </c>
      <c r="Y191">
        <f t="shared" si="33"/>
        <v>76.973760000000013</v>
      </c>
      <c r="Z191">
        <f t="shared" si="41"/>
        <v>183.35253096</v>
      </c>
      <c r="AA191">
        <f t="shared" si="42"/>
        <v>120.64031783999999</v>
      </c>
      <c r="AB191">
        <f t="shared" si="43"/>
        <v>177.09315119999997</v>
      </c>
      <c r="AC191">
        <f>LOOKUP($A191,'Over to underbark'!$A$47:$A$48,'Over to underbark'!E$47:E$48)*Z191</f>
        <v>77.008063003199993</v>
      </c>
      <c r="AD191">
        <f>LOOKUP($A191,'Over to underbark'!$A$47:$A$48,'Over to underbark'!E$47:E$48)*AA191</f>
        <v>50.668933492799994</v>
      </c>
      <c r="AE191">
        <f>LOOKUP($A191,'Over to underbark'!$A$47:$A$48,'Over to underbark'!E$47:E$48)*AB191</f>
        <v>74.379123503999978</v>
      </c>
      <c r="AF191" t="b">
        <f t="shared" si="34"/>
        <v>1</v>
      </c>
      <c r="AG191" t="b">
        <f t="shared" si="35"/>
        <v>1</v>
      </c>
      <c r="AH191">
        <f>LOOKUP(A191,'Over to underbark'!$A$47:$A$48,'Over to underbark'!E$47:E$48)*M191</f>
        <v>224.50679999999997</v>
      </c>
      <c r="AI191" s="27">
        <f>LOOKUP(A191,'Over to underbark'!$A$47:$A$48,'Over to underbark'!$B$47:$B$48)*AH191</f>
        <v>76.332312000000002</v>
      </c>
      <c r="AJ191" s="27">
        <f>LOOKUP(A192,'Over to underbark'!$A$47:$A$48,'Over to underbark'!C$47:C$48)*AH191</f>
        <v>78.577379999999991</v>
      </c>
      <c r="AK191" s="27">
        <f t="shared" si="36"/>
        <v>300.839112</v>
      </c>
      <c r="AL191" s="33">
        <v>716.28</v>
      </c>
      <c r="AM191" s="28">
        <f t="shared" si="37"/>
        <v>601.678224</v>
      </c>
      <c r="AO191">
        <f t="shared" si="38"/>
        <v>0.67164179104477595</v>
      </c>
    </row>
    <row r="192" spans="1:41" x14ac:dyDescent="0.35">
      <c r="A192" t="s">
        <v>39</v>
      </c>
      <c r="B192">
        <v>8</v>
      </c>
      <c r="C192">
        <v>2</v>
      </c>
      <c r="D192" t="s">
        <v>40</v>
      </c>
      <c r="E192">
        <v>2</v>
      </c>
      <c r="F192">
        <v>1</v>
      </c>
      <c r="G192" s="16">
        <v>78</v>
      </c>
      <c r="H192" s="16">
        <v>21.314</v>
      </c>
      <c r="I192" s="16">
        <v>1071</v>
      </c>
      <c r="J192" s="16">
        <v>27.113</v>
      </c>
      <c r="K192" s="16">
        <v>61.835999999999999</v>
      </c>
      <c r="L192" s="16">
        <v>0.504</v>
      </c>
      <c r="M192" s="23">
        <v>539.98</v>
      </c>
      <c r="N192" s="16">
        <v>9.8740000000000006</v>
      </c>
      <c r="O192" s="17">
        <v>6.923</v>
      </c>
      <c r="P192" s="18">
        <v>78</v>
      </c>
      <c r="Q192" s="18">
        <v>27.113</v>
      </c>
      <c r="R192" s="18">
        <v>141.92099999999999</v>
      </c>
      <c r="S192" s="18">
        <v>398.05900000000003</v>
      </c>
      <c r="T192" s="14" t="b">
        <f t="shared" si="39"/>
        <v>1</v>
      </c>
      <c r="U192" s="14" t="b">
        <f t="shared" si="40"/>
        <v>1</v>
      </c>
      <c r="V192" s="15">
        <f>VLOOKUP(IF(J192&lt;10, 10, IF(J192&gt;50,50,J192)),'Over to underbark'!$A$3:$C$43,IF(A192="Scots pine",3,IF(A192="Sitka spruce",2, "error")),TRUE)/100</f>
        <v>0.85</v>
      </c>
      <c r="W192">
        <f t="shared" ref="W192:W255" si="44">R192*0.9*V192</f>
        <v>108.569565</v>
      </c>
      <c r="X192">
        <f t="shared" ref="X192:X255" si="45">S192*0.9*V192</f>
        <v>304.51513499999999</v>
      </c>
      <c r="Y192">
        <f t="shared" si="33"/>
        <v>72.897300000000016</v>
      </c>
      <c r="Z192">
        <f t="shared" si="41"/>
        <v>180.45922229999999</v>
      </c>
      <c r="AA192">
        <f t="shared" si="42"/>
        <v>122.81369669999999</v>
      </c>
      <c r="AB192">
        <f t="shared" si="43"/>
        <v>182.709081</v>
      </c>
      <c r="AC192">
        <f>LOOKUP($A192,'Over to underbark'!$A$47:$A$48,'Over to underbark'!E$47:E$48)*Z192</f>
        <v>75.792873365999995</v>
      </c>
      <c r="AD192">
        <f>LOOKUP($A192,'Over to underbark'!$A$47:$A$48,'Over to underbark'!E$47:E$48)*AA192</f>
        <v>51.581752613999996</v>
      </c>
      <c r="AE192">
        <f>LOOKUP($A192,'Over to underbark'!$A$47:$A$48,'Over to underbark'!E$47:E$48)*AB192</f>
        <v>76.737814020000002</v>
      </c>
      <c r="AF192" t="b">
        <f t="shared" si="34"/>
        <v>1</v>
      </c>
      <c r="AG192" t="b">
        <f t="shared" si="35"/>
        <v>1</v>
      </c>
      <c r="AH192">
        <f>LOOKUP(A192,'Over to underbark'!$A$47:$A$48,'Over to underbark'!E$47:E$48)*M192</f>
        <v>226.79159999999999</v>
      </c>
      <c r="AI192" s="27">
        <f>LOOKUP(A192,'Over to underbark'!$A$47:$A$48,'Over to underbark'!$B$47:$B$48)*AH192</f>
        <v>77.109144000000001</v>
      </c>
      <c r="AJ192" s="27">
        <f>LOOKUP(A193,'Over to underbark'!$A$47:$A$48,'Over to underbark'!C$47:C$48)*AH192</f>
        <v>79.377059999999986</v>
      </c>
      <c r="AK192" s="27">
        <f t="shared" si="36"/>
        <v>303.90074399999997</v>
      </c>
      <c r="AL192" s="33">
        <v>723.57</v>
      </c>
      <c r="AM192" s="28">
        <f t="shared" si="37"/>
        <v>607.80148799999995</v>
      </c>
      <c r="AO192">
        <f t="shared" si="38"/>
        <v>0.67164179104477617</v>
      </c>
    </row>
    <row r="193" spans="1:41" x14ac:dyDescent="0.35">
      <c r="A193" t="s">
        <v>39</v>
      </c>
      <c r="B193">
        <v>8</v>
      </c>
      <c r="C193">
        <v>2</v>
      </c>
      <c r="D193" t="s">
        <v>40</v>
      </c>
      <c r="E193">
        <v>2</v>
      </c>
      <c r="F193">
        <v>1</v>
      </c>
      <c r="G193" s="16">
        <v>79</v>
      </c>
      <c r="H193" s="16">
        <v>21.446000000000002</v>
      </c>
      <c r="I193" s="16">
        <v>1060</v>
      </c>
      <c r="J193" s="16">
        <v>27.321999999999999</v>
      </c>
      <c r="K193" s="16">
        <v>62.145000000000003</v>
      </c>
      <c r="L193" s="16">
        <v>0.51500000000000001</v>
      </c>
      <c r="M193" s="23">
        <v>545.41999999999996</v>
      </c>
      <c r="N193" s="16">
        <v>10.109</v>
      </c>
      <c r="O193" s="17">
        <v>6.9039999999999999</v>
      </c>
      <c r="P193" s="18">
        <v>79</v>
      </c>
      <c r="Q193" s="18">
        <v>27.321999999999999</v>
      </c>
      <c r="R193" s="18">
        <v>139.875</v>
      </c>
      <c r="S193" s="18">
        <v>405.54500000000002</v>
      </c>
      <c r="T193" s="14" t="b">
        <f t="shared" si="39"/>
        <v>1</v>
      </c>
      <c r="U193" s="14" t="b">
        <f t="shared" si="40"/>
        <v>1</v>
      </c>
      <c r="V193" s="15">
        <f>VLOOKUP(IF(J193&lt;10, 10, IF(J193&gt;50,50,J193)),'Over to underbark'!$A$3:$C$43,IF(A193="Scots pine",3,IF(A193="Sitka spruce",2, "error")),TRUE)/100</f>
        <v>0.85</v>
      </c>
      <c r="W193">
        <f t="shared" si="44"/>
        <v>107.004375</v>
      </c>
      <c r="X193">
        <f t="shared" si="45"/>
        <v>310.24192499999998</v>
      </c>
      <c r="Y193">
        <f t="shared" si="33"/>
        <v>73.631700000000023</v>
      </c>
      <c r="Z193">
        <f t="shared" si="41"/>
        <v>181.1604825</v>
      </c>
      <c r="AA193">
        <f t="shared" si="42"/>
        <v>123.5723625</v>
      </c>
      <c r="AB193">
        <f t="shared" si="43"/>
        <v>186.14515499999999</v>
      </c>
      <c r="AC193">
        <f>LOOKUP($A193,'Over to underbark'!$A$47:$A$48,'Over to underbark'!E$47:E$48)*Z193</f>
        <v>76.087402650000001</v>
      </c>
      <c r="AD193">
        <f>LOOKUP($A193,'Over to underbark'!$A$47:$A$48,'Over to underbark'!E$47:E$48)*AA193</f>
        <v>51.900392249999996</v>
      </c>
      <c r="AE193">
        <f>LOOKUP($A193,'Over to underbark'!$A$47:$A$48,'Over to underbark'!E$47:E$48)*AB193</f>
        <v>78.180965099999995</v>
      </c>
      <c r="AF193" t="b">
        <f t="shared" si="34"/>
        <v>1</v>
      </c>
      <c r="AG193" t="b">
        <f t="shared" si="35"/>
        <v>1</v>
      </c>
      <c r="AH193">
        <f>LOOKUP(A193,'Over to underbark'!$A$47:$A$48,'Over to underbark'!E$47:E$48)*M193</f>
        <v>229.07639999999998</v>
      </c>
      <c r="AI193" s="27">
        <f>LOOKUP(A193,'Over to underbark'!$A$47:$A$48,'Over to underbark'!$B$47:$B$48)*AH193</f>
        <v>77.885975999999999</v>
      </c>
      <c r="AJ193" s="27">
        <f>LOOKUP(A194,'Over to underbark'!$A$47:$A$48,'Over to underbark'!C$47:C$48)*AH193</f>
        <v>80.176739999999981</v>
      </c>
      <c r="AK193" s="27">
        <f t="shared" si="36"/>
        <v>306.96237599999995</v>
      </c>
      <c r="AL193" s="33">
        <v>730.86</v>
      </c>
      <c r="AM193" s="28">
        <f t="shared" si="37"/>
        <v>613.9247519999999</v>
      </c>
      <c r="AO193">
        <f t="shared" si="38"/>
        <v>0.67164179104477617</v>
      </c>
    </row>
    <row r="194" spans="1:41" x14ac:dyDescent="0.35">
      <c r="A194" t="s">
        <v>39</v>
      </c>
      <c r="B194">
        <v>8</v>
      </c>
      <c r="C194">
        <v>2</v>
      </c>
      <c r="D194" t="s">
        <v>40</v>
      </c>
      <c r="E194">
        <v>2</v>
      </c>
      <c r="F194">
        <v>1</v>
      </c>
      <c r="G194" s="16">
        <v>80</v>
      </c>
      <c r="H194" s="16">
        <v>21.577999999999999</v>
      </c>
      <c r="I194" s="16">
        <v>1048</v>
      </c>
      <c r="J194" s="16">
        <v>27.545999999999999</v>
      </c>
      <c r="K194" s="16">
        <v>62.454000000000001</v>
      </c>
      <c r="L194" s="16">
        <v>0.52600000000000002</v>
      </c>
      <c r="M194" s="23">
        <v>550.86</v>
      </c>
      <c r="N194" s="16">
        <v>10.339</v>
      </c>
      <c r="O194" s="17">
        <v>6.8860000000000001</v>
      </c>
      <c r="P194" s="18">
        <v>80</v>
      </c>
      <c r="Q194" s="18">
        <v>27.545999999999999</v>
      </c>
      <c r="R194" s="18">
        <v>137.589</v>
      </c>
      <c r="S194" s="18">
        <v>413.27100000000002</v>
      </c>
      <c r="T194" s="14" t="b">
        <f t="shared" si="39"/>
        <v>1</v>
      </c>
      <c r="U194" s="14" t="b">
        <f t="shared" si="40"/>
        <v>1</v>
      </c>
      <c r="V194" s="15">
        <f>VLOOKUP(IF(J194&lt;10, 10, IF(J194&gt;50,50,J194)),'Over to underbark'!$A$3:$C$43,IF(A194="Scots pine",3,IF(A194="Sitka spruce",2, "error")),TRUE)/100</f>
        <v>0.85</v>
      </c>
      <c r="W194">
        <f t="shared" si="44"/>
        <v>105.255585</v>
      </c>
      <c r="X194">
        <f t="shared" si="45"/>
        <v>316.15231500000004</v>
      </c>
      <c r="Y194">
        <f t="shared" si="33"/>
        <v>74.366100000000017</v>
      </c>
      <c r="Z194">
        <f t="shared" si="41"/>
        <v>181.78463070000004</v>
      </c>
      <c r="AA194">
        <f t="shared" si="42"/>
        <v>124.29798030000001</v>
      </c>
      <c r="AB194">
        <f t="shared" si="43"/>
        <v>189.69138900000002</v>
      </c>
      <c r="AC194">
        <f>LOOKUP($A194,'Over to underbark'!$A$47:$A$48,'Over to underbark'!E$47:E$48)*Z194</f>
        <v>76.349544894000019</v>
      </c>
      <c r="AD194">
        <f>LOOKUP($A194,'Over to underbark'!$A$47:$A$48,'Over to underbark'!E$47:E$48)*AA194</f>
        <v>52.205151726000004</v>
      </c>
      <c r="AE194">
        <f>LOOKUP($A194,'Over to underbark'!$A$47:$A$48,'Over to underbark'!E$47:E$48)*AB194</f>
        <v>79.670383380000004</v>
      </c>
      <c r="AF194" t="b">
        <f t="shared" si="34"/>
        <v>1</v>
      </c>
      <c r="AG194" t="b">
        <f t="shared" si="35"/>
        <v>1</v>
      </c>
      <c r="AH194">
        <f>LOOKUP(A194,'Over to underbark'!$A$47:$A$48,'Over to underbark'!E$47:E$48)*M194</f>
        <v>231.3612</v>
      </c>
      <c r="AI194" s="27">
        <f>LOOKUP(A194,'Over to underbark'!$A$47:$A$48,'Over to underbark'!$B$47:$B$48)*AH194</f>
        <v>78.662807999999998</v>
      </c>
      <c r="AJ194" s="27">
        <f>LOOKUP(A195,'Over to underbark'!$A$47:$A$48,'Over to underbark'!C$47:C$48)*AH194</f>
        <v>80.97641999999999</v>
      </c>
      <c r="AK194" s="27">
        <f t="shared" si="36"/>
        <v>310.02400799999998</v>
      </c>
      <c r="AL194" s="33">
        <v>738.15</v>
      </c>
      <c r="AM194" s="28">
        <f t="shared" si="37"/>
        <v>620.04801599999996</v>
      </c>
      <c r="AO194">
        <f t="shared" si="38"/>
        <v>0.67164179104477617</v>
      </c>
    </row>
    <row r="195" spans="1:41" x14ac:dyDescent="0.35">
      <c r="A195" t="s">
        <v>39</v>
      </c>
      <c r="B195">
        <v>8</v>
      </c>
      <c r="C195">
        <v>2</v>
      </c>
      <c r="D195" t="s">
        <v>40</v>
      </c>
      <c r="E195">
        <v>2</v>
      </c>
      <c r="F195">
        <v>1</v>
      </c>
      <c r="G195" s="16">
        <v>81</v>
      </c>
      <c r="H195" s="16">
        <v>21.71</v>
      </c>
      <c r="I195" s="16">
        <v>1037</v>
      </c>
      <c r="J195" s="16">
        <v>27.76</v>
      </c>
      <c r="K195" s="16">
        <v>62.764000000000003</v>
      </c>
      <c r="L195" s="16">
        <v>0.53600000000000003</v>
      </c>
      <c r="M195" s="23">
        <v>556.29999999999995</v>
      </c>
      <c r="N195" s="16">
        <v>10.563000000000001</v>
      </c>
      <c r="O195" s="17">
        <v>6.8680000000000003</v>
      </c>
      <c r="P195" s="18">
        <v>81</v>
      </c>
      <c r="Q195" s="18">
        <v>27.76</v>
      </c>
      <c r="R195" s="18">
        <v>135.47499999999999</v>
      </c>
      <c r="S195" s="18">
        <v>420.82499999999999</v>
      </c>
      <c r="T195" s="14" t="b">
        <f t="shared" si="39"/>
        <v>1</v>
      </c>
      <c r="U195" s="14" t="b">
        <f t="shared" si="40"/>
        <v>1</v>
      </c>
      <c r="V195" s="15">
        <f>VLOOKUP(IF(J195&lt;10, 10, IF(J195&gt;50,50,J195)),'Over to underbark'!$A$3:$C$43,IF(A195="Scots pine",3,IF(A195="Sitka spruce",2, "error")),TRUE)/100</f>
        <v>0.85</v>
      </c>
      <c r="W195">
        <f t="shared" si="44"/>
        <v>103.638375</v>
      </c>
      <c r="X195">
        <f t="shared" si="45"/>
        <v>321.93112500000001</v>
      </c>
      <c r="Y195">
        <f t="shared" si="33"/>
        <v>75.100500000000011</v>
      </c>
      <c r="Z195">
        <f t="shared" si="41"/>
        <v>182.46404250000001</v>
      </c>
      <c r="AA195">
        <f t="shared" si="42"/>
        <v>125.04728249999999</v>
      </c>
      <c r="AB195">
        <f t="shared" si="43"/>
        <v>193.15867499999999</v>
      </c>
      <c r="AC195">
        <f>LOOKUP($A195,'Over to underbark'!$A$47:$A$48,'Over to underbark'!E$47:E$48)*Z195</f>
        <v>76.634897850000002</v>
      </c>
      <c r="AD195">
        <f>LOOKUP($A195,'Over to underbark'!$A$47:$A$48,'Over to underbark'!E$47:E$48)*AA195</f>
        <v>52.519858649999996</v>
      </c>
      <c r="AE195">
        <f>LOOKUP($A195,'Over to underbark'!$A$47:$A$48,'Over to underbark'!E$47:E$48)*AB195</f>
        <v>81.126643499999986</v>
      </c>
      <c r="AF195" t="b">
        <f t="shared" si="34"/>
        <v>1</v>
      </c>
      <c r="AG195" t="b">
        <f t="shared" si="35"/>
        <v>1</v>
      </c>
      <c r="AH195">
        <f>LOOKUP(A195,'Over to underbark'!$A$47:$A$48,'Over to underbark'!E$47:E$48)*M195</f>
        <v>233.64599999999996</v>
      </c>
      <c r="AI195" s="27">
        <f>LOOKUP(A195,'Over to underbark'!$A$47:$A$48,'Over to underbark'!$B$47:$B$48)*AH195</f>
        <v>79.439639999999997</v>
      </c>
      <c r="AJ195" s="27">
        <f>LOOKUP(A196,'Over to underbark'!$A$47:$A$48,'Over to underbark'!C$47:C$48)*AH195</f>
        <v>81.776099999999985</v>
      </c>
      <c r="AK195" s="27">
        <f t="shared" si="36"/>
        <v>313.08563999999996</v>
      </c>
      <c r="AL195" s="33">
        <v>745.44</v>
      </c>
      <c r="AM195" s="28">
        <f t="shared" si="37"/>
        <v>626.17127999999991</v>
      </c>
      <c r="AO195">
        <f t="shared" si="38"/>
        <v>0.67164179104477606</v>
      </c>
    </row>
    <row r="196" spans="1:41" x14ac:dyDescent="0.35">
      <c r="A196" t="s">
        <v>39</v>
      </c>
      <c r="B196">
        <v>8</v>
      </c>
      <c r="C196">
        <v>2</v>
      </c>
      <c r="D196" t="s">
        <v>40</v>
      </c>
      <c r="E196">
        <v>2</v>
      </c>
      <c r="F196">
        <v>1</v>
      </c>
      <c r="G196" s="16">
        <v>82</v>
      </c>
      <c r="H196" s="16">
        <v>21.824000000000002</v>
      </c>
      <c r="I196" s="16">
        <v>1026</v>
      </c>
      <c r="J196" s="16">
        <v>27.954999999999998</v>
      </c>
      <c r="K196" s="16">
        <v>62.973999999999997</v>
      </c>
      <c r="L196" s="16">
        <v>0.54700000000000004</v>
      </c>
      <c r="M196" s="23">
        <v>560.91999999999996</v>
      </c>
      <c r="N196" s="16">
        <v>10.755000000000001</v>
      </c>
      <c r="O196" s="17">
        <v>6.84</v>
      </c>
      <c r="P196" s="18">
        <v>82</v>
      </c>
      <c r="Q196" s="18">
        <v>27.954999999999998</v>
      </c>
      <c r="R196" s="18">
        <v>133.477</v>
      </c>
      <c r="S196" s="18">
        <v>427.44299999999998</v>
      </c>
      <c r="T196" s="14" t="b">
        <f t="shared" si="39"/>
        <v>1</v>
      </c>
      <c r="U196" s="14" t="b">
        <f t="shared" si="40"/>
        <v>1</v>
      </c>
      <c r="V196" s="15">
        <f>VLOOKUP(IF(J196&lt;10, 10, IF(J196&gt;50,50,J196)),'Over to underbark'!$A$3:$C$43,IF(A196="Scots pine",3,IF(A196="Sitka spruce",2, "error")),TRUE)/100</f>
        <v>0.85</v>
      </c>
      <c r="W196">
        <f t="shared" si="44"/>
        <v>102.109905</v>
      </c>
      <c r="X196">
        <f t="shared" si="45"/>
        <v>326.99389499999995</v>
      </c>
      <c r="Y196">
        <f t="shared" ref="Y196:Y259" si="46">(R196+S196)*0.9*(100%-V196)</f>
        <v>75.72420000000001</v>
      </c>
      <c r="Z196">
        <f t="shared" si="41"/>
        <v>182.9759301</v>
      </c>
      <c r="AA196">
        <f t="shared" si="42"/>
        <v>125.65573289999999</v>
      </c>
      <c r="AB196">
        <f t="shared" si="43"/>
        <v>196.19633699999997</v>
      </c>
      <c r="AC196">
        <f>LOOKUP($A196,'Over to underbark'!$A$47:$A$48,'Over to underbark'!E$47:E$48)*Z196</f>
        <v>76.849890641999991</v>
      </c>
      <c r="AD196">
        <f>LOOKUP($A196,'Over to underbark'!$A$47:$A$48,'Over to underbark'!E$47:E$48)*AA196</f>
        <v>52.775407817999991</v>
      </c>
      <c r="AE196">
        <f>LOOKUP($A196,'Over to underbark'!$A$47:$A$48,'Over to underbark'!E$47:E$48)*AB196</f>
        <v>82.40246153999999</v>
      </c>
      <c r="AF196" t="b">
        <f t="shared" ref="AF196:AF259" si="47">SUM(W196:Y196)=SUM(Z196:AB196)</f>
        <v>1</v>
      </c>
      <c r="AG196" t="b">
        <f t="shared" ref="AG196:AG259" si="48">SUM(R196:S196)*0.9 = SUM(W196:Y196)</f>
        <v>1</v>
      </c>
      <c r="AH196">
        <f>LOOKUP(A196,'Over to underbark'!$A$47:$A$48,'Over to underbark'!E$47:E$48)*M196</f>
        <v>235.58639999999997</v>
      </c>
      <c r="AI196" s="27">
        <f>LOOKUP(A196,'Over to underbark'!$A$47:$A$48,'Over to underbark'!$B$47:$B$48)*AH196</f>
        <v>80.099375999999992</v>
      </c>
      <c r="AJ196" s="27">
        <f>LOOKUP(A197,'Over to underbark'!$A$47:$A$48,'Over to underbark'!C$47:C$48)*AH196</f>
        <v>82.455239999999989</v>
      </c>
      <c r="AK196" s="27">
        <f t="shared" ref="AK196:AK259" si="49">AH196+AI196</f>
        <v>315.68577599999998</v>
      </c>
      <c r="AL196" s="33">
        <v>751.63</v>
      </c>
      <c r="AM196" s="28">
        <f t="shared" ref="AM196:AM259" si="50">AK196*2</f>
        <v>631.37155199999995</v>
      </c>
      <c r="AO196">
        <f t="shared" ref="AO196:AO259" si="51">(AC196+AD196+AE196)/AK196</f>
        <v>0.67164179104477606</v>
      </c>
    </row>
    <row r="197" spans="1:41" x14ac:dyDescent="0.35">
      <c r="A197" t="s">
        <v>39</v>
      </c>
      <c r="B197">
        <v>8</v>
      </c>
      <c r="C197">
        <v>2</v>
      </c>
      <c r="D197" t="s">
        <v>40</v>
      </c>
      <c r="E197">
        <v>2</v>
      </c>
      <c r="F197">
        <v>1</v>
      </c>
      <c r="G197" s="16">
        <v>83</v>
      </c>
      <c r="H197" s="16">
        <v>21.937999999999999</v>
      </c>
      <c r="I197" s="16">
        <v>1015</v>
      </c>
      <c r="J197" s="16">
        <v>28.152999999999999</v>
      </c>
      <c r="K197" s="16">
        <v>63.183999999999997</v>
      </c>
      <c r="L197" s="16">
        <v>0.55700000000000005</v>
      </c>
      <c r="M197" s="23">
        <v>565.54</v>
      </c>
      <c r="N197" s="16">
        <v>10.944000000000001</v>
      </c>
      <c r="O197" s="17">
        <v>6.8140000000000001</v>
      </c>
      <c r="P197" s="18">
        <v>83</v>
      </c>
      <c r="Q197" s="18">
        <v>28.152999999999999</v>
      </c>
      <c r="R197" s="18">
        <v>131.44499999999999</v>
      </c>
      <c r="S197" s="18">
        <v>434.09500000000003</v>
      </c>
      <c r="T197" s="14" t="b">
        <f t="shared" si="39"/>
        <v>1</v>
      </c>
      <c r="U197" s="14" t="b">
        <f t="shared" si="40"/>
        <v>1</v>
      </c>
      <c r="V197" s="15">
        <f>VLOOKUP(IF(J197&lt;10, 10, IF(J197&gt;50,50,J197)),'Over to underbark'!$A$3:$C$43,IF(A197="Scots pine",3,IF(A197="Sitka spruce",2, "error")),TRUE)/100</f>
        <v>0.85</v>
      </c>
      <c r="W197">
        <f t="shared" si="44"/>
        <v>100.555425</v>
      </c>
      <c r="X197">
        <f t="shared" si="45"/>
        <v>332.08267500000005</v>
      </c>
      <c r="Y197">
        <f t="shared" si="46"/>
        <v>76.34790000000001</v>
      </c>
      <c r="Z197">
        <f t="shared" si="41"/>
        <v>183.47689350000002</v>
      </c>
      <c r="AA197">
        <f t="shared" si="42"/>
        <v>126.25950150000001</v>
      </c>
      <c r="AB197">
        <f t="shared" si="43"/>
        <v>199.24960500000003</v>
      </c>
      <c r="AC197">
        <f>LOOKUP($A197,'Over to underbark'!$A$47:$A$48,'Over to underbark'!E$47:E$48)*Z197</f>
        <v>77.060295269999997</v>
      </c>
      <c r="AD197">
        <f>LOOKUP($A197,'Over to underbark'!$A$47:$A$48,'Over to underbark'!E$47:E$48)*AA197</f>
        <v>53.028990630000003</v>
      </c>
      <c r="AE197">
        <f>LOOKUP($A197,'Over to underbark'!$A$47:$A$48,'Over to underbark'!E$47:E$48)*AB197</f>
        <v>83.684834100000003</v>
      </c>
      <c r="AF197" t="b">
        <f t="shared" si="47"/>
        <v>1</v>
      </c>
      <c r="AG197" t="b">
        <f t="shared" si="48"/>
        <v>1</v>
      </c>
      <c r="AH197">
        <f>LOOKUP(A197,'Over to underbark'!$A$47:$A$48,'Over to underbark'!E$47:E$48)*M197</f>
        <v>237.52679999999998</v>
      </c>
      <c r="AI197" s="27">
        <f>LOOKUP(A197,'Over to underbark'!$A$47:$A$48,'Over to underbark'!$B$47:$B$48)*AH197</f>
        <v>80.759112000000002</v>
      </c>
      <c r="AJ197" s="27">
        <f>LOOKUP(A198,'Over to underbark'!$A$47:$A$48,'Over to underbark'!C$47:C$48)*AH197</f>
        <v>83.134379999999993</v>
      </c>
      <c r="AK197" s="27">
        <f t="shared" si="49"/>
        <v>318.285912</v>
      </c>
      <c r="AL197" s="33">
        <v>757.82</v>
      </c>
      <c r="AM197" s="28">
        <f t="shared" si="50"/>
        <v>636.57182399999999</v>
      </c>
      <c r="AO197">
        <f t="shared" si="51"/>
        <v>0.67164179104477606</v>
      </c>
    </row>
    <row r="198" spans="1:41" x14ac:dyDescent="0.35">
      <c r="A198" t="s">
        <v>39</v>
      </c>
      <c r="B198">
        <v>8</v>
      </c>
      <c r="C198">
        <v>2</v>
      </c>
      <c r="D198" t="s">
        <v>40</v>
      </c>
      <c r="E198">
        <v>2</v>
      </c>
      <c r="F198">
        <v>1</v>
      </c>
      <c r="G198" s="16">
        <v>84</v>
      </c>
      <c r="H198" s="16">
        <v>22.052</v>
      </c>
      <c r="I198" s="16">
        <v>1005</v>
      </c>
      <c r="J198" s="16">
        <v>28.34</v>
      </c>
      <c r="K198" s="16">
        <v>63.395000000000003</v>
      </c>
      <c r="L198" s="16">
        <v>0.56699999999999995</v>
      </c>
      <c r="M198" s="23">
        <v>570.16</v>
      </c>
      <c r="N198" s="16">
        <v>11.129</v>
      </c>
      <c r="O198" s="17">
        <v>6.7880000000000003</v>
      </c>
      <c r="P198" s="18">
        <v>84</v>
      </c>
      <c r="Q198" s="18">
        <v>28.34</v>
      </c>
      <c r="R198" s="18">
        <v>129.596</v>
      </c>
      <c r="S198" s="18">
        <v>440.56400000000002</v>
      </c>
      <c r="T198" s="14" t="b">
        <f t="shared" si="39"/>
        <v>1</v>
      </c>
      <c r="U198" s="14" t="b">
        <f t="shared" si="40"/>
        <v>1</v>
      </c>
      <c r="V198" s="15">
        <f>VLOOKUP(IF(J198&lt;10, 10, IF(J198&gt;50,50,J198)),'Over to underbark'!$A$3:$C$43,IF(A198="Scots pine",3,IF(A198="Sitka spruce",2, "error")),TRUE)/100</f>
        <v>0.85</v>
      </c>
      <c r="W198">
        <f t="shared" si="44"/>
        <v>99.140940000000001</v>
      </c>
      <c r="X198">
        <f t="shared" si="45"/>
        <v>337.03146000000004</v>
      </c>
      <c r="Y198">
        <f t="shared" si="46"/>
        <v>76.971600000000024</v>
      </c>
      <c r="Z198">
        <f t="shared" si="41"/>
        <v>184.03665480000004</v>
      </c>
      <c r="AA198">
        <f t="shared" si="42"/>
        <v>126.8884692</v>
      </c>
      <c r="AB198">
        <f t="shared" si="43"/>
        <v>202.21887600000002</v>
      </c>
      <c r="AC198">
        <f>LOOKUP($A198,'Over to underbark'!$A$47:$A$48,'Over to underbark'!E$47:E$48)*Z198</f>
        <v>77.295395016000015</v>
      </c>
      <c r="AD198">
        <f>LOOKUP($A198,'Over to underbark'!$A$47:$A$48,'Over to underbark'!E$47:E$48)*AA198</f>
        <v>53.293157063999999</v>
      </c>
      <c r="AE198">
        <f>LOOKUP($A198,'Over to underbark'!$A$47:$A$48,'Over to underbark'!E$47:E$48)*AB198</f>
        <v>84.931927920000007</v>
      </c>
      <c r="AF198" t="b">
        <f t="shared" si="47"/>
        <v>1</v>
      </c>
      <c r="AG198" t="b">
        <f t="shared" si="48"/>
        <v>1</v>
      </c>
      <c r="AH198">
        <f>LOOKUP(A198,'Over to underbark'!$A$47:$A$48,'Over to underbark'!E$47:E$48)*M198</f>
        <v>239.46719999999999</v>
      </c>
      <c r="AI198" s="27">
        <f>LOOKUP(A198,'Over to underbark'!$A$47:$A$48,'Over to underbark'!$B$47:$B$48)*AH198</f>
        <v>81.418847999999997</v>
      </c>
      <c r="AJ198" s="27">
        <f>LOOKUP(A199,'Over to underbark'!$A$47:$A$48,'Over to underbark'!C$47:C$48)*AH198</f>
        <v>83.813519999999997</v>
      </c>
      <c r="AK198" s="27">
        <f t="shared" si="49"/>
        <v>320.88604799999996</v>
      </c>
      <c r="AL198" s="33">
        <v>764.01</v>
      </c>
      <c r="AM198" s="28">
        <f t="shared" si="50"/>
        <v>641.77209599999992</v>
      </c>
      <c r="AO198">
        <f t="shared" si="51"/>
        <v>0.67164179104477628</v>
      </c>
    </row>
    <row r="199" spans="1:41" x14ac:dyDescent="0.35">
      <c r="A199" t="s">
        <v>39</v>
      </c>
      <c r="B199">
        <v>8</v>
      </c>
      <c r="C199">
        <v>2</v>
      </c>
      <c r="D199" t="s">
        <v>40</v>
      </c>
      <c r="E199">
        <v>2</v>
      </c>
      <c r="F199">
        <v>1</v>
      </c>
      <c r="G199" s="16">
        <v>85</v>
      </c>
      <c r="H199" s="16">
        <v>22.166</v>
      </c>
      <c r="I199" s="16">
        <v>994</v>
      </c>
      <c r="J199" s="16">
        <v>28.538</v>
      </c>
      <c r="K199" s="16">
        <v>63.604999999999997</v>
      </c>
      <c r="L199" s="16">
        <v>0.57799999999999996</v>
      </c>
      <c r="M199" s="23">
        <v>574.78</v>
      </c>
      <c r="N199" s="16">
        <v>11.31</v>
      </c>
      <c r="O199" s="17">
        <v>6.7619999999999996</v>
      </c>
      <c r="P199" s="18">
        <v>85</v>
      </c>
      <c r="Q199" s="18">
        <v>28.538</v>
      </c>
      <c r="R199" s="18">
        <v>127.589</v>
      </c>
      <c r="S199" s="18">
        <v>447.19099999999997</v>
      </c>
      <c r="T199" s="14" t="b">
        <f t="shared" ref="T199:T215" si="52">G199=P199</f>
        <v>1</v>
      </c>
      <c r="U199" s="14" t="b">
        <f t="shared" ref="U199:U215" si="53">J199=Q199</f>
        <v>1</v>
      </c>
      <c r="V199" s="15">
        <f>VLOOKUP(IF(J199&lt;10, 10, IF(J199&gt;50,50,J199)),'Over to underbark'!$A$3:$C$43,IF(A199="Scots pine",3,IF(A199="Sitka spruce",2, "error")),TRUE)/100</f>
        <v>0.85</v>
      </c>
      <c r="W199">
        <f t="shared" si="44"/>
        <v>97.605585000000005</v>
      </c>
      <c r="X199">
        <f t="shared" si="45"/>
        <v>342.10111499999999</v>
      </c>
      <c r="Y199">
        <f t="shared" si="46"/>
        <v>77.595300000000009</v>
      </c>
      <c r="Z199">
        <f t="shared" si="41"/>
        <v>184.54565070000001</v>
      </c>
      <c r="AA199">
        <f t="shared" si="42"/>
        <v>127.4956803</v>
      </c>
      <c r="AB199">
        <f t="shared" si="43"/>
        <v>205.26066899999998</v>
      </c>
      <c r="AC199">
        <f>LOOKUP($A199,'Over to underbark'!$A$47:$A$48,'Over to underbark'!E$47:E$48)*Z199</f>
        <v>77.509173294000007</v>
      </c>
      <c r="AD199">
        <f>LOOKUP($A199,'Over to underbark'!$A$47:$A$48,'Over to underbark'!E$47:E$48)*AA199</f>
        <v>53.548185726</v>
      </c>
      <c r="AE199">
        <f>LOOKUP($A199,'Over to underbark'!$A$47:$A$48,'Over to underbark'!E$47:E$48)*AB199</f>
        <v>86.209480979999981</v>
      </c>
      <c r="AF199" t="b">
        <f t="shared" si="47"/>
        <v>1</v>
      </c>
      <c r="AG199" t="b">
        <f t="shared" si="48"/>
        <v>1</v>
      </c>
      <c r="AH199">
        <f>LOOKUP(A199,'Over to underbark'!$A$47:$A$48,'Over to underbark'!E$47:E$48)*M199</f>
        <v>241.40759999999997</v>
      </c>
      <c r="AI199" s="27">
        <f>LOOKUP(A199,'Over to underbark'!$A$47:$A$48,'Over to underbark'!$B$47:$B$48)*AH199</f>
        <v>82.078583999999992</v>
      </c>
      <c r="AJ199" s="27">
        <f>LOOKUP(A200,'Over to underbark'!$A$47:$A$48,'Over to underbark'!C$47:C$48)*AH199</f>
        <v>84.492659999999987</v>
      </c>
      <c r="AK199" s="27">
        <f t="shared" si="49"/>
        <v>323.48618399999998</v>
      </c>
      <c r="AL199" s="33">
        <v>770.21</v>
      </c>
      <c r="AM199" s="28">
        <f t="shared" si="50"/>
        <v>646.97236799999996</v>
      </c>
      <c r="AO199">
        <f t="shared" si="51"/>
        <v>0.67164179104477617</v>
      </c>
    </row>
    <row r="200" spans="1:41" x14ac:dyDescent="0.35">
      <c r="A200" t="s">
        <v>39</v>
      </c>
      <c r="B200">
        <v>8</v>
      </c>
      <c r="C200">
        <v>2</v>
      </c>
      <c r="D200" t="s">
        <v>40</v>
      </c>
      <c r="E200">
        <v>2</v>
      </c>
      <c r="F200">
        <v>1</v>
      </c>
      <c r="G200" s="16">
        <v>86</v>
      </c>
      <c r="H200" s="16">
        <v>22.28</v>
      </c>
      <c r="I200" s="16">
        <v>984</v>
      </c>
      <c r="J200" s="16">
        <v>28.74</v>
      </c>
      <c r="K200" s="16">
        <v>63.814999999999998</v>
      </c>
      <c r="L200" s="16">
        <v>0.58899999999999997</v>
      </c>
      <c r="M200" s="23">
        <v>579.4</v>
      </c>
      <c r="N200" s="16">
        <v>11.488</v>
      </c>
      <c r="O200" s="17">
        <v>6.7370000000000001</v>
      </c>
      <c r="P200" s="18">
        <v>86</v>
      </c>
      <c r="Q200" s="18">
        <v>28.74</v>
      </c>
      <c r="R200" s="18">
        <v>125.538</v>
      </c>
      <c r="S200" s="18">
        <v>453.86200000000002</v>
      </c>
      <c r="T200" s="14" t="b">
        <f t="shared" si="52"/>
        <v>1</v>
      </c>
      <c r="U200" s="14" t="b">
        <f t="shared" si="53"/>
        <v>1</v>
      </c>
      <c r="V200" s="15">
        <f>VLOOKUP(IF(J200&lt;10, 10, IF(J200&gt;50,50,J200)),'Over to underbark'!$A$3:$C$43,IF(A200="Scots pine",3,IF(A200="Sitka spruce",2, "error")),TRUE)/100</f>
        <v>0.85</v>
      </c>
      <c r="W200">
        <f t="shared" si="44"/>
        <v>96.036569999999998</v>
      </c>
      <c r="X200">
        <f t="shared" si="45"/>
        <v>347.20443000000006</v>
      </c>
      <c r="Y200">
        <f t="shared" si="46"/>
        <v>78.219000000000023</v>
      </c>
      <c r="Z200">
        <f t="shared" si="41"/>
        <v>185.04050940000002</v>
      </c>
      <c r="AA200">
        <f t="shared" si="42"/>
        <v>128.09683260000003</v>
      </c>
      <c r="AB200">
        <f t="shared" si="43"/>
        <v>208.32265800000002</v>
      </c>
      <c r="AC200">
        <f>LOOKUP($A200,'Over to underbark'!$A$47:$A$48,'Over to underbark'!E$47:E$48)*Z200</f>
        <v>77.717013948000002</v>
      </c>
      <c r="AD200">
        <f>LOOKUP($A200,'Over to underbark'!$A$47:$A$48,'Over to underbark'!E$47:E$48)*AA200</f>
        <v>53.800669692000007</v>
      </c>
      <c r="AE200">
        <f>LOOKUP($A200,'Over to underbark'!$A$47:$A$48,'Over to underbark'!E$47:E$48)*AB200</f>
        <v>87.495516360000011</v>
      </c>
      <c r="AF200" t="b">
        <f t="shared" si="47"/>
        <v>1</v>
      </c>
      <c r="AG200" t="b">
        <f t="shared" si="48"/>
        <v>1</v>
      </c>
      <c r="AH200">
        <f>LOOKUP(A200,'Over to underbark'!$A$47:$A$48,'Over to underbark'!E$47:E$48)*M200</f>
        <v>243.34799999999998</v>
      </c>
      <c r="AI200" s="27">
        <f>LOOKUP(A200,'Over to underbark'!$A$47:$A$48,'Over to underbark'!$B$47:$B$48)*AH200</f>
        <v>82.738320000000002</v>
      </c>
      <c r="AJ200" s="27">
        <f>LOOKUP(A201,'Over to underbark'!$A$47:$A$48,'Over to underbark'!C$47:C$48)*AH200</f>
        <v>85.17179999999999</v>
      </c>
      <c r="AK200" s="27">
        <f t="shared" si="49"/>
        <v>326.08632</v>
      </c>
      <c r="AL200" s="33">
        <v>776.4</v>
      </c>
      <c r="AM200" s="28">
        <f t="shared" si="50"/>
        <v>652.17264</v>
      </c>
      <c r="AO200">
        <f t="shared" si="51"/>
        <v>0.67164179104477617</v>
      </c>
    </row>
    <row r="201" spans="1:41" x14ac:dyDescent="0.35">
      <c r="A201" t="s">
        <v>39</v>
      </c>
      <c r="B201">
        <v>8</v>
      </c>
      <c r="C201">
        <v>2</v>
      </c>
      <c r="D201" t="s">
        <v>40</v>
      </c>
      <c r="E201">
        <v>2</v>
      </c>
      <c r="F201">
        <v>1</v>
      </c>
      <c r="G201" s="16">
        <v>87</v>
      </c>
      <c r="H201" s="16">
        <v>22.378</v>
      </c>
      <c r="I201" s="16">
        <v>976</v>
      </c>
      <c r="J201" s="16">
        <v>28.9</v>
      </c>
      <c r="K201" s="16">
        <v>63.997999999999998</v>
      </c>
      <c r="L201" s="16">
        <v>0.59799999999999998</v>
      </c>
      <c r="M201" s="23">
        <v>583.02</v>
      </c>
      <c r="N201" s="16">
        <v>11.685</v>
      </c>
      <c r="O201" s="17">
        <v>6.7009999999999996</v>
      </c>
      <c r="P201" s="18">
        <v>87</v>
      </c>
      <c r="Q201" s="18">
        <v>28.9</v>
      </c>
      <c r="R201" s="18">
        <v>123.917</v>
      </c>
      <c r="S201" s="18">
        <v>459.10300000000001</v>
      </c>
      <c r="T201" s="14" t="b">
        <f t="shared" si="52"/>
        <v>1</v>
      </c>
      <c r="U201" s="14" t="b">
        <f t="shared" si="53"/>
        <v>1</v>
      </c>
      <c r="V201" s="15">
        <f>VLOOKUP(IF(J201&lt;10, 10, IF(J201&gt;50,50,J201)),'Over to underbark'!$A$3:$C$43,IF(A201="Scots pine",3,IF(A201="Sitka spruce",2, "error")),TRUE)/100</f>
        <v>0.85</v>
      </c>
      <c r="W201">
        <f t="shared" si="44"/>
        <v>94.796504999999996</v>
      </c>
      <c r="X201">
        <f t="shared" si="45"/>
        <v>351.213795</v>
      </c>
      <c r="Y201">
        <f t="shared" si="46"/>
        <v>78.707700000000003</v>
      </c>
      <c r="Z201">
        <f t="shared" si="41"/>
        <v>185.4237771</v>
      </c>
      <c r="AA201">
        <f t="shared" si="42"/>
        <v>128.5659459</v>
      </c>
      <c r="AB201">
        <f t="shared" si="43"/>
        <v>210.72827699999999</v>
      </c>
      <c r="AC201">
        <f>LOOKUP($A201,'Over to underbark'!$A$47:$A$48,'Over to underbark'!E$47:E$48)*Z201</f>
        <v>77.877986381999989</v>
      </c>
      <c r="AD201">
        <f>LOOKUP($A201,'Over to underbark'!$A$47:$A$48,'Over to underbark'!E$47:E$48)*AA201</f>
        <v>53.997697277999997</v>
      </c>
      <c r="AE201">
        <f>LOOKUP($A201,'Over to underbark'!$A$47:$A$48,'Over to underbark'!E$47:E$48)*AB201</f>
        <v>88.505876339999986</v>
      </c>
      <c r="AF201" t="b">
        <f t="shared" si="47"/>
        <v>1</v>
      </c>
      <c r="AG201" t="b">
        <f t="shared" si="48"/>
        <v>1</v>
      </c>
      <c r="AH201">
        <f>LOOKUP(A201,'Over to underbark'!$A$47:$A$48,'Over to underbark'!E$47:E$48)*M201</f>
        <v>244.86839999999998</v>
      </c>
      <c r="AI201" s="27">
        <f>LOOKUP(A201,'Over to underbark'!$A$47:$A$48,'Over to underbark'!$B$47:$B$48)*AH201</f>
        <v>83.255256000000003</v>
      </c>
      <c r="AJ201" s="27">
        <f>LOOKUP(A202,'Over to underbark'!$A$47:$A$48,'Over to underbark'!C$47:C$48)*AH201</f>
        <v>85.703939999999989</v>
      </c>
      <c r="AK201" s="27">
        <f t="shared" si="49"/>
        <v>328.12365599999998</v>
      </c>
      <c r="AL201" s="33">
        <v>781.25</v>
      </c>
      <c r="AM201" s="28">
        <f t="shared" si="50"/>
        <v>656.24731199999997</v>
      </c>
      <c r="AO201">
        <f t="shared" si="51"/>
        <v>0.67164179104477606</v>
      </c>
    </row>
    <row r="202" spans="1:41" x14ac:dyDescent="0.35">
      <c r="A202" t="s">
        <v>39</v>
      </c>
      <c r="B202">
        <v>8</v>
      </c>
      <c r="C202">
        <v>2</v>
      </c>
      <c r="D202" t="s">
        <v>40</v>
      </c>
      <c r="E202">
        <v>2</v>
      </c>
      <c r="F202">
        <v>1</v>
      </c>
      <c r="G202" s="16">
        <v>88</v>
      </c>
      <c r="H202" s="16">
        <v>22.475999999999999</v>
      </c>
      <c r="I202" s="16">
        <v>968</v>
      </c>
      <c r="J202" s="16">
        <v>29.062999999999999</v>
      </c>
      <c r="K202" s="16">
        <v>64.180999999999997</v>
      </c>
      <c r="L202" s="16">
        <v>0.60599999999999998</v>
      </c>
      <c r="M202" s="23">
        <v>586.64</v>
      </c>
      <c r="N202" s="16">
        <v>11.879</v>
      </c>
      <c r="O202" s="17">
        <v>6.6660000000000004</v>
      </c>
      <c r="P202" s="18">
        <v>88</v>
      </c>
      <c r="Q202" s="18">
        <v>29.062999999999999</v>
      </c>
      <c r="R202" s="18">
        <v>122.26300000000001</v>
      </c>
      <c r="S202" s="18">
        <v>464.37700000000001</v>
      </c>
      <c r="T202" s="14" t="b">
        <f t="shared" si="52"/>
        <v>1</v>
      </c>
      <c r="U202" s="14" t="b">
        <f t="shared" si="53"/>
        <v>1</v>
      </c>
      <c r="V202" s="15">
        <f>VLOOKUP(IF(J202&lt;10, 10, IF(J202&gt;50,50,J202)),'Over to underbark'!$A$3:$C$43,IF(A202="Scots pine",3,IF(A202="Sitka spruce",2, "error")),TRUE)/100</f>
        <v>0.85</v>
      </c>
      <c r="W202">
        <f t="shared" si="44"/>
        <v>93.531195000000011</v>
      </c>
      <c r="X202">
        <f t="shared" si="45"/>
        <v>355.24840499999999</v>
      </c>
      <c r="Y202">
        <f t="shared" si="46"/>
        <v>79.196400000000011</v>
      </c>
      <c r="Z202">
        <f t="shared" si="41"/>
        <v>185.79644190000002</v>
      </c>
      <c r="AA202">
        <f t="shared" si="42"/>
        <v>129.0305151</v>
      </c>
      <c r="AB202">
        <f t="shared" si="43"/>
        <v>213.14904299999998</v>
      </c>
      <c r="AC202">
        <f>LOOKUP($A202,'Over to underbark'!$A$47:$A$48,'Over to underbark'!E$47:E$48)*Z202</f>
        <v>78.03450559800001</v>
      </c>
      <c r="AD202">
        <f>LOOKUP($A202,'Over to underbark'!$A$47:$A$48,'Over to underbark'!E$47:E$48)*AA202</f>
        <v>54.192816342</v>
      </c>
      <c r="AE202">
        <f>LOOKUP($A202,'Over to underbark'!$A$47:$A$48,'Over to underbark'!E$47:E$48)*AB202</f>
        <v>89.522598059999993</v>
      </c>
      <c r="AF202" t="b">
        <f t="shared" si="47"/>
        <v>1</v>
      </c>
      <c r="AG202" t="b">
        <f t="shared" si="48"/>
        <v>1</v>
      </c>
      <c r="AH202">
        <f>LOOKUP(A202,'Over to underbark'!$A$47:$A$48,'Over to underbark'!E$47:E$48)*M202</f>
        <v>246.38879999999997</v>
      </c>
      <c r="AI202" s="27">
        <f>LOOKUP(A202,'Over to underbark'!$A$47:$A$48,'Over to underbark'!$B$47:$B$48)*AH202</f>
        <v>83.772192000000004</v>
      </c>
      <c r="AJ202" s="27">
        <f>LOOKUP(A203,'Over to underbark'!$A$47:$A$48,'Over to underbark'!C$47:C$48)*AH202</f>
        <v>86.236079999999987</v>
      </c>
      <c r="AK202" s="27">
        <f t="shared" si="49"/>
        <v>330.16099199999996</v>
      </c>
      <c r="AL202" s="33">
        <v>786.1</v>
      </c>
      <c r="AM202" s="28">
        <f t="shared" si="50"/>
        <v>660.32198399999993</v>
      </c>
      <c r="AO202">
        <f t="shared" si="51"/>
        <v>0.67164179104477628</v>
      </c>
    </row>
    <row r="203" spans="1:41" x14ac:dyDescent="0.35">
      <c r="A203" t="s">
        <v>39</v>
      </c>
      <c r="B203">
        <v>8</v>
      </c>
      <c r="C203">
        <v>2</v>
      </c>
      <c r="D203" t="s">
        <v>40</v>
      </c>
      <c r="E203">
        <v>2</v>
      </c>
      <c r="F203">
        <v>1</v>
      </c>
      <c r="G203" s="16">
        <v>89</v>
      </c>
      <c r="H203" s="16">
        <v>22.574000000000002</v>
      </c>
      <c r="I203" s="16">
        <v>959</v>
      </c>
      <c r="J203" s="16">
        <v>29.225999999999999</v>
      </c>
      <c r="K203" s="16">
        <v>64.364000000000004</v>
      </c>
      <c r="L203" s="16">
        <v>0.61499999999999999</v>
      </c>
      <c r="M203" s="23">
        <v>590.26</v>
      </c>
      <c r="N203" s="16">
        <v>12.069000000000001</v>
      </c>
      <c r="O203" s="17">
        <v>6.6319999999999997</v>
      </c>
      <c r="P203" s="18">
        <v>89</v>
      </c>
      <c r="Q203" s="18">
        <v>29.225999999999999</v>
      </c>
      <c r="R203" s="18">
        <v>120.622</v>
      </c>
      <c r="S203" s="18">
        <v>469.63799999999998</v>
      </c>
      <c r="T203" s="14" t="b">
        <f t="shared" si="52"/>
        <v>1</v>
      </c>
      <c r="U203" s="14" t="b">
        <f t="shared" si="53"/>
        <v>1</v>
      </c>
      <c r="V203" s="15">
        <f>VLOOKUP(IF(J203&lt;10, 10, IF(J203&gt;50,50,J203)),'Over to underbark'!$A$3:$C$43,IF(A203="Scots pine",3,IF(A203="Sitka spruce",2, "error")),TRUE)/100</f>
        <v>0.85</v>
      </c>
      <c r="W203">
        <f t="shared" si="44"/>
        <v>92.275829999999999</v>
      </c>
      <c r="X203">
        <f t="shared" si="45"/>
        <v>359.27306999999996</v>
      </c>
      <c r="Y203">
        <f t="shared" si="46"/>
        <v>79.68510000000002</v>
      </c>
      <c r="Z203">
        <f t="shared" si="41"/>
        <v>186.17328359999999</v>
      </c>
      <c r="AA203">
        <f t="shared" si="42"/>
        <v>129.4968744</v>
      </c>
      <c r="AB203">
        <f t="shared" si="43"/>
        <v>215.56384199999997</v>
      </c>
      <c r="AC203">
        <f>LOOKUP($A203,'Over to underbark'!$A$47:$A$48,'Over to underbark'!E$47:E$48)*Z203</f>
        <v>78.192779111999997</v>
      </c>
      <c r="AD203">
        <f>LOOKUP($A203,'Over to underbark'!$A$47:$A$48,'Over to underbark'!E$47:E$48)*AA203</f>
        <v>54.388687247999997</v>
      </c>
      <c r="AE203">
        <f>LOOKUP($A203,'Over to underbark'!$A$47:$A$48,'Over to underbark'!E$47:E$48)*AB203</f>
        <v>90.536813639999977</v>
      </c>
      <c r="AF203" t="b">
        <f t="shared" si="47"/>
        <v>1</v>
      </c>
      <c r="AG203" t="b">
        <f t="shared" si="48"/>
        <v>1</v>
      </c>
      <c r="AH203">
        <f>LOOKUP(A203,'Over to underbark'!$A$47:$A$48,'Over to underbark'!E$47:E$48)*M203</f>
        <v>247.9092</v>
      </c>
      <c r="AI203" s="27">
        <f>LOOKUP(A203,'Over to underbark'!$A$47:$A$48,'Over to underbark'!$B$47:$B$48)*AH203</f>
        <v>84.289128000000005</v>
      </c>
      <c r="AJ203" s="27">
        <f>LOOKUP(A204,'Over to underbark'!$A$47:$A$48,'Over to underbark'!C$47:C$48)*AH203</f>
        <v>86.768219999999999</v>
      </c>
      <c r="AK203" s="27">
        <f t="shared" si="49"/>
        <v>332.198328</v>
      </c>
      <c r="AL203" s="33">
        <v>790.95</v>
      </c>
      <c r="AM203" s="28">
        <f t="shared" si="50"/>
        <v>664.39665600000001</v>
      </c>
      <c r="AO203">
        <f t="shared" si="51"/>
        <v>0.67164179104477606</v>
      </c>
    </row>
    <row r="204" spans="1:41" x14ac:dyDescent="0.35">
      <c r="A204" t="s">
        <v>39</v>
      </c>
      <c r="B204">
        <v>8</v>
      </c>
      <c r="C204">
        <v>2</v>
      </c>
      <c r="D204" t="s">
        <v>40</v>
      </c>
      <c r="E204">
        <v>2</v>
      </c>
      <c r="F204">
        <v>1</v>
      </c>
      <c r="G204" s="16">
        <v>90</v>
      </c>
      <c r="H204" s="16">
        <v>22.672000000000001</v>
      </c>
      <c r="I204" s="16">
        <v>951</v>
      </c>
      <c r="J204" s="16">
        <v>29.391999999999999</v>
      </c>
      <c r="K204" s="16">
        <v>64.546999999999997</v>
      </c>
      <c r="L204" s="16">
        <v>0.624</v>
      </c>
      <c r="M204" s="23">
        <v>593.88</v>
      </c>
      <c r="N204" s="16">
        <v>12.257</v>
      </c>
      <c r="O204" s="17">
        <v>6.5990000000000002</v>
      </c>
      <c r="P204" s="18">
        <v>90</v>
      </c>
      <c r="Q204" s="18">
        <v>29.391999999999999</v>
      </c>
      <c r="R204" s="18">
        <v>118.95</v>
      </c>
      <c r="S204" s="18">
        <v>474.93</v>
      </c>
      <c r="T204" s="14" t="b">
        <f t="shared" si="52"/>
        <v>1</v>
      </c>
      <c r="U204" s="14" t="b">
        <f t="shared" si="53"/>
        <v>1</v>
      </c>
      <c r="V204" s="15">
        <f>VLOOKUP(IF(J204&lt;10, 10, IF(J204&gt;50,50,J204)),'Over to underbark'!$A$3:$C$43,IF(A204="Scots pine",3,IF(A204="Sitka spruce",2, "error")),TRUE)/100</f>
        <v>0.85</v>
      </c>
      <c r="W204">
        <f t="shared" si="44"/>
        <v>90.996750000000006</v>
      </c>
      <c r="X204">
        <f t="shared" si="45"/>
        <v>363.32145000000003</v>
      </c>
      <c r="Y204">
        <f t="shared" si="46"/>
        <v>80.1738</v>
      </c>
      <c r="Z204">
        <f t="shared" si="41"/>
        <v>186.540165</v>
      </c>
      <c r="AA204">
        <f t="shared" si="42"/>
        <v>129.95896500000001</v>
      </c>
      <c r="AB204">
        <f t="shared" si="43"/>
        <v>217.99287000000001</v>
      </c>
      <c r="AC204">
        <f>LOOKUP($A204,'Over to underbark'!$A$47:$A$48,'Over to underbark'!E$47:E$48)*Z204</f>
        <v>78.346869299999994</v>
      </c>
      <c r="AD204">
        <f>LOOKUP($A204,'Over to underbark'!$A$47:$A$48,'Over to underbark'!E$47:E$48)*AA204</f>
        <v>54.582765299999998</v>
      </c>
      <c r="AE204">
        <f>LOOKUP($A204,'Over to underbark'!$A$47:$A$48,'Over to underbark'!E$47:E$48)*AB204</f>
        <v>91.557005399999994</v>
      </c>
      <c r="AF204" t="b">
        <f t="shared" si="47"/>
        <v>1</v>
      </c>
      <c r="AG204" t="b">
        <f t="shared" si="48"/>
        <v>1</v>
      </c>
      <c r="AH204">
        <f>LOOKUP(A204,'Over to underbark'!$A$47:$A$48,'Over to underbark'!E$47:E$48)*M204</f>
        <v>249.42959999999999</v>
      </c>
      <c r="AI204" s="27">
        <f>LOOKUP(A204,'Over to underbark'!$A$47:$A$48,'Over to underbark'!$B$47:$B$48)*AH204</f>
        <v>84.806064000000006</v>
      </c>
      <c r="AJ204" s="27">
        <f>LOOKUP(A205,'Over to underbark'!$A$47:$A$48,'Over to underbark'!C$47:C$48)*AH204</f>
        <v>87.300359999999998</v>
      </c>
      <c r="AK204" s="27">
        <f t="shared" si="49"/>
        <v>334.23566399999999</v>
      </c>
      <c r="AL204" s="33">
        <v>795.8</v>
      </c>
      <c r="AM204" s="28">
        <f t="shared" si="50"/>
        <v>668.47132799999997</v>
      </c>
      <c r="AO204">
        <f t="shared" si="51"/>
        <v>0.67164179104477606</v>
      </c>
    </row>
    <row r="205" spans="1:41" x14ac:dyDescent="0.35">
      <c r="A205" t="s">
        <v>39</v>
      </c>
      <c r="B205">
        <v>8</v>
      </c>
      <c r="C205">
        <v>2</v>
      </c>
      <c r="D205" t="s">
        <v>40</v>
      </c>
      <c r="E205">
        <v>2</v>
      </c>
      <c r="F205">
        <v>1</v>
      </c>
      <c r="G205" s="16">
        <v>91</v>
      </c>
      <c r="H205" s="16">
        <v>22.77</v>
      </c>
      <c r="I205" s="16">
        <v>943</v>
      </c>
      <c r="J205" s="16">
        <v>29.56</v>
      </c>
      <c r="K205" s="16">
        <v>64.73</v>
      </c>
      <c r="L205" s="16">
        <v>0.63300000000000001</v>
      </c>
      <c r="M205" s="23">
        <v>597.5</v>
      </c>
      <c r="N205" s="16">
        <v>12.441000000000001</v>
      </c>
      <c r="O205" s="17">
        <v>6.5659999999999998</v>
      </c>
      <c r="P205" s="18">
        <v>91</v>
      </c>
      <c r="Q205" s="18">
        <v>29.56</v>
      </c>
      <c r="R205" s="18">
        <v>117.265</v>
      </c>
      <c r="S205" s="18">
        <v>480.23500000000001</v>
      </c>
      <c r="T205" s="14" t="b">
        <f t="shared" si="52"/>
        <v>1</v>
      </c>
      <c r="U205" s="14" t="b">
        <f t="shared" si="53"/>
        <v>1</v>
      </c>
      <c r="V205" s="15">
        <f>VLOOKUP(IF(J205&lt;10, 10, IF(J205&gt;50,50,J205)),'Over to underbark'!$A$3:$C$43,IF(A205="Scots pine",3,IF(A205="Sitka spruce",2, "error")),TRUE)/100</f>
        <v>0.85</v>
      </c>
      <c r="W205">
        <f t="shared" si="44"/>
        <v>89.707724999999996</v>
      </c>
      <c r="X205">
        <f t="shared" si="45"/>
        <v>367.379775</v>
      </c>
      <c r="Y205">
        <f t="shared" si="46"/>
        <v>80.662500000000009</v>
      </c>
      <c r="Z205">
        <f t="shared" si="41"/>
        <v>186.90286950000001</v>
      </c>
      <c r="AA205">
        <f t="shared" si="42"/>
        <v>130.41926549999999</v>
      </c>
      <c r="AB205">
        <f t="shared" si="43"/>
        <v>220.427865</v>
      </c>
      <c r="AC205">
        <f>LOOKUP($A205,'Over to underbark'!$A$47:$A$48,'Over to underbark'!E$47:E$48)*Z205</f>
        <v>78.499205189999998</v>
      </c>
      <c r="AD205">
        <f>LOOKUP($A205,'Over to underbark'!$A$47:$A$48,'Over to underbark'!E$47:E$48)*AA205</f>
        <v>54.776091509999993</v>
      </c>
      <c r="AE205">
        <f>LOOKUP($A205,'Over to underbark'!$A$47:$A$48,'Over to underbark'!E$47:E$48)*AB205</f>
        <v>92.579703299999991</v>
      </c>
      <c r="AF205" t="b">
        <f t="shared" si="47"/>
        <v>1</v>
      </c>
      <c r="AG205" t="b">
        <f t="shared" si="48"/>
        <v>1</v>
      </c>
      <c r="AH205">
        <f>LOOKUP(A205,'Over to underbark'!$A$47:$A$48,'Over to underbark'!E$47:E$48)*M205</f>
        <v>250.95</v>
      </c>
      <c r="AI205" s="27">
        <f>LOOKUP(A205,'Over to underbark'!$A$47:$A$48,'Over to underbark'!$B$47:$B$48)*AH205</f>
        <v>85.323000000000008</v>
      </c>
      <c r="AJ205" s="27">
        <f>LOOKUP(A206,'Over to underbark'!$A$47:$A$48,'Over to underbark'!C$47:C$48)*AH205</f>
        <v>87.832499999999996</v>
      </c>
      <c r="AK205" s="27">
        <f t="shared" si="49"/>
        <v>336.27300000000002</v>
      </c>
      <c r="AL205" s="33">
        <v>800.65</v>
      </c>
      <c r="AM205" s="28">
        <f t="shared" si="50"/>
        <v>672.54600000000005</v>
      </c>
      <c r="AO205">
        <f t="shared" si="51"/>
        <v>0.67164179104477595</v>
      </c>
    </row>
    <row r="206" spans="1:41" x14ac:dyDescent="0.35">
      <c r="A206" t="s">
        <v>39</v>
      </c>
      <c r="B206">
        <v>8</v>
      </c>
      <c r="C206">
        <v>2</v>
      </c>
      <c r="D206" t="s">
        <v>40</v>
      </c>
      <c r="E206">
        <v>2</v>
      </c>
      <c r="F206">
        <v>1</v>
      </c>
      <c r="G206" s="16">
        <v>92</v>
      </c>
      <c r="H206" s="16">
        <v>22.852</v>
      </c>
      <c r="I206" s="16">
        <v>936</v>
      </c>
      <c r="J206" s="16">
        <v>29.702999999999999</v>
      </c>
      <c r="K206" s="16">
        <v>64.894000000000005</v>
      </c>
      <c r="L206" s="16">
        <v>0.64100000000000001</v>
      </c>
      <c r="M206" s="23">
        <v>600.52</v>
      </c>
      <c r="N206" s="16">
        <v>12.616</v>
      </c>
      <c r="O206" s="17">
        <v>6.5270000000000001</v>
      </c>
      <c r="P206" s="18">
        <v>92</v>
      </c>
      <c r="Q206" s="18">
        <v>29.702999999999999</v>
      </c>
      <c r="R206" s="18">
        <v>115.83</v>
      </c>
      <c r="S206" s="18">
        <v>484.69</v>
      </c>
      <c r="T206" s="14" t="b">
        <f t="shared" si="52"/>
        <v>1</v>
      </c>
      <c r="U206" s="14" t="b">
        <f t="shared" si="53"/>
        <v>1</v>
      </c>
      <c r="V206" s="15">
        <f>VLOOKUP(IF(J206&lt;10, 10, IF(J206&gt;50,50,J206)),'Over to underbark'!$A$3:$C$43,IF(A206="Scots pine",3,IF(A206="Sitka spruce",2, "error")),TRUE)/100</f>
        <v>0.85</v>
      </c>
      <c r="W206">
        <f t="shared" si="44"/>
        <v>88.609949999999998</v>
      </c>
      <c r="X206">
        <f t="shared" si="45"/>
        <v>370.78784999999999</v>
      </c>
      <c r="Y206">
        <f t="shared" si="46"/>
        <v>81.0702</v>
      </c>
      <c r="Z206">
        <f t="shared" si="41"/>
        <v>187.19604899999999</v>
      </c>
      <c r="AA206">
        <f t="shared" si="42"/>
        <v>130.79924099999999</v>
      </c>
      <c r="AB206">
        <f t="shared" si="43"/>
        <v>222.47270999999998</v>
      </c>
      <c r="AC206">
        <f>LOOKUP($A206,'Over to underbark'!$A$47:$A$48,'Over to underbark'!E$47:E$48)*Z206</f>
        <v>78.622340579999985</v>
      </c>
      <c r="AD206">
        <f>LOOKUP($A206,'Over to underbark'!$A$47:$A$48,'Over to underbark'!E$47:E$48)*AA206</f>
        <v>54.935681219999999</v>
      </c>
      <c r="AE206">
        <f>LOOKUP($A206,'Over to underbark'!$A$47:$A$48,'Over to underbark'!E$47:E$48)*AB206</f>
        <v>93.438538199999982</v>
      </c>
      <c r="AF206" t="b">
        <f t="shared" si="47"/>
        <v>1</v>
      </c>
      <c r="AG206" t="b">
        <f t="shared" si="48"/>
        <v>1</v>
      </c>
      <c r="AH206">
        <f>LOOKUP(A206,'Over to underbark'!$A$47:$A$48,'Over to underbark'!E$47:E$48)*M206</f>
        <v>252.21839999999997</v>
      </c>
      <c r="AI206" s="27">
        <f>LOOKUP(A206,'Over to underbark'!$A$47:$A$48,'Over to underbark'!$B$47:$B$48)*AH206</f>
        <v>85.754255999999998</v>
      </c>
      <c r="AJ206" s="27">
        <f>LOOKUP(A207,'Over to underbark'!$A$47:$A$48,'Over to underbark'!C$47:C$48)*AH206</f>
        <v>88.27643999999998</v>
      </c>
      <c r="AK206" s="27">
        <f t="shared" si="49"/>
        <v>337.97265599999997</v>
      </c>
      <c r="AL206" s="33">
        <v>804.7</v>
      </c>
      <c r="AM206" s="28">
        <f t="shared" si="50"/>
        <v>675.94531199999994</v>
      </c>
      <c r="AO206">
        <f t="shared" si="51"/>
        <v>0.67164179104477606</v>
      </c>
    </row>
    <row r="207" spans="1:41" x14ac:dyDescent="0.35">
      <c r="A207" t="s">
        <v>39</v>
      </c>
      <c r="B207">
        <v>8</v>
      </c>
      <c r="C207">
        <v>2</v>
      </c>
      <c r="D207" t="s">
        <v>40</v>
      </c>
      <c r="E207">
        <v>2</v>
      </c>
      <c r="F207">
        <v>1</v>
      </c>
      <c r="G207" s="16">
        <v>93</v>
      </c>
      <c r="H207" s="16">
        <v>22.934000000000001</v>
      </c>
      <c r="I207" s="16">
        <v>930</v>
      </c>
      <c r="J207" s="16">
        <v>29.847999999999999</v>
      </c>
      <c r="K207" s="16">
        <v>65.058999999999997</v>
      </c>
      <c r="L207" s="16">
        <v>0.64900000000000002</v>
      </c>
      <c r="M207" s="23">
        <v>603.54</v>
      </c>
      <c r="N207" s="16">
        <v>12.788</v>
      </c>
      <c r="O207" s="17">
        <v>6.49</v>
      </c>
      <c r="P207" s="18">
        <v>93</v>
      </c>
      <c r="Q207" s="18">
        <v>29.847999999999999</v>
      </c>
      <c r="R207" s="18">
        <v>114.379</v>
      </c>
      <c r="S207" s="18">
        <v>489.161</v>
      </c>
      <c r="T207" s="14" t="b">
        <f t="shared" si="52"/>
        <v>1</v>
      </c>
      <c r="U207" s="14" t="b">
        <f t="shared" si="53"/>
        <v>1</v>
      </c>
      <c r="V207" s="15">
        <f>VLOOKUP(IF(J207&lt;10, 10, IF(J207&gt;50,50,J207)),'Over to underbark'!$A$3:$C$43,IF(A207="Scots pine",3,IF(A207="Sitka spruce",2, "error")),TRUE)/100</f>
        <v>0.85</v>
      </c>
      <c r="W207">
        <f t="shared" si="44"/>
        <v>87.499935000000008</v>
      </c>
      <c r="X207">
        <f t="shared" si="45"/>
        <v>374.20816500000001</v>
      </c>
      <c r="Y207">
        <f t="shared" si="46"/>
        <v>81.47790000000002</v>
      </c>
      <c r="Z207">
        <f t="shared" si="41"/>
        <v>187.48408770000003</v>
      </c>
      <c r="AA207">
        <f t="shared" si="42"/>
        <v>131.1770133</v>
      </c>
      <c r="AB207">
        <f t="shared" si="43"/>
        <v>224.524899</v>
      </c>
      <c r="AC207">
        <f>LOOKUP($A207,'Over to underbark'!$A$47:$A$48,'Over to underbark'!E$47:E$48)*Z207</f>
        <v>78.743316834000012</v>
      </c>
      <c r="AD207">
        <f>LOOKUP($A207,'Over to underbark'!$A$47:$A$48,'Over to underbark'!E$47:E$48)*AA207</f>
        <v>55.094345585999996</v>
      </c>
      <c r="AE207">
        <f>LOOKUP($A207,'Over to underbark'!$A$47:$A$48,'Over to underbark'!E$47:E$48)*AB207</f>
        <v>94.30045758</v>
      </c>
      <c r="AF207" t="b">
        <f t="shared" si="47"/>
        <v>1</v>
      </c>
      <c r="AG207" t="b">
        <f t="shared" si="48"/>
        <v>1</v>
      </c>
      <c r="AH207">
        <f>LOOKUP(A207,'Over to underbark'!$A$47:$A$48,'Over to underbark'!E$47:E$48)*M207</f>
        <v>253.48679999999999</v>
      </c>
      <c r="AI207" s="27">
        <f>LOOKUP(A207,'Over to underbark'!$A$47:$A$48,'Over to underbark'!$B$47:$B$48)*AH207</f>
        <v>86.185512000000003</v>
      </c>
      <c r="AJ207" s="27">
        <f>LOOKUP(A208,'Over to underbark'!$A$47:$A$48,'Over to underbark'!C$47:C$48)*AH207</f>
        <v>88.720379999999992</v>
      </c>
      <c r="AK207" s="27">
        <f t="shared" si="49"/>
        <v>339.67231199999998</v>
      </c>
      <c r="AL207" s="33">
        <v>808.74</v>
      </c>
      <c r="AM207" s="28">
        <f t="shared" si="50"/>
        <v>679.34462399999995</v>
      </c>
      <c r="AO207">
        <f t="shared" si="51"/>
        <v>0.67164179104477617</v>
      </c>
    </row>
    <row r="208" spans="1:41" x14ac:dyDescent="0.35">
      <c r="A208" t="s">
        <v>39</v>
      </c>
      <c r="B208">
        <v>8</v>
      </c>
      <c r="C208">
        <v>2</v>
      </c>
      <c r="D208" t="s">
        <v>40</v>
      </c>
      <c r="E208">
        <v>2</v>
      </c>
      <c r="F208">
        <v>1</v>
      </c>
      <c r="G208" s="16">
        <v>94</v>
      </c>
      <c r="H208" s="16">
        <v>23.015999999999998</v>
      </c>
      <c r="I208" s="16">
        <v>923</v>
      </c>
      <c r="J208" s="16">
        <v>29.994</v>
      </c>
      <c r="K208" s="16">
        <v>65.222999999999999</v>
      </c>
      <c r="L208" s="16">
        <v>0.65700000000000003</v>
      </c>
      <c r="M208" s="23">
        <v>606.55999999999995</v>
      </c>
      <c r="N208" s="16">
        <v>12.958</v>
      </c>
      <c r="O208" s="17">
        <v>6.4530000000000003</v>
      </c>
      <c r="P208" s="18">
        <v>94</v>
      </c>
      <c r="Q208" s="18">
        <v>29.994</v>
      </c>
      <c r="R208" s="18">
        <v>112.92700000000001</v>
      </c>
      <c r="S208" s="18">
        <v>493.63299999999998</v>
      </c>
      <c r="T208" s="14" t="b">
        <f t="shared" si="52"/>
        <v>1</v>
      </c>
      <c r="U208" s="14" t="b">
        <f t="shared" si="53"/>
        <v>1</v>
      </c>
      <c r="V208" s="15">
        <f>VLOOKUP(IF(J208&lt;10, 10, IF(J208&gt;50,50,J208)),'Over to underbark'!$A$3:$C$43,IF(A208="Scots pine",3,IF(A208="Sitka spruce",2, "error")),TRUE)/100</f>
        <v>0.85</v>
      </c>
      <c r="W208">
        <f t="shared" si="44"/>
        <v>86.389155000000002</v>
      </c>
      <c r="X208">
        <f t="shared" si="45"/>
        <v>377.62924499999997</v>
      </c>
      <c r="Y208">
        <f t="shared" si="46"/>
        <v>81.885600000000011</v>
      </c>
      <c r="Z208">
        <f t="shared" si="41"/>
        <v>187.77180509999999</v>
      </c>
      <c r="AA208">
        <f t="shared" si="42"/>
        <v>131.55464789999999</v>
      </c>
      <c r="AB208">
        <f t="shared" si="43"/>
        <v>226.57754699999998</v>
      </c>
      <c r="AC208">
        <f>LOOKUP($A208,'Over to underbark'!$A$47:$A$48,'Over to underbark'!E$47:E$48)*Z208</f>
        <v>78.864158141999994</v>
      </c>
      <c r="AD208">
        <f>LOOKUP($A208,'Over to underbark'!$A$47:$A$48,'Over to underbark'!E$47:E$48)*AA208</f>
        <v>55.252952117999996</v>
      </c>
      <c r="AE208">
        <f>LOOKUP($A208,'Over to underbark'!$A$47:$A$48,'Over to underbark'!E$47:E$48)*AB208</f>
        <v>95.162569739999995</v>
      </c>
      <c r="AF208" t="b">
        <f t="shared" si="47"/>
        <v>1</v>
      </c>
      <c r="AG208" t="b">
        <f t="shared" si="48"/>
        <v>1</v>
      </c>
      <c r="AH208">
        <f>LOOKUP(A208,'Over to underbark'!$A$47:$A$48,'Over to underbark'!E$47:E$48)*M208</f>
        <v>254.75519999999997</v>
      </c>
      <c r="AI208" s="27">
        <f>LOOKUP(A208,'Over to underbark'!$A$47:$A$48,'Over to underbark'!$B$47:$B$48)*AH208</f>
        <v>86.616767999999993</v>
      </c>
      <c r="AJ208" s="27">
        <f>LOOKUP(A209,'Over to underbark'!$A$47:$A$48,'Over to underbark'!C$47:C$48)*AH208</f>
        <v>89.164319999999989</v>
      </c>
      <c r="AK208" s="27">
        <f t="shared" si="49"/>
        <v>341.37196799999998</v>
      </c>
      <c r="AL208" s="33">
        <v>812.79</v>
      </c>
      <c r="AM208" s="28">
        <f t="shared" si="50"/>
        <v>682.74393599999996</v>
      </c>
      <c r="AO208">
        <f t="shared" si="51"/>
        <v>0.67164179104477606</v>
      </c>
    </row>
    <row r="209" spans="1:41" x14ac:dyDescent="0.35">
      <c r="A209" t="s">
        <v>39</v>
      </c>
      <c r="B209">
        <v>8</v>
      </c>
      <c r="C209">
        <v>2</v>
      </c>
      <c r="D209" t="s">
        <v>40</v>
      </c>
      <c r="E209">
        <v>2</v>
      </c>
      <c r="F209">
        <v>1</v>
      </c>
      <c r="G209" s="16">
        <v>95</v>
      </c>
      <c r="H209" s="16">
        <v>23.097999999999999</v>
      </c>
      <c r="I209" s="16">
        <v>916</v>
      </c>
      <c r="J209" s="16">
        <v>30.140999999999998</v>
      </c>
      <c r="K209" s="16">
        <v>65.388000000000005</v>
      </c>
      <c r="L209" s="16">
        <v>0.66500000000000004</v>
      </c>
      <c r="M209" s="23">
        <v>609.58000000000004</v>
      </c>
      <c r="N209" s="16">
        <v>13.125999999999999</v>
      </c>
      <c r="O209" s="17">
        <v>6.4169999999999998</v>
      </c>
      <c r="P209" s="18">
        <v>95</v>
      </c>
      <c r="Q209" s="18">
        <v>30.140999999999998</v>
      </c>
      <c r="R209" s="18">
        <v>111.473</v>
      </c>
      <c r="S209" s="18">
        <v>498.10700000000003</v>
      </c>
      <c r="T209" s="14" t="b">
        <f t="shared" si="52"/>
        <v>1</v>
      </c>
      <c r="U209" s="14" t="b">
        <f t="shared" si="53"/>
        <v>1</v>
      </c>
      <c r="V209" s="15">
        <f>VLOOKUP(IF(J209&lt;10, 10, IF(J209&gt;50,50,J209)),'Over to underbark'!$A$3:$C$43,IF(A209="Scots pine",3,IF(A209="Sitka spruce",2, "error")),TRUE)/100</f>
        <v>0.85</v>
      </c>
      <c r="W209">
        <f t="shared" si="44"/>
        <v>85.276844999999994</v>
      </c>
      <c r="X209">
        <f t="shared" si="45"/>
        <v>381.05185499999999</v>
      </c>
      <c r="Y209">
        <f t="shared" si="46"/>
        <v>82.293300000000016</v>
      </c>
      <c r="Z209">
        <f t="shared" si="41"/>
        <v>188.05887990000002</v>
      </c>
      <c r="AA209">
        <f t="shared" si="42"/>
        <v>131.93200709999999</v>
      </c>
      <c r="AB209">
        <f t="shared" si="43"/>
        <v>228.631113</v>
      </c>
      <c r="AC209">
        <f>LOOKUP($A209,'Over to underbark'!$A$47:$A$48,'Over to underbark'!E$47:E$48)*Z209</f>
        <v>78.984729558000012</v>
      </c>
      <c r="AD209">
        <f>LOOKUP($A209,'Over to underbark'!$A$47:$A$48,'Over to underbark'!E$47:E$48)*AA209</f>
        <v>55.411442981999997</v>
      </c>
      <c r="AE209">
        <f>LOOKUP($A209,'Over to underbark'!$A$47:$A$48,'Over to underbark'!E$47:E$48)*AB209</f>
        <v>96.025067460000002</v>
      </c>
      <c r="AF209" t="b">
        <f t="shared" si="47"/>
        <v>1</v>
      </c>
      <c r="AG209" t="b">
        <f t="shared" si="48"/>
        <v>1</v>
      </c>
      <c r="AH209">
        <f>LOOKUP(A209,'Over to underbark'!$A$47:$A$48,'Over to underbark'!E$47:E$48)*M209</f>
        <v>256.02359999999999</v>
      </c>
      <c r="AI209" s="27">
        <f>LOOKUP(A209,'Over to underbark'!$A$47:$A$48,'Over to underbark'!$B$47:$B$48)*AH209</f>
        <v>87.048023999999998</v>
      </c>
      <c r="AJ209" s="27">
        <f>LOOKUP(A210,'Over to underbark'!$A$47:$A$48,'Over to underbark'!C$47:C$48)*AH209</f>
        <v>89.608259999999987</v>
      </c>
      <c r="AK209" s="27">
        <f t="shared" si="49"/>
        <v>343.07162399999999</v>
      </c>
      <c r="AL209" s="33">
        <v>816.84</v>
      </c>
      <c r="AM209" s="28">
        <f t="shared" si="50"/>
        <v>686.14324799999997</v>
      </c>
      <c r="AO209">
        <f t="shared" si="51"/>
        <v>0.67164179104477617</v>
      </c>
    </row>
    <row r="210" spans="1:41" x14ac:dyDescent="0.35">
      <c r="A210" t="s">
        <v>39</v>
      </c>
      <c r="B210">
        <v>8</v>
      </c>
      <c r="C210">
        <v>2</v>
      </c>
      <c r="D210" t="s">
        <v>40</v>
      </c>
      <c r="E210">
        <v>2</v>
      </c>
      <c r="F210">
        <v>1</v>
      </c>
      <c r="G210" s="16">
        <v>96</v>
      </c>
      <c r="H210" s="16">
        <v>23.18</v>
      </c>
      <c r="I210" s="16">
        <v>910</v>
      </c>
      <c r="J210" s="16">
        <v>30.29</v>
      </c>
      <c r="K210" s="16">
        <v>65.552000000000007</v>
      </c>
      <c r="L210" s="16">
        <v>0.67300000000000004</v>
      </c>
      <c r="M210" s="23">
        <v>612.6</v>
      </c>
      <c r="N210" s="16">
        <v>13.291</v>
      </c>
      <c r="O210" s="17">
        <v>6.3810000000000002</v>
      </c>
      <c r="P210" s="18">
        <v>96</v>
      </c>
      <c r="Q210" s="18">
        <v>30.29</v>
      </c>
      <c r="R210" s="18">
        <v>110.005</v>
      </c>
      <c r="S210" s="18">
        <v>502.59500000000003</v>
      </c>
      <c r="T210" s="14" t="b">
        <f t="shared" si="52"/>
        <v>1</v>
      </c>
      <c r="U210" s="14" t="b">
        <f t="shared" si="53"/>
        <v>1</v>
      </c>
      <c r="V210" s="15">
        <f>VLOOKUP(IF(J210&lt;10, 10, IF(J210&gt;50,50,J210)),'Over to underbark'!$A$3:$C$43,IF(A210="Scots pine",3,IF(A210="Sitka spruce",2, "error")),TRUE)/100</f>
        <v>0.85</v>
      </c>
      <c r="W210">
        <f t="shared" si="44"/>
        <v>84.153824999999998</v>
      </c>
      <c r="X210">
        <f t="shared" si="45"/>
        <v>384.48517500000003</v>
      </c>
      <c r="Y210">
        <f t="shared" si="46"/>
        <v>82.701000000000022</v>
      </c>
      <c r="Z210">
        <f t="shared" si="41"/>
        <v>188.34145650000002</v>
      </c>
      <c r="AA210">
        <f t="shared" si="42"/>
        <v>132.30743849999999</v>
      </c>
      <c r="AB210">
        <f t="shared" si="43"/>
        <v>230.69110499999999</v>
      </c>
      <c r="AC210">
        <f>LOOKUP($A210,'Over to underbark'!$A$47:$A$48,'Over to underbark'!E$47:E$48)*Z210</f>
        <v>79.103411730000005</v>
      </c>
      <c r="AD210">
        <f>LOOKUP($A210,'Over to underbark'!$A$47:$A$48,'Over to underbark'!E$47:E$48)*AA210</f>
        <v>55.569124169999995</v>
      </c>
      <c r="AE210">
        <f>LOOKUP($A210,'Over to underbark'!$A$47:$A$48,'Over to underbark'!E$47:E$48)*AB210</f>
        <v>96.890264099999996</v>
      </c>
      <c r="AF210" t="b">
        <f t="shared" si="47"/>
        <v>1</v>
      </c>
      <c r="AG210" t="b">
        <f t="shared" si="48"/>
        <v>1</v>
      </c>
      <c r="AH210">
        <f>LOOKUP(A210,'Over to underbark'!$A$47:$A$48,'Over to underbark'!E$47:E$48)*M210</f>
        <v>257.29199999999997</v>
      </c>
      <c r="AI210" s="27">
        <f>LOOKUP(A210,'Over to underbark'!$A$47:$A$48,'Over to underbark'!$B$47:$B$48)*AH210</f>
        <v>87.479280000000003</v>
      </c>
      <c r="AJ210" s="27">
        <f>LOOKUP(A211,'Over to underbark'!$A$47:$A$48,'Over to underbark'!C$47:C$48)*AH210</f>
        <v>90.052199999999985</v>
      </c>
      <c r="AK210" s="27">
        <f t="shared" si="49"/>
        <v>344.77127999999999</v>
      </c>
      <c r="AL210" s="33">
        <v>820.88</v>
      </c>
      <c r="AM210" s="28">
        <f t="shared" si="50"/>
        <v>689.54255999999998</v>
      </c>
      <c r="AO210">
        <f t="shared" si="51"/>
        <v>0.67164179104477617</v>
      </c>
    </row>
    <row r="211" spans="1:41" x14ac:dyDescent="0.35">
      <c r="A211" t="s">
        <v>39</v>
      </c>
      <c r="B211">
        <v>8</v>
      </c>
      <c r="C211">
        <v>2</v>
      </c>
      <c r="D211" t="s">
        <v>40</v>
      </c>
      <c r="E211">
        <v>2</v>
      </c>
      <c r="F211">
        <v>1</v>
      </c>
      <c r="G211" s="16">
        <v>97</v>
      </c>
      <c r="H211" s="16">
        <v>23.244</v>
      </c>
      <c r="I211" s="16">
        <v>904</v>
      </c>
      <c r="J211" s="16">
        <v>30.411999999999999</v>
      </c>
      <c r="K211" s="16">
        <v>65.688999999999993</v>
      </c>
      <c r="L211" s="16">
        <v>0.68</v>
      </c>
      <c r="M211" s="23">
        <v>614.91999999999996</v>
      </c>
      <c r="N211" s="16">
        <v>13.455</v>
      </c>
      <c r="O211" s="17">
        <v>6.3390000000000004</v>
      </c>
      <c r="P211" s="18">
        <v>97</v>
      </c>
      <c r="Q211" s="18">
        <v>30.411999999999999</v>
      </c>
      <c r="R211" s="18">
        <v>108.78700000000001</v>
      </c>
      <c r="S211" s="18">
        <v>506.13299999999998</v>
      </c>
      <c r="T211" s="14" t="b">
        <f t="shared" si="52"/>
        <v>1</v>
      </c>
      <c r="U211" s="14" t="b">
        <f t="shared" si="53"/>
        <v>1</v>
      </c>
      <c r="V211" s="15">
        <f>VLOOKUP(IF(J211&lt;10, 10, IF(J211&gt;50,50,J211)),'Over to underbark'!$A$3:$C$43,IF(A211="Scots pine",3,IF(A211="Sitka spruce",2, "error")),TRUE)/100</f>
        <v>0.85</v>
      </c>
      <c r="W211">
        <f t="shared" si="44"/>
        <v>83.222055000000012</v>
      </c>
      <c r="X211">
        <f t="shared" si="45"/>
        <v>387.19174499999997</v>
      </c>
      <c r="Y211">
        <f t="shared" si="46"/>
        <v>83.014200000000017</v>
      </c>
      <c r="Z211">
        <f t="shared" si="41"/>
        <v>188.52953310000001</v>
      </c>
      <c r="AA211">
        <f t="shared" si="42"/>
        <v>132.5834199</v>
      </c>
      <c r="AB211">
        <f t="shared" si="43"/>
        <v>232.31504699999996</v>
      </c>
      <c r="AC211">
        <f>LOOKUP($A211,'Over to underbark'!$A$47:$A$48,'Over to underbark'!E$47:E$48)*Z211</f>
        <v>79.182403902000004</v>
      </c>
      <c r="AD211">
        <f>LOOKUP($A211,'Over to underbark'!$A$47:$A$48,'Over to underbark'!E$47:E$48)*AA211</f>
        <v>55.685036357999998</v>
      </c>
      <c r="AE211">
        <f>LOOKUP($A211,'Over to underbark'!$A$47:$A$48,'Over to underbark'!E$47:E$48)*AB211</f>
        <v>97.572319739999983</v>
      </c>
      <c r="AF211" t="b">
        <f t="shared" si="47"/>
        <v>1</v>
      </c>
      <c r="AG211" t="b">
        <f t="shared" si="48"/>
        <v>1</v>
      </c>
      <c r="AH211">
        <f>LOOKUP(A211,'Over to underbark'!$A$47:$A$48,'Over to underbark'!E$47:E$48)*M211</f>
        <v>258.26639999999998</v>
      </c>
      <c r="AI211" s="27">
        <f>LOOKUP(A211,'Over to underbark'!$A$47:$A$48,'Over to underbark'!$B$47:$B$48)*AH211</f>
        <v>87.810575999999998</v>
      </c>
      <c r="AJ211" s="27">
        <f>LOOKUP(A212,'Over to underbark'!$A$47:$A$48,'Over to underbark'!C$47:C$48)*AH211</f>
        <v>90.393239999999992</v>
      </c>
      <c r="AK211" s="27">
        <f t="shared" si="49"/>
        <v>346.07697599999995</v>
      </c>
      <c r="AL211" s="33">
        <v>823.99</v>
      </c>
      <c r="AM211" s="28">
        <f t="shared" si="50"/>
        <v>692.15395199999989</v>
      </c>
      <c r="AO211">
        <f t="shared" si="51"/>
        <v>0.67164179104477617</v>
      </c>
    </row>
    <row r="212" spans="1:41" x14ac:dyDescent="0.35">
      <c r="A212" t="s">
        <v>39</v>
      </c>
      <c r="B212">
        <v>8</v>
      </c>
      <c r="C212">
        <v>2</v>
      </c>
      <c r="D212" t="s">
        <v>40</v>
      </c>
      <c r="E212">
        <v>2</v>
      </c>
      <c r="F212">
        <v>1</v>
      </c>
      <c r="G212" s="16">
        <v>98</v>
      </c>
      <c r="H212" s="16">
        <v>23.308</v>
      </c>
      <c r="I212" s="16">
        <v>899</v>
      </c>
      <c r="J212" s="16">
        <v>30.535</v>
      </c>
      <c r="K212" s="16">
        <v>65.825999999999993</v>
      </c>
      <c r="L212" s="16">
        <v>0.68700000000000006</v>
      </c>
      <c r="M212" s="23">
        <v>617.24</v>
      </c>
      <c r="N212" s="16">
        <v>13.617000000000001</v>
      </c>
      <c r="O212" s="17">
        <v>6.298</v>
      </c>
      <c r="P212" s="18">
        <v>98</v>
      </c>
      <c r="Q212" s="18">
        <v>30.535</v>
      </c>
      <c r="R212" s="18">
        <v>107.565</v>
      </c>
      <c r="S212" s="18">
        <v>509.67500000000001</v>
      </c>
      <c r="T212" s="14" t="b">
        <f t="shared" si="52"/>
        <v>1</v>
      </c>
      <c r="U212" s="14" t="b">
        <f t="shared" si="53"/>
        <v>1</v>
      </c>
      <c r="V212" s="15">
        <f>VLOOKUP(IF(J212&lt;10, 10, IF(J212&gt;50,50,J212)),'Over to underbark'!$A$3:$C$43,IF(A212="Scots pine",3,IF(A212="Sitka spruce",2, "error")),TRUE)/100</f>
        <v>0.85</v>
      </c>
      <c r="W212">
        <f t="shared" si="44"/>
        <v>82.287224999999992</v>
      </c>
      <c r="X212">
        <f t="shared" si="45"/>
        <v>389.90137500000003</v>
      </c>
      <c r="Y212">
        <f t="shared" si="46"/>
        <v>83.327400000000026</v>
      </c>
      <c r="Z212">
        <f t="shared" si="41"/>
        <v>188.71632450000001</v>
      </c>
      <c r="AA212">
        <f t="shared" si="42"/>
        <v>132.85885050000002</v>
      </c>
      <c r="AB212">
        <f t="shared" si="43"/>
        <v>233.94082500000002</v>
      </c>
      <c r="AC212">
        <f>LOOKUP($A212,'Over to underbark'!$A$47:$A$48,'Over to underbark'!E$47:E$48)*Z212</f>
        <v>79.260856290000007</v>
      </c>
      <c r="AD212">
        <f>LOOKUP($A212,'Over to underbark'!$A$47:$A$48,'Over to underbark'!E$47:E$48)*AA212</f>
        <v>55.800717210000002</v>
      </c>
      <c r="AE212">
        <f>LOOKUP($A212,'Over to underbark'!$A$47:$A$48,'Over to underbark'!E$47:E$48)*AB212</f>
        <v>98.255146500000009</v>
      </c>
      <c r="AF212" t="b">
        <f t="shared" si="47"/>
        <v>1</v>
      </c>
      <c r="AG212" t="b">
        <f t="shared" si="48"/>
        <v>1</v>
      </c>
      <c r="AH212">
        <f>LOOKUP(A212,'Over to underbark'!$A$47:$A$48,'Over to underbark'!E$47:E$48)*M212</f>
        <v>259.24079999999998</v>
      </c>
      <c r="AI212" s="27">
        <f>LOOKUP(A212,'Over to underbark'!$A$47:$A$48,'Over to underbark'!$B$47:$B$48)*AH212</f>
        <v>88.141871999999992</v>
      </c>
      <c r="AJ212" s="27">
        <f>LOOKUP(A213,'Over to underbark'!$A$47:$A$48,'Over to underbark'!C$47:C$48)*AH212</f>
        <v>90.734279999999984</v>
      </c>
      <c r="AK212" s="27">
        <f t="shared" si="49"/>
        <v>347.38267199999996</v>
      </c>
      <c r="AL212" s="33">
        <v>827.1</v>
      </c>
      <c r="AM212" s="28">
        <f t="shared" si="50"/>
        <v>694.76534399999991</v>
      </c>
      <c r="AO212">
        <f t="shared" si="51"/>
        <v>0.67164179104477628</v>
      </c>
    </row>
    <row r="213" spans="1:41" x14ac:dyDescent="0.35">
      <c r="A213" t="s">
        <v>39</v>
      </c>
      <c r="B213">
        <v>8</v>
      </c>
      <c r="C213">
        <v>2</v>
      </c>
      <c r="D213" t="s">
        <v>40</v>
      </c>
      <c r="E213">
        <v>2</v>
      </c>
      <c r="F213">
        <v>1</v>
      </c>
      <c r="G213" s="16">
        <v>99</v>
      </c>
      <c r="H213" s="16">
        <v>23.372</v>
      </c>
      <c r="I213" s="16">
        <v>894</v>
      </c>
      <c r="J213" s="16">
        <v>30.658999999999999</v>
      </c>
      <c r="K213" s="16">
        <v>65.962999999999994</v>
      </c>
      <c r="L213" s="16">
        <v>0.69299999999999995</v>
      </c>
      <c r="M213" s="23">
        <v>619.55999999999995</v>
      </c>
      <c r="N213" s="16">
        <v>13.778</v>
      </c>
      <c r="O213" s="17">
        <v>6.258</v>
      </c>
      <c r="P213" s="18">
        <v>99</v>
      </c>
      <c r="Q213" s="18">
        <v>30.658999999999999</v>
      </c>
      <c r="R213" s="18">
        <v>106.34</v>
      </c>
      <c r="S213" s="18">
        <v>513.22</v>
      </c>
      <c r="T213" s="14" t="b">
        <f t="shared" si="52"/>
        <v>1</v>
      </c>
      <c r="U213" s="14" t="b">
        <f t="shared" si="53"/>
        <v>1</v>
      </c>
      <c r="V213" s="15">
        <f>VLOOKUP(IF(J213&lt;10, 10, IF(J213&gt;50,50,J213)),'Over to underbark'!$A$3:$C$43,IF(A213="Scots pine",3,IF(A213="Sitka spruce",2, "error")),TRUE)/100</f>
        <v>0.85</v>
      </c>
      <c r="W213">
        <f t="shared" si="44"/>
        <v>81.350099999999998</v>
      </c>
      <c r="X213">
        <f t="shared" si="45"/>
        <v>392.61330000000004</v>
      </c>
      <c r="Y213">
        <f t="shared" si="46"/>
        <v>83.64060000000002</v>
      </c>
      <c r="Z213">
        <f t="shared" si="41"/>
        <v>188.90215200000003</v>
      </c>
      <c r="AA213">
        <f t="shared" si="42"/>
        <v>133.13386800000001</v>
      </c>
      <c r="AB213">
        <f t="shared" si="43"/>
        <v>235.56798000000001</v>
      </c>
      <c r="AC213">
        <f>LOOKUP($A213,'Over to underbark'!$A$47:$A$48,'Over to underbark'!E$47:E$48)*Z213</f>
        <v>79.338903840000015</v>
      </c>
      <c r="AD213">
        <f>LOOKUP($A213,'Over to underbark'!$A$47:$A$48,'Over to underbark'!E$47:E$48)*AA213</f>
        <v>55.916224560000003</v>
      </c>
      <c r="AE213">
        <f>LOOKUP($A213,'Over to underbark'!$A$47:$A$48,'Over to underbark'!E$47:E$48)*AB213</f>
        <v>98.938551599999997</v>
      </c>
      <c r="AF213" t="b">
        <f t="shared" si="47"/>
        <v>1</v>
      </c>
      <c r="AG213" t="b">
        <f t="shared" si="48"/>
        <v>1</v>
      </c>
      <c r="AH213">
        <f>LOOKUP(A213,'Over to underbark'!$A$47:$A$48,'Over to underbark'!E$47:E$48)*M213</f>
        <v>260.21519999999998</v>
      </c>
      <c r="AI213" s="27">
        <f>LOOKUP(A213,'Over to underbark'!$A$47:$A$48,'Over to underbark'!$B$47:$B$48)*AH213</f>
        <v>88.473168000000001</v>
      </c>
      <c r="AJ213" s="27">
        <f>LOOKUP(A214,'Over to underbark'!$A$47:$A$48,'Over to underbark'!C$47:C$48)*AH213</f>
        <v>91.075319999999991</v>
      </c>
      <c r="AK213" s="27">
        <f t="shared" si="49"/>
        <v>348.68836799999997</v>
      </c>
      <c r="AL213" s="33">
        <v>830.21</v>
      </c>
      <c r="AM213" s="28">
        <f t="shared" si="50"/>
        <v>697.37673599999994</v>
      </c>
      <c r="AO213">
        <f t="shared" si="51"/>
        <v>0.67164179104477628</v>
      </c>
    </row>
    <row r="214" spans="1:41" x14ac:dyDescent="0.35">
      <c r="A214" t="s">
        <v>39</v>
      </c>
      <c r="B214">
        <v>8</v>
      </c>
      <c r="C214">
        <v>2</v>
      </c>
      <c r="D214" t="s">
        <v>40</v>
      </c>
      <c r="E214">
        <v>2</v>
      </c>
      <c r="F214">
        <v>1</v>
      </c>
      <c r="G214" s="16">
        <v>100</v>
      </c>
      <c r="H214" s="16">
        <v>23.436</v>
      </c>
      <c r="I214" s="16">
        <v>888</v>
      </c>
      <c r="J214" s="16">
        <v>30.783999999999999</v>
      </c>
      <c r="K214" s="16">
        <v>66.099999999999994</v>
      </c>
      <c r="L214" s="16">
        <v>0.7</v>
      </c>
      <c r="M214" s="23">
        <v>621.88</v>
      </c>
      <c r="N214" s="16">
        <v>13.936</v>
      </c>
      <c r="O214" s="17">
        <v>6.2190000000000003</v>
      </c>
      <c r="P214" s="18">
        <v>100</v>
      </c>
      <c r="Q214" s="18">
        <v>30.783999999999999</v>
      </c>
      <c r="R214" s="18">
        <v>105.114</v>
      </c>
      <c r="S214" s="18">
        <v>516.76599999999996</v>
      </c>
      <c r="T214" s="14" t="b">
        <f t="shared" si="52"/>
        <v>1</v>
      </c>
      <c r="U214" s="14" t="b">
        <f t="shared" si="53"/>
        <v>1</v>
      </c>
      <c r="V214" s="15">
        <f>VLOOKUP(IF(J214&lt;10, 10, IF(J214&gt;50,50,J214)),'Over to underbark'!$A$3:$C$43,IF(A214="Scots pine",3,IF(A214="Sitka spruce",2, "error")),TRUE)/100</f>
        <v>0.85</v>
      </c>
      <c r="W214">
        <f t="shared" si="44"/>
        <v>80.412210000000002</v>
      </c>
      <c r="X214">
        <f t="shared" si="45"/>
        <v>395.32598999999993</v>
      </c>
      <c r="Y214">
        <f t="shared" si="46"/>
        <v>83.953800000000015</v>
      </c>
      <c r="Z214">
        <f t="shared" si="41"/>
        <v>189.08765819999999</v>
      </c>
      <c r="AA214">
        <f t="shared" si="42"/>
        <v>133.40874779999999</v>
      </c>
      <c r="AB214">
        <f t="shared" si="43"/>
        <v>237.19559399999994</v>
      </c>
      <c r="AC214">
        <f>LOOKUP($A214,'Over to underbark'!$A$47:$A$48,'Over to underbark'!E$47:E$48)*Z214</f>
        <v>79.416816443999991</v>
      </c>
      <c r="AD214">
        <f>LOOKUP($A214,'Over to underbark'!$A$47:$A$48,'Over to underbark'!E$47:E$48)*AA214</f>
        <v>56.031674075999994</v>
      </c>
      <c r="AE214">
        <f>LOOKUP($A214,'Over to underbark'!$A$47:$A$48,'Over to underbark'!E$47:E$48)*AB214</f>
        <v>99.622149479999976</v>
      </c>
      <c r="AF214" t="b">
        <f t="shared" si="47"/>
        <v>1</v>
      </c>
      <c r="AG214" t="b">
        <f t="shared" si="48"/>
        <v>1</v>
      </c>
      <c r="AH214">
        <f>LOOKUP(A214,'Over to underbark'!$A$47:$A$48,'Over to underbark'!E$47:E$48)*M214</f>
        <v>261.18959999999998</v>
      </c>
      <c r="AI214" s="27">
        <f>LOOKUP(A214,'Over to underbark'!$A$47:$A$48,'Over to underbark'!$B$47:$B$48)*AH214</f>
        <v>88.804463999999996</v>
      </c>
      <c r="AJ214" s="27">
        <f>LOOKUP(A215,'Over to underbark'!$A$47:$A$48,'Over to underbark'!C$47:C$48)*AH214</f>
        <v>91.416359999999983</v>
      </c>
      <c r="AK214" s="27">
        <f t="shared" si="49"/>
        <v>349.99406399999998</v>
      </c>
      <c r="AL214" s="33">
        <v>833.32</v>
      </c>
      <c r="AM214" s="28">
        <f t="shared" si="50"/>
        <v>699.98812799999996</v>
      </c>
      <c r="AO214">
        <f t="shared" si="51"/>
        <v>0.67164179104477606</v>
      </c>
    </row>
    <row r="215" spans="1:41" x14ac:dyDescent="0.35">
      <c r="A215" t="s">
        <v>39</v>
      </c>
      <c r="B215">
        <v>8</v>
      </c>
      <c r="C215">
        <v>2</v>
      </c>
      <c r="D215" t="s">
        <v>40</v>
      </c>
      <c r="E215">
        <v>2</v>
      </c>
      <c r="F215">
        <v>1</v>
      </c>
      <c r="G215" s="16">
        <v>101</v>
      </c>
      <c r="H215" s="16">
        <v>23.5</v>
      </c>
      <c r="I215" s="16">
        <v>883</v>
      </c>
      <c r="J215" s="16">
        <v>30.91</v>
      </c>
      <c r="K215" s="16">
        <v>66.236999999999995</v>
      </c>
      <c r="L215" s="16">
        <v>0.70699999999999996</v>
      </c>
      <c r="M215" s="23">
        <v>624.20000000000005</v>
      </c>
      <c r="N215" s="16">
        <v>14.093</v>
      </c>
      <c r="O215" s="17">
        <v>6.18</v>
      </c>
      <c r="P215" s="18">
        <v>101</v>
      </c>
      <c r="Q215" s="18">
        <v>30.91</v>
      </c>
      <c r="R215" s="18">
        <v>103.88500000000001</v>
      </c>
      <c r="S215" s="18">
        <v>520.31500000000005</v>
      </c>
      <c r="T215" s="14" t="b">
        <f t="shared" si="52"/>
        <v>1</v>
      </c>
      <c r="U215" s="14" t="b">
        <f t="shared" si="53"/>
        <v>1</v>
      </c>
      <c r="V215" s="15">
        <f>VLOOKUP(IF(J215&lt;10, 10, IF(J215&gt;50,50,J215)),'Over to underbark'!$A$3:$C$43,IF(A215="Scots pine",3,IF(A215="Sitka spruce",2, "error")),TRUE)/100</f>
        <v>0.85</v>
      </c>
      <c r="W215">
        <f t="shared" si="44"/>
        <v>79.472025000000002</v>
      </c>
      <c r="X215">
        <f t="shared" si="45"/>
        <v>398.04097500000006</v>
      </c>
      <c r="Y215">
        <f t="shared" si="46"/>
        <v>84.267000000000024</v>
      </c>
      <c r="Z215">
        <f t="shared" si="41"/>
        <v>189.27220050000005</v>
      </c>
      <c r="AA215">
        <f t="shared" si="42"/>
        <v>133.68321450000002</v>
      </c>
      <c r="AB215">
        <f t="shared" si="43"/>
        <v>238.82458500000001</v>
      </c>
      <c r="AC215">
        <f>LOOKUP($A215,'Over to underbark'!$A$47:$A$48,'Over to underbark'!E$47:E$48)*Z215</f>
        <v>79.494324210000016</v>
      </c>
      <c r="AD215">
        <f>LOOKUP($A215,'Over to underbark'!$A$47:$A$48,'Over to underbark'!E$47:E$48)*AA215</f>
        <v>56.146950090000004</v>
      </c>
      <c r="AE215">
        <f>LOOKUP($A215,'Over to underbark'!$A$47:$A$48,'Over to underbark'!E$47:E$48)*AB215</f>
        <v>100.3063257</v>
      </c>
      <c r="AF215" t="b">
        <f t="shared" si="47"/>
        <v>1</v>
      </c>
      <c r="AG215" t="b">
        <f t="shared" si="48"/>
        <v>1</v>
      </c>
      <c r="AH215">
        <f>LOOKUP(A215,'Over to underbark'!$A$47:$A$48,'Over to underbark'!E$47:E$48)*M215</f>
        <v>262.16399999999999</v>
      </c>
      <c r="AI215" s="27">
        <f>LOOKUP(A215,'Over to underbark'!$A$47:$A$48,'Over to underbark'!$B$47:$B$48)*AH215</f>
        <v>89.135760000000005</v>
      </c>
      <c r="AJ215" s="27">
        <f>LOOKUP(A216,'Over to underbark'!$A$47:$A$48,'Over to underbark'!C$47:C$48)*AH215</f>
        <v>91.75739999999999</v>
      </c>
      <c r="AK215" s="27">
        <f t="shared" si="49"/>
        <v>351.29975999999999</v>
      </c>
      <c r="AL215" s="33">
        <v>836.43</v>
      </c>
      <c r="AM215" s="28">
        <f t="shared" si="50"/>
        <v>702.59951999999998</v>
      </c>
      <c r="AO215">
        <f t="shared" si="51"/>
        <v>0.67164179104477617</v>
      </c>
    </row>
    <row r="216" spans="1:41" x14ac:dyDescent="0.35">
      <c r="A216" t="s">
        <v>39</v>
      </c>
      <c r="B216">
        <v>10</v>
      </c>
      <c r="C216">
        <v>2</v>
      </c>
      <c r="D216" t="s">
        <v>40</v>
      </c>
      <c r="E216">
        <v>2</v>
      </c>
      <c r="F216">
        <v>1</v>
      </c>
      <c r="G216" s="16">
        <v>22</v>
      </c>
      <c r="H216" s="16">
        <v>8.67</v>
      </c>
      <c r="I216" s="16">
        <v>2166</v>
      </c>
      <c r="J216" s="16">
        <v>11.27</v>
      </c>
      <c r="K216" s="16">
        <v>21.606999999999999</v>
      </c>
      <c r="L216" s="16">
        <v>3.2000000000000001E-2</v>
      </c>
      <c r="M216" s="23">
        <v>69.099999999999994</v>
      </c>
      <c r="N216" s="16">
        <v>0</v>
      </c>
      <c r="O216" s="17">
        <v>3.141</v>
      </c>
      <c r="P216" s="18">
        <v>22</v>
      </c>
      <c r="Q216" s="18">
        <v>11.27</v>
      </c>
      <c r="R216" s="18">
        <v>69.099999999999994</v>
      </c>
      <c r="S216" s="18">
        <v>0</v>
      </c>
      <c r="T216" s="14" t="b">
        <f t="shared" ref="T216:T279" si="54">G216=P216</f>
        <v>1</v>
      </c>
      <c r="U216" s="14" t="b">
        <f t="shared" ref="U216:U279" si="55">J216=Q216</f>
        <v>1</v>
      </c>
      <c r="V216" s="15">
        <f>VLOOKUP(IF(J216&lt;10, 10, IF(J216&gt;50,50,J216)),'Over to underbark'!$A$3:$C$43,IF(A216="Scots pine",3,IF(A216="Sitka spruce",2, "error")),TRUE)/100</f>
        <v>0.66</v>
      </c>
      <c r="W216">
        <f t="shared" si="44"/>
        <v>41.045400000000001</v>
      </c>
      <c r="X216">
        <f t="shared" si="45"/>
        <v>0</v>
      </c>
      <c r="Y216">
        <f t="shared" si="46"/>
        <v>21.144599999999997</v>
      </c>
      <c r="Z216">
        <f t="shared" si="41"/>
        <v>44.540477999999993</v>
      </c>
      <c r="AA216">
        <f t="shared" si="42"/>
        <v>17.649522000000001</v>
      </c>
      <c r="AB216">
        <f t="shared" si="43"/>
        <v>0</v>
      </c>
      <c r="AC216">
        <f>LOOKUP($A216,'Over to underbark'!$A$47:$A$48,'Over to underbark'!E$47:E$48)*Z216</f>
        <v>18.707000759999996</v>
      </c>
      <c r="AD216">
        <f>LOOKUP($A216,'Over to underbark'!$A$47:$A$48,'Over to underbark'!E$47:E$48)*AA216</f>
        <v>7.41279924</v>
      </c>
      <c r="AE216">
        <f>LOOKUP($A216,'Over to underbark'!$A$47:$A$48,'Over to underbark'!E$47:E$48)*AB216</f>
        <v>0</v>
      </c>
      <c r="AF216" t="b">
        <f t="shared" si="47"/>
        <v>1</v>
      </c>
      <c r="AG216" t="b">
        <f t="shared" si="48"/>
        <v>1</v>
      </c>
      <c r="AH216">
        <f>LOOKUP(A216,'Over to underbark'!$A$47:$A$48,'Over to underbark'!E$47:E$48)*M216</f>
        <v>29.021999999999995</v>
      </c>
      <c r="AI216" s="27">
        <f>LOOKUP(A216,'Over to underbark'!$A$47:$A$48,'Over to underbark'!$B$47:$B$48)*AH216</f>
        <v>9.8674799999999987</v>
      </c>
      <c r="AJ216" s="27">
        <f>LOOKUP(A217,'Over to underbark'!$A$47:$A$48,'Over to underbark'!C$47:C$48)*AH216</f>
        <v>10.157699999999998</v>
      </c>
      <c r="AK216" s="27">
        <f t="shared" si="49"/>
        <v>38.889479999999992</v>
      </c>
      <c r="AL216" s="33">
        <v>92.59</v>
      </c>
      <c r="AM216" s="28">
        <f t="shared" si="50"/>
        <v>77.778959999999984</v>
      </c>
      <c r="AO216">
        <f t="shared" si="51"/>
        <v>0.67164179104477617</v>
      </c>
    </row>
    <row r="217" spans="1:41" x14ac:dyDescent="0.35">
      <c r="A217" t="s">
        <v>39</v>
      </c>
      <c r="B217">
        <v>10</v>
      </c>
      <c r="C217">
        <v>2</v>
      </c>
      <c r="D217" t="s">
        <v>40</v>
      </c>
      <c r="E217">
        <v>2</v>
      </c>
      <c r="F217">
        <v>1</v>
      </c>
      <c r="G217" s="16">
        <v>23</v>
      </c>
      <c r="H217" s="16">
        <v>9.0739999999999998</v>
      </c>
      <c r="I217" s="16">
        <v>2143</v>
      </c>
      <c r="J217" s="16">
        <v>11.689</v>
      </c>
      <c r="K217" s="16">
        <v>22.998999999999999</v>
      </c>
      <c r="L217" s="16">
        <v>3.6999999999999998E-2</v>
      </c>
      <c r="M217" s="23">
        <v>79.040000000000006</v>
      </c>
      <c r="N217" s="16">
        <v>0</v>
      </c>
      <c r="O217" s="17">
        <v>3.4369999999999998</v>
      </c>
      <c r="P217" s="18">
        <v>23</v>
      </c>
      <c r="Q217" s="18">
        <v>11.689</v>
      </c>
      <c r="R217" s="18">
        <v>79.040000000000006</v>
      </c>
      <c r="S217" s="18">
        <v>0</v>
      </c>
      <c r="T217" s="14" t="b">
        <f t="shared" si="54"/>
        <v>1</v>
      </c>
      <c r="U217" s="14" t="b">
        <f t="shared" si="55"/>
        <v>1</v>
      </c>
      <c r="V217" s="15">
        <f>VLOOKUP(IF(J217&lt;10, 10, IF(J217&gt;50,50,J217)),'Over to underbark'!$A$3:$C$43,IF(A217="Scots pine",3,IF(A217="Sitka spruce",2, "error")),TRUE)/100</f>
        <v>0.66</v>
      </c>
      <c r="W217">
        <f t="shared" si="44"/>
        <v>46.949760000000012</v>
      </c>
      <c r="X217">
        <f t="shared" si="45"/>
        <v>0</v>
      </c>
      <c r="Y217">
        <f t="shared" si="46"/>
        <v>24.186240000000002</v>
      </c>
      <c r="Z217">
        <f t="shared" si="41"/>
        <v>50.947603200000003</v>
      </c>
      <c r="AA217">
        <f t="shared" si="42"/>
        <v>20.188396800000003</v>
      </c>
      <c r="AB217">
        <f t="shared" si="43"/>
        <v>0</v>
      </c>
      <c r="AC217">
        <f>LOOKUP($A217,'Over to underbark'!$A$47:$A$48,'Over to underbark'!E$47:E$48)*Z217</f>
        <v>21.397993344</v>
      </c>
      <c r="AD217">
        <f>LOOKUP($A217,'Over to underbark'!$A$47:$A$48,'Over to underbark'!E$47:E$48)*AA217</f>
        <v>8.4791266560000018</v>
      </c>
      <c r="AE217">
        <f>LOOKUP($A217,'Over to underbark'!$A$47:$A$48,'Over to underbark'!E$47:E$48)*AB217</f>
        <v>0</v>
      </c>
      <c r="AF217" t="b">
        <f t="shared" si="47"/>
        <v>1</v>
      </c>
      <c r="AG217" t="b">
        <f t="shared" si="48"/>
        <v>1</v>
      </c>
      <c r="AH217">
        <f>LOOKUP(A217,'Over to underbark'!$A$47:$A$48,'Over to underbark'!E$47:E$48)*M217</f>
        <v>33.196800000000003</v>
      </c>
      <c r="AI217" s="27">
        <f>LOOKUP(A217,'Over to underbark'!$A$47:$A$48,'Over to underbark'!$B$47:$B$48)*AH217</f>
        <v>11.286912000000003</v>
      </c>
      <c r="AJ217" s="27">
        <f>LOOKUP(A218,'Over to underbark'!$A$47:$A$48,'Over to underbark'!C$47:C$48)*AH217</f>
        <v>11.618880000000001</v>
      </c>
      <c r="AK217" s="27">
        <f t="shared" si="49"/>
        <v>44.483712000000004</v>
      </c>
      <c r="AL217" s="33">
        <v>105.91</v>
      </c>
      <c r="AM217" s="28">
        <f t="shared" si="50"/>
        <v>88.967424000000008</v>
      </c>
      <c r="AO217">
        <f t="shared" si="51"/>
        <v>0.67164179104477606</v>
      </c>
    </row>
    <row r="218" spans="1:41" x14ac:dyDescent="0.35">
      <c r="A218" t="s">
        <v>39</v>
      </c>
      <c r="B218">
        <v>10</v>
      </c>
      <c r="C218">
        <v>2</v>
      </c>
      <c r="D218" t="s">
        <v>40</v>
      </c>
      <c r="E218">
        <v>2</v>
      </c>
      <c r="F218">
        <v>1</v>
      </c>
      <c r="G218" s="16">
        <v>24</v>
      </c>
      <c r="H218" s="16">
        <v>9.4779999999999998</v>
      </c>
      <c r="I218" s="16">
        <v>2120</v>
      </c>
      <c r="J218" s="16">
        <v>12.103</v>
      </c>
      <c r="K218" s="16">
        <v>24.39</v>
      </c>
      <c r="L218" s="16">
        <v>4.2000000000000003E-2</v>
      </c>
      <c r="M218" s="23">
        <v>88.98</v>
      </c>
      <c r="N218" s="16">
        <v>0</v>
      </c>
      <c r="O218" s="17">
        <v>3.7069999999999999</v>
      </c>
      <c r="P218" s="18">
        <v>24</v>
      </c>
      <c r="Q218" s="18">
        <v>12.103</v>
      </c>
      <c r="R218" s="18">
        <v>88.98</v>
      </c>
      <c r="S218" s="18">
        <v>0</v>
      </c>
      <c r="T218" s="14" t="b">
        <f t="shared" si="54"/>
        <v>1</v>
      </c>
      <c r="U218" s="14" t="b">
        <f t="shared" si="55"/>
        <v>1</v>
      </c>
      <c r="V218" s="15">
        <f>VLOOKUP(IF(J218&lt;10, 10, IF(J218&gt;50,50,J218)),'Over to underbark'!$A$3:$C$43,IF(A218="Scots pine",3,IF(A218="Sitka spruce",2, "error")),TRUE)/100</f>
        <v>0.74</v>
      </c>
      <c r="W218">
        <f t="shared" si="44"/>
        <v>59.260680000000008</v>
      </c>
      <c r="X218">
        <f t="shared" si="45"/>
        <v>0</v>
      </c>
      <c r="Y218">
        <f t="shared" si="46"/>
        <v>20.821320000000004</v>
      </c>
      <c r="Z218">
        <f t="shared" si="41"/>
        <v>54.599907600000009</v>
      </c>
      <c r="AA218">
        <f t="shared" si="42"/>
        <v>25.482092400000003</v>
      </c>
      <c r="AB218">
        <f t="shared" si="43"/>
        <v>0</v>
      </c>
      <c r="AC218">
        <f>LOOKUP($A218,'Over to underbark'!$A$47:$A$48,'Over to underbark'!E$47:E$48)*Z218</f>
        <v>22.931961192000003</v>
      </c>
      <c r="AD218">
        <f>LOOKUP($A218,'Over to underbark'!$A$47:$A$48,'Over to underbark'!E$47:E$48)*AA218</f>
        <v>10.702478808</v>
      </c>
      <c r="AE218">
        <f>LOOKUP($A218,'Over to underbark'!$A$47:$A$48,'Over to underbark'!E$47:E$48)*AB218</f>
        <v>0</v>
      </c>
      <c r="AF218" t="b">
        <f t="shared" si="47"/>
        <v>1</v>
      </c>
      <c r="AG218" t="b">
        <f t="shared" si="48"/>
        <v>1</v>
      </c>
      <c r="AH218">
        <f>LOOKUP(A218,'Over to underbark'!$A$47:$A$48,'Over to underbark'!E$47:E$48)*M218</f>
        <v>37.371600000000001</v>
      </c>
      <c r="AI218" s="27">
        <f>LOOKUP(A218,'Over to underbark'!$A$47:$A$48,'Over to underbark'!$B$47:$B$48)*AH218</f>
        <v>12.706344000000001</v>
      </c>
      <c r="AJ218" s="27">
        <f>LOOKUP(A219,'Over to underbark'!$A$47:$A$48,'Over to underbark'!C$47:C$48)*AH218</f>
        <v>13.08006</v>
      </c>
      <c r="AK218" s="27">
        <f t="shared" si="49"/>
        <v>50.077944000000002</v>
      </c>
      <c r="AL218" s="33">
        <v>119.23</v>
      </c>
      <c r="AM218" s="28">
        <f t="shared" si="50"/>
        <v>100.155888</v>
      </c>
      <c r="AO218">
        <f t="shared" si="51"/>
        <v>0.67164179104477617</v>
      </c>
    </row>
    <row r="219" spans="1:41" x14ac:dyDescent="0.35">
      <c r="A219" t="s">
        <v>39</v>
      </c>
      <c r="B219">
        <v>10</v>
      </c>
      <c r="C219">
        <v>2</v>
      </c>
      <c r="D219" t="s">
        <v>40</v>
      </c>
      <c r="E219">
        <v>2</v>
      </c>
      <c r="F219">
        <v>1</v>
      </c>
      <c r="G219" s="16">
        <v>25</v>
      </c>
      <c r="H219" s="16">
        <v>9.8819999999999997</v>
      </c>
      <c r="I219" s="16">
        <v>2098</v>
      </c>
      <c r="J219" s="16">
        <v>12.509</v>
      </c>
      <c r="K219" s="16">
        <v>25.782</v>
      </c>
      <c r="L219" s="16">
        <v>4.7E-2</v>
      </c>
      <c r="M219" s="23">
        <v>98.92</v>
      </c>
      <c r="N219" s="16">
        <v>0</v>
      </c>
      <c r="O219" s="17">
        <v>3.9569999999999999</v>
      </c>
      <c r="P219" s="18">
        <v>25</v>
      </c>
      <c r="Q219" s="18">
        <v>12.509</v>
      </c>
      <c r="R219" s="18">
        <v>98.92</v>
      </c>
      <c r="S219" s="18">
        <v>0</v>
      </c>
      <c r="T219" s="14" t="b">
        <f t="shared" si="54"/>
        <v>1</v>
      </c>
      <c r="U219" s="14" t="b">
        <f t="shared" si="55"/>
        <v>1</v>
      </c>
      <c r="V219" s="15">
        <f>VLOOKUP(IF(J219&lt;10, 10, IF(J219&gt;50,50,J219)),'Over to underbark'!$A$3:$C$43,IF(A219="Scots pine",3,IF(A219="Sitka spruce",2, "error")),TRUE)/100</f>
        <v>0.74</v>
      </c>
      <c r="W219">
        <f t="shared" si="44"/>
        <v>65.880719999999997</v>
      </c>
      <c r="X219">
        <f t="shared" si="45"/>
        <v>0</v>
      </c>
      <c r="Y219">
        <f t="shared" si="46"/>
        <v>23.147280000000002</v>
      </c>
      <c r="Z219">
        <f t="shared" si="41"/>
        <v>60.699290399999995</v>
      </c>
      <c r="AA219">
        <f t="shared" si="42"/>
        <v>28.3287096</v>
      </c>
      <c r="AB219">
        <f t="shared" si="43"/>
        <v>0</v>
      </c>
      <c r="AC219">
        <f>LOOKUP($A219,'Over to underbark'!$A$47:$A$48,'Over to underbark'!E$47:E$48)*Z219</f>
        <v>25.493701967999996</v>
      </c>
      <c r="AD219">
        <f>LOOKUP($A219,'Over to underbark'!$A$47:$A$48,'Over to underbark'!E$47:E$48)*AA219</f>
        <v>11.898058032</v>
      </c>
      <c r="AE219">
        <f>LOOKUP($A219,'Over to underbark'!$A$47:$A$48,'Over to underbark'!E$47:E$48)*AB219</f>
        <v>0</v>
      </c>
      <c r="AF219" t="b">
        <f t="shared" si="47"/>
        <v>1</v>
      </c>
      <c r="AG219" t="b">
        <f t="shared" si="48"/>
        <v>1</v>
      </c>
      <c r="AH219">
        <f>LOOKUP(A219,'Over to underbark'!$A$47:$A$48,'Over to underbark'!E$47:E$48)*M219</f>
        <v>41.546399999999998</v>
      </c>
      <c r="AI219" s="27">
        <f>LOOKUP(A219,'Over to underbark'!$A$47:$A$48,'Over to underbark'!$B$47:$B$48)*AH219</f>
        <v>14.125776</v>
      </c>
      <c r="AJ219" s="27">
        <f>LOOKUP(A220,'Over to underbark'!$A$47:$A$48,'Over to underbark'!C$47:C$48)*AH219</f>
        <v>14.541239999999998</v>
      </c>
      <c r="AK219" s="27">
        <f t="shared" si="49"/>
        <v>55.672176</v>
      </c>
      <c r="AL219" s="33">
        <v>132.55000000000001</v>
      </c>
      <c r="AM219" s="28">
        <f t="shared" si="50"/>
        <v>111.344352</v>
      </c>
      <c r="AO219">
        <f t="shared" si="51"/>
        <v>0.67164179104477606</v>
      </c>
    </row>
    <row r="220" spans="1:41" x14ac:dyDescent="0.35">
      <c r="A220" t="s">
        <v>39</v>
      </c>
      <c r="B220">
        <v>10</v>
      </c>
      <c r="C220">
        <v>2</v>
      </c>
      <c r="D220" t="s">
        <v>40</v>
      </c>
      <c r="E220">
        <v>2</v>
      </c>
      <c r="F220">
        <v>1</v>
      </c>
      <c r="G220" s="16">
        <v>26</v>
      </c>
      <c r="H220" s="16">
        <v>10.286</v>
      </c>
      <c r="I220" s="16">
        <v>2075</v>
      </c>
      <c r="J220" s="16">
        <v>12.913</v>
      </c>
      <c r="K220" s="16">
        <v>27.172999999999998</v>
      </c>
      <c r="L220" s="16">
        <v>5.1999999999999998E-2</v>
      </c>
      <c r="M220" s="23">
        <v>108.86</v>
      </c>
      <c r="N220" s="16">
        <v>0</v>
      </c>
      <c r="O220" s="17">
        <v>4.1870000000000003</v>
      </c>
      <c r="P220" s="18">
        <v>26</v>
      </c>
      <c r="Q220" s="18">
        <v>12.913</v>
      </c>
      <c r="R220" s="18">
        <v>107.515</v>
      </c>
      <c r="S220" s="18">
        <v>1.345</v>
      </c>
      <c r="T220" s="14" t="b">
        <f t="shared" si="54"/>
        <v>1</v>
      </c>
      <c r="U220" s="14" t="b">
        <f t="shared" si="55"/>
        <v>1</v>
      </c>
      <c r="V220" s="15">
        <f>VLOOKUP(IF(J220&lt;10, 10, IF(J220&gt;50,50,J220)),'Over to underbark'!$A$3:$C$43,IF(A220="Scots pine",3,IF(A220="Sitka spruce",2, "error")),TRUE)/100</f>
        <v>0.74</v>
      </c>
      <c r="W220">
        <f t="shared" si="44"/>
        <v>71.604990000000001</v>
      </c>
      <c r="X220">
        <f t="shared" si="45"/>
        <v>0.89576999999999996</v>
      </c>
      <c r="Y220">
        <f t="shared" si="46"/>
        <v>25.473240000000001</v>
      </c>
      <c r="Z220">
        <f t="shared" si="41"/>
        <v>66.422449799999995</v>
      </c>
      <c r="AA220">
        <f t="shared" si="42"/>
        <v>31.0140882</v>
      </c>
      <c r="AB220">
        <f t="shared" si="43"/>
        <v>0.537462</v>
      </c>
      <c r="AC220">
        <f>LOOKUP($A220,'Over to underbark'!$A$47:$A$48,'Over to underbark'!E$47:E$48)*Z220</f>
        <v>27.897428915999996</v>
      </c>
      <c r="AD220">
        <f>LOOKUP($A220,'Over to underbark'!$A$47:$A$48,'Over to underbark'!E$47:E$48)*AA220</f>
        <v>13.025917044</v>
      </c>
      <c r="AE220">
        <f>LOOKUP($A220,'Over to underbark'!$A$47:$A$48,'Over to underbark'!E$47:E$48)*AB220</f>
        <v>0.22573404</v>
      </c>
      <c r="AF220" t="b">
        <f t="shared" si="47"/>
        <v>1</v>
      </c>
      <c r="AG220" t="b">
        <f t="shared" si="48"/>
        <v>1</v>
      </c>
      <c r="AH220">
        <f>LOOKUP(A220,'Over to underbark'!$A$47:$A$48,'Over to underbark'!E$47:E$48)*M220</f>
        <v>45.721199999999996</v>
      </c>
      <c r="AI220" s="27">
        <f>LOOKUP(A220,'Over to underbark'!$A$47:$A$48,'Over to underbark'!$B$47:$B$48)*AH220</f>
        <v>15.545208000000001</v>
      </c>
      <c r="AJ220" s="27">
        <f>LOOKUP(A221,'Over to underbark'!$A$47:$A$48,'Over to underbark'!C$47:C$48)*AH220</f>
        <v>16.002419999999997</v>
      </c>
      <c r="AK220" s="27">
        <f t="shared" si="49"/>
        <v>61.266407999999998</v>
      </c>
      <c r="AL220" s="33">
        <v>145.87</v>
      </c>
      <c r="AM220" s="28">
        <f t="shared" si="50"/>
        <v>122.532816</v>
      </c>
      <c r="AO220">
        <f t="shared" si="51"/>
        <v>0.67164179104477595</v>
      </c>
    </row>
    <row r="221" spans="1:41" x14ac:dyDescent="0.35">
      <c r="A221" t="s">
        <v>39</v>
      </c>
      <c r="B221">
        <v>10</v>
      </c>
      <c r="C221">
        <v>2</v>
      </c>
      <c r="D221" t="s">
        <v>40</v>
      </c>
      <c r="E221">
        <v>2</v>
      </c>
      <c r="F221">
        <v>1</v>
      </c>
      <c r="G221" s="16">
        <v>27</v>
      </c>
      <c r="H221" s="16">
        <v>10.69</v>
      </c>
      <c r="I221" s="16">
        <v>2053</v>
      </c>
      <c r="J221" s="16">
        <v>13.31</v>
      </c>
      <c r="K221" s="16">
        <v>28.565000000000001</v>
      </c>
      <c r="L221" s="16">
        <v>5.8000000000000003E-2</v>
      </c>
      <c r="M221" s="23">
        <v>118.8</v>
      </c>
      <c r="N221" s="16">
        <v>0</v>
      </c>
      <c r="O221" s="17">
        <v>4.4000000000000004</v>
      </c>
      <c r="P221" s="18">
        <v>27</v>
      </c>
      <c r="Q221" s="18">
        <v>13.31</v>
      </c>
      <c r="R221" s="18">
        <v>114.682</v>
      </c>
      <c r="S221" s="18">
        <v>4.1180000000000003</v>
      </c>
      <c r="T221" s="14" t="b">
        <f t="shared" si="54"/>
        <v>1</v>
      </c>
      <c r="U221" s="14" t="b">
        <f t="shared" si="55"/>
        <v>1</v>
      </c>
      <c r="V221" s="15">
        <f>VLOOKUP(IF(J221&lt;10, 10, IF(J221&gt;50,50,J221)),'Over to underbark'!$A$3:$C$43,IF(A221="Scots pine",3,IF(A221="Sitka spruce",2, "error")),TRUE)/100</f>
        <v>0.79</v>
      </c>
      <c r="W221">
        <f t="shared" si="44"/>
        <v>81.538902000000007</v>
      </c>
      <c r="X221">
        <f t="shared" si="45"/>
        <v>2.9278980000000003</v>
      </c>
      <c r="Y221">
        <f t="shared" si="46"/>
        <v>22.453199999999995</v>
      </c>
      <c r="Z221">
        <f t="shared" si="41"/>
        <v>69.369558839999996</v>
      </c>
      <c r="AA221">
        <f t="shared" si="42"/>
        <v>35.793702360000005</v>
      </c>
      <c r="AB221">
        <f t="shared" si="43"/>
        <v>1.7567388000000002</v>
      </c>
      <c r="AC221">
        <f>LOOKUP($A221,'Over to underbark'!$A$47:$A$48,'Over to underbark'!E$47:E$48)*Z221</f>
        <v>29.135214712799996</v>
      </c>
      <c r="AD221">
        <f>LOOKUP($A221,'Over to underbark'!$A$47:$A$48,'Over to underbark'!E$47:E$48)*AA221</f>
        <v>15.033354991200001</v>
      </c>
      <c r="AE221">
        <f>LOOKUP($A221,'Over to underbark'!$A$47:$A$48,'Over to underbark'!E$47:E$48)*AB221</f>
        <v>0.73783029600000005</v>
      </c>
      <c r="AF221" t="b">
        <f t="shared" si="47"/>
        <v>1</v>
      </c>
      <c r="AG221" t="b">
        <f t="shared" si="48"/>
        <v>1</v>
      </c>
      <c r="AH221">
        <f>LOOKUP(A221,'Over to underbark'!$A$47:$A$48,'Over to underbark'!E$47:E$48)*M221</f>
        <v>49.895999999999994</v>
      </c>
      <c r="AI221" s="27">
        <f>LOOKUP(A221,'Over to underbark'!$A$47:$A$48,'Over to underbark'!$B$47:$B$48)*AH221</f>
        <v>16.964639999999999</v>
      </c>
      <c r="AJ221" s="27">
        <f>LOOKUP(A222,'Over to underbark'!$A$47:$A$48,'Over to underbark'!C$47:C$48)*AH221</f>
        <v>17.463599999999996</v>
      </c>
      <c r="AK221" s="27">
        <f t="shared" si="49"/>
        <v>66.860639999999989</v>
      </c>
      <c r="AL221" s="33">
        <v>159.19</v>
      </c>
      <c r="AM221" s="28">
        <f t="shared" si="50"/>
        <v>133.72127999999998</v>
      </c>
      <c r="AO221">
        <f t="shared" si="51"/>
        <v>0.67164179104477617</v>
      </c>
    </row>
    <row r="222" spans="1:41" x14ac:dyDescent="0.35">
      <c r="A222" t="s">
        <v>39</v>
      </c>
      <c r="B222">
        <v>10</v>
      </c>
      <c r="C222">
        <v>2</v>
      </c>
      <c r="D222" t="s">
        <v>40</v>
      </c>
      <c r="E222">
        <v>2</v>
      </c>
      <c r="F222">
        <v>1</v>
      </c>
      <c r="G222" s="16">
        <v>28</v>
      </c>
      <c r="H222" s="16">
        <v>11.064</v>
      </c>
      <c r="I222" s="16">
        <v>2020</v>
      </c>
      <c r="J222" s="16">
        <v>13.722</v>
      </c>
      <c r="K222" s="16">
        <v>29.870999999999999</v>
      </c>
      <c r="L222" s="16">
        <v>6.5000000000000002E-2</v>
      </c>
      <c r="M222" s="23">
        <v>130.62</v>
      </c>
      <c r="N222" s="16">
        <v>0.26</v>
      </c>
      <c r="O222" s="17">
        <v>4.665</v>
      </c>
      <c r="P222" s="18">
        <v>28</v>
      </c>
      <c r="Q222" s="18">
        <v>13.722</v>
      </c>
      <c r="R222" s="18">
        <v>122.996</v>
      </c>
      <c r="S222" s="18">
        <v>7.6239999999999997</v>
      </c>
      <c r="T222" s="14" t="b">
        <f t="shared" si="54"/>
        <v>1</v>
      </c>
      <c r="U222" s="14" t="b">
        <f t="shared" si="55"/>
        <v>1</v>
      </c>
      <c r="V222" s="15">
        <f>VLOOKUP(IF(J222&lt;10, 10, IF(J222&gt;50,50,J222)),'Over to underbark'!$A$3:$C$43,IF(A222="Scots pine",3,IF(A222="Sitka spruce",2, "error")),TRUE)/100</f>
        <v>0.79</v>
      </c>
      <c r="W222">
        <f t="shared" si="44"/>
        <v>87.450156000000007</v>
      </c>
      <c r="X222">
        <f t="shared" si="45"/>
        <v>5.4206640000000004</v>
      </c>
      <c r="Y222">
        <f t="shared" si="46"/>
        <v>24.687179999999998</v>
      </c>
      <c r="Z222">
        <f t="shared" si="41"/>
        <v>75.346868520000001</v>
      </c>
      <c r="AA222">
        <f t="shared" si="42"/>
        <v>38.958733080000002</v>
      </c>
      <c r="AB222">
        <f t="shared" si="43"/>
        <v>3.2523984000000001</v>
      </c>
      <c r="AC222">
        <f>LOOKUP($A222,'Over to underbark'!$A$47:$A$48,'Over to underbark'!E$47:E$48)*Z222</f>
        <v>31.6456847784</v>
      </c>
      <c r="AD222">
        <f>LOOKUP($A222,'Over to underbark'!$A$47:$A$48,'Over to underbark'!E$47:E$48)*AA222</f>
        <v>16.362667893600001</v>
      </c>
      <c r="AE222">
        <f>LOOKUP($A222,'Over to underbark'!$A$47:$A$48,'Over to underbark'!E$47:E$48)*AB222</f>
        <v>1.366007328</v>
      </c>
      <c r="AF222" t="b">
        <f t="shared" si="47"/>
        <v>1</v>
      </c>
      <c r="AG222" t="b">
        <f t="shared" si="48"/>
        <v>1</v>
      </c>
      <c r="AH222">
        <f>LOOKUP(A222,'Over to underbark'!$A$47:$A$48,'Over to underbark'!E$47:E$48)*M222</f>
        <v>54.860399999999998</v>
      </c>
      <c r="AI222" s="27">
        <f>LOOKUP(A222,'Over to underbark'!$A$47:$A$48,'Over to underbark'!$B$47:$B$48)*AH222</f>
        <v>18.652536000000001</v>
      </c>
      <c r="AJ222" s="27">
        <f>LOOKUP(A223,'Over to underbark'!$A$47:$A$48,'Over to underbark'!C$47:C$48)*AH222</f>
        <v>19.201139999999999</v>
      </c>
      <c r="AK222" s="27">
        <f t="shared" si="49"/>
        <v>73.512935999999996</v>
      </c>
      <c r="AL222" s="33">
        <v>175.03</v>
      </c>
      <c r="AM222" s="28">
        <f t="shared" si="50"/>
        <v>147.02587199999999</v>
      </c>
      <c r="AO222">
        <f t="shared" si="51"/>
        <v>0.67164179104477617</v>
      </c>
    </row>
    <row r="223" spans="1:41" x14ac:dyDescent="0.35">
      <c r="A223" t="s">
        <v>39</v>
      </c>
      <c r="B223">
        <v>10</v>
      </c>
      <c r="C223">
        <v>2</v>
      </c>
      <c r="D223" t="s">
        <v>40</v>
      </c>
      <c r="E223">
        <v>2</v>
      </c>
      <c r="F223">
        <v>1</v>
      </c>
      <c r="G223" s="16">
        <v>29</v>
      </c>
      <c r="H223" s="16">
        <v>11.438000000000001</v>
      </c>
      <c r="I223" s="16">
        <v>1987</v>
      </c>
      <c r="J223" s="16">
        <v>14.134</v>
      </c>
      <c r="K223" s="16">
        <v>31.177</v>
      </c>
      <c r="L223" s="16">
        <v>7.1999999999999995E-2</v>
      </c>
      <c r="M223" s="23">
        <v>142.44</v>
      </c>
      <c r="N223" s="16">
        <v>0.47499999999999998</v>
      </c>
      <c r="O223" s="17">
        <v>4.9119999999999999</v>
      </c>
      <c r="P223" s="18">
        <v>29</v>
      </c>
      <c r="Q223" s="18">
        <v>14.134</v>
      </c>
      <c r="R223" s="18">
        <v>130.68100000000001</v>
      </c>
      <c r="S223" s="18">
        <v>11.759</v>
      </c>
      <c r="T223" s="14" t="b">
        <f t="shared" si="54"/>
        <v>1</v>
      </c>
      <c r="U223" s="14" t="b">
        <f t="shared" si="55"/>
        <v>1</v>
      </c>
      <c r="V223" s="15">
        <f>VLOOKUP(IF(J223&lt;10, 10, IF(J223&gt;50,50,J223)),'Over to underbark'!$A$3:$C$43,IF(A223="Scots pine",3,IF(A223="Sitka spruce",2, "error")),TRUE)/100</f>
        <v>0.82</v>
      </c>
      <c r="W223">
        <f t="shared" si="44"/>
        <v>96.442577999999997</v>
      </c>
      <c r="X223">
        <f t="shared" si="45"/>
        <v>8.6781419999999994</v>
      </c>
      <c r="Y223">
        <f t="shared" si="46"/>
        <v>23.075280000000006</v>
      </c>
      <c r="Z223">
        <f t="shared" ref="Z223:Z286" si="56">Y223+(57%*W223)+(15%*X223)</f>
        <v>79.349270759999996</v>
      </c>
      <c r="AA223">
        <f t="shared" ref="AA223:AA286" si="57">(43%*W223)+(25%*X223)</f>
        <v>43.63984404</v>
      </c>
      <c r="AB223">
        <f t="shared" ref="AB223:AB286" si="58">60%*X223</f>
        <v>5.2068851999999994</v>
      </c>
      <c r="AC223">
        <f>LOOKUP($A223,'Over to underbark'!$A$47:$A$48,'Over to underbark'!E$47:E$48)*Z223</f>
        <v>33.326693719199994</v>
      </c>
      <c r="AD223">
        <f>LOOKUP($A223,'Over to underbark'!$A$47:$A$48,'Over to underbark'!E$47:E$48)*AA223</f>
        <v>18.328734496799999</v>
      </c>
      <c r="AE223">
        <f>LOOKUP($A223,'Over to underbark'!$A$47:$A$48,'Over to underbark'!E$47:E$48)*AB223</f>
        <v>2.1868917839999997</v>
      </c>
      <c r="AF223" t="b">
        <f t="shared" si="47"/>
        <v>1</v>
      </c>
      <c r="AG223" t="b">
        <f t="shared" si="48"/>
        <v>1</v>
      </c>
      <c r="AH223">
        <f>LOOKUP(A223,'Over to underbark'!$A$47:$A$48,'Over to underbark'!E$47:E$48)*M223</f>
        <v>59.824799999999996</v>
      </c>
      <c r="AI223" s="27">
        <f>LOOKUP(A223,'Over to underbark'!$A$47:$A$48,'Over to underbark'!$B$47:$B$48)*AH223</f>
        <v>20.340432</v>
      </c>
      <c r="AJ223" s="27">
        <f>LOOKUP(A224,'Over to underbark'!$A$47:$A$48,'Over to underbark'!C$47:C$48)*AH223</f>
        <v>20.938679999999998</v>
      </c>
      <c r="AK223" s="27">
        <f t="shared" si="49"/>
        <v>80.165232000000003</v>
      </c>
      <c r="AL223" s="33">
        <v>190.87</v>
      </c>
      <c r="AM223" s="28">
        <f t="shared" si="50"/>
        <v>160.33046400000001</v>
      </c>
      <c r="AO223">
        <f t="shared" si="51"/>
        <v>0.67164179104477595</v>
      </c>
    </row>
    <row r="224" spans="1:41" x14ac:dyDescent="0.35">
      <c r="A224" t="s">
        <v>39</v>
      </c>
      <c r="B224">
        <v>10</v>
      </c>
      <c r="C224">
        <v>2</v>
      </c>
      <c r="D224" t="s">
        <v>40</v>
      </c>
      <c r="E224">
        <v>2</v>
      </c>
      <c r="F224">
        <v>1</v>
      </c>
      <c r="G224" s="16">
        <v>30</v>
      </c>
      <c r="H224" s="16">
        <v>11.811999999999999</v>
      </c>
      <c r="I224" s="16">
        <v>1954</v>
      </c>
      <c r="J224" s="16">
        <v>14.548</v>
      </c>
      <c r="K224" s="16">
        <v>32.481999999999999</v>
      </c>
      <c r="L224" s="16">
        <v>7.9000000000000001E-2</v>
      </c>
      <c r="M224" s="23">
        <v>154.26</v>
      </c>
      <c r="N224" s="16">
        <v>0.65700000000000003</v>
      </c>
      <c r="O224" s="17">
        <v>5.1420000000000003</v>
      </c>
      <c r="P224" s="18">
        <v>30</v>
      </c>
      <c r="Q224" s="18">
        <v>14.548</v>
      </c>
      <c r="R224" s="18">
        <v>137.71600000000001</v>
      </c>
      <c r="S224" s="18">
        <v>16.544</v>
      </c>
      <c r="T224" s="14" t="b">
        <f t="shared" si="54"/>
        <v>1</v>
      </c>
      <c r="U224" s="14" t="b">
        <f t="shared" si="55"/>
        <v>1</v>
      </c>
      <c r="V224" s="15">
        <f>VLOOKUP(IF(J224&lt;10, 10, IF(J224&gt;50,50,J224)),'Over to underbark'!$A$3:$C$43,IF(A224="Scots pine",3,IF(A224="Sitka spruce",2, "error")),TRUE)/100</f>
        <v>0.82</v>
      </c>
      <c r="W224">
        <f t="shared" si="44"/>
        <v>101.63440800000001</v>
      </c>
      <c r="X224">
        <f t="shared" si="45"/>
        <v>12.209472</v>
      </c>
      <c r="Y224">
        <f t="shared" si="46"/>
        <v>24.990120000000012</v>
      </c>
      <c r="Z224">
        <f t="shared" si="56"/>
        <v>84.753153360000013</v>
      </c>
      <c r="AA224">
        <f t="shared" si="57"/>
        <v>46.755163440000004</v>
      </c>
      <c r="AB224">
        <f t="shared" si="58"/>
        <v>7.3256831999999994</v>
      </c>
      <c r="AC224">
        <f>LOOKUP($A224,'Over to underbark'!$A$47:$A$48,'Over to underbark'!E$47:E$48)*Z224</f>
        <v>35.596324411200001</v>
      </c>
      <c r="AD224">
        <f>LOOKUP($A224,'Over to underbark'!$A$47:$A$48,'Over to underbark'!E$47:E$48)*AA224</f>
        <v>19.637168644800003</v>
      </c>
      <c r="AE224">
        <f>LOOKUP($A224,'Over to underbark'!$A$47:$A$48,'Over to underbark'!E$47:E$48)*AB224</f>
        <v>3.0767869439999997</v>
      </c>
      <c r="AF224" t="b">
        <f t="shared" si="47"/>
        <v>1</v>
      </c>
      <c r="AG224" t="b">
        <f t="shared" si="48"/>
        <v>1</v>
      </c>
      <c r="AH224">
        <f>LOOKUP(A224,'Over to underbark'!$A$47:$A$48,'Over to underbark'!E$47:E$48)*M224</f>
        <v>64.789199999999994</v>
      </c>
      <c r="AI224" s="27">
        <f>LOOKUP(A224,'Over to underbark'!$A$47:$A$48,'Over to underbark'!$B$47:$B$48)*AH224</f>
        <v>22.028327999999998</v>
      </c>
      <c r="AJ224" s="27">
        <f>LOOKUP(A225,'Over to underbark'!$A$47:$A$48,'Over to underbark'!C$47:C$48)*AH224</f>
        <v>22.676219999999997</v>
      </c>
      <c r="AK224" s="27">
        <f t="shared" si="49"/>
        <v>86.817527999999996</v>
      </c>
      <c r="AL224" s="33">
        <v>206.71</v>
      </c>
      <c r="AM224" s="28">
        <f t="shared" si="50"/>
        <v>173.63505599999999</v>
      </c>
      <c r="AO224">
        <f t="shared" si="51"/>
        <v>0.67164179104477617</v>
      </c>
    </row>
    <row r="225" spans="1:41" x14ac:dyDescent="0.35">
      <c r="A225" t="s">
        <v>39</v>
      </c>
      <c r="B225">
        <v>10</v>
      </c>
      <c r="C225">
        <v>2</v>
      </c>
      <c r="D225" t="s">
        <v>40</v>
      </c>
      <c r="E225">
        <v>2</v>
      </c>
      <c r="F225">
        <v>1</v>
      </c>
      <c r="G225" s="16">
        <v>31</v>
      </c>
      <c r="H225" s="16">
        <v>12.186</v>
      </c>
      <c r="I225" s="16">
        <v>1921</v>
      </c>
      <c r="J225" s="16">
        <v>14.965</v>
      </c>
      <c r="K225" s="16">
        <v>33.787999999999997</v>
      </c>
      <c r="L225" s="16">
        <v>8.5999999999999993E-2</v>
      </c>
      <c r="M225" s="23">
        <v>166.08</v>
      </c>
      <c r="N225" s="16">
        <v>0.81200000000000006</v>
      </c>
      <c r="O225" s="17">
        <v>5.3570000000000002</v>
      </c>
      <c r="P225" s="18">
        <v>31</v>
      </c>
      <c r="Q225" s="18">
        <v>14.965</v>
      </c>
      <c r="R225" s="18">
        <v>144.08600000000001</v>
      </c>
      <c r="S225" s="18">
        <v>21.994</v>
      </c>
      <c r="T225" s="14" t="b">
        <f t="shared" si="54"/>
        <v>1</v>
      </c>
      <c r="U225" s="14" t="b">
        <f t="shared" si="55"/>
        <v>1</v>
      </c>
      <c r="V225" s="15">
        <f>VLOOKUP(IF(J225&lt;10, 10, IF(J225&gt;50,50,J225)),'Over to underbark'!$A$3:$C$43,IF(A225="Scots pine",3,IF(A225="Sitka spruce",2, "error")),TRUE)/100</f>
        <v>0.82</v>
      </c>
      <c r="W225">
        <f t="shared" si="44"/>
        <v>106.33546799999999</v>
      </c>
      <c r="X225">
        <f t="shared" si="45"/>
        <v>16.231572</v>
      </c>
      <c r="Y225">
        <f t="shared" si="46"/>
        <v>26.90496000000001</v>
      </c>
      <c r="Z225">
        <f t="shared" si="56"/>
        <v>89.950912560000006</v>
      </c>
      <c r="AA225">
        <f t="shared" si="57"/>
        <v>49.782144239999994</v>
      </c>
      <c r="AB225">
        <f t="shared" si="58"/>
        <v>9.7389431999999996</v>
      </c>
      <c r="AC225">
        <f>LOOKUP($A225,'Over to underbark'!$A$47:$A$48,'Over to underbark'!E$47:E$48)*Z225</f>
        <v>37.779383275200004</v>
      </c>
      <c r="AD225">
        <f>LOOKUP($A225,'Over to underbark'!$A$47:$A$48,'Over to underbark'!E$47:E$48)*AA225</f>
        <v>20.908500580799998</v>
      </c>
      <c r="AE225">
        <f>LOOKUP($A225,'Over to underbark'!$A$47:$A$48,'Over to underbark'!E$47:E$48)*AB225</f>
        <v>4.0903561439999994</v>
      </c>
      <c r="AF225" t="b">
        <f t="shared" si="47"/>
        <v>1</v>
      </c>
      <c r="AG225" t="b">
        <f t="shared" si="48"/>
        <v>1</v>
      </c>
      <c r="AH225">
        <f>LOOKUP(A225,'Over to underbark'!$A$47:$A$48,'Over to underbark'!E$47:E$48)*M225</f>
        <v>69.753600000000006</v>
      </c>
      <c r="AI225" s="27">
        <f>LOOKUP(A225,'Over to underbark'!$A$47:$A$48,'Over to underbark'!$B$47:$B$48)*AH225</f>
        <v>23.716224000000004</v>
      </c>
      <c r="AJ225" s="27">
        <f>LOOKUP(A226,'Over to underbark'!$A$47:$A$48,'Over to underbark'!C$47:C$48)*AH225</f>
        <v>24.41376</v>
      </c>
      <c r="AK225" s="27">
        <f t="shared" si="49"/>
        <v>93.469824000000017</v>
      </c>
      <c r="AL225" s="33">
        <v>222.55</v>
      </c>
      <c r="AM225" s="28">
        <f t="shared" si="50"/>
        <v>186.93964800000003</v>
      </c>
      <c r="AO225">
        <f t="shared" si="51"/>
        <v>0.67164179104477595</v>
      </c>
    </row>
    <row r="226" spans="1:41" x14ac:dyDescent="0.35">
      <c r="A226" t="s">
        <v>39</v>
      </c>
      <c r="B226">
        <v>10</v>
      </c>
      <c r="C226">
        <v>2</v>
      </c>
      <c r="D226" t="s">
        <v>40</v>
      </c>
      <c r="E226">
        <v>2</v>
      </c>
      <c r="F226">
        <v>1</v>
      </c>
      <c r="G226" s="16">
        <v>32</v>
      </c>
      <c r="H226" s="16">
        <v>12.56</v>
      </c>
      <c r="I226" s="16">
        <v>1889</v>
      </c>
      <c r="J226" s="16">
        <v>15.38</v>
      </c>
      <c r="K226" s="16">
        <v>35.094000000000001</v>
      </c>
      <c r="L226" s="16">
        <v>9.4E-2</v>
      </c>
      <c r="M226" s="23">
        <v>177.9</v>
      </c>
      <c r="N226" s="16">
        <v>0.94699999999999995</v>
      </c>
      <c r="O226" s="17">
        <v>5.5590000000000002</v>
      </c>
      <c r="P226" s="18">
        <v>32</v>
      </c>
      <c r="Q226" s="18">
        <v>15.38</v>
      </c>
      <c r="R226" s="18">
        <v>149.84200000000001</v>
      </c>
      <c r="S226" s="18">
        <v>28.058</v>
      </c>
      <c r="T226" s="14" t="b">
        <f t="shared" si="54"/>
        <v>1</v>
      </c>
      <c r="U226" s="14" t="b">
        <f t="shared" si="55"/>
        <v>1</v>
      </c>
      <c r="V226" s="15">
        <f>VLOOKUP(IF(J226&lt;10, 10, IF(J226&gt;50,50,J226)),'Over to underbark'!$A$3:$C$43,IF(A226="Scots pine",3,IF(A226="Sitka spruce",2, "error")),TRUE)/100</f>
        <v>0.84</v>
      </c>
      <c r="W226">
        <f t="shared" si="44"/>
        <v>113.28055200000001</v>
      </c>
      <c r="X226">
        <f t="shared" si="45"/>
        <v>21.211848</v>
      </c>
      <c r="Y226">
        <f t="shared" si="46"/>
        <v>25.617600000000007</v>
      </c>
      <c r="Z226">
        <f t="shared" si="56"/>
        <v>93.369291840000017</v>
      </c>
      <c r="AA226">
        <f t="shared" si="57"/>
        <v>54.013599360000008</v>
      </c>
      <c r="AB226">
        <f t="shared" si="58"/>
        <v>12.7271088</v>
      </c>
      <c r="AC226">
        <f>LOOKUP($A226,'Over to underbark'!$A$47:$A$48,'Over to underbark'!E$47:E$48)*Z226</f>
        <v>39.215102572800006</v>
      </c>
      <c r="AD226">
        <f>LOOKUP($A226,'Over to underbark'!$A$47:$A$48,'Over to underbark'!E$47:E$48)*AA226</f>
        <v>22.685711731200001</v>
      </c>
      <c r="AE226">
        <f>LOOKUP($A226,'Over to underbark'!$A$47:$A$48,'Over to underbark'!E$47:E$48)*AB226</f>
        <v>5.3453856960000001</v>
      </c>
      <c r="AF226" t="b">
        <f t="shared" si="47"/>
        <v>1</v>
      </c>
      <c r="AG226" t="b">
        <f t="shared" si="48"/>
        <v>1</v>
      </c>
      <c r="AH226">
        <f>LOOKUP(A226,'Over to underbark'!$A$47:$A$48,'Over to underbark'!E$47:E$48)*M226</f>
        <v>74.718000000000004</v>
      </c>
      <c r="AI226" s="27">
        <f>LOOKUP(A226,'Over to underbark'!$A$47:$A$48,'Over to underbark'!$B$47:$B$48)*AH226</f>
        <v>25.404120000000002</v>
      </c>
      <c r="AJ226" s="27">
        <f>LOOKUP(A227,'Over to underbark'!$A$47:$A$48,'Over to underbark'!C$47:C$48)*AH226</f>
        <v>26.151299999999999</v>
      </c>
      <c r="AK226" s="27">
        <f t="shared" si="49"/>
        <v>100.12212000000001</v>
      </c>
      <c r="AL226" s="33">
        <v>238.39</v>
      </c>
      <c r="AM226" s="28">
        <f t="shared" si="50"/>
        <v>200.24424000000002</v>
      </c>
      <c r="AO226">
        <f t="shared" si="51"/>
        <v>0.67164179104477606</v>
      </c>
    </row>
    <row r="227" spans="1:41" x14ac:dyDescent="0.35">
      <c r="A227" t="s">
        <v>39</v>
      </c>
      <c r="B227">
        <v>10</v>
      </c>
      <c r="C227">
        <v>2</v>
      </c>
      <c r="D227" t="s">
        <v>40</v>
      </c>
      <c r="E227">
        <v>2</v>
      </c>
      <c r="F227">
        <v>1</v>
      </c>
      <c r="G227" s="16">
        <v>33</v>
      </c>
      <c r="H227" s="16">
        <v>12.904</v>
      </c>
      <c r="I227" s="16">
        <v>1857</v>
      </c>
      <c r="J227" s="16">
        <v>15.773999999999999</v>
      </c>
      <c r="K227" s="16">
        <v>36.289000000000001</v>
      </c>
      <c r="L227" s="16">
        <v>0.10299999999999999</v>
      </c>
      <c r="M227" s="23">
        <v>190.64</v>
      </c>
      <c r="N227" s="16">
        <v>1.1719999999999999</v>
      </c>
      <c r="O227" s="17">
        <v>5.7770000000000001</v>
      </c>
      <c r="P227" s="18">
        <v>33</v>
      </c>
      <c r="Q227" s="18">
        <v>15.773999999999999</v>
      </c>
      <c r="R227" s="18">
        <v>155.97200000000001</v>
      </c>
      <c r="S227" s="18">
        <v>34.667999999999999</v>
      </c>
      <c r="T227" s="14" t="b">
        <f t="shared" si="54"/>
        <v>1</v>
      </c>
      <c r="U227" s="14" t="b">
        <f t="shared" si="55"/>
        <v>1</v>
      </c>
      <c r="V227" s="15">
        <f>VLOOKUP(IF(J227&lt;10, 10, IF(J227&gt;50,50,J227)),'Over to underbark'!$A$3:$C$43,IF(A227="Scots pine",3,IF(A227="Sitka spruce",2, "error")),TRUE)/100</f>
        <v>0.84</v>
      </c>
      <c r="W227">
        <f t="shared" si="44"/>
        <v>117.91483200000002</v>
      </c>
      <c r="X227">
        <f t="shared" si="45"/>
        <v>26.209008000000001</v>
      </c>
      <c r="Y227">
        <f t="shared" si="46"/>
        <v>27.45216000000001</v>
      </c>
      <c r="Z227">
        <f t="shared" si="56"/>
        <v>98.59496544000001</v>
      </c>
      <c r="AA227">
        <f t="shared" si="57"/>
        <v>57.255629760000012</v>
      </c>
      <c r="AB227">
        <f t="shared" si="58"/>
        <v>15.7254048</v>
      </c>
      <c r="AC227">
        <f>LOOKUP($A227,'Over to underbark'!$A$47:$A$48,'Over to underbark'!E$47:E$48)*Z227</f>
        <v>41.4098854848</v>
      </c>
      <c r="AD227">
        <f>LOOKUP($A227,'Over to underbark'!$A$47:$A$48,'Over to underbark'!E$47:E$48)*AA227</f>
        <v>24.047364499200004</v>
      </c>
      <c r="AE227">
        <f>LOOKUP($A227,'Over to underbark'!$A$47:$A$48,'Over to underbark'!E$47:E$48)*AB227</f>
        <v>6.604670016</v>
      </c>
      <c r="AF227" t="b">
        <f t="shared" si="47"/>
        <v>1</v>
      </c>
      <c r="AG227" t="b">
        <f t="shared" si="48"/>
        <v>1</v>
      </c>
      <c r="AH227">
        <f>LOOKUP(A227,'Over to underbark'!$A$47:$A$48,'Over to underbark'!E$47:E$48)*M227</f>
        <v>80.068799999999996</v>
      </c>
      <c r="AI227" s="27">
        <f>LOOKUP(A227,'Over to underbark'!$A$47:$A$48,'Over to underbark'!$B$47:$B$48)*AH227</f>
        <v>27.223392</v>
      </c>
      <c r="AJ227" s="27">
        <f>LOOKUP(A228,'Over to underbark'!$A$47:$A$48,'Over to underbark'!C$47:C$48)*AH227</f>
        <v>28.024079999999998</v>
      </c>
      <c r="AK227" s="27">
        <f t="shared" si="49"/>
        <v>107.292192</v>
      </c>
      <c r="AL227" s="33">
        <v>255.46</v>
      </c>
      <c r="AM227" s="28">
        <f t="shared" si="50"/>
        <v>214.584384</v>
      </c>
      <c r="AO227">
        <f t="shared" si="51"/>
        <v>0.67164179104477617</v>
      </c>
    </row>
    <row r="228" spans="1:41" x14ac:dyDescent="0.35">
      <c r="A228" t="s">
        <v>39</v>
      </c>
      <c r="B228">
        <v>10</v>
      </c>
      <c r="C228">
        <v>2</v>
      </c>
      <c r="D228" t="s">
        <v>40</v>
      </c>
      <c r="E228">
        <v>2</v>
      </c>
      <c r="F228">
        <v>1</v>
      </c>
      <c r="G228" s="16">
        <v>34</v>
      </c>
      <c r="H228" s="16">
        <v>13.247999999999999</v>
      </c>
      <c r="I228" s="16">
        <v>1826</v>
      </c>
      <c r="J228" s="16">
        <v>16.167000000000002</v>
      </c>
      <c r="K228" s="16">
        <v>37.482999999999997</v>
      </c>
      <c r="L228" s="16">
        <v>0.111</v>
      </c>
      <c r="M228" s="23">
        <v>203.38</v>
      </c>
      <c r="N228" s="16">
        <v>1.3680000000000001</v>
      </c>
      <c r="O228" s="17">
        <v>5.9820000000000002</v>
      </c>
      <c r="P228" s="18">
        <v>34</v>
      </c>
      <c r="Q228" s="18">
        <v>16.167000000000002</v>
      </c>
      <c r="R228" s="18">
        <v>161.488</v>
      </c>
      <c r="S228" s="18">
        <v>41.892000000000003</v>
      </c>
      <c r="T228" s="14" t="b">
        <f t="shared" si="54"/>
        <v>1</v>
      </c>
      <c r="U228" s="14" t="b">
        <f t="shared" si="55"/>
        <v>1</v>
      </c>
      <c r="V228" s="15">
        <f>VLOOKUP(IF(J228&lt;10, 10, IF(J228&gt;50,50,J228)),'Over to underbark'!$A$3:$C$43,IF(A228="Scots pine",3,IF(A228="Sitka spruce",2, "error")),TRUE)/100</f>
        <v>0.84</v>
      </c>
      <c r="W228">
        <f t="shared" si="44"/>
        <v>122.084928</v>
      </c>
      <c r="X228">
        <f t="shared" si="45"/>
        <v>31.670352000000001</v>
      </c>
      <c r="Y228">
        <f t="shared" si="46"/>
        <v>29.286720000000006</v>
      </c>
      <c r="Z228">
        <f t="shared" si="56"/>
        <v>103.62568175999999</v>
      </c>
      <c r="AA228">
        <f t="shared" si="57"/>
        <v>60.414107040000005</v>
      </c>
      <c r="AB228">
        <f t="shared" si="58"/>
        <v>19.002211200000001</v>
      </c>
      <c r="AC228">
        <f>LOOKUP($A228,'Over to underbark'!$A$47:$A$48,'Over to underbark'!E$47:E$48)*Z228</f>
        <v>43.522786339199996</v>
      </c>
      <c r="AD228">
        <f>LOOKUP($A228,'Over to underbark'!$A$47:$A$48,'Over to underbark'!E$47:E$48)*AA228</f>
        <v>25.3739249568</v>
      </c>
      <c r="AE228">
        <f>LOOKUP($A228,'Over to underbark'!$A$47:$A$48,'Over to underbark'!E$47:E$48)*AB228</f>
        <v>7.9809287040000001</v>
      </c>
      <c r="AF228" t="b">
        <f t="shared" si="47"/>
        <v>1</v>
      </c>
      <c r="AG228" t="b">
        <f t="shared" si="48"/>
        <v>1</v>
      </c>
      <c r="AH228">
        <f>LOOKUP(A228,'Over to underbark'!$A$47:$A$48,'Over to underbark'!E$47:E$48)*M228</f>
        <v>85.419599999999988</v>
      </c>
      <c r="AI228" s="27">
        <f>LOOKUP(A228,'Over to underbark'!$A$47:$A$48,'Over to underbark'!$B$47:$B$48)*AH228</f>
        <v>29.042663999999998</v>
      </c>
      <c r="AJ228" s="27">
        <f>LOOKUP(A229,'Over to underbark'!$A$47:$A$48,'Over to underbark'!C$47:C$48)*AH228</f>
        <v>29.896859999999993</v>
      </c>
      <c r="AK228" s="27">
        <f t="shared" si="49"/>
        <v>114.46226399999999</v>
      </c>
      <c r="AL228" s="33">
        <v>272.52999999999997</v>
      </c>
      <c r="AM228" s="28">
        <f t="shared" si="50"/>
        <v>228.92452799999998</v>
      </c>
      <c r="AO228">
        <f t="shared" si="51"/>
        <v>0.67164179104477606</v>
      </c>
    </row>
    <row r="229" spans="1:41" x14ac:dyDescent="0.35">
      <c r="A229" t="s">
        <v>39</v>
      </c>
      <c r="B229">
        <v>10</v>
      </c>
      <c r="C229">
        <v>2</v>
      </c>
      <c r="D229" t="s">
        <v>40</v>
      </c>
      <c r="E229">
        <v>2</v>
      </c>
      <c r="F229">
        <v>1</v>
      </c>
      <c r="G229" s="16">
        <v>35</v>
      </c>
      <c r="H229" s="16">
        <v>13.592000000000001</v>
      </c>
      <c r="I229" s="16">
        <v>1795</v>
      </c>
      <c r="J229" s="16">
        <v>16.564</v>
      </c>
      <c r="K229" s="16">
        <v>38.677999999999997</v>
      </c>
      <c r="L229" s="16">
        <v>0.12</v>
      </c>
      <c r="M229" s="23">
        <v>216.12</v>
      </c>
      <c r="N229" s="16">
        <v>1.54</v>
      </c>
      <c r="O229" s="17">
        <v>6.1749999999999998</v>
      </c>
      <c r="P229" s="18">
        <v>35</v>
      </c>
      <c r="Q229" s="18">
        <v>16.564</v>
      </c>
      <c r="R229" s="18">
        <v>166.34</v>
      </c>
      <c r="S229" s="18">
        <v>49.78</v>
      </c>
      <c r="T229" s="14" t="b">
        <f t="shared" si="54"/>
        <v>1</v>
      </c>
      <c r="U229" s="14" t="b">
        <f t="shared" si="55"/>
        <v>1</v>
      </c>
      <c r="V229" s="15">
        <f>VLOOKUP(IF(J229&lt;10, 10, IF(J229&gt;50,50,J229)),'Over to underbark'!$A$3:$C$43,IF(A229="Scots pine",3,IF(A229="Sitka spruce",2, "error")),TRUE)/100</f>
        <v>0.84</v>
      </c>
      <c r="W229">
        <f t="shared" si="44"/>
        <v>125.75304000000001</v>
      </c>
      <c r="X229">
        <f t="shared" si="45"/>
        <v>37.633679999999998</v>
      </c>
      <c r="Y229">
        <f t="shared" si="46"/>
        <v>31.121280000000009</v>
      </c>
      <c r="Z229">
        <f t="shared" si="56"/>
        <v>108.4455648</v>
      </c>
      <c r="AA229">
        <f t="shared" si="57"/>
        <v>63.482227200000004</v>
      </c>
      <c r="AB229">
        <f t="shared" si="58"/>
        <v>22.580207999999999</v>
      </c>
      <c r="AC229">
        <f>LOOKUP($A229,'Over to underbark'!$A$47:$A$48,'Over to underbark'!E$47:E$48)*Z229</f>
        <v>45.547137215999996</v>
      </c>
      <c r="AD229">
        <f>LOOKUP($A229,'Over to underbark'!$A$47:$A$48,'Over to underbark'!E$47:E$48)*AA229</f>
        <v>26.662535424000001</v>
      </c>
      <c r="AE229">
        <f>LOOKUP($A229,'Over to underbark'!$A$47:$A$48,'Over to underbark'!E$47:E$48)*AB229</f>
        <v>9.4836873599999993</v>
      </c>
      <c r="AF229" t="b">
        <f t="shared" si="47"/>
        <v>1</v>
      </c>
      <c r="AG229" t="b">
        <f t="shared" si="48"/>
        <v>1</v>
      </c>
      <c r="AH229">
        <f>LOOKUP(A229,'Over to underbark'!$A$47:$A$48,'Over to underbark'!E$47:E$48)*M229</f>
        <v>90.770399999999995</v>
      </c>
      <c r="AI229" s="27">
        <f>LOOKUP(A229,'Over to underbark'!$A$47:$A$48,'Over to underbark'!$B$47:$B$48)*AH229</f>
        <v>30.861936</v>
      </c>
      <c r="AJ229" s="27">
        <f>LOOKUP(A230,'Over to underbark'!$A$47:$A$48,'Over to underbark'!C$47:C$48)*AH229</f>
        <v>31.769639999999995</v>
      </c>
      <c r="AK229" s="27">
        <f t="shared" si="49"/>
        <v>121.632336</v>
      </c>
      <c r="AL229" s="33">
        <v>289.60000000000002</v>
      </c>
      <c r="AM229" s="28">
        <f t="shared" si="50"/>
        <v>243.26467199999999</v>
      </c>
      <c r="AO229">
        <f t="shared" si="51"/>
        <v>0.67164179104477617</v>
      </c>
    </row>
    <row r="230" spans="1:41" x14ac:dyDescent="0.35">
      <c r="A230" t="s">
        <v>39</v>
      </c>
      <c r="B230">
        <v>10</v>
      </c>
      <c r="C230">
        <v>2</v>
      </c>
      <c r="D230" t="s">
        <v>40</v>
      </c>
      <c r="E230">
        <v>2</v>
      </c>
      <c r="F230">
        <v>1</v>
      </c>
      <c r="G230" s="16">
        <v>36</v>
      </c>
      <c r="H230" s="16">
        <v>13.936</v>
      </c>
      <c r="I230" s="16">
        <v>1764</v>
      </c>
      <c r="J230" s="16">
        <v>16.963999999999999</v>
      </c>
      <c r="K230" s="16">
        <v>39.872</v>
      </c>
      <c r="L230" s="16">
        <v>0.13</v>
      </c>
      <c r="M230" s="23">
        <v>228.86</v>
      </c>
      <c r="N230" s="16">
        <v>1.6919999999999999</v>
      </c>
      <c r="O230" s="17">
        <v>6.3570000000000002</v>
      </c>
      <c r="P230" s="18">
        <v>36</v>
      </c>
      <c r="Q230" s="18">
        <v>16.963999999999999</v>
      </c>
      <c r="R230" s="18">
        <v>170.547</v>
      </c>
      <c r="S230" s="18">
        <v>58.313000000000002</v>
      </c>
      <c r="T230" s="14" t="b">
        <f t="shared" si="54"/>
        <v>1</v>
      </c>
      <c r="U230" s="14" t="b">
        <f t="shared" si="55"/>
        <v>1</v>
      </c>
      <c r="V230" s="15">
        <f>VLOOKUP(IF(J230&lt;10, 10, IF(J230&gt;50,50,J230)),'Over to underbark'!$A$3:$C$43,IF(A230="Scots pine",3,IF(A230="Sitka spruce",2, "error")),TRUE)/100</f>
        <v>0.84</v>
      </c>
      <c r="W230">
        <f t="shared" si="44"/>
        <v>128.93353199999999</v>
      </c>
      <c r="X230">
        <f t="shared" si="45"/>
        <v>44.084628000000002</v>
      </c>
      <c r="Y230">
        <f t="shared" si="46"/>
        <v>32.955840000000009</v>
      </c>
      <c r="Z230">
        <f t="shared" si="56"/>
        <v>113.06064744</v>
      </c>
      <c r="AA230">
        <f t="shared" si="57"/>
        <v>66.462575759999993</v>
      </c>
      <c r="AB230">
        <f t="shared" si="58"/>
        <v>26.4507768</v>
      </c>
      <c r="AC230">
        <f>LOOKUP($A230,'Over to underbark'!$A$47:$A$48,'Over to underbark'!E$47:E$48)*Z230</f>
        <v>47.485471924799995</v>
      </c>
      <c r="AD230">
        <f>LOOKUP($A230,'Over to underbark'!$A$47:$A$48,'Over to underbark'!E$47:E$48)*AA230</f>
        <v>27.914281819199996</v>
      </c>
      <c r="AE230">
        <f>LOOKUP($A230,'Over to underbark'!$A$47:$A$48,'Over to underbark'!E$47:E$48)*AB230</f>
        <v>11.109326255999999</v>
      </c>
      <c r="AF230" t="b">
        <f t="shared" si="47"/>
        <v>1</v>
      </c>
      <c r="AG230" t="b">
        <f t="shared" si="48"/>
        <v>1</v>
      </c>
      <c r="AH230">
        <f>LOOKUP(A230,'Over to underbark'!$A$47:$A$48,'Over to underbark'!E$47:E$48)*M230</f>
        <v>96.121200000000002</v>
      </c>
      <c r="AI230" s="27">
        <f>LOOKUP(A230,'Over to underbark'!$A$47:$A$48,'Over to underbark'!$B$47:$B$48)*AH230</f>
        <v>32.681208000000005</v>
      </c>
      <c r="AJ230" s="27">
        <f>LOOKUP(A231,'Over to underbark'!$A$47:$A$48,'Over to underbark'!C$47:C$48)*AH230</f>
        <v>33.642420000000001</v>
      </c>
      <c r="AK230" s="27">
        <f t="shared" si="49"/>
        <v>128.80240800000001</v>
      </c>
      <c r="AL230" s="33">
        <v>306.67</v>
      </c>
      <c r="AM230" s="28">
        <f t="shared" si="50"/>
        <v>257.60481600000003</v>
      </c>
      <c r="AO230">
        <f t="shared" si="51"/>
        <v>0.67164179104477606</v>
      </c>
    </row>
    <row r="231" spans="1:41" x14ac:dyDescent="0.35">
      <c r="A231" t="s">
        <v>39</v>
      </c>
      <c r="B231">
        <v>10</v>
      </c>
      <c r="C231">
        <v>2</v>
      </c>
      <c r="D231" t="s">
        <v>40</v>
      </c>
      <c r="E231">
        <v>2</v>
      </c>
      <c r="F231">
        <v>1</v>
      </c>
      <c r="G231" s="16">
        <v>37</v>
      </c>
      <c r="H231" s="16">
        <v>14.28</v>
      </c>
      <c r="I231" s="16">
        <v>1733</v>
      </c>
      <c r="J231" s="16">
        <v>17.37</v>
      </c>
      <c r="K231" s="16">
        <v>41.067</v>
      </c>
      <c r="L231" s="16">
        <v>0.13900000000000001</v>
      </c>
      <c r="M231" s="23">
        <v>241.6</v>
      </c>
      <c r="N231" s="16">
        <v>1.829</v>
      </c>
      <c r="O231" s="17">
        <v>6.53</v>
      </c>
      <c r="P231" s="18">
        <v>37</v>
      </c>
      <c r="Q231" s="18">
        <v>17.37</v>
      </c>
      <c r="R231" s="18">
        <v>174.07599999999999</v>
      </c>
      <c r="S231" s="18">
        <v>67.524000000000001</v>
      </c>
      <c r="T231" s="14" t="b">
        <f t="shared" si="54"/>
        <v>1</v>
      </c>
      <c r="U231" s="14" t="b">
        <f t="shared" si="55"/>
        <v>1</v>
      </c>
      <c r="V231" s="15">
        <f>VLOOKUP(IF(J231&lt;10, 10, IF(J231&gt;50,50,J231)),'Over to underbark'!$A$3:$C$43,IF(A231="Scots pine",3,IF(A231="Sitka spruce",2, "error")),TRUE)/100</f>
        <v>0.84</v>
      </c>
      <c r="W231">
        <f t="shared" si="44"/>
        <v>131.60145599999998</v>
      </c>
      <c r="X231">
        <f t="shared" si="45"/>
        <v>51.048144000000001</v>
      </c>
      <c r="Y231">
        <f t="shared" si="46"/>
        <v>34.790400000000005</v>
      </c>
      <c r="Z231">
        <f t="shared" si="56"/>
        <v>117.46045151999999</v>
      </c>
      <c r="AA231">
        <f t="shared" si="57"/>
        <v>69.350662079999992</v>
      </c>
      <c r="AB231">
        <f t="shared" si="58"/>
        <v>30.628886399999999</v>
      </c>
      <c r="AC231">
        <f>LOOKUP($A231,'Over to underbark'!$A$47:$A$48,'Over to underbark'!E$47:E$48)*Z231</f>
        <v>49.333389638399993</v>
      </c>
      <c r="AD231">
        <f>LOOKUP($A231,'Over to underbark'!$A$47:$A$48,'Over to underbark'!E$47:E$48)*AA231</f>
        <v>29.127278073599996</v>
      </c>
      <c r="AE231">
        <f>LOOKUP($A231,'Over to underbark'!$A$47:$A$48,'Over to underbark'!E$47:E$48)*AB231</f>
        <v>12.864132287999999</v>
      </c>
      <c r="AF231" t="b">
        <f t="shared" si="47"/>
        <v>1</v>
      </c>
      <c r="AG231" t="b">
        <f t="shared" si="48"/>
        <v>1</v>
      </c>
      <c r="AH231">
        <f>LOOKUP(A231,'Over to underbark'!$A$47:$A$48,'Over to underbark'!E$47:E$48)*M231</f>
        <v>101.47199999999999</v>
      </c>
      <c r="AI231" s="27">
        <f>LOOKUP(A231,'Over to underbark'!$A$47:$A$48,'Over to underbark'!$B$47:$B$48)*AH231</f>
        <v>34.500480000000003</v>
      </c>
      <c r="AJ231" s="27">
        <f>LOOKUP(A232,'Over to underbark'!$A$47:$A$48,'Over to underbark'!C$47:C$48)*AH231</f>
        <v>35.515199999999993</v>
      </c>
      <c r="AK231" s="27">
        <f t="shared" si="49"/>
        <v>135.97247999999999</v>
      </c>
      <c r="AL231" s="33">
        <v>323.74</v>
      </c>
      <c r="AM231" s="28">
        <f t="shared" si="50"/>
        <v>271.94495999999998</v>
      </c>
      <c r="AO231">
        <f t="shared" si="51"/>
        <v>0.67164179104477606</v>
      </c>
    </row>
    <row r="232" spans="1:41" x14ac:dyDescent="0.35">
      <c r="A232" t="s">
        <v>39</v>
      </c>
      <c r="B232">
        <v>10</v>
      </c>
      <c r="C232">
        <v>2</v>
      </c>
      <c r="D232" t="s">
        <v>40</v>
      </c>
      <c r="E232">
        <v>2</v>
      </c>
      <c r="F232">
        <v>1</v>
      </c>
      <c r="G232" s="16">
        <v>38</v>
      </c>
      <c r="H232" s="16">
        <v>14.598000000000001</v>
      </c>
      <c r="I232" s="16">
        <v>1702</v>
      </c>
      <c r="J232" s="16">
        <v>17.753</v>
      </c>
      <c r="K232" s="16">
        <v>42.128999999999998</v>
      </c>
      <c r="L232" s="16">
        <v>0.15</v>
      </c>
      <c r="M232" s="23">
        <v>254.56</v>
      </c>
      <c r="N232" s="16">
        <v>2.0920000000000001</v>
      </c>
      <c r="O232" s="17">
        <v>6.6989999999999998</v>
      </c>
      <c r="P232" s="18">
        <v>38</v>
      </c>
      <c r="Q232" s="18">
        <v>17.753</v>
      </c>
      <c r="R232" s="18">
        <v>177.53399999999999</v>
      </c>
      <c r="S232" s="18">
        <v>77.025999999999996</v>
      </c>
      <c r="T232" s="14" t="b">
        <f t="shared" si="54"/>
        <v>1</v>
      </c>
      <c r="U232" s="14" t="b">
        <f t="shared" si="55"/>
        <v>1</v>
      </c>
      <c r="V232" s="15">
        <f>VLOOKUP(IF(J232&lt;10, 10, IF(J232&gt;50,50,J232)),'Over to underbark'!$A$3:$C$43,IF(A232="Scots pine",3,IF(A232="Sitka spruce",2, "error")),TRUE)/100</f>
        <v>0.84</v>
      </c>
      <c r="W232">
        <f t="shared" si="44"/>
        <v>134.21570399999999</v>
      </c>
      <c r="X232">
        <f t="shared" si="45"/>
        <v>58.231655999999994</v>
      </c>
      <c r="Y232">
        <f t="shared" si="46"/>
        <v>36.65664000000001</v>
      </c>
      <c r="Z232">
        <f t="shared" si="56"/>
        <v>121.89433968</v>
      </c>
      <c r="AA232">
        <f t="shared" si="57"/>
        <v>72.270666719999994</v>
      </c>
      <c r="AB232">
        <f t="shared" si="58"/>
        <v>34.938993599999996</v>
      </c>
      <c r="AC232">
        <f>LOOKUP($A232,'Over to underbark'!$A$47:$A$48,'Over to underbark'!E$47:E$48)*Z232</f>
        <v>51.195622665599998</v>
      </c>
      <c r="AD232">
        <f>LOOKUP($A232,'Over to underbark'!$A$47:$A$48,'Over to underbark'!E$47:E$48)*AA232</f>
        <v>30.353680022399995</v>
      </c>
      <c r="AE232">
        <f>LOOKUP($A232,'Over to underbark'!$A$47:$A$48,'Over to underbark'!E$47:E$48)*AB232</f>
        <v>14.674377311999997</v>
      </c>
      <c r="AF232" t="b">
        <f t="shared" si="47"/>
        <v>1</v>
      </c>
      <c r="AG232" t="b">
        <f t="shared" si="48"/>
        <v>1</v>
      </c>
      <c r="AH232">
        <f>LOOKUP(A232,'Over to underbark'!$A$47:$A$48,'Over to underbark'!E$47:E$48)*M232</f>
        <v>106.9152</v>
      </c>
      <c r="AI232" s="27">
        <f>LOOKUP(A232,'Over to underbark'!$A$47:$A$48,'Over to underbark'!$B$47:$B$48)*AH232</f>
        <v>36.351168000000001</v>
      </c>
      <c r="AJ232" s="27">
        <f>LOOKUP(A233,'Over to underbark'!$A$47:$A$48,'Over to underbark'!C$47:C$48)*AH232</f>
        <v>37.420319999999997</v>
      </c>
      <c r="AK232" s="27">
        <f t="shared" si="49"/>
        <v>143.266368</v>
      </c>
      <c r="AL232" s="33">
        <v>341.11</v>
      </c>
      <c r="AM232" s="28">
        <f t="shared" si="50"/>
        <v>286.532736</v>
      </c>
      <c r="AO232">
        <f t="shared" si="51"/>
        <v>0.67164179104477617</v>
      </c>
    </row>
    <row r="233" spans="1:41" x14ac:dyDescent="0.35">
      <c r="A233" t="s">
        <v>39</v>
      </c>
      <c r="B233">
        <v>10</v>
      </c>
      <c r="C233">
        <v>2</v>
      </c>
      <c r="D233" t="s">
        <v>40</v>
      </c>
      <c r="E233">
        <v>2</v>
      </c>
      <c r="F233">
        <v>1</v>
      </c>
      <c r="G233" s="16">
        <v>39</v>
      </c>
      <c r="H233" s="16">
        <v>14.916</v>
      </c>
      <c r="I233" s="16">
        <v>1672</v>
      </c>
      <c r="J233" s="16">
        <v>18.135999999999999</v>
      </c>
      <c r="K233" s="16">
        <v>43.191000000000003</v>
      </c>
      <c r="L233" s="16">
        <v>0.16</v>
      </c>
      <c r="M233" s="23">
        <v>267.52</v>
      </c>
      <c r="N233" s="16">
        <v>2.3290000000000002</v>
      </c>
      <c r="O233" s="17">
        <v>6.859</v>
      </c>
      <c r="P233" s="18">
        <v>39</v>
      </c>
      <c r="Q233" s="18">
        <v>18.135999999999999</v>
      </c>
      <c r="R233" s="18">
        <v>180.453</v>
      </c>
      <c r="S233" s="18">
        <v>87.066999999999993</v>
      </c>
      <c r="T233" s="14" t="b">
        <f t="shared" si="54"/>
        <v>1</v>
      </c>
      <c r="U233" s="14" t="b">
        <f t="shared" si="55"/>
        <v>1</v>
      </c>
      <c r="V233" s="15">
        <f>VLOOKUP(IF(J233&lt;10, 10, IF(J233&gt;50,50,J233)),'Over to underbark'!$A$3:$C$43,IF(A233="Scots pine",3,IF(A233="Sitka spruce",2, "error")),TRUE)/100</f>
        <v>0.84</v>
      </c>
      <c r="W233">
        <f t="shared" si="44"/>
        <v>136.42246800000001</v>
      </c>
      <c r="X233">
        <f t="shared" si="45"/>
        <v>65.822651999999991</v>
      </c>
      <c r="Y233">
        <f t="shared" si="46"/>
        <v>38.522880000000008</v>
      </c>
      <c r="Z233">
        <f t="shared" si="56"/>
        <v>126.15708455999999</v>
      </c>
      <c r="AA233">
        <f t="shared" si="57"/>
        <v>75.117324240000002</v>
      </c>
      <c r="AB233">
        <f t="shared" si="58"/>
        <v>39.49359119999999</v>
      </c>
      <c r="AC233">
        <f>LOOKUP($A233,'Over to underbark'!$A$47:$A$48,'Over to underbark'!E$47:E$48)*Z233</f>
        <v>52.985975515199989</v>
      </c>
      <c r="AD233">
        <f>LOOKUP($A233,'Over to underbark'!$A$47:$A$48,'Over to underbark'!E$47:E$48)*AA233</f>
        <v>31.5492761808</v>
      </c>
      <c r="AE233">
        <f>LOOKUP($A233,'Over to underbark'!$A$47:$A$48,'Over to underbark'!E$47:E$48)*AB233</f>
        <v>16.587308303999997</v>
      </c>
      <c r="AF233" t="b">
        <f t="shared" si="47"/>
        <v>1</v>
      </c>
      <c r="AG233" t="b">
        <f t="shared" si="48"/>
        <v>1</v>
      </c>
      <c r="AH233">
        <f>LOOKUP(A233,'Over to underbark'!$A$47:$A$48,'Over to underbark'!E$47:E$48)*M233</f>
        <v>112.35839999999999</v>
      </c>
      <c r="AI233" s="27">
        <f>LOOKUP(A233,'Over to underbark'!$A$47:$A$48,'Over to underbark'!$B$47:$B$48)*AH233</f>
        <v>38.201855999999999</v>
      </c>
      <c r="AJ233" s="27">
        <f>LOOKUP(A234,'Over to underbark'!$A$47:$A$48,'Over to underbark'!C$47:C$48)*AH233</f>
        <v>39.325439999999993</v>
      </c>
      <c r="AK233" s="27">
        <f t="shared" si="49"/>
        <v>150.56025599999998</v>
      </c>
      <c r="AL233" s="33">
        <v>358.48</v>
      </c>
      <c r="AM233" s="28">
        <f t="shared" si="50"/>
        <v>301.12051199999996</v>
      </c>
      <c r="AO233">
        <f t="shared" si="51"/>
        <v>0.67164179104477617</v>
      </c>
    </row>
    <row r="234" spans="1:41" x14ac:dyDescent="0.35">
      <c r="A234" t="s">
        <v>39</v>
      </c>
      <c r="B234">
        <v>10</v>
      </c>
      <c r="C234">
        <v>2</v>
      </c>
      <c r="D234" t="s">
        <v>40</v>
      </c>
      <c r="E234">
        <v>2</v>
      </c>
      <c r="F234">
        <v>1</v>
      </c>
      <c r="G234" s="16">
        <v>40</v>
      </c>
      <c r="H234" s="16">
        <v>15.234</v>
      </c>
      <c r="I234" s="16">
        <v>1642</v>
      </c>
      <c r="J234" s="16">
        <v>18.524000000000001</v>
      </c>
      <c r="K234" s="16">
        <v>44.253</v>
      </c>
      <c r="L234" s="16">
        <v>0.17100000000000001</v>
      </c>
      <c r="M234" s="23">
        <v>280.48</v>
      </c>
      <c r="N234" s="16">
        <v>2.5430000000000001</v>
      </c>
      <c r="O234" s="17">
        <v>7.0119999999999996</v>
      </c>
      <c r="P234" s="18">
        <v>40</v>
      </c>
      <c r="Q234" s="18">
        <v>18.524000000000001</v>
      </c>
      <c r="R234" s="18">
        <v>182.77500000000001</v>
      </c>
      <c r="S234" s="18">
        <v>97.704999999999998</v>
      </c>
      <c r="T234" s="14" t="b">
        <f t="shared" si="54"/>
        <v>1</v>
      </c>
      <c r="U234" s="14" t="b">
        <f t="shared" si="55"/>
        <v>1</v>
      </c>
      <c r="V234" s="15">
        <f>VLOOKUP(IF(J234&lt;10, 10, IF(J234&gt;50,50,J234)),'Over to underbark'!$A$3:$C$43,IF(A234="Scots pine",3,IF(A234="Sitka spruce",2, "error")),TRUE)/100</f>
        <v>0.84</v>
      </c>
      <c r="W234">
        <f t="shared" si="44"/>
        <v>138.17789999999999</v>
      </c>
      <c r="X234">
        <f t="shared" si="45"/>
        <v>73.864980000000003</v>
      </c>
      <c r="Y234">
        <f t="shared" si="46"/>
        <v>40.389120000000013</v>
      </c>
      <c r="Z234">
        <f t="shared" si="56"/>
        <v>130.23026999999999</v>
      </c>
      <c r="AA234">
        <f t="shared" si="57"/>
        <v>77.882742000000007</v>
      </c>
      <c r="AB234">
        <f t="shared" si="58"/>
        <v>44.318987999999997</v>
      </c>
      <c r="AC234">
        <f>LOOKUP($A234,'Over to underbark'!$A$47:$A$48,'Over to underbark'!E$47:E$48)*Z234</f>
        <v>54.696713399999993</v>
      </c>
      <c r="AD234">
        <f>LOOKUP($A234,'Over to underbark'!$A$47:$A$48,'Over to underbark'!E$47:E$48)*AA234</f>
        <v>32.710751640000005</v>
      </c>
      <c r="AE234">
        <f>LOOKUP($A234,'Over to underbark'!$A$47:$A$48,'Over to underbark'!E$47:E$48)*AB234</f>
        <v>18.613974959999997</v>
      </c>
      <c r="AF234" t="b">
        <f t="shared" si="47"/>
        <v>1</v>
      </c>
      <c r="AG234" t="b">
        <f t="shared" si="48"/>
        <v>1</v>
      </c>
      <c r="AH234">
        <f>LOOKUP(A234,'Over to underbark'!$A$47:$A$48,'Over to underbark'!E$47:E$48)*M234</f>
        <v>117.80160000000001</v>
      </c>
      <c r="AI234" s="27">
        <f>LOOKUP(A234,'Over to underbark'!$A$47:$A$48,'Over to underbark'!$B$47:$B$48)*AH234</f>
        <v>40.052544000000005</v>
      </c>
      <c r="AJ234" s="27">
        <f>LOOKUP(A235,'Over to underbark'!$A$47:$A$48,'Over to underbark'!C$47:C$48)*AH234</f>
        <v>41.230559999999997</v>
      </c>
      <c r="AK234" s="27">
        <f t="shared" si="49"/>
        <v>157.85414400000002</v>
      </c>
      <c r="AL234" s="33">
        <v>375.84</v>
      </c>
      <c r="AM234" s="28">
        <f t="shared" si="50"/>
        <v>315.70828800000004</v>
      </c>
      <c r="AO234">
        <f t="shared" si="51"/>
        <v>0.67164179104477606</v>
      </c>
    </row>
    <row r="235" spans="1:41" x14ac:dyDescent="0.35">
      <c r="A235" t="s">
        <v>39</v>
      </c>
      <c r="B235">
        <v>10</v>
      </c>
      <c r="C235">
        <v>2</v>
      </c>
      <c r="D235" t="s">
        <v>40</v>
      </c>
      <c r="E235">
        <v>2</v>
      </c>
      <c r="F235">
        <v>1</v>
      </c>
      <c r="G235" s="16">
        <v>41</v>
      </c>
      <c r="H235" s="16">
        <v>15.552</v>
      </c>
      <c r="I235" s="16">
        <v>1612</v>
      </c>
      <c r="J235" s="16">
        <v>18.919</v>
      </c>
      <c r="K235" s="16">
        <v>45.316000000000003</v>
      </c>
      <c r="L235" s="16">
        <v>0.182</v>
      </c>
      <c r="M235" s="23">
        <v>293.44</v>
      </c>
      <c r="N235" s="16">
        <v>2.738</v>
      </c>
      <c r="O235" s="17">
        <v>7.157</v>
      </c>
      <c r="P235" s="18">
        <v>41</v>
      </c>
      <c r="Q235" s="18">
        <v>18.919</v>
      </c>
      <c r="R235" s="18">
        <v>184.47800000000001</v>
      </c>
      <c r="S235" s="18">
        <v>108.962</v>
      </c>
      <c r="T235" s="14" t="b">
        <f t="shared" si="54"/>
        <v>1</v>
      </c>
      <c r="U235" s="14" t="b">
        <f t="shared" si="55"/>
        <v>1</v>
      </c>
      <c r="V235" s="15">
        <f>VLOOKUP(IF(J235&lt;10, 10, IF(J235&gt;50,50,J235)),'Over to underbark'!$A$3:$C$43,IF(A235="Scots pine",3,IF(A235="Sitka spruce",2, "error")),TRUE)/100</f>
        <v>0.84</v>
      </c>
      <c r="W235">
        <f t="shared" si="44"/>
        <v>139.46536800000001</v>
      </c>
      <c r="X235">
        <f t="shared" si="45"/>
        <v>82.37527200000001</v>
      </c>
      <c r="Y235">
        <f t="shared" si="46"/>
        <v>42.25536000000001</v>
      </c>
      <c r="Z235">
        <f t="shared" si="56"/>
        <v>134.10691056000002</v>
      </c>
      <c r="AA235">
        <f t="shared" si="57"/>
        <v>80.563926240000001</v>
      </c>
      <c r="AB235">
        <f t="shared" si="58"/>
        <v>49.425163200000007</v>
      </c>
      <c r="AC235">
        <f>LOOKUP($A235,'Over to underbark'!$A$47:$A$48,'Over to underbark'!E$47:E$48)*Z235</f>
        <v>56.324902435200002</v>
      </c>
      <c r="AD235">
        <f>LOOKUP($A235,'Over to underbark'!$A$47:$A$48,'Over to underbark'!E$47:E$48)*AA235</f>
        <v>33.836849020800003</v>
      </c>
      <c r="AE235">
        <f>LOOKUP($A235,'Over to underbark'!$A$47:$A$48,'Over to underbark'!E$47:E$48)*AB235</f>
        <v>20.758568544000003</v>
      </c>
      <c r="AF235" t="b">
        <f t="shared" si="47"/>
        <v>1</v>
      </c>
      <c r="AG235" t="b">
        <f t="shared" si="48"/>
        <v>1</v>
      </c>
      <c r="AH235">
        <f>LOOKUP(A235,'Over to underbark'!$A$47:$A$48,'Over to underbark'!E$47:E$48)*M235</f>
        <v>123.2448</v>
      </c>
      <c r="AI235" s="27">
        <f>LOOKUP(A235,'Over to underbark'!$A$47:$A$48,'Over to underbark'!$B$47:$B$48)*AH235</f>
        <v>41.903232000000003</v>
      </c>
      <c r="AJ235" s="27">
        <f>LOOKUP(A236,'Over to underbark'!$A$47:$A$48,'Over to underbark'!C$47:C$48)*AH235</f>
        <v>43.135679999999994</v>
      </c>
      <c r="AK235" s="27">
        <f t="shared" si="49"/>
        <v>165.148032</v>
      </c>
      <c r="AL235" s="33">
        <v>393.21</v>
      </c>
      <c r="AM235" s="28">
        <f t="shared" si="50"/>
        <v>330.296064</v>
      </c>
      <c r="AO235">
        <f t="shared" si="51"/>
        <v>0.67164179104477617</v>
      </c>
    </row>
    <row r="236" spans="1:41" x14ac:dyDescent="0.35">
      <c r="A236" t="s">
        <v>39</v>
      </c>
      <c r="B236">
        <v>10</v>
      </c>
      <c r="C236">
        <v>2</v>
      </c>
      <c r="D236" t="s">
        <v>40</v>
      </c>
      <c r="E236">
        <v>2</v>
      </c>
      <c r="F236">
        <v>1</v>
      </c>
      <c r="G236" s="16">
        <v>42</v>
      </c>
      <c r="H236" s="16">
        <v>15.87</v>
      </c>
      <c r="I236" s="16">
        <v>1582</v>
      </c>
      <c r="J236" s="16">
        <v>19.32</v>
      </c>
      <c r="K236" s="16">
        <v>46.378</v>
      </c>
      <c r="L236" s="16">
        <v>0.19400000000000001</v>
      </c>
      <c r="M236" s="23">
        <v>306.39999999999998</v>
      </c>
      <c r="N236" s="16">
        <v>2.915</v>
      </c>
      <c r="O236" s="17">
        <v>7.2949999999999999</v>
      </c>
      <c r="P236" s="18">
        <v>42</v>
      </c>
      <c r="Q236" s="18">
        <v>19.32</v>
      </c>
      <c r="R236" s="18">
        <v>185.595</v>
      </c>
      <c r="S236" s="18">
        <v>120.80500000000001</v>
      </c>
      <c r="T236" s="14" t="b">
        <f t="shared" si="54"/>
        <v>1</v>
      </c>
      <c r="U236" s="14" t="b">
        <f t="shared" si="55"/>
        <v>1</v>
      </c>
      <c r="V236" s="15">
        <f>VLOOKUP(IF(J236&lt;10, 10, IF(J236&gt;50,50,J236)),'Over to underbark'!$A$3:$C$43,IF(A236="Scots pine",3,IF(A236="Sitka spruce",2, "error")),TRUE)/100</f>
        <v>0.84</v>
      </c>
      <c r="W236">
        <f t="shared" si="44"/>
        <v>140.30982</v>
      </c>
      <c r="X236">
        <f t="shared" si="45"/>
        <v>91.328580000000002</v>
      </c>
      <c r="Y236">
        <f t="shared" si="46"/>
        <v>44.121600000000008</v>
      </c>
      <c r="Z236">
        <f t="shared" si="56"/>
        <v>137.7974844</v>
      </c>
      <c r="AA236">
        <f t="shared" si="57"/>
        <v>83.165367599999996</v>
      </c>
      <c r="AB236">
        <f t="shared" si="58"/>
        <v>54.797148</v>
      </c>
      <c r="AC236">
        <f>LOOKUP($A236,'Over to underbark'!$A$47:$A$48,'Over to underbark'!E$47:E$48)*Z236</f>
        <v>57.874943447999996</v>
      </c>
      <c r="AD236">
        <f>LOOKUP($A236,'Over to underbark'!$A$47:$A$48,'Over to underbark'!E$47:E$48)*AA236</f>
        <v>34.929454391999997</v>
      </c>
      <c r="AE236">
        <f>LOOKUP($A236,'Over to underbark'!$A$47:$A$48,'Over to underbark'!E$47:E$48)*AB236</f>
        <v>23.014802159999999</v>
      </c>
      <c r="AF236" t="b">
        <f t="shared" si="47"/>
        <v>1</v>
      </c>
      <c r="AG236" t="b">
        <f t="shared" si="48"/>
        <v>1</v>
      </c>
      <c r="AH236">
        <f>LOOKUP(A236,'Over to underbark'!$A$47:$A$48,'Over to underbark'!E$47:E$48)*M236</f>
        <v>128.68799999999999</v>
      </c>
      <c r="AI236" s="27">
        <f>LOOKUP(A236,'Over to underbark'!$A$47:$A$48,'Over to underbark'!$B$47:$B$48)*AH236</f>
        <v>43.753920000000001</v>
      </c>
      <c r="AJ236" s="27">
        <f>LOOKUP(A237,'Over to underbark'!$A$47:$A$48,'Over to underbark'!C$47:C$48)*AH236</f>
        <v>45.04079999999999</v>
      </c>
      <c r="AK236" s="27">
        <f t="shared" si="49"/>
        <v>172.44191999999998</v>
      </c>
      <c r="AL236" s="33">
        <v>410.58</v>
      </c>
      <c r="AM236" s="28">
        <f t="shared" si="50"/>
        <v>344.88383999999996</v>
      </c>
      <c r="AO236">
        <f t="shared" si="51"/>
        <v>0.67164179104477617</v>
      </c>
    </row>
    <row r="237" spans="1:41" x14ac:dyDescent="0.35">
      <c r="A237" t="s">
        <v>39</v>
      </c>
      <c r="B237">
        <v>10</v>
      </c>
      <c r="C237">
        <v>2</v>
      </c>
      <c r="D237" t="s">
        <v>40</v>
      </c>
      <c r="E237">
        <v>2</v>
      </c>
      <c r="F237">
        <v>1</v>
      </c>
      <c r="G237" s="16">
        <v>43</v>
      </c>
      <c r="H237" s="16">
        <v>16.166</v>
      </c>
      <c r="I237" s="16">
        <v>1553</v>
      </c>
      <c r="J237" s="16">
        <v>19.687999999999999</v>
      </c>
      <c r="K237" s="16">
        <v>47.28</v>
      </c>
      <c r="L237" s="16">
        <v>0.20499999999999999</v>
      </c>
      <c r="M237" s="23">
        <v>319</v>
      </c>
      <c r="N237" s="16">
        <v>3.2280000000000002</v>
      </c>
      <c r="O237" s="17">
        <v>7.4189999999999996</v>
      </c>
      <c r="P237" s="18">
        <v>43</v>
      </c>
      <c r="Q237" s="18">
        <v>19.687999999999999</v>
      </c>
      <c r="R237" s="18">
        <v>186.626</v>
      </c>
      <c r="S237" s="18">
        <v>132.374</v>
      </c>
      <c r="T237" s="14" t="b">
        <f t="shared" si="54"/>
        <v>1</v>
      </c>
      <c r="U237" s="14" t="b">
        <f t="shared" si="55"/>
        <v>1</v>
      </c>
      <c r="V237" s="15">
        <f>VLOOKUP(IF(J237&lt;10, 10, IF(J237&gt;50,50,J237)),'Over to underbark'!$A$3:$C$43,IF(A237="Scots pine",3,IF(A237="Sitka spruce",2, "error")),TRUE)/100</f>
        <v>0.84</v>
      </c>
      <c r="W237">
        <f t="shared" si="44"/>
        <v>141.08925600000001</v>
      </c>
      <c r="X237">
        <f t="shared" si="45"/>
        <v>100.074744</v>
      </c>
      <c r="Y237">
        <f t="shared" si="46"/>
        <v>45.936000000000014</v>
      </c>
      <c r="Z237">
        <f t="shared" si="56"/>
        <v>141.36808752000002</v>
      </c>
      <c r="AA237">
        <f t="shared" si="57"/>
        <v>85.687066079999994</v>
      </c>
      <c r="AB237">
        <f t="shared" si="58"/>
        <v>60.044846399999997</v>
      </c>
      <c r="AC237">
        <f>LOOKUP($A237,'Over to underbark'!$A$47:$A$48,'Over to underbark'!E$47:E$48)*Z237</f>
        <v>59.374596758400003</v>
      </c>
      <c r="AD237">
        <f>LOOKUP($A237,'Over to underbark'!$A$47:$A$48,'Over to underbark'!E$47:E$48)*AA237</f>
        <v>35.988567753599995</v>
      </c>
      <c r="AE237">
        <f>LOOKUP($A237,'Over to underbark'!$A$47:$A$48,'Over to underbark'!E$47:E$48)*AB237</f>
        <v>25.218835487999996</v>
      </c>
      <c r="AF237" t="b">
        <f t="shared" si="47"/>
        <v>1</v>
      </c>
      <c r="AG237" t="b">
        <f t="shared" si="48"/>
        <v>1</v>
      </c>
      <c r="AH237">
        <f>LOOKUP(A237,'Over to underbark'!$A$47:$A$48,'Over to underbark'!E$47:E$48)*M237</f>
        <v>133.97999999999999</v>
      </c>
      <c r="AI237" s="27">
        <f>LOOKUP(A237,'Over to underbark'!$A$47:$A$48,'Over to underbark'!$B$47:$B$48)*AH237</f>
        <v>45.553199999999997</v>
      </c>
      <c r="AJ237" s="27">
        <f>LOOKUP(A238,'Over to underbark'!$A$47:$A$48,'Over to underbark'!C$47:C$48)*AH237</f>
        <v>46.892999999999994</v>
      </c>
      <c r="AK237" s="27">
        <f t="shared" si="49"/>
        <v>179.53319999999999</v>
      </c>
      <c r="AL237" s="33">
        <v>427.46</v>
      </c>
      <c r="AM237" s="28">
        <f t="shared" si="50"/>
        <v>359.06639999999999</v>
      </c>
      <c r="AO237">
        <f t="shared" si="51"/>
        <v>0.67164179104477606</v>
      </c>
    </row>
    <row r="238" spans="1:41" x14ac:dyDescent="0.35">
      <c r="A238" t="s">
        <v>39</v>
      </c>
      <c r="B238">
        <v>10</v>
      </c>
      <c r="C238">
        <v>2</v>
      </c>
      <c r="D238" t="s">
        <v>40</v>
      </c>
      <c r="E238">
        <v>2</v>
      </c>
      <c r="F238">
        <v>1</v>
      </c>
      <c r="G238" s="16">
        <v>44</v>
      </c>
      <c r="H238" s="16">
        <v>16.462</v>
      </c>
      <c r="I238" s="16">
        <v>1524</v>
      </c>
      <c r="J238" s="16">
        <v>20.064</v>
      </c>
      <c r="K238" s="16">
        <v>48.183</v>
      </c>
      <c r="L238" s="16">
        <v>0.218</v>
      </c>
      <c r="M238" s="23">
        <v>331.6</v>
      </c>
      <c r="N238" s="16">
        <v>3.5150000000000001</v>
      </c>
      <c r="O238" s="17">
        <v>7.5359999999999996</v>
      </c>
      <c r="P238" s="18">
        <v>44</v>
      </c>
      <c r="Q238" s="18">
        <v>20.064</v>
      </c>
      <c r="R238" s="18">
        <v>187.11699999999999</v>
      </c>
      <c r="S238" s="18">
        <v>144.483</v>
      </c>
      <c r="T238" s="14" t="b">
        <f t="shared" si="54"/>
        <v>1</v>
      </c>
      <c r="U238" s="14" t="b">
        <f t="shared" si="55"/>
        <v>1</v>
      </c>
      <c r="V238" s="15">
        <f>VLOOKUP(IF(J238&lt;10, 10, IF(J238&gt;50,50,J238)),'Over to underbark'!$A$3:$C$43,IF(A238="Scots pine",3,IF(A238="Sitka spruce",2, "error")),TRUE)/100</f>
        <v>0.84</v>
      </c>
      <c r="W238">
        <f t="shared" si="44"/>
        <v>141.46045199999998</v>
      </c>
      <c r="X238">
        <f t="shared" si="45"/>
        <v>109.22914800000001</v>
      </c>
      <c r="Y238">
        <f t="shared" si="46"/>
        <v>47.75040000000002</v>
      </c>
      <c r="Z238">
        <f t="shared" si="56"/>
        <v>144.76722984</v>
      </c>
      <c r="AA238">
        <f t="shared" si="57"/>
        <v>88.135281359999993</v>
      </c>
      <c r="AB238">
        <f t="shared" si="58"/>
        <v>65.537488800000006</v>
      </c>
      <c r="AC238">
        <f>LOOKUP($A238,'Over to underbark'!$A$47:$A$48,'Over to underbark'!E$47:E$48)*Z238</f>
        <v>60.802236532799995</v>
      </c>
      <c r="AD238">
        <f>LOOKUP($A238,'Over to underbark'!$A$47:$A$48,'Over to underbark'!E$47:E$48)*AA238</f>
        <v>37.016818171199994</v>
      </c>
      <c r="AE238">
        <f>LOOKUP($A238,'Over to underbark'!$A$47:$A$48,'Over to underbark'!E$47:E$48)*AB238</f>
        <v>27.525745296</v>
      </c>
      <c r="AF238" t="b">
        <f t="shared" si="47"/>
        <v>1</v>
      </c>
      <c r="AG238" t="b">
        <f t="shared" si="48"/>
        <v>1</v>
      </c>
      <c r="AH238">
        <f>LOOKUP(A238,'Over to underbark'!$A$47:$A$48,'Over to underbark'!E$47:E$48)*M238</f>
        <v>139.27199999999999</v>
      </c>
      <c r="AI238" s="27">
        <f>LOOKUP(A238,'Over to underbark'!$A$47:$A$48,'Over to underbark'!$B$47:$B$48)*AH238</f>
        <v>47.35248</v>
      </c>
      <c r="AJ238" s="27">
        <f>LOOKUP(A239,'Over to underbark'!$A$47:$A$48,'Over to underbark'!C$47:C$48)*AH238</f>
        <v>48.745199999999997</v>
      </c>
      <c r="AK238" s="27">
        <f t="shared" si="49"/>
        <v>186.62448000000001</v>
      </c>
      <c r="AL238" s="33">
        <v>444.34</v>
      </c>
      <c r="AM238" s="28">
        <f t="shared" si="50"/>
        <v>373.24896000000001</v>
      </c>
      <c r="AO238">
        <f t="shared" si="51"/>
        <v>0.67164179104477606</v>
      </c>
    </row>
    <row r="239" spans="1:41" x14ac:dyDescent="0.35">
      <c r="A239" t="s">
        <v>39</v>
      </c>
      <c r="B239">
        <v>10</v>
      </c>
      <c r="C239">
        <v>2</v>
      </c>
      <c r="D239" t="s">
        <v>40</v>
      </c>
      <c r="E239">
        <v>2</v>
      </c>
      <c r="F239">
        <v>1</v>
      </c>
      <c r="G239" s="16">
        <v>45</v>
      </c>
      <c r="H239" s="16">
        <v>16.757999999999999</v>
      </c>
      <c r="I239" s="16">
        <v>1496</v>
      </c>
      <c r="J239" s="16">
        <v>20.439</v>
      </c>
      <c r="K239" s="16">
        <v>49.085999999999999</v>
      </c>
      <c r="L239" s="16">
        <v>0.23</v>
      </c>
      <c r="M239" s="23">
        <v>344.2</v>
      </c>
      <c r="N239" s="16">
        <v>3.7789999999999999</v>
      </c>
      <c r="O239" s="17">
        <v>7.649</v>
      </c>
      <c r="P239" s="18">
        <v>45</v>
      </c>
      <c r="Q239" s="18">
        <v>20.439</v>
      </c>
      <c r="R239" s="18">
        <v>187.24600000000001</v>
      </c>
      <c r="S239" s="18">
        <v>156.95400000000001</v>
      </c>
      <c r="T239" s="14" t="b">
        <f t="shared" si="54"/>
        <v>1</v>
      </c>
      <c r="U239" s="14" t="b">
        <f t="shared" si="55"/>
        <v>1</v>
      </c>
      <c r="V239" s="15">
        <f>VLOOKUP(IF(J239&lt;10, 10, IF(J239&gt;50,50,J239)),'Over to underbark'!$A$3:$C$43,IF(A239="Scots pine",3,IF(A239="Sitka spruce",2, "error")),TRUE)/100</f>
        <v>0.84</v>
      </c>
      <c r="W239">
        <f t="shared" si="44"/>
        <v>141.557976</v>
      </c>
      <c r="X239">
        <f t="shared" si="45"/>
        <v>118.657224</v>
      </c>
      <c r="Y239">
        <f t="shared" si="46"/>
        <v>49.564800000000012</v>
      </c>
      <c r="Z239">
        <f t="shared" si="56"/>
        <v>148.05142992</v>
      </c>
      <c r="AA239">
        <f t="shared" si="57"/>
        <v>90.534235679999995</v>
      </c>
      <c r="AB239">
        <f t="shared" si="58"/>
        <v>71.194334400000002</v>
      </c>
      <c r="AC239">
        <f>LOOKUP($A239,'Over to underbark'!$A$47:$A$48,'Over to underbark'!E$47:E$48)*Z239</f>
        <v>62.1816005664</v>
      </c>
      <c r="AD239">
        <f>LOOKUP($A239,'Over to underbark'!$A$47:$A$48,'Over to underbark'!E$47:E$48)*AA239</f>
        <v>38.024378985599995</v>
      </c>
      <c r="AE239">
        <f>LOOKUP($A239,'Over to underbark'!$A$47:$A$48,'Over to underbark'!E$47:E$48)*AB239</f>
        <v>29.901620447999999</v>
      </c>
      <c r="AF239" t="b">
        <f t="shared" si="47"/>
        <v>1</v>
      </c>
      <c r="AG239" t="b">
        <f t="shared" si="48"/>
        <v>1</v>
      </c>
      <c r="AH239">
        <f>LOOKUP(A239,'Over to underbark'!$A$47:$A$48,'Over to underbark'!E$47:E$48)*M239</f>
        <v>144.56399999999999</v>
      </c>
      <c r="AI239" s="27">
        <f>LOOKUP(A239,'Over to underbark'!$A$47:$A$48,'Over to underbark'!$B$47:$B$48)*AH239</f>
        <v>49.151760000000003</v>
      </c>
      <c r="AJ239" s="27">
        <f>LOOKUP(A240,'Over to underbark'!$A$47:$A$48,'Over to underbark'!C$47:C$48)*AH239</f>
        <v>50.597399999999993</v>
      </c>
      <c r="AK239" s="27">
        <f t="shared" si="49"/>
        <v>193.71575999999999</v>
      </c>
      <c r="AL239" s="33">
        <v>461.23</v>
      </c>
      <c r="AM239" s="28">
        <f t="shared" si="50"/>
        <v>387.43151999999998</v>
      </c>
      <c r="AO239">
        <f t="shared" si="51"/>
        <v>0.67164179104477606</v>
      </c>
    </row>
    <row r="240" spans="1:41" x14ac:dyDescent="0.35">
      <c r="A240" t="s">
        <v>39</v>
      </c>
      <c r="B240">
        <v>10</v>
      </c>
      <c r="C240">
        <v>2</v>
      </c>
      <c r="D240" t="s">
        <v>40</v>
      </c>
      <c r="E240">
        <v>2</v>
      </c>
      <c r="F240">
        <v>1</v>
      </c>
      <c r="G240" s="16">
        <v>46</v>
      </c>
      <c r="H240" s="16">
        <v>17.053999999999998</v>
      </c>
      <c r="I240" s="16">
        <v>1467</v>
      </c>
      <c r="J240" s="16">
        <v>20.829000000000001</v>
      </c>
      <c r="K240" s="16">
        <v>49.988</v>
      </c>
      <c r="L240" s="16">
        <v>0.24299999999999999</v>
      </c>
      <c r="M240" s="23">
        <v>356.8</v>
      </c>
      <c r="N240" s="16">
        <v>4.024</v>
      </c>
      <c r="O240" s="17">
        <v>7.7569999999999997</v>
      </c>
      <c r="P240" s="18">
        <v>46</v>
      </c>
      <c r="Q240" s="18">
        <v>20.829000000000001</v>
      </c>
      <c r="R240" s="18">
        <v>186.739</v>
      </c>
      <c r="S240" s="18">
        <v>170.06100000000001</v>
      </c>
      <c r="T240" s="14" t="b">
        <f t="shared" si="54"/>
        <v>1</v>
      </c>
      <c r="U240" s="14" t="b">
        <f t="shared" si="55"/>
        <v>1</v>
      </c>
      <c r="V240" s="15">
        <f>VLOOKUP(IF(J240&lt;10, 10, IF(J240&gt;50,50,J240)),'Over to underbark'!$A$3:$C$43,IF(A240="Scots pine",3,IF(A240="Sitka spruce",2, "error")),TRUE)/100</f>
        <v>0.84</v>
      </c>
      <c r="W240">
        <f t="shared" si="44"/>
        <v>141.17468399999998</v>
      </c>
      <c r="X240">
        <f t="shared" si="45"/>
        <v>128.56611599999999</v>
      </c>
      <c r="Y240">
        <f t="shared" si="46"/>
        <v>51.379200000000012</v>
      </c>
      <c r="Z240">
        <f t="shared" si="56"/>
        <v>151.13368728</v>
      </c>
      <c r="AA240">
        <f t="shared" si="57"/>
        <v>92.846643119999982</v>
      </c>
      <c r="AB240">
        <f t="shared" si="58"/>
        <v>77.139669599999991</v>
      </c>
      <c r="AC240">
        <f>LOOKUP($A240,'Over to underbark'!$A$47:$A$48,'Over to underbark'!E$47:E$48)*Z240</f>
        <v>63.4761486576</v>
      </c>
      <c r="AD240">
        <f>LOOKUP($A240,'Over to underbark'!$A$47:$A$48,'Over to underbark'!E$47:E$48)*AA240</f>
        <v>38.995590110399988</v>
      </c>
      <c r="AE240">
        <f>LOOKUP($A240,'Over to underbark'!$A$47:$A$48,'Over to underbark'!E$47:E$48)*AB240</f>
        <v>32.398661231999995</v>
      </c>
      <c r="AF240" t="b">
        <f t="shared" si="47"/>
        <v>1</v>
      </c>
      <c r="AG240" t="b">
        <f t="shared" si="48"/>
        <v>1</v>
      </c>
      <c r="AH240">
        <f>LOOKUP(A240,'Over to underbark'!$A$47:$A$48,'Over to underbark'!E$47:E$48)*M240</f>
        <v>149.85599999999999</v>
      </c>
      <c r="AI240" s="27">
        <f>LOOKUP(A240,'Over to underbark'!$A$47:$A$48,'Over to underbark'!$B$47:$B$48)*AH240</f>
        <v>50.951039999999999</v>
      </c>
      <c r="AJ240" s="27">
        <f>LOOKUP(A241,'Over to underbark'!$A$47:$A$48,'Over to underbark'!C$47:C$48)*AH240</f>
        <v>52.449599999999997</v>
      </c>
      <c r="AK240" s="27">
        <f t="shared" si="49"/>
        <v>200.80704</v>
      </c>
      <c r="AL240" s="33">
        <v>478.11</v>
      </c>
      <c r="AM240" s="28">
        <f t="shared" si="50"/>
        <v>401.61408</v>
      </c>
      <c r="AO240">
        <f t="shared" si="51"/>
        <v>0.67164179104477606</v>
      </c>
    </row>
    <row r="241" spans="1:41" x14ac:dyDescent="0.35">
      <c r="A241" t="s">
        <v>39</v>
      </c>
      <c r="B241">
        <v>10</v>
      </c>
      <c r="C241">
        <v>2</v>
      </c>
      <c r="D241" t="s">
        <v>40</v>
      </c>
      <c r="E241">
        <v>2</v>
      </c>
      <c r="F241">
        <v>1</v>
      </c>
      <c r="G241" s="16">
        <v>47</v>
      </c>
      <c r="H241" s="16">
        <v>17.350000000000001</v>
      </c>
      <c r="I241" s="16">
        <v>1439</v>
      </c>
      <c r="J241" s="16">
        <v>21.22</v>
      </c>
      <c r="K241" s="16">
        <v>50.890999999999998</v>
      </c>
      <c r="L241" s="16">
        <v>0.25700000000000001</v>
      </c>
      <c r="M241" s="23">
        <v>369.4</v>
      </c>
      <c r="N241" s="16">
        <v>4.2510000000000003</v>
      </c>
      <c r="O241" s="17">
        <v>7.86</v>
      </c>
      <c r="P241" s="18">
        <v>47</v>
      </c>
      <c r="Q241" s="18">
        <v>21.22</v>
      </c>
      <c r="R241" s="18">
        <v>185.874</v>
      </c>
      <c r="S241" s="18">
        <v>183.52600000000001</v>
      </c>
      <c r="T241" s="14" t="b">
        <f t="shared" si="54"/>
        <v>1</v>
      </c>
      <c r="U241" s="14" t="b">
        <f t="shared" si="55"/>
        <v>1</v>
      </c>
      <c r="V241" s="15">
        <f>VLOOKUP(IF(J241&lt;10, 10, IF(J241&gt;50,50,J241)),'Over to underbark'!$A$3:$C$43,IF(A241="Scots pine",3,IF(A241="Sitka spruce",2, "error")),TRUE)/100</f>
        <v>0.84</v>
      </c>
      <c r="W241">
        <f t="shared" si="44"/>
        <v>140.52074399999998</v>
      </c>
      <c r="X241">
        <f t="shared" si="45"/>
        <v>138.745656</v>
      </c>
      <c r="Y241">
        <f t="shared" si="46"/>
        <v>53.193600000000004</v>
      </c>
      <c r="Z241">
        <f t="shared" si="56"/>
        <v>154.10227247999998</v>
      </c>
      <c r="AA241">
        <f t="shared" si="57"/>
        <v>95.110333919999988</v>
      </c>
      <c r="AB241">
        <f t="shared" si="58"/>
        <v>83.247393599999995</v>
      </c>
      <c r="AC241">
        <f>LOOKUP($A241,'Over to underbark'!$A$47:$A$48,'Over to underbark'!E$47:E$48)*Z241</f>
        <v>64.722954441599995</v>
      </c>
      <c r="AD241">
        <f>LOOKUP($A241,'Over to underbark'!$A$47:$A$48,'Over to underbark'!E$47:E$48)*AA241</f>
        <v>39.946340246399991</v>
      </c>
      <c r="AE241">
        <f>LOOKUP($A241,'Over to underbark'!$A$47:$A$48,'Over to underbark'!E$47:E$48)*AB241</f>
        <v>34.963905311999994</v>
      </c>
      <c r="AF241" t="b">
        <f t="shared" si="47"/>
        <v>1</v>
      </c>
      <c r="AG241" t="b">
        <f t="shared" si="48"/>
        <v>1</v>
      </c>
      <c r="AH241">
        <f>LOOKUP(A241,'Over to underbark'!$A$47:$A$48,'Over to underbark'!E$47:E$48)*M241</f>
        <v>155.148</v>
      </c>
      <c r="AI241" s="27">
        <f>LOOKUP(A241,'Over to underbark'!$A$47:$A$48,'Over to underbark'!$B$47:$B$48)*AH241</f>
        <v>52.750320000000002</v>
      </c>
      <c r="AJ241" s="27">
        <f>LOOKUP(A242,'Over to underbark'!$A$47:$A$48,'Over to underbark'!C$47:C$48)*AH241</f>
        <v>54.301799999999993</v>
      </c>
      <c r="AK241" s="27">
        <f t="shared" si="49"/>
        <v>207.89832000000001</v>
      </c>
      <c r="AL241" s="33">
        <v>495</v>
      </c>
      <c r="AM241" s="28">
        <f t="shared" si="50"/>
        <v>415.79664000000002</v>
      </c>
      <c r="AO241">
        <f t="shared" si="51"/>
        <v>0.67164179104477606</v>
      </c>
    </row>
    <row r="242" spans="1:41" x14ac:dyDescent="0.35">
      <c r="A242" t="s">
        <v>39</v>
      </c>
      <c r="B242">
        <v>10</v>
      </c>
      <c r="C242">
        <v>2</v>
      </c>
      <c r="D242" t="s">
        <v>40</v>
      </c>
      <c r="E242">
        <v>2</v>
      </c>
      <c r="F242">
        <v>1</v>
      </c>
      <c r="G242" s="16">
        <v>48</v>
      </c>
      <c r="H242" s="16">
        <v>17.623999999999999</v>
      </c>
      <c r="I242" s="16">
        <v>1413</v>
      </c>
      <c r="J242" s="16">
        <v>21.579000000000001</v>
      </c>
      <c r="K242" s="16">
        <v>51.674999999999997</v>
      </c>
      <c r="L242" s="16">
        <v>0.27</v>
      </c>
      <c r="M242" s="23">
        <v>381.24</v>
      </c>
      <c r="N242" s="16">
        <v>4.6040000000000001</v>
      </c>
      <c r="O242" s="17">
        <v>7.9420000000000002</v>
      </c>
      <c r="P242" s="18">
        <v>48</v>
      </c>
      <c r="Q242" s="18">
        <v>21.579000000000001</v>
      </c>
      <c r="R242" s="18">
        <v>184.93299999999999</v>
      </c>
      <c r="S242" s="18">
        <v>196.30699999999999</v>
      </c>
      <c r="T242" s="14" t="b">
        <f t="shared" si="54"/>
        <v>1</v>
      </c>
      <c r="U242" s="14" t="b">
        <f t="shared" si="55"/>
        <v>1</v>
      </c>
      <c r="V242" s="15">
        <f>VLOOKUP(IF(J242&lt;10, 10, IF(J242&gt;50,50,J242)),'Over to underbark'!$A$3:$C$43,IF(A242="Scots pine",3,IF(A242="Sitka spruce",2, "error")),TRUE)/100</f>
        <v>0.84</v>
      </c>
      <c r="W242">
        <f t="shared" si="44"/>
        <v>139.80934799999997</v>
      </c>
      <c r="X242">
        <f t="shared" si="45"/>
        <v>148.40809199999998</v>
      </c>
      <c r="Y242">
        <f t="shared" si="46"/>
        <v>54.898560000000018</v>
      </c>
      <c r="Z242">
        <f t="shared" si="56"/>
        <v>156.85110215999998</v>
      </c>
      <c r="AA242">
        <f t="shared" si="57"/>
        <v>97.220042639999974</v>
      </c>
      <c r="AB242">
        <f t="shared" si="58"/>
        <v>89.044855199999986</v>
      </c>
      <c r="AC242">
        <f>LOOKUP($A242,'Over to underbark'!$A$47:$A$48,'Over to underbark'!E$47:E$48)*Z242</f>
        <v>65.877462907199984</v>
      </c>
      <c r="AD242">
        <f>LOOKUP($A242,'Over to underbark'!$A$47:$A$48,'Over to underbark'!E$47:E$48)*AA242</f>
        <v>40.832417908799989</v>
      </c>
      <c r="AE242">
        <f>LOOKUP($A242,'Over to underbark'!$A$47:$A$48,'Over to underbark'!E$47:E$48)*AB242</f>
        <v>37.398839183999996</v>
      </c>
      <c r="AF242" t="b">
        <f t="shared" si="47"/>
        <v>1</v>
      </c>
      <c r="AG242" t="b">
        <f t="shared" si="48"/>
        <v>1</v>
      </c>
      <c r="AH242">
        <f>LOOKUP(A242,'Over to underbark'!$A$47:$A$48,'Over to underbark'!E$47:E$48)*M242</f>
        <v>160.1208</v>
      </c>
      <c r="AI242" s="27">
        <f>LOOKUP(A242,'Over to underbark'!$A$47:$A$48,'Over to underbark'!$B$47:$B$48)*AH242</f>
        <v>54.441072000000005</v>
      </c>
      <c r="AJ242" s="27">
        <f>LOOKUP(A243,'Over to underbark'!$A$47:$A$48,'Over to underbark'!C$47:C$48)*AH242</f>
        <v>56.042279999999998</v>
      </c>
      <c r="AK242" s="27">
        <f t="shared" si="49"/>
        <v>214.56187199999999</v>
      </c>
      <c r="AL242" s="33">
        <v>510.86</v>
      </c>
      <c r="AM242" s="28">
        <f t="shared" si="50"/>
        <v>429.12374399999999</v>
      </c>
      <c r="AO242">
        <f t="shared" si="51"/>
        <v>0.67164179104477606</v>
      </c>
    </row>
    <row r="243" spans="1:41" x14ac:dyDescent="0.35">
      <c r="A243" t="s">
        <v>39</v>
      </c>
      <c r="B243">
        <v>10</v>
      </c>
      <c r="C243">
        <v>2</v>
      </c>
      <c r="D243" t="s">
        <v>40</v>
      </c>
      <c r="E243">
        <v>2</v>
      </c>
      <c r="F243">
        <v>1</v>
      </c>
      <c r="G243" s="16">
        <v>49</v>
      </c>
      <c r="H243" s="16">
        <v>17.898</v>
      </c>
      <c r="I243" s="16">
        <v>1387</v>
      </c>
      <c r="J243" s="16">
        <v>21.945</v>
      </c>
      <c r="K243" s="16">
        <v>52.46</v>
      </c>
      <c r="L243" s="16">
        <v>0.28299999999999997</v>
      </c>
      <c r="M243" s="23">
        <v>393.08</v>
      </c>
      <c r="N243" s="16">
        <v>4.9340000000000002</v>
      </c>
      <c r="O243" s="17">
        <v>8.0220000000000002</v>
      </c>
      <c r="P243" s="18">
        <v>49</v>
      </c>
      <c r="Q243" s="18">
        <v>21.945</v>
      </c>
      <c r="R243" s="18">
        <v>183.601</v>
      </c>
      <c r="S243" s="18">
        <v>209.47900000000001</v>
      </c>
      <c r="T243" s="14" t="b">
        <f t="shared" si="54"/>
        <v>1</v>
      </c>
      <c r="U243" s="14" t="b">
        <f t="shared" si="55"/>
        <v>1</v>
      </c>
      <c r="V243" s="15">
        <f>VLOOKUP(IF(J243&lt;10, 10, IF(J243&gt;50,50,J243)),'Over to underbark'!$A$3:$C$43,IF(A243="Scots pine",3,IF(A243="Sitka spruce",2, "error")),TRUE)/100</f>
        <v>0.84</v>
      </c>
      <c r="W243">
        <f t="shared" si="44"/>
        <v>138.802356</v>
      </c>
      <c r="X243">
        <f t="shared" si="45"/>
        <v>158.36612400000001</v>
      </c>
      <c r="Y243">
        <f t="shared" si="46"/>
        <v>56.603520000000017</v>
      </c>
      <c r="Z243">
        <f t="shared" si="56"/>
        <v>159.47578152</v>
      </c>
      <c r="AA243">
        <f t="shared" si="57"/>
        <v>99.276544080000008</v>
      </c>
      <c r="AB243">
        <f t="shared" si="58"/>
        <v>95.0196744</v>
      </c>
      <c r="AC243">
        <f>LOOKUP($A243,'Over to underbark'!$A$47:$A$48,'Over to underbark'!E$47:E$48)*Z243</f>
        <v>66.979828238400003</v>
      </c>
      <c r="AD243">
        <f>LOOKUP($A243,'Over to underbark'!$A$47:$A$48,'Over to underbark'!E$47:E$48)*AA243</f>
        <v>41.696148513600001</v>
      </c>
      <c r="AE243">
        <f>LOOKUP($A243,'Over to underbark'!$A$47:$A$48,'Over to underbark'!E$47:E$48)*AB243</f>
        <v>39.908263247999997</v>
      </c>
      <c r="AF243" t="b">
        <f t="shared" si="47"/>
        <v>1</v>
      </c>
      <c r="AG243" t="b">
        <f t="shared" si="48"/>
        <v>1</v>
      </c>
      <c r="AH243">
        <f>LOOKUP(A243,'Over to underbark'!$A$47:$A$48,'Over to underbark'!E$47:E$48)*M243</f>
        <v>165.09359999999998</v>
      </c>
      <c r="AI243" s="27">
        <f>LOOKUP(A243,'Over to underbark'!$A$47:$A$48,'Over to underbark'!$B$47:$B$48)*AH243</f>
        <v>56.131823999999995</v>
      </c>
      <c r="AJ243" s="27">
        <f>LOOKUP(A244,'Over to underbark'!$A$47:$A$48,'Over to underbark'!C$47:C$48)*AH243</f>
        <v>57.782759999999989</v>
      </c>
      <c r="AK243" s="27">
        <f t="shared" si="49"/>
        <v>221.22542399999998</v>
      </c>
      <c r="AL243" s="33">
        <v>526.73</v>
      </c>
      <c r="AM243" s="28">
        <f t="shared" si="50"/>
        <v>442.45084799999995</v>
      </c>
      <c r="AO243">
        <f t="shared" si="51"/>
        <v>0.67164179104477617</v>
      </c>
    </row>
    <row r="244" spans="1:41" x14ac:dyDescent="0.35">
      <c r="A244" t="s">
        <v>39</v>
      </c>
      <c r="B244">
        <v>10</v>
      </c>
      <c r="C244">
        <v>2</v>
      </c>
      <c r="D244" t="s">
        <v>40</v>
      </c>
      <c r="E244">
        <v>2</v>
      </c>
      <c r="F244">
        <v>1</v>
      </c>
      <c r="G244" s="16">
        <v>50</v>
      </c>
      <c r="H244" s="16">
        <v>18.172000000000001</v>
      </c>
      <c r="I244" s="16">
        <v>1361</v>
      </c>
      <c r="J244" s="16">
        <v>22.318000000000001</v>
      </c>
      <c r="K244" s="16">
        <v>53.244</v>
      </c>
      <c r="L244" s="16">
        <v>0.29799999999999999</v>
      </c>
      <c r="M244" s="23">
        <v>404.92</v>
      </c>
      <c r="N244" s="16">
        <v>5.242</v>
      </c>
      <c r="O244" s="17">
        <v>8.0980000000000008</v>
      </c>
      <c r="P244" s="18">
        <v>50</v>
      </c>
      <c r="Q244" s="18">
        <v>22.318000000000001</v>
      </c>
      <c r="R244" s="18">
        <v>181.89699999999999</v>
      </c>
      <c r="S244" s="18">
        <v>223.023</v>
      </c>
      <c r="T244" s="14" t="b">
        <f t="shared" si="54"/>
        <v>1</v>
      </c>
      <c r="U244" s="14" t="b">
        <f t="shared" si="55"/>
        <v>1</v>
      </c>
      <c r="V244" s="15">
        <f>VLOOKUP(IF(J244&lt;10, 10, IF(J244&gt;50,50,J244)),'Over to underbark'!$A$3:$C$43,IF(A244="Scots pine",3,IF(A244="Sitka spruce",2, "error")),TRUE)/100</f>
        <v>0.84</v>
      </c>
      <c r="W244">
        <f t="shared" si="44"/>
        <v>137.51413199999999</v>
      </c>
      <c r="X244">
        <f t="shared" si="45"/>
        <v>168.60538799999998</v>
      </c>
      <c r="Y244">
        <f t="shared" si="46"/>
        <v>58.30848000000001</v>
      </c>
      <c r="Z244">
        <f t="shared" si="56"/>
        <v>161.98234343999999</v>
      </c>
      <c r="AA244">
        <f t="shared" si="57"/>
        <v>101.28242375999999</v>
      </c>
      <c r="AB244">
        <f t="shared" si="58"/>
        <v>101.16323279999999</v>
      </c>
      <c r="AC244">
        <f>LOOKUP($A244,'Over to underbark'!$A$47:$A$48,'Over to underbark'!E$47:E$48)*Z244</f>
        <v>68.032584244799992</v>
      </c>
      <c r="AD244">
        <f>LOOKUP($A244,'Over to underbark'!$A$47:$A$48,'Over to underbark'!E$47:E$48)*AA244</f>
        <v>42.538617979199991</v>
      </c>
      <c r="AE244">
        <f>LOOKUP($A244,'Over to underbark'!$A$47:$A$48,'Over to underbark'!E$47:E$48)*AB244</f>
        <v>42.488557775999993</v>
      </c>
      <c r="AF244" t="b">
        <f t="shared" si="47"/>
        <v>1</v>
      </c>
      <c r="AG244" t="b">
        <f t="shared" si="48"/>
        <v>1</v>
      </c>
      <c r="AH244">
        <f>LOOKUP(A244,'Over to underbark'!$A$47:$A$48,'Over to underbark'!E$47:E$48)*M244</f>
        <v>170.06639999999999</v>
      </c>
      <c r="AI244" s="27">
        <f>LOOKUP(A244,'Over to underbark'!$A$47:$A$48,'Over to underbark'!$B$47:$B$48)*AH244</f>
        <v>57.822575999999998</v>
      </c>
      <c r="AJ244" s="27">
        <f>LOOKUP(A245,'Over to underbark'!$A$47:$A$48,'Over to underbark'!C$47:C$48)*AH244</f>
        <v>59.523239999999994</v>
      </c>
      <c r="AK244" s="27">
        <f t="shared" si="49"/>
        <v>227.88897599999999</v>
      </c>
      <c r="AL244" s="33">
        <v>542.59</v>
      </c>
      <c r="AM244" s="28">
        <f t="shared" si="50"/>
        <v>455.77795199999997</v>
      </c>
      <c r="AO244">
        <f t="shared" si="51"/>
        <v>0.67164179104477606</v>
      </c>
    </row>
    <row r="245" spans="1:41" x14ac:dyDescent="0.35">
      <c r="A245" t="s">
        <v>39</v>
      </c>
      <c r="B245">
        <v>10</v>
      </c>
      <c r="C245">
        <v>2</v>
      </c>
      <c r="D245" t="s">
        <v>40</v>
      </c>
      <c r="E245">
        <v>2</v>
      </c>
      <c r="F245">
        <v>1</v>
      </c>
      <c r="G245" s="16">
        <v>51</v>
      </c>
      <c r="H245" s="16">
        <v>18.446000000000002</v>
      </c>
      <c r="I245" s="16">
        <v>1335</v>
      </c>
      <c r="J245" s="16">
        <v>22.7</v>
      </c>
      <c r="K245" s="16">
        <v>54.027999999999999</v>
      </c>
      <c r="L245" s="16">
        <v>0.312</v>
      </c>
      <c r="M245" s="23">
        <v>416.76</v>
      </c>
      <c r="N245" s="16">
        <v>5.5309999999999997</v>
      </c>
      <c r="O245" s="17">
        <v>8.1720000000000006</v>
      </c>
      <c r="P245" s="18">
        <v>51</v>
      </c>
      <c r="Q245" s="18">
        <v>22.7</v>
      </c>
      <c r="R245" s="18">
        <v>179.8</v>
      </c>
      <c r="S245" s="18">
        <v>236.96</v>
      </c>
      <c r="T245" s="14" t="b">
        <f t="shared" si="54"/>
        <v>1</v>
      </c>
      <c r="U245" s="14" t="b">
        <f t="shared" si="55"/>
        <v>1</v>
      </c>
      <c r="V245" s="15">
        <f>VLOOKUP(IF(J245&lt;10, 10, IF(J245&gt;50,50,J245)),'Over to underbark'!$A$3:$C$43,IF(A245="Scots pine",3,IF(A245="Sitka spruce",2, "error")),TRUE)/100</f>
        <v>0.84</v>
      </c>
      <c r="W245">
        <f t="shared" si="44"/>
        <v>135.92880000000002</v>
      </c>
      <c r="X245">
        <f t="shared" si="45"/>
        <v>179.14176</v>
      </c>
      <c r="Y245">
        <f t="shared" si="46"/>
        <v>60.01344000000001</v>
      </c>
      <c r="Z245">
        <f t="shared" si="56"/>
        <v>164.36412000000001</v>
      </c>
      <c r="AA245">
        <f t="shared" si="57"/>
        <v>103.234824</v>
      </c>
      <c r="AB245">
        <f t="shared" si="58"/>
        <v>107.485056</v>
      </c>
      <c r="AC245">
        <f>LOOKUP($A245,'Over to underbark'!$A$47:$A$48,'Over to underbark'!E$47:E$48)*Z245</f>
        <v>69.032930399999998</v>
      </c>
      <c r="AD245">
        <f>LOOKUP($A245,'Over to underbark'!$A$47:$A$48,'Over to underbark'!E$47:E$48)*AA245</f>
        <v>43.358626080000001</v>
      </c>
      <c r="AE245">
        <f>LOOKUP($A245,'Over to underbark'!$A$47:$A$48,'Over to underbark'!E$47:E$48)*AB245</f>
        <v>45.143723520000002</v>
      </c>
      <c r="AF245" t="b">
        <f t="shared" si="47"/>
        <v>1</v>
      </c>
      <c r="AG245" t="b">
        <f t="shared" si="48"/>
        <v>1</v>
      </c>
      <c r="AH245">
        <f>LOOKUP(A245,'Over to underbark'!$A$47:$A$48,'Over to underbark'!E$47:E$48)*M245</f>
        <v>175.03919999999999</v>
      </c>
      <c r="AI245" s="27">
        <f>LOOKUP(A245,'Over to underbark'!$A$47:$A$48,'Over to underbark'!$B$47:$B$48)*AH245</f>
        <v>59.513328000000001</v>
      </c>
      <c r="AJ245" s="27">
        <f>LOOKUP(A246,'Over to underbark'!$A$47:$A$48,'Over to underbark'!C$47:C$48)*AH245</f>
        <v>61.263719999999992</v>
      </c>
      <c r="AK245" s="27">
        <f t="shared" si="49"/>
        <v>234.552528</v>
      </c>
      <c r="AL245" s="33">
        <v>558.46</v>
      </c>
      <c r="AM245" s="28">
        <f t="shared" si="50"/>
        <v>469.10505599999999</v>
      </c>
      <c r="AO245">
        <f t="shared" si="51"/>
        <v>0.67164179104477617</v>
      </c>
    </row>
    <row r="246" spans="1:41" x14ac:dyDescent="0.35">
      <c r="A246" t="s">
        <v>39</v>
      </c>
      <c r="B246">
        <v>10</v>
      </c>
      <c r="C246">
        <v>2</v>
      </c>
      <c r="D246" t="s">
        <v>40</v>
      </c>
      <c r="E246">
        <v>2</v>
      </c>
      <c r="F246">
        <v>1</v>
      </c>
      <c r="G246" s="16">
        <v>52</v>
      </c>
      <c r="H246" s="16">
        <v>18.72</v>
      </c>
      <c r="I246" s="16">
        <v>1309</v>
      </c>
      <c r="J246" s="16">
        <v>23.09</v>
      </c>
      <c r="K246" s="16">
        <v>54.811999999999998</v>
      </c>
      <c r="L246" s="16">
        <v>0.32700000000000001</v>
      </c>
      <c r="M246" s="23">
        <v>428.6</v>
      </c>
      <c r="N246" s="16">
        <v>5.8019999999999996</v>
      </c>
      <c r="O246" s="17">
        <v>8.2420000000000009</v>
      </c>
      <c r="P246" s="18">
        <v>52</v>
      </c>
      <c r="Q246" s="18">
        <v>23.09</v>
      </c>
      <c r="R246" s="18">
        <v>177.35</v>
      </c>
      <c r="S246" s="18">
        <v>251.25</v>
      </c>
      <c r="T246" s="14" t="b">
        <f t="shared" si="54"/>
        <v>1</v>
      </c>
      <c r="U246" s="14" t="b">
        <f t="shared" si="55"/>
        <v>1</v>
      </c>
      <c r="V246" s="15">
        <f>VLOOKUP(IF(J246&lt;10, 10, IF(J246&gt;50,50,J246)),'Over to underbark'!$A$3:$C$43,IF(A246="Scots pine",3,IF(A246="Sitka spruce",2, "error")),TRUE)/100</f>
        <v>0.84</v>
      </c>
      <c r="W246">
        <f t="shared" si="44"/>
        <v>134.07660000000001</v>
      </c>
      <c r="X246">
        <f t="shared" si="45"/>
        <v>189.94499999999999</v>
      </c>
      <c r="Y246">
        <f t="shared" si="46"/>
        <v>61.718400000000017</v>
      </c>
      <c r="Z246">
        <f t="shared" si="56"/>
        <v>166.63381200000001</v>
      </c>
      <c r="AA246">
        <f t="shared" si="57"/>
        <v>105.139188</v>
      </c>
      <c r="AB246">
        <f t="shared" si="58"/>
        <v>113.967</v>
      </c>
      <c r="AC246">
        <f>LOOKUP($A246,'Over to underbark'!$A$47:$A$48,'Over to underbark'!E$47:E$48)*Z246</f>
        <v>69.986201039999997</v>
      </c>
      <c r="AD246">
        <f>LOOKUP($A246,'Over to underbark'!$A$47:$A$48,'Over to underbark'!E$47:E$48)*AA246</f>
        <v>44.158458959999997</v>
      </c>
      <c r="AE246">
        <f>LOOKUP($A246,'Over to underbark'!$A$47:$A$48,'Over to underbark'!E$47:E$48)*AB246</f>
        <v>47.866139999999994</v>
      </c>
      <c r="AF246" t="b">
        <f t="shared" si="47"/>
        <v>1</v>
      </c>
      <c r="AG246" t="b">
        <f t="shared" si="48"/>
        <v>1</v>
      </c>
      <c r="AH246">
        <f>LOOKUP(A246,'Over to underbark'!$A$47:$A$48,'Over to underbark'!E$47:E$48)*M246</f>
        <v>180.012</v>
      </c>
      <c r="AI246" s="27">
        <f>LOOKUP(A246,'Over to underbark'!$A$47:$A$48,'Over to underbark'!$B$47:$B$48)*AH246</f>
        <v>61.204080000000005</v>
      </c>
      <c r="AJ246" s="27">
        <f>LOOKUP(A247,'Over to underbark'!$A$47:$A$48,'Over to underbark'!C$47:C$48)*AH246</f>
        <v>63.004199999999997</v>
      </c>
      <c r="AK246" s="27">
        <f t="shared" si="49"/>
        <v>241.21608000000001</v>
      </c>
      <c r="AL246" s="33">
        <v>574.32000000000005</v>
      </c>
      <c r="AM246" s="28">
        <f t="shared" si="50"/>
        <v>482.43216000000001</v>
      </c>
      <c r="AO246">
        <f t="shared" si="51"/>
        <v>0.67164179104477606</v>
      </c>
    </row>
    <row r="247" spans="1:41" x14ac:dyDescent="0.35">
      <c r="A247" t="s">
        <v>39</v>
      </c>
      <c r="B247">
        <v>10</v>
      </c>
      <c r="C247">
        <v>2</v>
      </c>
      <c r="D247" t="s">
        <v>40</v>
      </c>
      <c r="E247">
        <v>2</v>
      </c>
      <c r="F247">
        <v>1</v>
      </c>
      <c r="G247" s="16">
        <v>53</v>
      </c>
      <c r="H247" s="16">
        <v>18.968</v>
      </c>
      <c r="I247" s="16">
        <v>1286</v>
      </c>
      <c r="J247" s="16">
        <v>23.437000000000001</v>
      </c>
      <c r="K247" s="16">
        <v>55.478000000000002</v>
      </c>
      <c r="L247" s="16">
        <v>0.34200000000000003</v>
      </c>
      <c r="M247" s="23">
        <v>439.36</v>
      </c>
      <c r="N247" s="16">
        <v>6.1879999999999997</v>
      </c>
      <c r="O247" s="17">
        <v>8.2899999999999991</v>
      </c>
      <c r="P247" s="18">
        <v>53</v>
      </c>
      <c r="Q247" s="18">
        <v>23.437000000000001</v>
      </c>
      <c r="R247" s="18">
        <v>175.108</v>
      </c>
      <c r="S247" s="18">
        <v>264.25200000000001</v>
      </c>
      <c r="T247" s="14" t="b">
        <f t="shared" si="54"/>
        <v>1</v>
      </c>
      <c r="U247" s="14" t="b">
        <f t="shared" si="55"/>
        <v>1</v>
      </c>
      <c r="V247" s="15">
        <f>VLOOKUP(IF(J247&lt;10, 10, IF(J247&gt;50,50,J247)),'Over to underbark'!$A$3:$C$43,IF(A247="Scots pine",3,IF(A247="Sitka spruce",2, "error")),TRUE)/100</f>
        <v>0.84</v>
      </c>
      <c r="W247">
        <f t="shared" si="44"/>
        <v>132.38164800000001</v>
      </c>
      <c r="X247">
        <f t="shared" si="45"/>
        <v>199.77451200000002</v>
      </c>
      <c r="Y247">
        <f t="shared" si="46"/>
        <v>63.267840000000021</v>
      </c>
      <c r="Z247">
        <f t="shared" si="56"/>
        <v>168.69155616000003</v>
      </c>
      <c r="AA247">
        <f t="shared" si="57"/>
        <v>106.86773664</v>
      </c>
      <c r="AB247">
        <f t="shared" si="58"/>
        <v>119.8647072</v>
      </c>
      <c r="AC247">
        <f>LOOKUP($A247,'Over to underbark'!$A$47:$A$48,'Over to underbark'!E$47:E$48)*Z247</f>
        <v>70.850453587200008</v>
      </c>
      <c r="AD247">
        <f>LOOKUP($A247,'Over to underbark'!$A$47:$A$48,'Over to underbark'!E$47:E$48)*AA247</f>
        <v>44.8844493888</v>
      </c>
      <c r="AE247">
        <f>LOOKUP($A247,'Over to underbark'!$A$47:$A$48,'Over to underbark'!E$47:E$48)*AB247</f>
        <v>50.343177023999999</v>
      </c>
      <c r="AF247" t="b">
        <f t="shared" si="47"/>
        <v>1</v>
      </c>
      <c r="AG247" t="b">
        <f t="shared" si="48"/>
        <v>1</v>
      </c>
      <c r="AH247">
        <f>LOOKUP(A247,'Over to underbark'!$A$47:$A$48,'Over to underbark'!E$47:E$48)*M247</f>
        <v>184.53120000000001</v>
      </c>
      <c r="AI247" s="27">
        <f>LOOKUP(A247,'Over to underbark'!$A$47:$A$48,'Over to underbark'!$B$47:$B$48)*AH247</f>
        <v>62.740608000000009</v>
      </c>
      <c r="AJ247" s="27">
        <f>LOOKUP(A248,'Over to underbark'!$A$47:$A$48,'Over to underbark'!C$47:C$48)*AH247</f>
        <v>64.585920000000002</v>
      </c>
      <c r="AK247" s="27">
        <f t="shared" si="49"/>
        <v>247.27180800000002</v>
      </c>
      <c r="AL247" s="33">
        <v>588.74</v>
      </c>
      <c r="AM247" s="28">
        <f t="shared" si="50"/>
        <v>494.54361600000004</v>
      </c>
      <c r="AO247">
        <f t="shared" si="51"/>
        <v>0.67164179104477606</v>
      </c>
    </row>
    <row r="248" spans="1:41" x14ac:dyDescent="0.35">
      <c r="A248" t="s">
        <v>39</v>
      </c>
      <c r="B248">
        <v>10</v>
      </c>
      <c r="C248">
        <v>2</v>
      </c>
      <c r="D248" t="s">
        <v>40</v>
      </c>
      <c r="E248">
        <v>2</v>
      </c>
      <c r="F248">
        <v>1</v>
      </c>
      <c r="G248" s="16">
        <v>54</v>
      </c>
      <c r="H248" s="16">
        <v>19.216000000000001</v>
      </c>
      <c r="I248" s="16">
        <v>1263</v>
      </c>
      <c r="J248" s="16">
        <v>23.791</v>
      </c>
      <c r="K248" s="16">
        <v>56.143999999999998</v>
      </c>
      <c r="L248" s="16">
        <v>0.35599999999999998</v>
      </c>
      <c r="M248" s="23">
        <v>450.12</v>
      </c>
      <c r="N248" s="16">
        <v>6.5519999999999996</v>
      </c>
      <c r="O248" s="17">
        <v>8.3360000000000003</v>
      </c>
      <c r="P248" s="18">
        <v>54</v>
      </c>
      <c r="Q248" s="18">
        <v>23.791</v>
      </c>
      <c r="R248" s="18">
        <v>172.59800000000001</v>
      </c>
      <c r="S248" s="18">
        <v>277.52199999999999</v>
      </c>
      <c r="T248" s="14" t="b">
        <f t="shared" si="54"/>
        <v>1</v>
      </c>
      <c r="U248" s="14" t="b">
        <f t="shared" si="55"/>
        <v>1</v>
      </c>
      <c r="V248" s="15">
        <f>VLOOKUP(IF(J248&lt;10, 10, IF(J248&gt;50,50,J248)),'Over to underbark'!$A$3:$C$43,IF(A248="Scots pine",3,IF(A248="Sitka spruce",2, "error")),TRUE)/100</f>
        <v>0.84</v>
      </c>
      <c r="W248">
        <f t="shared" si="44"/>
        <v>130.48408800000001</v>
      </c>
      <c r="X248">
        <f t="shared" si="45"/>
        <v>209.80663200000001</v>
      </c>
      <c r="Y248">
        <f t="shared" si="46"/>
        <v>64.817280000000011</v>
      </c>
      <c r="Z248">
        <f t="shared" si="56"/>
        <v>170.66420496000001</v>
      </c>
      <c r="AA248">
        <f t="shared" si="57"/>
        <v>108.55981584</v>
      </c>
      <c r="AB248">
        <f t="shared" si="58"/>
        <v>125.8839792</v>
      </c>
      <c r="AC248">
        <f>LOOKUP($A248,'Over to underbark'!$A$47:$A$48,'Over to underbark'!E$47:E$48)*Z248</f>
        <v>71.678966083199995</v>
      </c>
      <c r="AD248">
        <f>LOOKUP($A248,'Over to underbark'!$A$47:$A$48,'Over to underbark'!E$47:E$48)*AA248</f>
        <v>45.595122652800001</v>
      </c>
      <c r="AE248">
        <f>LOOKUP($A248,'Over to underbark'!$A$47:$A$48,'Over to underbark'!E$47:E$48)*AB248</f>
        <v>52.871271264000001</v>
      </c>
      <c r="AF248" t="b">
        <f t="shared" si="47"/>
        <v>1</v>
      </c>
      <c r="AG248" t="b">
        <f t="shared" si="48"/>
        <v>1</v>
      </c>
      <c r="AH248">
        <f>LOOKUP(A248,'Over to underbark'!$A$47:$A$48,'Over to underbark'!E$47:E$48)*M248</f>
        <v>189.0504</v>
      </c>
      <c r="AI248" s="27">
        <f>LOOKUP(A248,'Over to underbark'!$A$47:$A$48,'Over to underbark'!$B$47:$B$48)*AH248</f>
        <v>64.277135999999999</v>
      </c>
      <c r="AJ248" s="27">
        <f>LOOKUP(A249,'Over to underbark'!$A$47:$A$48,'Over to underbark'!C$47:C$48)*AH248</f>
        <v>66.167639999999992</v>
      </c>
      <c r="AK248" s="27">
        <f t="shared" si="49"/>
        <v>253.32753600000001</v>
      </c>
      <c r="AL248" s="33">
        <v>603.16</v>
      </c>
      <c r="AM248" s="28">
        <f t="shared" si="50"/>
        <v>506.65507200000002</v>
      </c>
      <c r="AO248">
        <f t="shared" si="51"/>
        <v>0.67164179104477606</v>
      </c>
    </row>
    <row r="249" spans="1:41" x14ac:dyDescent="0.35">
      <c r="A249" t="s">
        <v>39</v>
      </c>
      <c r="B249">
        <v>10</v>
      </c>
      <c r="C249">
        <v>2</v>
      </c>
      <c r="D249" t="s">
        <v>40</v>
      </c>
      <c r="E249">
        <v>2</v>
      </c>
      <c r="F249">
        <v>1</v>
      </c>
      <c r="G249" s="16">
        <v>55</v>
      </c>
      <c r="H249" s="16">
        <v>19.463999999999999</v>
      </c>
      <c r="I249" s="16">
        <v>1240</v>
      </c>
      <c r="J249" s="16">
        <v>24.152000000000001</v>
      </c>
      <c r="K249" s="16">
        <v>56.81</v>
      </c>
      <c r="L249" s="16">
        <v>0.372</v>
      </c>
      <c r="M249" s="23">
        <v>460.88</v>
      </c>
      <c r="N249" s="16">
        <v>6.8970000000000002</v>
      </c>
      <c r="O249" s="17">
        <v>8.3800000000000008</v>
      </c>
      <c r="P249" s="18">
        <v>55</v>
      </c>
      <c r="Q249" s="18">
        <v>24.152000000000001</v>
      </c>
      <c r="R249" s="18">
        <v>169.83600000000001</v>
      </c>
      <c r="S249" s="18">
        <v>291.04399999999998</v>
      </c>
      <c r="T249" s="14" t="b">
        <f t="shared" si="54"/>
        <v>1</v>
      </c>
      <c r="U249" s="14" t="b">
        <f t="shared" si="55"/>
        <v>1</v>
      </c>
      <c r="V249" s="15">
        <f>VLOOKUP(IF(J249&lt;10, 10, IF(J249&gt;50,50,J249)),'Over to underbark'!$A$3:$C$43,IF(A249="Scots pine",3,IF(A249="Sitka spruce",2, "error")),TRUE)/100</f>
        <v>0.84</v>
      </c>
      <c r="W249">
        <f t="shared" si="44"/>
        <v>128.396016</v>
      </c>
      <c r="X249">
        <f t="shared" si="45"/>
        <v>220.02926399999998</v>
      </c>
      <c r="Y249">
        <f t="shared" si="46"/>
        <v>66.366720000000015</v>
      </c>
      <c r="Z249">
        <f t="shared" si="56"/>
        <v>172.55683872</v>
      </c>
      <c r="AA249">
        <f t="shared" si="57"/>
        <v>110.21760287999999</v>
      </c>
      <c r="AB249">
        <f t="shared" si="58"/>
        <v>132.01755839999998</v>
      </c>
      <c r="AC249">
        <f>LOOKUP($A249,'Over to underbark'!$A$47:$A$48,'Over to underbark'!E$47:E$48)*Z249</f>
        <v>72.473872262399993</v>
      </c>
      <c r="AD249">
        <f>LOOKUP($A249,'Over to underbark'!$A$47:$A$48,'Over to underbark'!E$47:E$48)*AA249</f>
        <v>46.291393209599995</v>
      </c>
      <c r="AE249">
        <f>LOOKUP($A249,'Over to underbark'!$A$47:$A$48,'Over to underbark'!E$47:E$48)*AB249</f>
        <v>55.44737452799999</v>
      </c>
      <c r="AF249" t="b">
        <f t="shared" si="47"/>
        <v>1</v>
      </c>
      <c r="AG249" t="b">
        <f t="shared" si="48"/>
        <v>1</v>
      </c>
      <c r="AH249">
        <f>LOOKUP(A249,'Over to underbark'!$A$47:$A$48,'Over to underbark'!E$47:E$48)*M249</f>
        <v>193.56959999999998</v>
      </c>
      <c r="AI249" s="27">
        <f>LOOKUP(A249,'Over to underbark'!$A$47:$A$48,'Over to underbark'!$B$47:$B$48)*AH249</f>
        <v>65.813664000000003</v>
      </c>
      <c r="AJ249" s="27">
        <f>LOOKUP(A250,'Over to underbark'!$A$47:$A$48,'Over to underbark'!C$47:C$48)*AH249</f>
        <v>67.749359999999982</v>
      </c>
      <c r="AK249" s="27">
        <f t="shared" si="49"/>
        <v>259.383264</v>
      </c>
      <c r="AL249" s="33">
        <v>617.58000000000004</v>
      </c>
      <c r="AM249" s="28">
        <f t="shared" si="50"/>
        <v>518.76652799999999</v>
      </c>
      <c r="AO249">
        <f t="shared" si="51"/>
        <v>0.67164179104477595</v>
      </c>
    </row>
    <row r="250" spans="1:41" x14ac:dyDescent="0.35">
      <c r="A250" t="s">
        <v>39</v>
      </c>
      <c r="B250">
        <v>10</v>
      </c>
      <c r="C250">
        <v>2</v>
      </c>
      <c r="D250" t="s">
        <v>40</v>
      </c>
      <c r="E250">
        <v>2</v>
      </c>
      <c r="F250">
        <v>1</v>
      </c>
      <c r="G250" s="16">
        <v>56</v>
      </c>
      <c r="H250" s="16">
        <v>19.712</v>
      </c>
      <c r="I250" s="16">
        <v>1217</v>
      </c>
      <c r="J250" s="16">
        <v>24.521999999999998</v>
      </c>
      <c r="K250" s="16">
        <v>57.475999999999999</v>
      </c>
      <c r="L250" s="16">
        <v>0.38800000000000001</v>
      </c>
      <c r="M250" s="23">
        <v>471.64</v>
      </c>
      <c r="N250" s="16">
        <v>7.2229999999999999</v>
      </c>
      <c r="O250" s="17">
        <v>8.4220000000000006</v>
      </c>
      <c r="P250" s="18">
        <v>56</v>
      </c>
      <c r="Q250" s="18">
        <v>24.521999999999998</v>
      </c>
      <c r="R250" s="18">
        <v>166.80199999999999</v>
      </c>
      <c r="S250" s="18">
        <v>304.83800000000002</v>
      </c>
      <c r="T250" s="14" t="b">
        <f t="shared" si="54"/>
        <v>1</v>
      </c>
      <c r="U250" s="14" t="b">
        <f t="shared" si="55"/>
        <v>1</v>
      </c>
      <c r="V250" s="15">
        <f>VLOOKUP(IF(J250&lt;10, 10, IF(J250&gt;50,50,J250)),'Over to underbark'!$A$3:$C$43,IF(A250="Scots pine",3,IF(A250="Sitka spruce",2, "error")),TRUE)/100</f>
        <v>0.84</v>
      </c>
      <c r="W250">
        <f t="shared" si="44"/>
        <v>126.102312</v>
      </c>
      <c r="X250">
        <f t="shared" si="45"/>
        <v>230.45752800000002</v>
      </c>
      <c r="Y250">
        <f t="shared" si="46"/>
        <v>67.916160000000019</v>
      </c>
      <c r="Z250">
        <f t="shared" si="56"/>
        <v>174.36310704000002</v>
      </c>
      <c r="AA250">
        <f t="shared" si="57"/>
        <v>111.83837616</v>
      </c>
      <c r="AB250">
        <f t="shared" si="58"/>
        <v>138.27451680000001</v>
      </c>
      <c r="AC250">
        <f>LOOKUP($A250,'Over to underbark'!$A$47:$A$48,'Over to underbark'!E$47:E$48)*Z250</f>
        <v>73.2325049568</v>
      </c>
      <c r="AD250">
        <f>LOOKUP($A250,'Over to underbark'!$A$47:$A$48,'Over to underbark'!E$47:E$48)*AA250</f>
        <v>46.972117987199994</v>
      </c>
      <c r="AE250">
        <f>LOOKUP($A250,'Over to underbark'!$A$47:$A$48,'Over to underbark'!E$47:E$48)*AB250</f>
        <v>58.075297056000004</v>
      </c>
      <c r="AF250" t="b">
        <f t="shared" si="47"/>
        <v>1</v>
      </c>
      <c r="AG250" t="b">
        <f t="shared" si="48"/>
        <v>1</v>
      </c>
      <c r="AH250">
        <f>LOOKUP(A250,'Over to underbark'!$A$47:$A$48,'Over to underbark'!E$47:E$48)*M250</f>
        <v>198.08879999999999</v>
      </c>
      <c r="AI250" s="27">
        <f>LOOKUP(A250,'Over to underbark'!$A$47:$A$48,'Over to underbark'!$B$47:$B$48)*AH250</f>
        <v>67.350192000000007</v>
      </c>
      <c r="AJ250" s="27">
        <f>LOOKUP(A251,'Over to underbark'!$A$47:$A$48,'Over to underbark'!C$47:C$48)*AH250</f>
        <v>69.331079999999986</v>
      </c>
      <c r="AK250" s="27">
        <f t="shared" si="49"/>
        <v>265.43899199999998</v>
      </c>
      <c r="AL250" s="33">
        <v>632</v>
      </c>
      <c r="AM250" s="28">
        <f t="shared" si="50"/>
        <v>530.87798399999997</v>
      </c>
      <c r="AO250">
        <f t="shared" si="51"/>
        <v>0.67164179104477617</v>
      </c>
    </row>
    <row r="251" spans="1:41" x14ac:dyDescent="0.35">
      <c r="A251" t="s">
        <v>39</v>
      </c>
      <c r="B251">
        <v>10</v>
      </c>
      <c r="C251">
        <v>2</v>
      </c>
      <c r="D251" t="s">
        <v>40</v>
      </c>
      <c r="E251">
        <v>2</v>
      </c>
      <c r="F251">
        <v>1</v>
      </c>
      <c r="G251" s="16">
        <v>57</v>
      </c>
      <c r="H251" s="16">
        <v>19.96</v>
      </c>
      <c r="I251" s="16">
        <v>1194</v>
      </c>
      <c r="J251" s="16">
        <v>24.9</v>
      </c>
      <c r="K251" s="16">
        <v>58.142000000000003</v>
      </c>
      <c r="L251" s="16">
        <v>0.40400000000000003</v>
      </c>
      <c r="M251" s="23">
        <v>482.4</v>
      </c>
      <c r="N251" s="16">
        <v>7.5330000000000004</v>
      </c>
      <c r="O251" s="17">
        <v>8.4629999999999992</v>
      </c>
      <c r="P251" s="18">
        <v>57</v>
      </c>
      <c r="Q251" s="18">
        <v>24.9</v>
      </c>
      <c r="R251" s="18">
        <v>163.53200000000001</v>
      </c>
      <c r="S251" s="18">
        <v>318.86799999999999</v>
      </c>
      <c r="T251" s="14" t="b">
        <f t="shared" si="54"/>
        <v>1</v>
      </c>
      <c r="U251" s="14" t="b">
        <f t="shared" si="55"/>
        <v>1</v>
      </c>
      <c r="V251" s="15">
        <f>VLOOKUP(IF(J251&lt;10, 10, IF(J251&gt;50,50,J251)),'Over to underbark'!$A$3:$C$43,IF(A251="Scots pine",3,IF(A251="Sitka spruce",2, "error")),TRUE)/100</f>
        <v>0.84</v>
      </c>
      <c r="W251">
        <f t="shared" si="44"/>
        <v>123.63019200000002</v>
      </c>
      <c r="X251">
        <f t="shared" si="45"/>
        <v>241.06420799999998</v>
      </c>
      <c r="Y251">
        <f t="shared" si="46"/>
        <v>69.465600000000009</v>
      </c>
      <c r="Z251">
        <f t="shared" si="56"/>
        <v>176.09444064000002</v>
      </c>
      <c r="AA251">
        <f t="shared" si="57"/>
        <v>113.42703456000001</v>
      </c>
      <c r="AB251">
        <f t="shared" si="58"/>
        <v>144.63852479999997</v>
      </c>
      <c r="AC251">
        <f>LOOKUP($A251,'Over to underbark'!$A$47:$A$48,'Over to underbark'!E$47:E$48)*Z251</f>
        <v>73.959665068800007</v>
      </c>
      <c r="AD251">
        <f>LOOKUP($A251,'Over to underbark'!$A$47:$A$48,'Over to underbark'!E$47:E$48)*AA251</f>
        <v>47.639354515200004</v>
      </c>
      <c r="AE251">
        <f>LOOKUP($A251,'Over to underbark'!$A$47:$A$48,'Over to underbark'!E$47:E$48)*AB251</f>
        <v>60.748180415999983</v>
      </c>
      <c r="AF251" t="b">
        <f t="shared" si="47"/>
        <v>1</v>
      </c>
      <c r="AG251" t="b">
        <f t="shared" si="48"/>
        <v>1</v>
      </c>
      <c r="AH251">
        <f>LOOKUP(A251,'Over to underbark'!$A$47:$A$48,'Over to underbark'!E$47:E$48)*M251</f>
        <v>202.60799999999998</v>
      </c>
      <c r="AI251" s="27">
        <f>LOOKUP(A251,'Over to underbark'!$A$47:$A$48,'Over to underbark'!$B$47:$B$48)*AH251</f>
        <v>68.886719999999997</v>
      </c>
      <c r="AJ251" s="27">
        <f>LOOKUP(A252,'Over to underbark'!$A$47:$A$48,'Over to underbark'!C$47:C$48)*AH251</f>
        <v>70.91279999999999</v>
      </c>
      <c r="AK251" s="27">
        <f t="shared" si="49"/>
        <v>271.49471999999997</v>
      </c>
      <c r="AL251" s="33">
        <v>646.41999999999996</v>
      </c>
      <c r="AM251" s="28">
        <f t="shared" si="50"/>
        <v>542.98943999999995</v>
      </c>
      <c r="AO251">
        <f t="shared" si="51"/>
        <v>0.67164179104477617</v>
      </c>
    </row>
    <row r="252" spans="1:41" x14ac:dyDescent="0.35">
      <c r="A252" t="s">
        <v>39</v>
      </c>
      <c r="B252">
        <v>10</v>
      </c>
      <c r="C252">
        <v>2</v>
      </c>
      <c r="D252" t="s">
        <v>40</v>
      </c>
      <c r="E252">
        <v>2</v>
      </c>
      <c r="F252">
        <v>1</v>
      </c>
      <c r="G252" s="16">
        <v>58</v>
      </c>
      <c r="H252" s="16">
        <v>20.181999999999999</v>
      </c>
      <c r="I252" s="16">
        <v>1175</v>
      </c>
      <c r="J252" s="16">
        <v>25.228999999999999</v>
      </c>
      <c r="K252" s="16">
        <v>58.738</v>
      </c>
      <c r="L252" s="16">
        <v>0.41899999999999998</v>
      </c>
      <c r="M252" s="23">
        <v>492.18</v>
      </c>
      <c r="N252" s="16">
        <v>7.8760000000000003</v>
      </c>
      <c r="O252" s="17">
        <v>8.4860000000000007</v>
      </c>
      <c r="P252" s="18">
        <v>58</v>
      </c>
      <c r="Q252" s="18">
        <v>25.228999999999999</v>
      </c>
      <c r="R252" s="18">
        <v>160.76300000000001</v>
      </c>
      <c r="S252" s="18">
        <v>331.41699999999997</v>
      </c>
      <c r="T252" s="14" t="b">
        <f t="shared" si="54"/>
        <v>1</v>
      </c>
      <c r="U252" s="14" t="b">
        <f t="shared" si="55"/>
        <v>1</v>
      </c>
      <c r="V252" s="15">
        <f>VLOOKUP(IF(J252&lt;10, 10, IF(J252&gt;50,50,J252)),'Over to underbark'!$A$3:$C$43,IF(A252="Scots pine",3,IF(A252="Sitka spruce",2, "error")),TRUE)/100</f>
        <v>0.84</v>
      </c>
      <c r="W252">
        <f t="shared" si="44"/>
        <v>121.536828</v>
      </c>
      <c r="X252">
        <f t="shared" si="45"/>
        <v>250.55125199999995</v>
      </c>
      <c r="Y252">
        <f t="shared" si="46"/>
        <v>70.873920000000012</v>
      </c>
      <c r="Z252">
        <f t="shared" si="56"/>
        <v>177.73259975999997</v>
      </c>
      <c r="AA252">
        <f t="shared" si="57"/>
        <v>114.89864903999998</v>
      </c>
      <c r="AB252">
        <f t="shared" si="58"/>
        <v>150.33075119999995</v>
      </c>
      <c r="AC252">
        <f>LOOKUP($A252,'Over to underbark'!$A$47:$A$48,'Over to underbark'!E$47:E$48)*Z252</f>
        <v>74.647691899199984</v>
      </c>
      <c r="AD252">
        <f>LOOKUP($A252,'Over to underbark'!$A$47:$A$48,'Over to underbark'!E$47:E$48)*AA252</f>
        <v>48.257432596799987</v>
      </c>
      <c r="AE252">
        <f>LOOKUP($A252,'Over to underbark'!$A$47:$A$48,'Over to underbark'!E$47:E$48)*AB252</f>
        <v>63.138915503999975</v>
      </c>
      <c r="AF252" t="b">
        <f t="shared" si="47"/>
        <v>1</v>
      </c>
      <c r="AG252" t="b">
        <f t="shared" si="48"/>
        <v>1</v>
      </c>
      <c r="AH252">
        <f>LOOKUP(A252,'Over to underbark'!$A$47:$A$48,'Over to underbark'!E$47:E$48)*M252</f>
        <v>206.71559999999999</v>
      </c>
      <c r="AI252" s="27">
        <f>LOOKUP(A252,'Over to underbark'!$A$47:$A$48,'Over to underbark'!$B$47:$B$48)*AH252</f>
        <v>70.283304000000001</v>
      </c>
      <c r="AJ252" s="27">
        <f>LOOKUP(A253,'Over to underbark'!$A$47:$A$48,'Over to underbark'!C$47:C$48)*AH252</f>
        <v>72.350459999999998</v>
      </c>
      <c r="AK252" s="27">
        <f t="shared" si="49"/>
        <v>276.99890399999998</v>
      </c>
      <c r="AL252" s="33">
        <v>659.52</v>
      </c>
      <c r="AM252" s="28">
        <f t="shared" si="50"/>
        <v>553.99780799999996</v>
      </c>
      <c r="AO252">
        <f t="shared" si="51"/>
        <v>0.67164179104477595</v>
      </c>
    </row>
    <row r="253" spans="1:41" x14ac:dyDescent="0.35">
      <c r="A253" t="s">
        <v>39</v>
      </c>
      <c r="B253">
        <v>10</v>
      </c>
      <c r="C253">
        <v>2</v>
      </c>
      <c r="D253" t="s">
        <v>40</v>
      </c>
      <c r="E253">
        <v>2</v>
      </c>
      <c r="F253">
        <v>1</v>
      </c>
      <c r="G253" s="16">
        <v>59</v>
      </c>
      <c r="H253" s="16">
        <v>20.404</v>
      </c>
      <c r="I253" s="16">
        <v>1156</v>
      </c>
      <c r="J253" s="16">
        <v>25.564</v>
      </c>
      <c r="K253" s="16">
        <v>59.332999999999998</v>
      </c>
      <c r="L253" s="16">
        <v>0.434</v>
      </c>
      <c r="M253" s="23">
        <v>501.96</v>
      </c>
      <c r="N253" s="16">
        <v>8.2040000000000006</v>
      </c>
      <c r="O253" s="17">
        <v>8.5079999999999991</v>
      </c>
      <c r="P253" s="18">
        <v>59</v>
      </c>
      <c r="Q253" s="18">
        <v>25.564</v>
      </c>
      <c r="R253" s="18">
        <v>157.83000000000001</v>
      </c>
      <c r="S253" s="18">
        <v>344.13</v>
      </c>
      <c r="T253" s="14" t="b">
        <f t="shared" si="54"/>
        <v>1</v>
      </c>
      <c r="U253" s="14" t="b">
        <f t="shared" si="55"/>
        <v>1</v>
      </c>
      <c r="V253" s="15">
        <f>VLOOKUP(IF(J253&lt;10, 10, IF(J253&gt;50,50,J253)),'Over to underbark'!$A$3:$C$43,IF(A253="Scots pine",3,IF(A253="Sitka spruce",2, "error")),TRUE)/100</f>
        <v>0.84</v>
      </c>
      <c r="W253">
        <f t="shared" si="44"/>
        <v>119.31948000000001</v>
      </c>
      <c r="X253">
        <f t="shared" si="45"/>
        <v>260.16227999999995</v>
      </c>
      <c r="Y253">
        <f t="shared" si="46"/>
        <v>72.28224000000003</v>
      </c>
      <c r="Z253">
        <f t="shared" si="56"/>
        <v>179.31868560000004</v>
      </c>
      <c r="AA253">
        <f t="shared" si="57"/>
        <v>116.34794639999998</v>
      </c>
      <c r="AB253">
        <f t="shared" si="58"/>
        <v>156.09736799999996</v>
      </c>
      <c r="AC253">
        <f>LOOKUP($A253,'Over to underbark'!$A$47:$A$48,'Over to underbark'!E$47:E$48)*Z253</f>
        <v>75.313847952000017</v>
      </c>
      <c r="AD253">
        <f>LOOKUP($A253,'Over to underbark'!$A$47:$A$48,'Over to underbark'!E$47:E$48)*AA253</f>
        <v>48.866137487999993</v>
      </c>
      <c r="AE253">
        <f>LOOKUP($A253,'Over to underbark'!$A$47:$A$48,'Over to underbark'!E$47:E$48)*AB253</f>
        <v>65.56089455999998</v>
      </c>
      <c r="AF253" t="b">
        <f t="shared" si="47"/>
        <v>1</v>
      </c>
      <c r="AG253" t="b">
        <f t="shared" si="48"/>
        <v>1</v>
      </c>
      <c r="AH253">
        <f>LOOKUP(A253,'Over to underbark'!$A$47:$A$48,'Over to underbark'!E$47:E$48)*M253</f>
        <v>210.82319999999999</v>
      </c>
      <c r="AI253" s="27">
        <f>LOOKUP(A253,'Over to underbark'!$A$47:$A$48,'Over to underbark'!$B$47:$B$48)*AH253</f>
        <v>71.679888000000005</v>
      </c>
      <c r="AJ253" s="27">
        <f>LOOKUP(A254,'Over to underbark'!$A$47:$A$48,'Over to underbark'!C$47:C$48)*AH253</f>
        <v>73.788119999999992</v>
      </c>
      <c r="AK253" s="27">
        <f t="shared" si="49"/>
        <v>282.50308799999999</v>
      </c>
      <c r="AL253" s="33">
        <v>672.63</v>
      </c>
      <c r="AM253" s="28">
        <f t="shared" si="50"/>
        <v>565.00617599999998</v>
      </c>
      <c r="AO253">
        <f t="shared" si="51"/>
        <v>0.67164179104477617</v>
      </c>
    </row>
    <row r="254" spans="1:41" x14ac:dyDescent="0.35">
      <c r="A254" t="s">
        <v>39</v>
      </c>
      <c r="B254">
        <v>10</v>
      </c>
      <c r="C254">
        <v>2</v>
      </c>
      <c r="D254" t="s">
        <v>40</v>
      </c>
      <c r="E254">
        <v>2</v>
      </c>
      <c r="F254">
        <v>1</v>
      </c>
      <c r="G254" s="16">
        <v>60</v>
      </c>
      <c r="H254" s="16">
        <v>20.626000000000001</v>
      </c>
      <c r="I254" s="16">
        <v>1137</v>
      </c>
      <c r="J254" s="16">
        <v>25.905000000000001</v>
      </c>
      <c r="K254" s="16">
        <v>59.927999999999997</v>
      </c>
      <c r="L254" s="16">
        <v>0.45</v>
      </c>
      <c r="M254" s="23">
        <v>511.74</v>
      </c>
      <c r="N254" s="16">
        <v>8.5169999999999995</v>
      </c>
      <c r="O254" s="17">
        <v>8.5289999999999999</v>
      </c>
      <c r="P254" s="18">
        <v>60</v>
      </c>
      <c r="Q254" s="18">
        <v>25.905000000000001</v>
      </c>
      <c r="R254" s="18">
        <v>154.74600000000001</v>
      </c>
      <c r="S254" s="18">
        <v>356.99400000000003</v>
      </c>
      <c r="T254" s="14" t="b">
        <f t="shared" si="54"/>
        <v>1</v>
      </c>
      <c r="U254" s="14" t="b">
        <f t="shared" si="55"/>
        <v>1</v>
      </c>
      <c r="V254" s="15">
        <f>VLOOKUP(IF(J254&lt;10, 10, IF(J254&gt;50,50,J254)),'Over to underbark'!$A$3:$C$43,IF(A254="Scots pine",3,IF(A254="Sitka spruce",2, "error")),TRUE)/100</f>
        <v>0.84</v>
      </c>
      <c r="W254">
        <f t="shared" si="44"/>
        <v>116.98797599999999</v>
      </c>
      <c r="X254">
        <f t="shared" si="45"/>
        <v>269.88746400000002</v>
      </c>
      <c r="Y254">
        <f t="shared" si="46"/>
        <v>73.690560000000019</v>
      </c>
      <c r="Z254">
        <f t="shared" si="56"/>
        <v>180.85682592000001</v>
      </c>
      <c r="AA254">
        <f t="shared" si="57"/>
        <v>117.77669568</v>
      </c>
      <c r="AB254">
        <f t="shared" si="58"/>
        <v>161.93247840000001</v>
      </c>
      <c r="AC254">
        <f>LOOKUP($A254,'Over to underbark'!$A$47:$A$48,'Over to underbark'!E$47:E$48)*Z254</f>
        <v>75.959866886399993</v>
      </c>
      <c r="AD254">
        <f>LOOKUP($A254,'Over to underbark'!$A$47:$A$48,'Over to underbark'!E$47:E$48)*AA254</f>
        <v>49.4662121856</v>
      </c>
      <c r="AE254">
        <f>LOOKUP($A254,'Over to underbark'!$A$47:$A$48,'Over to underbark'!E$47:E$48)*AB254</f>
        <v>68.011640928000006</v>
      </c>
      <c r="AF254" t="b">
        <f t="shared" si="47"/>
        <v>1</v>
      </c>
      <c r="AG254" t="b">
        <f t="shared" si="48"/>
        <v>1</v>
      </c>
      <c r="AH254">
        <f>LOOKUP(A254,'Over to underbark'!$A$47:$A$48,'Over to underbark'!E$47:E$48)*M254</f>
        <v>214.9308</v>
      </c>
      <c r="AI254" s="27">
        <f>LOOKUP(A254,'Over to underbark'!$A$47:$A$48,'Over to underbark'!$B$47:$B$48)*AH254</f>
        <v>73.07647200000001</v>
      </c>
      <c r="AJ254" s="27">
        <f>LOOKUP(A255,'Over to underbark'!$A$47:$A$48,'Over to underbark'!C$47:C$48)*AH254</f>
        <v>75.22578</v>
      </c>
      <c r="AK254" s="27">
        <f t="shared" si="49"/>
        <v>288.007272</v>
      </c>
      <c r="AL254" s="33">
        <v>685.73</v>
      </c>
      <c r="AM254" s="28">
        <f t="shared" si="50"/>
        <v>576.014544</v>
      </c>
      <c r="AO254">
        <f t="shared" si="51"/>
        <v>0.67164179104477617</v>
      </c>
    </row>
    <row r="255" spans="1:41" x14ac:dyDescent="0.35">
      <c r="A255" t="s">
        <v>39</v>
      </c>
      <c r="B255">
        <v>10</v>
      </c>
      <c r="C255">
        <v>2</v>
      </c>
      <c r="D255" t="s">
        <v>40</v>
      </c>
      <c r="E255">
        <v>2</v>
      </c>
      <c r="F255">
        <v>1</v>
      </c>
      <c r="G255" s="16">
        <v>61</v>
      </c>
      <c r="H255" s="16">
        <v>20.847999999999999</v>
      </c>
      <c r="I255" s="16">
        <v>1118</v>
      </c>
      <c r="J255" s="16">
        <v>26.254000000000001</v>
      </c>
      <c r="K255" s="16">
        <v>60.524000000000001</v>
      </c>
      <c r="L255" s="16">
        <v>0.46600000000000003</v>
      </c>
      <c r="M255" s="23">
        <v>521.52</v>
      </c>
      <c r="N255" s="16">
        <v>8.8160000000000007</v>
      </c>
      <c r="O255" s="17">
        <v>8.5500000000000007</v>
      </c>
      <c r="P255" s="18">
        <v>61</v>
      </c>
      <c r="Q255" s="18">
        <v>26.254000000000001</v>
      </c>
      <c r="R255" s="18">
        <v>151.488</v>
      </c>
      <c r="S255" s="18">
        <v>370.03199999999998</v>
      </c>
      <c r="T255" s="14" t="b">
        <f t="shared" si="54"/>
        <v>1</v>
      </c>
      <c r="U255" s="14" t="b">
        <f t="shared" si="55"/>
        <v>1</v>
      </c>
      <c r="V255" s="15">
        <f>VLOOKUP(IF(J255&lt;10, 10, IF(J255&gt;50,50,J255)),'Over to underbark'!$A$3:$C$43,IF(A255="Scots pine",3,IF(A255="Sitka spruce",2, "error")),TRUE)/100</f>
        <v>0.84</v>
      </c>
      <c r="W255">
        <f t="shared" si="44"/>
        <v>114.524928</v>
      </c>
      <c r="X255">
        <f t="shared" si="45"/>
        <v>279.744192</v>
      </c>
      <c r="Y255">
        <f t="shared" si="46"/>
        <v>75.098880000000008</v>
      </c>
      <c r="Z255">
        <f t="shared" si="56"/>
        <v>182.33971776000001</v>
      </c>
      <c r="AA255">
        <f t="shared" si="57"/>
        <v>119.18176704</v>
      </c>
      <c r="AB255">
        <f t="shared" si="58"/>
        <v>167.8465152</v>
      </c>
      <c r="AC255">
        <f>LOOKUP($A255,'Over to underbark'!$A$47:$A$48,'Over to underbark'!E$47:E$48)*Z255</f>
        <v>76.582681459200003</v>
      </c>
      <c r="AD255">
        <f>LOOKUP($A255,'Over to underbark'!$A$47:$A$48,'Over to underbark'!E$47:E$48)*AA255</f>
        <v>50.0563421568</v>
      </c>
      <c r="AE255">
        <f>LOOKUP($A255,'Over to underbark'!$A$47:$A$48,'Over to underbark'!E$47:E$48)*AB255</f>
        <v>70.49553638399999</v>
      </c>
      <c r="AF255" t="b">
        <f t="shared" si="47"/>
        <v>1</v>
      </c>
      <c r="AG255" t="b">
        <f t="shared" si="48"/>
        <v>1</v>
      </c>
      <c r="AH255">
        <f>LOOKUP(A255,'Over to underbark'!$A$47:$A$48,'Over to underbark'!E$47:E$48)*M255</f>
        <v>219.0384</v>
      </c>
      <c r="AI255" s="27">
        <f>LOOKUP(A255,'Over to underbark'!$A$47:$A$48,'Over to underbark'!$B$47:$B$48)*AH255</f>
        <v>74.473056</v>
      </c>
      <c r="AJ255" s="27">
        <f>LOOKUP(A256,'Over to underbark'!$A$47:$A$48,'Over to underbark'!C$47:C$48)*AH255</f>
        <v>76.663439999999994</v>
      </c>
      <c r="AK255" s="27">
        <f t="shared" si="49"/>
        <v>293.51145600000001</v>
      </c>
      <c r="AL255" s="33">
        <v>698.84</v>
      </c>
      <c r="AM255" s="28">
        <f t="shared" si="50"/>
        <v>587.02291200000002</v>
      </c>
      <c r="AO255">
        <f t="shared" si="51"/>
        <v>0.67164179104477606</v>
      </c>
    </row>
    <row r="256" spans="1:41" x14ac:dyDescent="0.35">
      <c r="A256" t="s">
        <v>39</v>
      </c>
      <c r="B256">
        <v>10</v>
      </c>
      <c r="C256">
        <v>2</v>
      </c>
      <c r="D256" t="s">
        <v>40</v>
      </c>
      <c r="E256">
        <v>2</v>
      </c>
      <c r="F256">
        <v>1</v>
      </c>
      <c r="G256" s="16">
        <v>62</v>
      </c>
      <c r="H256" s="16">
        <v>21.07</v>
      </c>
      <c r="I256" s="16">
        <v>1099</v>
      </c>
      <c r="J256" s="16">
        <v>26.61</v>
      </c>
      <c r="K256" s="16">
        <v>61.119</v>
      </c>
      <c r="L256" s="16">
        <v>0.48299999999999998</v>
      </c>
      <c r="M256" s="23">
        <v>531.29999999999995</v>
      </c>
      <c r="N256" s="16">
        <v>9.1020000000000003</v>
      </c>
      <c r="O256" s="17">
        <v>8.5690000000000008</v>
      </c>
      <c r="P256" s="18">
        <v>62</v>
      </c>
      <c r="Q256" s="18">
        <v>26.61</v>
      </c>
      <c r="R256" s="18">
        <v>148.089</v>
      </c>
      <c r="S256" s="18">
        <v>383.21100000000001</v>
      </c>
      <c r="T256" s="14" t="b">
        <f t="shared" si="54"/>
        <v>1</v>
      </c>
      <c r="U256" s="14" t="b">
        <f t="shared" si="55"/>
        <v>1</v>
      </c>
      <c r="V256" s="15">
        <f>VLOOKUP(IF(J256&lt;10, 10, IF(J256&gt;50,50,J256)),'Over to underbark'!$A$3:$C$43,IF(A256="Scots pine",3,IF(A256="Sitka spruce",2, "error")),TRUE)/100</f>
        <v>0.84</v>
      </c>
      <c r="W256">
        <f t="shared" ref="W256:W296" si="59">R256*0.9*V256</f>
        <v>111.95528400000001</v>
      </c>
      <c r="X256">
        <f t="shared" ref="X256:X296" si="60">S256*0.9*V256</f>
        <v>289.707516</v>
      </c>
      <c r="Y256">
        <f t="shared" si="46"/>
        <v>76.507200000000012</v>
      </c>
      <c r="Z256">
        <f t="shared" si="56"/>
        <v>183.77783928000002</v>
      </c>
      <c r="AA256">
        <f t="shared" si="57"/>
        <v>120.56765111999999</v>
      </c>
      <c r="AB256">
        <f t="shared" si="58"/>
        <v>173.8245096</v>
      </c>
      <c r="AC256">
        <f>LOOKUP($A256,'Over to underbark'!$A$47:$A$48,'Over to underbark'!E$47:E$48)*Z256</f>
        <v>77.186692497600006</v>
      </c>
      <c r="AD256">
        <f>LOOKUP($A256,'Over to underbark'!$A$47:$A$48,'Over to underbark'!E$47:E$48)*AA256</f>
        <v>50.638413470399996</v>
      </c>
      <c r="AE256">
        <f>LOOKUP($A256,'Over to underbark'!$A$47:$A$48,'Over to underbark'!E$47:E$48)*AB256</f>
        <v>73.006294032</v>
      </c>
      <c r="AF256" t="b">
        <f t="shared" si="47"/>
        <v>1</v>
      </c>
      <c r="AG256" t="b">
        <f t="shared" si="48"/>
        <v>1</v>
      </c>
      <c r="AH256">
        <f>LOOKUP(A256,'Over to underbark'!$A$47:$A$48,'Over to underbark'!E$47:E$48)*M256</f>
        <v>223.14599999999999</v>
      </c>
      <c r="AI256" s="27">
        <f>LOOKUP(A256,'Over to underbark'!$A$47:$A$48,'Over to underbark'!$B$47:$B$48)*AH256</f>
        <v>75.869640000000004</v>
      </c>
      <c r="AJ256" s="27">
        <f>LOOKUP(A257,'Over to underbark'!$A$47:$A$48,'Over to underbark'!C$47:C$48)*AH256</f>
        <v>78.101099999999988</v>
      </c>
      <c r="AK256" s="27">
        <f t="shared" si="49"/>
        <v>299.01563999999996</v>
      </c>
      <c r="AL256" s="33">
        <v>711.94</v>
      </c>
      <c r="AM256" s="28">
        <f t="shared" si="50"/>
        <v>598.03127999999992</v>
      </c>
      <c r="AO256">
        <f t="shared" si="51"/>
        <v>0.67164179104477617</v>
      </c>
    </row>
    <row r="257" spans="1:41" x14ac:dyDescent="0.35">
      <c r="A257" t="s">
        <v>39</v>
      </c>
      <c r="B257">
        <v>10</v>
      </c>
      <c r="C257">
        <v>2</v>
      </c>
      <c r="D257" t="s">
        <v>40</v>
      </c>
      <c r="E257">
        <v>2</v>
      </c>
      <c r="F257">
        <v>1</v>
      </c>
      <c r="G257" s="16">
        <v>63</v>
      </c>
      <c r="H257" s="16">
        <v>21.27</v>
      </c>
      <c r="I257" s="16">
        <v>1082</v>
      </c>
      <c r="J257" s="16">
        <v>26.927</v>
      </c>
      <c r="K257" s="16">
        <v>61.613999999999997</v>
      </c>
      <c r="L257" s="16">
        <v>0.499</v>
      </c>
      <c r="M257" s="23">
        <v>540.28</v>
      </c>
      <c r="N257" s="16">
        <v>9.3670000000000009</v>
      </c>
      <c r="O257" s="17">
        <v>8.5760000000000005</v>
      </c>
      <c r="P257" s="18">
        <v>63</v>
      </c>
      <c r="Q257" s="18">
        <v>26.927</v>
      </c>
      <c r="R257" s="18">
        <v>145.12700000000001</v>
      </c>
      <c r="S257" s="18">
        <v>395.15300000000002</v>
      </c>
      <c r="T257" s="14" t="b">
        <f t="shared" si="54"/>
        <v>1</v>
      </c>
      <c r="U257" s="14" t="b">
        <f t="shared" si="55"/>
        <v>1</v>
      </c>
      <c r="V257" s="15">
        <f>VLOOKUP(IF(J257&lt;10, 10, IF(J257&gt;50,50,J257)),'Over to underbark'!$A$3:$C$43,IF(A257="Scots pine",3,IF(A257="Sitka spruce",2, "error")),TRUE)/100</f>
        <v>0.84</v>
      </c>
      <c r="W257">
        <f t="shared" si="59"/>
        <v>109.71601200000001</v>
      </c>
      <c r="X257">
        <f t="shared" si="60"/>
        <v>298.73566800000003</v>
      </c>
      <c r="Y257">
        <f t="shared" si="46"/>
        <v>77.800320000000013</v>
      </c>
      <c r="Z257">
        <f t="shared" si="56"/>
        <v>185.14879704000003</v>
      </c>
      <c r="AA257">
        <f t="shared" si="57"/>
        <v>121.86180216000001</v>
      </c>
      <c r="AB257">
        <f t="shared" si="58"/>
        <v>179.24140080000001</v>
      </c>
      <c r="AC257">
        <f>LOOKUP($A257,'Over to underbark'!$A$47:$A$48,'Over to underbark'!E$47:E$48)*Z257</f>
        <v>77.76249475680001</v>
      </c>
      <c r="AD257">
        <f>LOOKUP($A257,'Over to underbark'!$A$47:$A$48,'Over to underbark'!E$47:E$48)*AA257</f>
        <v>51.181956907200004</v>
      </c>
      <c r="AE257">
        <f>LOOKUP($A257,'Over to underbark'!$A$47:$A$48,'Over to underbark'!E$47:E$48)*AB257</f>
        <v>75.281388336000006</v>
      </c>
      <c r="AF257" t="b">
        <f t="shared" si="47"/>
        <v>1</v>
      </c>
      <c r="AG257" t="b">
        <f t="shared" si="48"/>
        <v>1</v>
      </c>
      <c r="AH257">
        <f>LOOKUP(A257,'Over to underbark'!$A$47:$A$48,'Over to underbark'!E$47:E$48)*M257</f>
        <v>226.91759999999999</v>
      </c>
      <c r="AI257" s="27">
        <f>LOOKUP(A257,'Over to underbark'!$A$47:$A$48,'Over to underbark'!$B$47:$B$48)*AH257</f>
        <v>77.151983999999999</v>
      </c>
      <c r="AJ257" s="27">
        <f>LOOKUP(A258,'Over to underbark'!$A$47:$A$48,'Over to underbark'!C$47:C$48)*AH257</f>
        <v>79.421159999999986</v>
      </c>
      <c r="AK257" s="27">
        <f t="shared" si="49"/>
        <v>304.06958399999996</v>
      </c>
      <c r="AL257" s="33">
        <v>723.98</v>
      </c>
      <c r="AM257" s="28">
        <f t="shared" si="50"/>
        <v>608.13916799999993</v>
      </c>
      <c r="AO257">
        <f t="shared" si="51"/>
        <v>0.67164179104477617</v>
      </c>
    </row>
    <row r="258" spans="1:41" x14ac:dyDescent="0.35">
      <c r="A258" t="s">
        <v>39</v>
      </c>
      <c r="B258">
        <v>10</v>
      </c>
      <c r="C258">
        <v>2</v>
      </c>
      <c r="D258" t="s">
        <v>40</v>
      </c>
      <c r="E258">
        <v>2</v>
      </c>
      <c r="F258">
        <v>1</v>
      </c>
      <c r="G258" s="16">
        <v>64</v>
      </c>
      <c r="H258" s="16">
        <v>21.47</v>
      </c>
      <c r="I258" s="16">
        <v>1065</v>
      </c>
      <c r="J258" s="16">
        <v>27.248999999999999</v>
      </c>
      <c r="K258" s="16">
        <v>62.107999999999997</v>
      </c>
      <c r="L258" s="16">
        <v>0.51600000000000001</v>
      </c>
      <c r="M258" s="23">
        <v>549.26</v>
      </c>
      <c r="N258" s="16">
        <v>9.6229999999999993</v>
      </c>
      <c r="O258" s="17">
        <v>8.5820000000000007</v>
      </c>
      <c r="P258" s="18">
        <v>64</v>
      </c>
      <c r="Q258" s="18">
        <v>27.248999999999999</v>
      </c>
      <c r="R258" s="18">
        <v>142.07400000000001</v>
      </c>
      <c r="S258" s="18">
        <v>407.18599999999998</v>
      </c>
      <c r="T258" s="14" t="b">
        <f t="shared" si="54"/>
        <v>1</v>
      </c>
      <c r="U258" s="14" t="b">
        <f t="shared" si="55"/>
        <v>1</v>
      </c>
      <c r="V258" s="15">
        <f>VLOOKUP(IF(J258&lt;10, 10, IF(J258&gt;50,50,J258)),'Over to underbark'!$A$3:$C$43,IF(A258="Scots pine",3,IF(A258="Sitka spruce",2, "error")),TRUE)/100</f>
        <v>0.85</v>
      </c>
      <c r="W258">
        <f t="shared" si="59"/>
        <v>108.68661000000002</v>
      </c>
      <c r="X258">
        <f t="shared" si="60"/>
        <v>311.49728999999996</v>
      </c>
      <c r="Y258">
        <f t="shared" si="46"/>
        <v>74.150100000000009</v>
      </c>
      <c r="Z258">
        <f t="shared" si="56"/>
        <v>182.8260612</v>
      </c>
      <c r="AA258">
        <f t="shared" si="57"/>
        <v>124.60956479999999</v>
      </c>
      <c r="AB258">
        <f t="shared" si="58"/>
        <v>186.89837399999996</v>
      </c>
      <c r="AC258">
        <f>LOOKUP($A258,'Over to underbark'!$A$47:$A$48,'Over to underbark'!E$47:E$48)*Z258</f>
        <v>76.78694570399999</v>
      </c>
      <c r="AD258">
        <f>LOOKUP($A258,'Over to underbark'!$A$47:$A$48,'Over to underbark'!E$47:E$48)*AA258</f>
        <v>52.336017215999995</v>
      </c>
      <c r="AE258">
        <f>LOOKUP($A258,'Over to underbark'!$A$47:$A$48,'Over to underbark'!E$47:E$48)*AB258</f>
        <v>78.497317079999988</v>
      </c>
      <c r="AF258" t="b">
        <f t="shared" si="47"/>
        <v>1</v>
      </c>
      <c r="AG258" t="b">
        <f t="shared" si="48"/>
        <v>1</v>
      </c>
      <c r="AH258">
        <f>LOOKUP(A258,'Over to underbark'!$A$47:$A$48,'Over to underbark'!E$47:E$48)*M258</f>
        <v>230.6892</v>
      </c>
      <c r="AI258" s="27">
        <f>LOOKUP(A258,'Over to underbark'!$A$47:$A$48,'Over to underbark'!$B$47:$B$48)*AH258</f>
        <v>78.434328000000008</v>
      </c>
      <c r="AJ258" s="27">
        <f>LOOKUP(A259,'Over to underbark'!$A$47:$A$48,'Over to underbark'!C$47:C$48)*AH258</f>
        <v>80.741219999999998</v>
      </c>
      <c r="AK258" s="27">
        <f t="shared" si="49"/>
        <v>309.12352800000002</v>
      </c>
      <c r="AL258" s="33">
        <v>736.01</v>
      </c>
      <c r="AM258" s="28">
        <f t="shared" si="50"/>
        <v>618.24705600000004</v>
      </c>
      <c r="AO258">
        <f t="shared" si="51"/>
        <v>0.67164179104477606</v>
      </c>
    </row>
    <row r="259" spans="1:41" x14ac:dyDescent="0.35">
      <c r="A259" t="s">
        <v>39</v>
      </c>
      <c r="B259">
        <v>10</v>
      </c>
      <c r="C259">
        <v>2</v>
      </c>
      <c r="D259" t="s">
        <v>40</v>
      </c>
      <c r="E259">
        <v>2</v>
      </c>
      <c r="F259">
        <v>1</v>
      </c>
      <c r="G259" s="16">
        <v>65</v>
      </c>
      <c r="H259" s="16">
        <v>21.67</v>
      </c>
      <c r="I259" s="16">
        <v>1049</v>
      </c>
      <c r="J259" s="16">
        <v>27.565000000000001</v>
      </c>
      <c r="K259" s="16">
        <v>62.603000000000002</v>
      </c>
      <c r="L259" s="16">
        <v>0.53200000000000003</v>
      </c>
      <c r="M259" s="23">
        <v>558.24</v>
      </c>
      <c r="N259" s="16">
        <v>9.8680000000000003</v>
      </c>
      <c r="O259" s="17">
        <v>8.5879999999999992</v>
      </c>
      <c r="P259" s="18">
        <v>65</v>
      </c>
      <c r="Q259" s="18">
        <v>27.565000000000001</v>
      </c>
      <c r="R259" s="18">
        <v>139.12</v>
      </c>
      <c r="S259" s="18">
        <v>419.12</v>
      </c>
      <c r="T259" s="14" t="b">
        <f t="shared" si="54"/>
        <v>1</v>
      </c>
      <c r="U259" s="14" t="b">
        <f t="shared" si="55"/>
        <v>1</v>
      </c>
      <c r="V259" s="15">
        <f>VLOOKUP(IF(J259&lt;10, 10, IF(J259&gt;50,50,J259)),'Over to underbark'!$A$3:$C$43,IF(A259="Scots pine",3,IF(A259="Sitka spruce",2, "error")),TRUE)/100</f>
        <v>0.85</v>
      </c>
      <c r="W259">
        <f t="shared" si="59"/>
        <v>106.42680000000001</v>
      </c>
      <c r="X259">
        <f t="shared" si="60"/>
        <v>320.6268</v>
      </c>
      <c r="Y259">
        <f t="shared" si="46"/>
        <v>75.362400000000008</v>
      </c>
      <c r="Z259">
        <f t="shared" si="56"/>
        <v>184.119696</v>
      </c>
      <c r="AA259">
        <f t="shared" si="57"/>
        <v>125.920224</v>
      </c>
      <c r="AB259">
        <f t="shared" si="58"/>
        <v>192.37608</v>
      </c>
      <c r="AC259">
        <f>LOOKUP($A259,'Over to underbark'!$A$47:$A$48,'Over to underbark'!E$47:E$48)*Z259</f>
        <v>77.330272320000006</v>
      </c>
      <c r="AD259">
        <f>LOOKUP($A259,'Over to underbark'!$A$47:$A$48,'Over to underbark'!E$47:E$48)*AA259</f>
        <v>52.886494079999999</v>
      </c>
      <c r="AE259">
        <f>LOOKUP($A259,'Over to underbark'!$A$47:$A$48,'Over to underbark'!E$47:E$48)*AB259</f>
        <v>80.7979536</v>
      </c>
      <c r="AF259" t="b">
        <f t="shared" si="47"/>
        <v>1</v>
      </c>
      <c r="AG259" t="b">
        <f t="shared" si="48"/>
        <v>1</v>
      </c>
      <c r="AH259">
        <f>LOOKUP(A259,'Over to underbark'!$A$47:$A$48,'Over to underbark'!E$47:E$48)*M259</f>
        <v>234.46080000000001</v>
      </c>
      <c r="AI259" s="27">
        <f>LOOKUP(A259,'Over to underbark'!$A$47:$A$48,'Over to underbark'!$B$47:$B$48)*AH259</f>
        <v>79.716672000000003</v>
      </c>
      <c r="AJ259" s="27">
        <f>LOOKUP(A260,'Over to underbark'!$A$47:$A$48,'Over to underbark'!C$47:C$48)*AH259</f>
        <v>82.061279999999996</v>
      </c>
      <c r="AK259" s="27">
        <f t="shared" si="49"/>
        <v>314.17747200000002</v>
      </c>
      <c r="AL259" s="33">
        <v>748.04</v>
      </c>
      <c r="AM259" s="28">
        <f t="shared" si="50"/>
        <v>628.35494400000005</v>
      </c>
      <c r="AO259">
        <f t="shared" si="51"/>
        <v>0.67164179104477606</v>
      </c>
    </row>
    <row r="260" spans="1:41" x14ac:dyDescent="0.35">
      <c r="A260" t="s">
        <v>39</v>
      </c>
      <c r="B260">
        <v>10</v>
      </c>
      <c r="C260">
        <v>2</v>
      </c>
      <c r="D260" t="s">
        <v>40</v>
      </c>
      <c r="E260">
        <v>2</v>
      </c>
      <c r="F260">
        <v>1</v>
      </c>
      <c r="G260" s="16">
        <v>66</v>
      </c>
      <c r="H260" s="16">
        <v>21.87</v>
      </c>
      <c r="I260" s="16">
        <v>1032</v>
      </c>
      <c r="J260" s="16">
        <v>27.901</v>
      </c>
      <c r="K260" s="16">
        <v>63.097999999999999</v>
      </c>
      <c r="L260" s="16">
        <v>0.55000000000000004</v>
      </c>
      <c r="M260" s="23">
        <v>567.22</v>
      </c>
      <c r="N260" s="16">
        <v>10.105</v>
      </c>
      <c r="O260" s="17">
        <v>8.5939999999999994</v>
      </c>
      <c r="P260" s="18">
        <v>66</v>
      </c>
      <c r="Q260" s="18">
        <v>27.901</v>
      </c>
      <c r="R260" s="18">
        <v>135.845</v>
      </c>
      <c r="S260" s="18">
        <v>431.375</v>
      </c>
      <c r="T260" s="14" t="b">
        <f t="shared" si="54"/>
        <v>1</v>
      </c>
      <c r="U260" s="14" t="b">
        <f t="shared" si="55"/>
        <v>1</v>
      </c>
      <c r="V260" s="15">
        <f>VLOOKUP(IF(J260&lt;10, 10, IF(J260&gt;50,50,J260)),'Over to underbark'!$A$3:$C$43,IF(A260="Scots pine",3,IF(A260="Sitka spruce",2, "error")),TRUE)/100</f>
        <v>0.85</v>
      </c>
      <c r="W260">
        <f t="shared" si="59"/>
        <v>103.921425</v>
      </c>
      <c r="X260">
        <f t="shared" si="60"/>
        <v>330.00187499999998</v>
      </c>
      <c r="Y260">
        <f t="shared" ref="Y260:Y296" si="61">(R260+S260)*0.9*(100%-V260)</f>
        <v>76.574700000000021</v>
      </c>
      <c r="Z260">
        <f t="shared" si="56"/>
        <v>185.31019350000003</v>
      </c>
      <c r="AA260">
        <f t="shared" si="57"/>
        <v>127.18668149999999</v>
      </c>
      <c r="AB260">
        <f t="shared" si="58"/>
        <v>198.00112499999997</v>
      </c>
      <c r="AC260">
        <f>LOOKUP($A260,'Over to underbark'!$A$47:$A$48,'Over to underbark'!E$47:E$48)*Z260</f>
        <v>77.830281270000015</v>
      </c>
      <c r="AD260">
        <f>LOOKUP($A260,'Over to underbark'!$A$47:$A$48,'Over to underbark'!E$47:E$48)*AA260</f>
        <v>53.418406229999995</v>
      </c>
      <c r="AE260">
        <f>LOOKUP($A260,'Over to underbark'!$A$47:$A$48,'Over to underbark'!E$47:E$48)*AB260</f>
        <v>83.160472499999983</v>
      </c>
      <c r="AF260" t="b">
        <f t="shared" ref="AF260:AF296" si="62">SUM(W260:Y260)=SUM(Z260:AB260)</f>
        <v>1</v>
      </c>
      <c r="AG260" t="b">
        <f t="shared" ref="AG260:AG296" si="63">SUM(R260:S260)*0.9 = SUM(W260:Y260)</f>
        <v>1</v>
      </c>
      <c r="AH260">
        <f>LOOKUP(A260,'Over to underbark'!$A$47:$A$48,'Over to underbark'!E$47:E$48)*M260</f>
        <v>238.23240000000001</v>
      </c>
      <c r="AI260" s="27">
        <f>LOOKUP(A260,'Over to underbark'!$A$47:$A$48,'Over to underbark'!$B$47:$B$48)*AH260</f>
        <v>80.999016000000012</v>
      </c>
      <c r="AJ260" s="27">
        <f>LOOKUP(A261,'Over to underbark'!$A$47:$A$48,'Over to underbark'!C$47:C$48)*AH260</f>
        <v>83.381339999999994</v>
      </c>
      <c r="AK260" s="27">
        <f t="shared" ref="AK260:AK323" si="64">AH260+AI260</f>
        <v>319.23141600000002</v>
      </c>
      <c r="AL260" s="33">
        <v>760.07</v>
      </c>
      <c r="AM260" s="28">
        <f t="shared" ref="AM260:AM323" si="65">AK260*2</f>
        <v>638.46283200000005</v>
      </c>
      <c r="AO260">
        <f t="shared" ref="AO260:AO323" si="66">(AC260+AD260+AE260)/AK260</f>
        <v>0.67164179104477606</v>
      </c>
    </row>
    <row r="261" spans="1:41" x14ac:dyDescent="0.35">
      <c r="A261" t="s">
        <v>39</v>
      </c>
      <c r="B261">
        <v>10</v>
      </c>
      <c r="C261">
        <v>2</v>
      </c>
      <c r="D261" t="s">
        <v>40</v>
      </c>
      <c r="E261">
        <v>2</v>
      </c>
      <c r="F261">
        <v>1</v>
      </c>
      <c r="G261" s="16">
        <v>67</v>
      </c>
      <c r="H261" s="16">
        <v>22.07</v>
      </c>
      <c r="I261" s="16">
        <v>1016</v>
      </c>
      <c r="J261" s="16">
        <v>28.23</v>
      </c>
      <c r="K261" s="16">
        <v>63.591999999999999</v>
      </c>
      <c r="L261" s="16">
        <v>0.56699999999999995</v>
      </c>
      <c r="M261" s="23">
        <v>576.20000000000005</v>
      </c>
      <c r="N261" s="16">
        <v>10.333</v>
      </c>
      <c r="O261" s="17">
        <v>8.6</v>
      </c>
      <c r="P261" s="18">
        <v>67</v>
      </c>
      <c r="Q261" s="18">
        <v>28.23</v>
      </c>
      <c r="R261" s="18">
        <v>132.69900000000001</v>
      </c>
      <c r="S261" s="18">
        <v>443.50099999999998</v>
      </c>
      <c r="T261" s="14" t="b">
        <f t="shared" si="54"/>
        <v>1</v>
      </c>
      <c r="U261" s="14" t="b">
        <f t="shared" si="55"/>
        <v>1</v>
      </c>
      <c r="V261" s="15">
        <f>VLOOKUP(IF(J261&lt;10, 10, IF(J261&gt;50,50,J261)),'Over to underbark'!$A$3:$C$43,IF(A261="Scots pine",3,IF(A261="Sitka spruce",2, "error")),TRUE)/100</f>
        <v>0.85</v>
      </c>
      <c r="W261">
        <f t="shared" si="59"/>
        <v>101.51473500000002</v>
      </c>
      <c r="X261">
        <f t="shared" si="60"/>
        <v>339.27826499999998</v>
      </c>
      <c r="Y261">
        <f t="shared" si="61"/>
        <v>77.78700000000002</v>
      </c>
      <c r="Z261">
        <f t="shared" si="56"/>
        <v>186.54213870000001</v>
      </c>
      <c r="AA261">
        <f t="shared" si="57"/>
        <v>128.47090230000001</v>
      </c>
      <c r="AB261">
        <f t="shared" si="58"/>
        <v>203.56695899999997</v>
      </c>
      <c r="AC261">
        <f>LOOKUP($A261,'Over to underbark'!$A$47:$A$48,'Over to underbark'!E$47:E$48)*Z261</f>
        <v>78.347698254000008</v>
      </c>
      <c r="AD261">
        <f>LOOKUP($A261,'Over to underbark'!$A$47:$A$48,'Over to underbark'!E$47:E$48)*AA261</f>
        <v>53.957778965999999</v>
      </c>
      <c r="AE261">
        <f>LOOKUP($A261,'Over to underbark'!$A$47:$A$48,'Over to underbark'!E$47:E$48)*AB261</f>
        <v>85.498122779999989</v>
      </c>
      <c r="AF261" t="b">
        <f t="shared" si="62"/>
        <v>1</v>
      </c>
      <c r="AG261" t="b">
        <f t="shared" si="63"/>
        <v>1</v>
      </c>
      <c r="AH261">
        <f>LOOKUP(A261,'Over to underbark'!$A$47:$A$48,'Over to underbark'!E$47:E$48)*M261</f>
        <v>242.00400000000002</v>
      </c>
      <c r="AI261" s="27">
        <f>LOOKUP(A261,'Over to underbark'!$A$47:$A$48,'Over to underbark'!$B$47:$B$48)*AH261</f>
        <v>82.281360000000006</v>
      </c>
      <c r="AJ261" s="27">
        <f>LOOKUP(A262,'Over to underbark'!$A$47:$A$48,'Over to underbark'!C$47:C$48)*AH261</f>
        <v>84.701400000000007</v>
      </c>
      <c r="AK261" s="27">
        <f t="shared" si="64"/>
        <v>324.28536000000003</v>
      </c>
      <c r="AL261" s="33">
        <v>772.11</v>
      </c>
      <c r="AM261" s="28">
        <f t="shared" si="65"/>
        <v>648.57072000000005</v>
      </c>
      <c r="AO261">
        <f t="shared" si="66"/>
        <v>0.67164179104477606</v>
      </c>
    </row>
    <row r="262" spans="1:41" x14ac:dyDescent="0.35">
      <c r="A262" t="s">
        <v>39</v>
      </c>
      <c r="B262">
        <v>10</v>
      </c>
      <c r="C262">
        <v>2</v>
      </c>
      <c r="D262" t="s">
        <v>40</v>
      </c>
      <c r="E262">
        <v>2</v>
      </c>
      <c r="F262">
        <v>1</v>
      </c>
      <c r="G262" s="16">
        <v>68</v>
      </c>
      <c r="H262" s="16">
        <v>22.245999999999999</v>
      </c>
      <c r="I262" s="16">
        <v>1004</v>
      </c>
      <c r="J262" s="16">
        <v>28.504000000000001</v>
      </c>
      <c r="K262" s="16">
        <v>64.066000000000003</v>
      </c>
      <c r="L262" s="16">
        <v>0.58199999999999996</v>
      </c>
      <c r="M262" s="23">
        <v>584.46</v>
      </c>
      <c r="N262" s="16">
        <v>10.515000000000001</v>
      </c>
      <c r="O262" s="17">
        <v>8.5950000000000006</v>
      </c>
      <c r="P262" s="18">
        <v>68</v>
      </c>
      <c r="Q262" s="18">
        <v>28.504000000000001</v>
      </c>
      <c r="R262" s="18">
        <v>130.267</v>
      </c>
      <c r="S262" s="18">
        <v>454.19299999999998</v>
      </c>
      <c r="T262" s="14" t="b">
        <f t="shared" si="54"/>
        <v>1</v>
      </c>
      <c r="U262" s="14" t="b">
        <f t="shared" si="55"/>
        <v>1</v>
      </c>
      <c r="V262" s="15">
        <f>VLOOKUP(IF(J262&lt;10, 10, IF(J262&gt;50,50,J262)),'Over to underbark'!$A$3:$C$43,IF(A262="Scots pine",3,IF(A262="Sitka spruce",2, "error")),TRUE)/100</f>
        <v>0.85</v>
      </c>
      <c r="W262">
        <f t="shared" si="59"/>
        <v>99.654255000000006</v>
      </c>
      <c r="X262">
        <f t="shared" si="60"/>
        <v>347.45764500000001</v>
      </c>
      <c r="Y262">
        <f t="shared" si="61"/>
        <v>78.902100000000019</v>
      </c>
      <c r="Z262">
        <f t="shared" si="56"/>
        <v>187.82367210000004</v>
      </c>
      <c r="AA262">
        <f t="shared" si="57"/>
        <v>129.71574090000001</v>
      </c>
      <c r="AB262">
        <f t="shared" si="58"/>
        <v>208.47458700000001</v>
      </c>
      <c r="AC262">
        <f>LOOKUP($A262,'Over to underbark'!$A$47:$A$48,'Over to underbark'!E$47:E$48)*Z262</f>
        <v>78.885942282000016</v>
      </c>
      <c r="AD262">
        <f>LOOKUP($A262,'Over to underbark'!$A$47:$A$48,'Over to underbark'!E$47:E$48)*AA262</f>
        <v>54.480611178000004</v>
      </c>
      <c r="AE262">
        <f>LOOKUP($A262,'Over to underbark'!$A$47:$A$48,'Over to underbark'!E$47:E$48)*AB262</f>
        <v>87.559326540000001</v>
      </c>
      <c r="AF262" t="b">
        <f t="shared" si="62"/>
        <v>1</v>
      </c>
      <c r="AG262" t="b">
        <f t="shared" si="63"/>
        <v>1</v>
      </c>
      <c r="AH262">
        <f>LOOKUP(A262,'Over to underbark'!$A$47:$A$48,'Over to underbark'!E$47:E$48)*M262</f>
        <v>245.47320000000002</v>
      </c>
      <c r="AI262" s="27">
        <f>LOOKUP(A262,'Over to underbark'!$A$47:$A$48,'Over to underbark'!$B$47:$B$48)*AH262</f>
        <v>83.460888000000011</v>
      </c>
      <c r="AJ262" s="27">
        <f>LOOKUP(A263,'Over to underbark'!$A$47:$A$48,'Over to underbark'!C$47:C$48)*AH262</f>
        <v>85.915620000000004</v>
      </c>
      <c r="AK262" s="27">
        <f t="shared" si="64"/>
        <v>328.93408800000003</v>
      </c>
      <c r="AL262" s="33">
        <v>783.18</v>
      </c>
      <c r="AM262" s="28">
        <f t="shared" si="65"/>
        <v>657.86817600000006</v>
      </c>
      <c r="AO262">
        <f t="shared" si="66"/>
        <v>0.67164179104477617</v>
      </c>
    </row>
    <row r="263" spans="1:41" x14ac:dyDescent="0.35">
      <c r="A263" t="s">
        <v>39</v>
      </c>
      <c r="B263">
        <v>10</v>
      </c>
      <c r="C263">
        <v>2</v>
      </c>
      <c r="D263" t="s">
        <v>40</v>
      </c>
      <c r="E263">
        <v>2</v>
      </c>
      <c r="F263">
        <v>1</v>
      </c>
      <c r="G263" s="16">
        <v>69</v>
      </c>
      <c r="H263" s="16">
        <v>22.422000000000001</v>
      </c>
      <c r="I263" s="16">
        <v>992</v>
      </c>
      <c r="J263" s="16">
        <v>28.777999999999999</v>
      </c>
      <c r="K263" s="16">
        <v>64.540000000000006</v>
      </c>
      <c r="L263" s="16">
        <v>0.59699999999999998</v>
      </c>
      <c r="M263" s="23">
        <v>592.72</v>
      </c>
      <c r="N263" s="16">
        <v>10.692</v>
      </c>
      <c r="O263" s="17">
        <v>8.59</v>
      </c>
      <c r="P263" s="18">
        <v>69</v>
      </c>
      <c r="Q263" s="18">
        <v>28.777999999999999</v>
      </c>
      <c r="R263" s="18">
        <v>127.839</v>
      </c>
      <c r="S263" s="18">
        <v>464.88099999999997</v>
      </c>
      <c r="T263" s="14" t="b">
        <f t="shared" si="54"/>
        <v>1</v>
      </c>
      <c r="U263" s="14" t="b">
        <f t="shared" si="55"/>
        <v>1</v>
      </c>
      <c r="V263" s="15">
        <f>VLOOKUP(IF(J263&lt;10, 10, IF(J263&gt;50,50,J263)),'Over to underbark'!$A$3:$C$43,IF(A263="Scots pine",3,IF(A263="Sitka spruce",2, "error")),TRUE)/100</f>
        <v>0.85</v>
      </c>
      <c r="W263">
        <f t="shared" si="59"/>
        <v>97.796834999999987</v>
      </c>
      <c r="X263">
        <f t="shared" si="60"/>
        <v>355.63396499999999</v>
      </c>
      <c r="Y263">
        <f t="shared" si="61"/>
        <v>80.017200000000031</v>
      </c>
      <c r="Z263">
        <f t="shared" si="56"/>
        <v>189.10649069999999</v>
      </c>
      <c r="AA263">
        <f t="shared" si="57"/>
        <v>130.96113029999998</v>
      </c>
      <c r="AB263">
        <f t="shared" si="58"/>
        <v>213.38037899999998</v>
      </c>
      <c r="AC263">
        <f>LOOKUP($A263,'Over to underbark'!$A$47:$A$48,'Over to underbark'!E$47:E$48)*Z263</f>
        <v>79.424726093999993</v>
      </c>
      <c r="AD263">
        <f>LOOKUP($A263,'Over to underbark'!$A$47:$A$48,'Over to underbark'!E$47:E$48)*AA263</f>
        <v>55.003674725999993</v>
      </c>
      <c r="AE263">
        <f>LOOKUP($A263,'Over to underbark'!$A$47:$A$48,'Over to underbark'!E$47:E$48)*AB263</f>
        <v>89.619759179999988</v>
      </c>
      <c r="AF263" t="b">
        <f t="shared" si="62"/>
        <v>1</v>
      </c>
      <c r="AG263" t="b">
        <f t="shared" si="63"/>
        <v>1</v>
      </c>
      <c r="AH263">
        <f>LOOKUP(A263,'Over to underbark'!$A$47:$A$48,'Over to underbark'!E$47:E$48)*M263</f>
        <v>248.94239999999999</v>
      </c>
      <c r="AI263" s="27">
        <f>LOOKUP(A263,'Over to underbark'!$A$47:$A$48,'Over to underbark'!$B$47:$B$48)*AH263</f>
        <v>84.640416000000002</v>
      </c>
      <c r="AJ263" s="27">
        <f>LOOKUP(A264,'Over to underbark'!$A$47:$A$48,'Over to underbark'!C$47:C$48)*AH263</f>
        <v>87.129839999999987</v>
      </c>
      <c r="AK263" s="27">
        <f t="shared" si="64"/>
        <v>333.58281599999998</v>
      </c>
      <c r="AL263" s="33">
        <v>794.24</v>
      </c>
      <c r="AM263" s="28">
        <f t="shared" si="65"/>
        <v>667.16563199999996</v>
      </c>
      <c r="AO263">
        <f t="shared" si="66"/>
        <v>0.67164179104477606</v>
      </c>
    </row>
    <row r="264" spans="1:41" x14ac:dyDescent="0.35">
      <c r="A264" t="s">
        <v>39</v>
      </c>
      <c r="B264">
        <v>10</v>
      </c>
      <c r="C264">
        <v>2</v>
      </c>
      <c r="D264" t="s">
        <v>40</v>
      </c>
      <c r="E264">
        <v>2</v>
      </c>
      <c r="F264">
        <v>1</v>
      </c>
      <c r="G264" s="16">
        <v>70</v>
      </c>
      <c r="H264" s="16">
        <v>22.597999999999999</v>
      </c>
      <c r="I264" s="16">
        <v>980</v>
      </c>
      <c r="J264" s="16">
        <v>29.058</v>
      </c>
      <c r="K264" s="16">
        <v>65.013000000000005</v>
      </c>
      <c r="L264" s="16">
        <v>0.61299999999999999</v>
      </c>
      <c r="M264" s="23">
        <v>600.98</v>
      </c>
      <c r="N264" s="16">
        <v>10.863</v>
      </c>
      <c r="O264" s="17">
        <v>8.5850000000000009</v>
      </c>
      <c r="P264" s="18">
        <v>70</v>
      </c>
      <c r="Q264" s="18">
        <v>29.058</v>
      </c>
      <c r="R264" s="18">
        <v>125.327</v>
      </c>
      <c r="S264" s="18">
        <v>475.65300000000002</v>
      </c>
      <c r="T264" s="14" t="b">
        <f t="shared" si="54"/>
        <v>1</v>
      </c>
      <c r="U264" s="14" t="b">
        <f t="shared" si="55"/>
        <v>1</v>
      </c>
      <c r="V264" s="15">
        <f>VLOOKUP(IF(J264&lt;10, 10, IF(J264&gt;50,50,J264)),'Over to underbark'!$A$3:$C$43,IF(A264="Scots pine",3,IF(A264="Sitka spruce",2, "error")),TRUE)/100</f>
        <v>0.85</v>
      </c>
      <c r="W264">
        <f t="shared" si="59"/>
        <v>95.875155000000007</v>
      </c>
      <c r="X264">
        <f t="shared" si="60"/>
        <v>363.87454500000001</v>
      </c>
      <c r="Y264">
        <f t="shared" si="61"/>
        <v>81.132300000000015</v>
      </c>
      <c r="Z264">
        <f t="shared" si="56"/>
        <v>190.36232010000003</v>
      </c>
      <c r="AA264">
        <f t="shared" si="57"/>
        <v>132.1949529</v>
      </c>
      <c r="AB264">
        <f t="shared" si="58"/>
        <v>218.324727</v>
      </c>
      <c r="AC264">
        <f>LOOKUP($A264,'Over to underbark'!$A$47:$A$48,'Over to underbark'!E$47:E$48)*Z264</f>
        <v>79.952174442000015</v>
      </c>
      <c r="AD264">
        <f>LOOKUP($A264,'Over to underbark'!$A$47:$A$48,'Over to underbark'!E$47:E$48)*AA264</f>
        <v>55.521880218</v>
      </c>
      <c r="AE264">
        <f>LOOKUP($A264,'Over to underbark'!$A$47:$A$48,'Over to underbark'!E$47:E$48)*AB264</f>
        <v>91.696385339999992</v>
      </c>
      <c r="AF264" t="b">
        <f t="shared" si="62"/>
        <v>1</v>
      </c>
      <c r="AG264" t="b">
        <f t="shared" si="63"/>
        <v>1</v>
      </c>
      <c r="AH264">
        <f>LOOKUP(A264,'Over to underbark'!$A$47:$A$48,'Over to underbark'!E$47:E$48)*M264</f>
        <v>252.41159999999999</v>
      </c>
      <c r="AI264" s="27">
        <f>LOOKUP(A264,'Over to underbark'!$A$47:$A$48,'Over to underbark'!$B$47:$B$48)*AH264</f>
        <v>85.819944000000007</v>
      </c>
      <c r="AJ264" s="27">
        <f>LOOKUP(A265,'Over to underbark'!$A$47:$A$48,'Over to underbark'!C$47:C$48)*AH264</f>
        <v>88.344059999999999</v>
      </c>
      <c r="AK264" s="27">
        <f t="shared" si="64"/>
        <v>338.23154399999999</v>
      </c>
      <c r="AL264" s="33">
        <v>805.31</v>
      </c>
      <c r="AM264" s="28">
        <f t="shared" si="65"/>
        <v>676.46308799999997</v>
      </c>
      <c r="AO264">
        <f t="shared" si="66"/>
        <v>0.67164179104477606</v>
      </c>
    </row>
    <row r="265" spans="1:41" x14ac:dyDescent="0.35">
      <c r="A265" t="s">
        <v>39</v>
      </c>
      <c r="B265">
        <v>10</v>
      </c>
      <c r="C265">
        <v>2</v>
      </c>
      <c r="D265" t="s">
        <v>40</v>
      </c>
      <c r="E265">
        <v>2</v>
      </c>
      <c r="F265">
        <v>1</v>
      </c>
      <c r="G265" s="16">
        <v>71</v>
      </c>
      <c r="H265" s="16">
        <v>22.774000000000001</v>
      </c>
      <c r="I265" s="16">
        <v>968</v>
      </c>
      <c r="J265" s="16">
        <v>29.341999999999999</v>
      </c>
      <c r="K265" s="16">
        <v>65.486999999999995</v>
      </c>
      <c r="L265" s="16">
        <v>0.629</v>
      </c>
      <c r="M265" s="23">
        <v>609.24</v>
      </c>
      <c r="N265" s="16">
        <v>11.029</v>
      </c>
      <c r="O265" s="17">
        <v>8.5809999999999995</v>
      </c>
      <c r="P265" s="18">
        <v>71</v>
      </c>
      <c r="Q265" s="18">
        <v>29.341999999999999</v>
      </c>
      <c r="R265" s="18">
        <v>122.767</v>
      </c>
      <c r="S265" s="18">
        <v>486.47300000000001</v>
      </c>
      <c r="T265" s="14" t="b">
        <f t="shared" si="54"/>
        <v>1</v>
      </c>
      <c r="U265" s="14" t="b">
        <f t="shared" si="55"/>
        <v>1</v>
      </c>
      <c r="V265" s="15">
        <f>VLOOKUP(IF(J265&lt;10, 10, IF(J265&gt;50,50,J265)),'Over to underbark'!$A$3:$C$43,IF(A265="Scots pine",3,IF(A265="Sitka spruce",2, "error")),TRUE)/100</f>
        <v>0.85</v>
      </c>
      <c r="W265">
        <f t="shared" si="59"/>
        <v>93.916754999999995</v>
      </c>
      <c r="X265">
        <f t="shared" si="60"/>
        <v>372.15184500000004</v>
      </c>
      <c r="Y265">
        <f t="shared" si="61"/>
        <v>82.247400000000013</v>
      </c>
      <c r="Z265">
        <f t="shared" si="56"/>
        <v>191.60272710000001</v>
      </c>
      <c r="AA265">
        <f t="shared" si="57"/>
        <v>133.42216590000001</v>
      </c>
      <c r="AB265">
        <f t="shared" si="58"/>
        <v>223.29110700000001</v>
      </c>
      <c r="AC265">
        <f>LOOKUP($A265,'Over to underbark'!$A$47:$A$48,'Over to underbark'!E$47:E$48)*Z265</f>
        <v>80.473145381999998</v>
      </c>
      <c r="AD265">
        <f>LOOKUP($A265,'Over to underbark'!$A$47:$A$48,'Over to underbark'!E$47:E$48)*AA265</f>
        <v>56.037309678</v>
      </c>
      <c r="AE265">
        <f>LOOKUP($A265,'Over to underbark'!$A$47:$A$48,'Over to underbark'!E$47:E$48)*AB265</f>
        <v>93.782264940000005</v>
      </c>
      <c r="AF265" t="b">
        <f t="shared" si="62"/>
        <v>1</v>
      </c>
      <c r="AG265" t="b">
        <f t="shared" si="63"/>
        <v>1</v>
      </c>
      <c r="AH265">
        <f>LOOKUP(A265,'Over to underbark'!$A$47:$A$48,'Over to underbark'!E$47:E$48)*M265</f>
        <v>255.88079999999999</v>
      </c>
      <c r="AI265" s="27">
        <f>LOOKUP(A265,'Over to underbark'!$A$47:$A$48,'Over to underbark'!$B$47:$B$48)*AH265</f>
        <v>86.999471999999997</v>
      </c>
      <c r="AJ265" s="27">
        <f>LOOKUP(A266,'Over to underbark'!$A$47:$A$48,'Over to underbark'!C$47:C$48)*AH265</f>
        <v>89.558279999999996</v>
      </c>
      <c r="AK265" s="27">
        <f t="shared" si="64"/>
        <v>342.88027199999999</v>
      </c>
      <c r="AL265" s="33">
        <v>816.38</v>
      </c>
      <c r="AM265" s="28">
        <f t="shared" si="65"/>
        <v>685.76054399999998</v>
      </c>
      <c r="AO265">
        <f t="shared" si="66"/>
        <v>0.67164179104477617</v>
      </c>
    </row>
    <row r="266" spans="1:41" x14ac:dyDescent="0.35">
      <c r="A266" t="s">
        <v>39</v>
      </c>
      <c r="B266">
        <v>10</v>
      </c>
      <c r="C266">
        <v>2</v>
      </c>
      <c r="D266" t="s">
        <v>40</v>
      </c>
      <c r="E266">
        <v>2</v>
      </c>
      <c r="F266">
        <v>1</v>
      </c>
      <c r="G266" s="16">
        <v>72</v>
      </c>
      <c r="H266" s="16">
        <v>22.95</v>
      </c>
      <c r="I266" s="16">
        <v>957</v>
      </c>
      <c r="J266" s="16">
        <v>29.63</v>
      </c>
      <c r="K266" s="16">
        <v>65.959999999999994</v>
      </c>
      <c r="L266" s="16">
        <v>0.64600000000000002</v>
      </c>
      <c r="M266" s="23">
        <v>617.5</v>
      </c>
      <c r="N266" s="16">
        <v>11.189</v>
      </c>
      <c r="O266" s="17">
        <v>8.5760000000000005</v>
      </c>
      <c r="P266" s="18">
        <v>72</v>
      </c>
      <c r="Q266" s="18">
        <v>29.63</v>
      </c>
      <c r="R266" s="18">
        <v>120.16500000000001</v>
      </c>
      <c r="S266" s="18">
        <v>497.33499999999998</v>
      </c>
      <c r="T266" s="14" t="b">
        <f t="shared" si="54"/>
        <v>1</v>
      </c>
      <c r="U266" s="14" t="b">
        <f t="shared" si="55"/>
        <v>1</v>
      </c>
      <c r="V266" s="15">
        <f>VLOOKUP(IF(J266&lt;10, 10, IF(J266&gt;50,50,J266)),'Over to underbark'!$A$3:$C$43,IF(A266="Scots pine",3,IF(A266="Sitka spruce",2, "error")),TRUE)/100</f>
        <v>0.85</v>
      </c>
      <c r="W266">
        <f t="shared" si="59"/>
        <v>91.926225000000002</v>
      </c>
      <c r="X266">
        <f t="shared" si="60"/>
        <v>380.461275</v>
      </c>
      <c r="Y266">
        <f t="shared" si="61"/>
        <v>83.362500000000011</v>
      </c>
      <c r="Z266">
        <f t="shared" si="56"/>
        <v>192.82963950000001</v>
      </c>
      <c r="AA266">
        <f t="shared" si="57"/>
        <v>134.6435955</v>
      </c>
      <c r="AB266">
        <f t="shared" si="58"/>
        <v>228.27676499999998</v>
      </c>
      <c r="AC266">
        <f>LOOKUP($A266,'Over to underbark'!$A$47:$A$48,'Over to underbark'!E$47:E$48)*Z266</f>
        <v>80.988448590000004</v>
      </c>
      <c r="AD266">
        <f>LOOKUP($A266,'Over to underbark'!$A$47:$A$48,'Over to underbark'!E$47:E$48)*AA266</f>
        <v>56.550310109999998</v>
      </c>
      <c r="AE266">
        <f>LOOKUP($A266,'Over to underbark'!$A$47:$A$48,'Over to underbark'!E$47:E$48)*AB266</f>
        <v>95.87624129999999</v>
      </c>
      <c r="AF266" t="b">
        <f t="shared" si="62"/>
        <v>1</v>
      </c>
      <c r="AG266" t="b">
        <f t="shared" si="63"/>
        <v>1</v>
      </c>
      <c r="AH266">
        <f>LOOKUP(A266,'Over to underbark'!$A$47:$A$48,'Over to underbark'!E$47:E$48)*M266</f>
        <v>259.34999999999997</v>
      </c>
      <c r="AI266" s="27">
        <f>LOOKUP(A266,'Over to underbark'!$A$47:$A$48,'Over to underbark'!$B$47:$B$48)*AH266</f>
        <v>88.178999999999988</v>
      </c>
      <c r="AJ266" s="27">
        <f>LOOKUP(A267,'Over to underbark'!$A$47:$A$48,'Over to underbark'!C$47:C$48)*AH266</f>
        <v>90.77249999999998</v>
      </c>
      <c r="AK266" s="27">
        <f t="shared" si="64"/>
        <v>347.52899999999994</v>
      </c>
      <c r="AL266" s="33">
        <v>827.45</v>
      </c>
      <c r="AM266" s="28">
        <f t="shared" si="65"/>
        <v>695.05799999999988</v>
      </c>
      <c r="AO266">
        <f t="shared" si="66"/>
        <v>0.67164179104477628</v>
      </c>
    </row>
    <row r="267" spans="1:41" x14ac:dyDescent="0.35">
      <c r="A267" t="s">
        <v>39</v>
      </c>
      <c r="B267">
        <v>10</v>
      </c>
      <c r="C267">
        <v>2</v>
      </c>
      <c r="D267" t="s">
        <v>40</v>
      </c>
      <c r="E267">
        <v>2</v>
      </c>
      <c r="F267">
        <v>1</v>
      </c>
      <c r="G267" s="16">
        <v>73</v>
      </c>
      <c r="H267" s="16">
        <v>23.106000000000002</v>
      </c>
      <c r="I267" s="16">
        <v>947</v>
      </c>
      <c r="J267" s="16">
        <v>29.873999999999999</v>
      </c>
      <c r="K267" s="16">
        <v>66.370999999999995</v>
      </c>
      <c r="L267" s="16">
        <v>0.66</v>
      </c>
      <c r="M267" s="23">
        <v>624.94000000000005</v>
      </c>
      <c r="N267" s="16">
        <v>11.327999999999999</v>
      </c>
      <c r="O267" s="17">
        <v>8.5609999999999999</v>
      </c>
      <c r="P267" s="18">
        <v>73</v>
      </c>
      <c r="Q267" s="18">
        <v>29.873999999999999</v>
      </c>
      <c r="R267" s="18">
        <v>118.06100000000001</v>
      </c>
      <c r="S267" s="18">
        <v>506.87900000000002</v>
      </c>
      <c r="T267" s="14" t="b">
        <f t="shared" si="54"/>
        <v>1</v>
      </c>
      <c r="U267" s="14" t="b">
        <f t="shared" si="55"/>
        <v>1</v>
      </c>
      <c r="V267" s="15">
        <f>VLOOKUP(IF(J267&lt;10, 10, IF(J267&gt;50,50,J267)),'Over to underbark'!$A$3:$C$43,IF(A267="Scots pine",3,IF(A267="Sitka spruce",2, "error")),TRUE)/100</f>
        <v>0.85</v>
      </c>
      <c r="W267">
        <f t="shared" si="59"/>
        <v>90.316665</v>
      </c>
      <c r="X267">
        <f t="shared" si="60"/>
        <v>387.76243499999998</v>
      </c>
      <c r="Y267">
        <f t="shared" si="61"/>
        <v>84.366900000000015</v>
      </c>
      <c r="Z267">
        <f t="shared" si="56"/>
        <v>194.01176430000001</v>
      </c>
      <c r="AA267">
        <f t="shared" si="57"/>
        <v>135.7767747</v>
      </c>
      <c r="AB267">
        <f t="shared" si="58"/>
        <v>232.65746099999998</v>
      </c>
      <c r="AC267">
        <f>LOOKUP($A267,'Over to underbark'!$A$47:$A$48,'Over to underbark'!E$47:E$48)*Z267</f>
        <v>81.484941006</v>
      </c>
      <c r="AD267">
        <f>LOOKUP($A267,'Over to underbark'!$A$47:$A$48,'Over to underbark'!E$47:E$48)*AA267</f>
        <v>57.026245373999998</v>
      </c>
      <c r="AE267">
        <f>LOOKUP($A267,'Over to underbark'!$A$47:$A$48,'Over to underbark'!E$47:E$48)*AB267</f>
        <v>97.716133619999994</v>
      </c>
      <c r="AF267" t="b">
        <f t="shared" si="62"/>
        <v>1</v>
      </c>
      <c r="AG267" t="b">
        <f t="shared" si="63"/>
        <v>1</v>
      </c>
      <c r="AH267">
        <f>LOOKUP(A267,'Over to underbark'!$A$47:$A$48,'Over to underbark'!E$47:E$48)*M267</f>
        <v>262.47480000000002</v>
      </c>
      <c r="AI267" s="27">
        <f>LOOKUP(A267,'Over to underbark'!$A$47:$A$48,'Over to underbark'!$B$47:$B$48)*AH267</f>
        <v>89.241432000000017</v>
      </c>
      <c r="AJ267" s="27">
        <f>LOOKUP(A268,'Over to underbark'!$A$47:$A$48,'Over to underbark'!C$47:C$48)*AH267</f>
        <v>91.86618</v>
      </c>
      <c r="AK267" s="27">
        <f t="shared" si="64"/>
        <v>351.71623200000005</v>
      </c>
      <c r="AL267" s="33">
        <v>837.42</v>
      </c>
      <c r="AM267" s="28">
        <f t="shared" si="65"/>
        <v>703.4324640000001</v>
      </c>
      <c r="AO267">
        <f t="shared" si="66"/>
        <v>0.67164179104477606</v>
      </c>
    </row>
    <row r="268" spans="1:41" x14ac:dyDescent="0.35">
      <c r="A268" t="s">
        <v>39</v>
      </c>
      <c r="B268">
        <v>10</v>
      </c>
      <c r="C268">
        <v>2</v>
      </c>
      <c r="D268" t="s">
        <v>40</v>
      </c>
      <c r="E268">
        <v>2</v>
      </c>
      <c r="F268">
        <v>1</v>
      </c>
      <c r="G268" s="16">
        <v>74</v>
      </c>
      <c r="H268" s="16">
        <v>23.262</v>
      </c>
      <c r="I268" s="16">
        <v>937</v>
      </c>
      <c r="J268" s="16">
        <v>30.120999999999999</v>
      </c>
      <c r="K268" s="16">
        <v>66.781000000000006</v>
      </c>
      <c r="L268" s="16">
        <v>0.67500000000000004</v>
      </c>
      <c r="M268" s="23">
        <v>632.38</v>
      </c>
      <c r="N268" s="16">
        <v>11.464</v>
      </c>
      <c r="O268" s="17">
        <v>8.5459999999999994</v>
      </c>
      <c r="P268" s="18">
        <v>74</v>
      </c>
      <c r="Q268" s="18">
        <v>30.120999999999999</v>
      </c>
      <c r="R268" s="18">
        <v>115.925</v>
      </c>
      <c r="S268" s="18">
        <v>516.45500000000004</v>
      </c>
      <c r="T268" s="14" t="b">
        <f t="shared" si="54"/>
        <v>1</v>
      </c>
      <c r="U268" s="14" t="b">
        <f t="shared" si="55"/>
        <v>1</v>
      </c>
      <c r="V268" s="15">
        <f>VLOOKUP(IF(J268&lt;10, 10, IF(J268&gt;50,50,J268)),'Over to underbark'!$A$3:$C$43,IF(A268="Scots pine",3,IF(A268="Sitka spruce",2, "error")),TRUE)/100</f>
        <v>0.85</v>
      </c>
      <c r="W268">
        <f t="shared" si="59"/>
        <v>88.682624999999987</v>
      </c>
      <c r="X268">
        <f t="shared" si="60"/>
        <v>395.08807500000006</v>
      </c>
      <c r="Y268">
        <f t="shared" si="61"/>
        <v>85.371300000000019</v>
      </c>
      <c r="Z268">
        <f t="shared" si="56"/>
        <v>195.18360750000002</v>
      </c>
      <c r="AA268">
        <f t="shared" si="57"/>
        <v>136.90554750000001</v>
      </c>
      <c r="AB268">
        <f t="shared" si="58"/>
        <v>237.05284500000002</v>
      </c>
      <c r="AC268">
        <f>LOOKUP($A268,'Over to underbark'!$A$47:$A$48,'Over to underbark'!E$47:E$48)*Z268</f>
        <v>81.977115150000003</v>
      </c>
      <c r="AD268">
        <f>LOOKUP($A268,'Over to underbark'!$A$47:$A$48,'Over to underbark'!E$47:E$48)*AA268</f>
        <v>57.500329950000001</v>
      </c>
      <c r="AE268">
        <f>LOOKUP($A268,'Over to underbark'!$A$47:$A$48,'Over to underbark'!E$47:E$48)*AB268</f>
        <v>99.562194900000009</v>
      </c>
      <c r="AF268" t="b">
        <f t="shared" si="62"/>
        <v>1</v>
      </c>
      <c r="AG268" t="b">
        <f t="shared" si="63"/>
        <v>1</v>
      </c>
      <c r="AH268">
        <f>LOOKUP(A268,'Over to underbark'!$A$47:$A$48,'Over to underbark'!E$47:E$48)*M268</f>
        <v>265.59960000000001</v>
      </c>
      <c r="AI268" s="27">
        <f>LOOKUP(A268,'Over to underbark'!$A$47:$A$48,'Over to underbark'!$B$47:$B$48)*AH268</f>
        <v>90.303864000000004</v>
      </c>
      <c r="AJ268" s="27">
        <f>LOOKUP(A269,'Over to underbark'!$A$47:$A$48,'Over to underbark'!C$47:C$48)*AH268</f>
        <v>92.959859999999992</v>
      </c>
      <c r="AK268" s="27">
        <f t="shared" si="64"/>
        <v>355.90346399999999</v>
      </c>
      <c r="AL268" s="33">
        <v>847.39</v>
      </c>
      <c r="AM268" s="28">
        <f t="shared" si="65"/>
        <v>711.80692799999997</v>
      </c>
      <c r="AO268">
        <f t="shared" si="66"/>
        <v>0.67164179104477617</v>
      </c>
    </row>
    <row r="269" spans="1:41" x14ac:dyDescent="0.35">
      <c r="A269" t="s">
        <v>39</v>
      </c>
      <c r="B269">
        <v>10</v>
      </c>
      <c r="C269">
        <v>2</v>
      </c>
      <c r="D269" t="s">
        <v>40</v>
      </c>
      <c r="E269">
        <v>2</v>
      </c>
      <c r="F269">
        <v>1</v>
      </c>
      <c r="G269" s="16">
        <v>75</v>
      </c>
      <c r="H269" s="16">
        <v>23.417999999999999</v>
      </c>
      <c r="I269" s="16">
        <v>928</v>
      </c>
      <c r="J269" s="16">
        <v>30.370999999999999</v>
      </c>
      <c r="K269" s="16">
        <v>67.191000000000003</v>
      </c>
      <c r="L269" s="16">
        <v>0.69</v>
      </c>
      <c r="M269" s="23">
        <v>639.82000000000005</v>
      </c>
      <c r="N269" s="16">
        <v>11.595000000000001</v>
      </c>
      <c r="O269" s="17">
        <v>8.5310000000000006</v>
      </c>
      <c r="P269" s="18">
        <v>75</v>
      </c>
      <c r="Q269" s="18">
        <v>30.370999999999999</v>
      </c>
      <c r="R269" s="18">
        <v>113.761</v>
      </c>
      <c r="S269" s="18">
        <v>526.05899999999997</v>
      </c>
      <c r="T269" s="14" t="b">
        <f t="shared" si="54"/>
        <v>1</v>
      </c>
      <c r="U269" s="14" t="b">
        <f t="shared" si="55"/>
        <v>1</v>
      </c>
      <c r="V269" s="15">
        <f>VLOOKUP(IF(J269&lt;10, 10, IF(J269&gt;50,50,J269)),'Over to underbark'!$A$3:$C$43,IF(A269="Scots pine",3,IF(A269="Sitka spruce",2, "error")),TRUE)/100</f>
        <v>0.85</v>
      </c>
      <c r="W269">
        <f t="shared" si="59"/>
        <v>87.027164999999997</v>
      </c>
      <c r="X269">
        <f t="shared" si="60"/>
        <v>402.435135</v>
      </c>
      <c r="Y269">
        <f t="shared" si="61"/>
        <v>86.375700000000009</v>
      </c>
      <c r="Z269">
        <f t="shared" si="56"/>
        <v>196.3464543</v>
      </c>
      <c r="AA269">
        <f t="shared" si="57"/>
        <v>138.03046469999998</v>
      </c>
      <c r="AB269">
        <f t="shared" si="58"/>
        <v>241.46108099999998</v>
      </c>
      <c r="AC269">
        <f>LOOKUP($A269,'Over to underbark'!$A$47:$A$48,'Over to underbark'!E$47:E$48)*Z269</f>
        <v>82.465510805999998</v>
      </c>
      <c r="AD269">
        <f>LOOKUP($A269,'Over to underbark'!$A$47:$A$48,'Over to underbark'!E$47:E$48)*AA269</f>
        <v>57.972795173999991</v>
      </c>
      <c r="AE269">
        <f>LOOKUP($A269,'Over to underbark'!$A$47:$A$48,'Over to underbark'!E$47:E$48)*AB269</f>
        <v>101.41365401999998</v>
      </c>
      <c r="AF269" t="b">
        <f t="shared" si="62"/>
        <v>1</v>
      </c>
      <c r="AG269" t="b">
        <f t="shared" si="63"/>
        <v>1</v>
      </c>
      <c r="AH269">
        <f>LOOKUP(A269,'Over to underbark'!$A$47:$A$48,'Over to underbark'!E$47:E$48)*M269</f>
        <v>268.7244</v>
      </c>
      <c r="AI269" s="27">
        <f>LOOKUP(A269,'Over to underbark'!$A$47:$A$48,'Over to underbark'!$B$47:$B$48)*AH269</f>
        <v>91.366296000000006</v>
      </c>
      <c r="AJ269" s="27">
        <f>LOOKUP(A270,'Over to underbark'!$A$47:$A$48,'Over to underbark'!C$47:C$48)*AH269</f>
        <v>94.053539999999998</v>
      </c>
      <c r="AK269" s="27">
        <f t="shared" si="64"/>
        <v>360.09069599999998</v>
      </c>
      <c r="AL269" s="33">
        <v>857.36</v>
      </c>
      <c r="AM269" s="28">
        <f t="shared" si="65"/>
        <v>720.18139199999996</v>
      </c>
      <c r="AO269">
        <f t="shared" si="66"/>
        <v>0.67164179104477606</v>
      </c>
    </row>
    <row r="270" spans="1:41" x14ac:dyDescent="0.35">
      <c r="A270" t="s">
        <v>39</v>
      </c>
      <c r="B270">
        <v>10</v>
      </c>
      <c r="C270">
        <v>2</v>
      </c>
      <c r="D270" t="s">
        <v>40</v>
      </c>
      <c r="E270">
        <v>2</v>
      </c>
      <c r="F270">
        <v>1</v>
      </c>
      <c r="G270" s="16">
        <v>76</v>
      </c>
      <c r="H270" s="16">
        <v>23.574000000000002</v>
      </c>
      <c r="I270" s="16">
        <v>918</v>
      </c>
      <c r="J270" s="16">
        <v>30.623999999999999</v>
      </c>
      <c r="K270" s="16">
        <v>67.600999999999999</v>
      </c>
      <c r="L270" s="16">
        <v>0.70499999999999996</v>
      </c>
      <c r="M270" s="23">
        <v>647.26</v>
      </c>
      <c r="N270" s="16">
        <v>11.724</v>
      </c>
      <c r="O270" s="17">
        <v>8.5169999999999995</v>
      </c>
      <c r="P270" s="18">
        <v>76</v>
      </c>
      <c r="Q270" s="18">
        <v>30.623999999999999</v>
      </c>
      <c r="R270" s="18">
        <v>111.57299999999999</v>
      </c>
      <c r="S270" s="18">
        <v>535.68700000000001</v>
      </c>
      <c r="T270" s="14" t="b">
        <f t="shared" si="54"/>
        <v>1</v>
      </c>
      <c r="U270" s="14" t="b">
        <f t="shared" si="55"/>
        <v>1</v>
      </c>
      <c r="V270" s="15">
        <f>VLOOKUP(IF(J270&lt;10, 10, IF(J270&gt;50,50,J270)),'Over to underbark'!$A$3:$C$43,IF(A270="Scots pine",3,IF(A270="Sitka spruce",2, "error")),TRUE)/100</f>
        <v>0.85</v>
      </c>
      <c r="W270">
        <f t="shared" si="59"/>
        <v>85.353345000000004</v>
      </c>
      <c r="X270">
        <f t="shared" si="60"/>
        <v>409.80055500000003</v>
      </c>
      <c r="Y270">
        <f t="shared" si="61"/>
        <v>87.380100000000013</v>
      </c>
      <c r="Z270">
        <f t="shared" si="56"/>
        <v>197.5015899</v>
      </c>
      <c r="AA270">
        <f t="shared" si="57"/>
        <v>139.15207710000001</v>
      </c>
      <c r="AB270">
        <f t="shared" si="58"/>
        <v>245.88033300000001</v>
      </c>
      <c r="AC270">
        <f>LOOKUP($A270,'Over to underbark'!$A$47:$A$48,'Over to underbark'!E$47:E$48)*Z270</f>
        <v>82.950667757999994</v>
      </c>
      <c r="AD270">
        <f>LOOKUP($A270,'Over to underbark'!$A$47:$A$48,'Over to underbark'!E$47:E$48)*AA270</f>
        <v>58.443872382000002</v>
      </c>
      <c r="AE270">
        <f>LOOKUP($A270,'Over to underbark'!$A$47:$A$48,'Over to underbark'!E$47:E$48)*AB270</f>
        <v>103.26973986</v>
      </c>
      <c r="AF270" t="b">
        <f t="shared" si="62"/>
        <v>1</v>
      </c>
      <c r="AG270" t="b">
        <f t="shared" si="63"/>
        <v>1</v>
      </c>
      <c r="AH270">
        <f>LOOKUP(A270,'Over to underbark'!$A$47:$A$48,'Over to underbark'!E$47:E$48)*M270</f>
        <v>271.8492</v>
      </c>
      <c r="AI270" s="27">
        <f>LOOKUP(A270,'Over to underbark'!$A$47:$A$48,'Over to underbark'!$B$47:$B$48)*AH270</f>
        <v>92.428728000000007</v>
      </c>
      <c r="AJ270" s="27">
        <f>LOOKUP(A271,'Over to underbark'!$A$47:$A$48,'Over to underbark'!C$47:C$48)*AH270</f>
        <v>95.14721999999999</v>
      </c>
      <c r="AK270" s="27">
        <f t="shared" si="64"/>
        <v>364.27792799999997</v>
      </c>
      <c r="AL270" s="33">
        <v>867.33</v>
      </c>
      <c r="AM270" s="28">
        <f t="shared" si="65"/>
        <v>728.55585599999995</v>
      </c>
      <c r="AO270">
        <f t="shared" si="66"/>
        <v>0.67164179104477617</v>
      </c>
    </row>
    <row r="271" spans="1:41" x14ac:dyDescent="0.35">
      <c r="A271" t="s">
        <v>39</v>
      </c>
      <c r="B271">
        <v>10</v>
      </c>
      <c r="C271">
        <v>2</v>
      </c>
      <c r="D271" t="s">
        <v>40</v>
      </c>
      <c r="E271">
        <v>2</v>
      </c>
      <c r="F271">
        <v>1</v>
      </c>
      <c r="G271" s="16">
        <v>77</v>
      </c>
      <c r="H271" s="16">
        <v>23.73</v>
      </c>
      <c r="I271" s="16">
        <v>908</v>
      </c>
      <c r="J271" s="16">
        <v>30.88</v>
      </c>
      <c r="K271" s="16">
        <v>68.010999999999996</v>
      </c>
      <c r="L271" s="16">
        <v>0.72099999999999997</v>
      </c>
      <c r="M271" s="23">
        <v>654.70000000000005</v>
      </c>
      <c r="N271" s="16">
        <v>11.849</v>
      </c>
      <c r="O271" s="17">
        <v>8.5030000000000001</v>
      </c>
      <c r="P271" s="18">
        <v>77</v>
      </c>
      <c r="Q271" s="18">
        <v>30.88</v>
      </c>
      <c r="R271" s="18">
        <v>109.363</v>
      </c>
      <c r="S271" s="18">
        <v>545.33699999999999</v>
      </c>
      <c r="T271" s="14" t="b">
        <f t="shared" si="54"/>
        <v>1</v>
      </c>
      <c r="U271" s="14" t="b">
        <f t="shared" si="55"/>
        <v>1</v>
      </c>
      <c r="V271" s="15">
        <f>VLOOKUP(IF(J271&lt;10, 10, IF(J271&gt;50,50,J271)),'Over to underbark'!$A$3:$C$43,IF(A271="Scots pine",3,IF(A271="Sitka spruce",2, "error")),TRUE)/100</f>
        <v>0.85</v>
      </c>
      <c r="W271">
        <f t="shared" si="59"/>
        <v>83.662694999999999</v>
      </c>
      <c r="X271">
        <f t="shared" si="60"/>
        <v>417.18280499999997</v>
      </c>
      <c r="Y271">
        <f t="shared" si="61"/>
        <v>88.384500000000017</v>
      </c>
      <c r="Z271">
        <f t="shared" si="56"/>
        <v>198.6496569</v>
      </c>
      <c r="AA271">
        <f t="shared" si="57"/>
        <v>140.27066009999999</v>
      </c>
      <c r="AB271">
        <f t="shared" si="58"/>
        <v>250.30968299999998</v>
      </c>
      <c r="AC271">
        <f>LOOKUP($A271,'Over to underbark'!$A$47:$A$48,'Over to underbark'!E$47:E$48)*Z271</f>
        <v>83.432855898</v>
      </c>
      <c r="AD271">
        <f>LOOKUP($A271,'Over to underbark'!$A$47:$A$48,'Over to underbark'!E$47:E$48)*AA271</f>
        <v>58.913677241999991</v>
      </c>
      <c r="AE271">
        <f>LOOKUP($A271,'Over to underbark'!$A$47:$A$48,'Over to underbark'!E$47:E$48)*AB271</f>
        <v>105.13006685999999</v>
      </c>
      <c r="AF271" t="b">
        <f t="shared" si="62"/>
        <v>1</v>
      </c>
      <c r="AG271" t="b">
        <f t="shared" si="63"/>
        <v>1</v>
      </c>
      <c r="AH271">
        <f>LOOKUP(A271,'Over to underbark'!$A$47:$A$48,'Over to underbark'!E$47:E$48)*M271</f>
        <v>274.97399999999999</v>
      </c>
      <c r="AI271" s="27">
        <f>LOOKUP(A271,'Over to underbark'!$A$47:$A$48,'Over to underbark'!$B$47:$B$48)*AH271</f>
        <v>93.491160000000008</v>
      </c>
      <c r="AJ271" s="27">
        <f>LOOKUP(A272,'Over to underbark'!$A$47:$A$48,'Over to underbark'!C$47:C$48)*AH271</f>
        <v>96.240899999999996</v>
      </c>
      <c r="AK271" s="27">
        <f t="shared" si="64"/>
        <v>368.46515999999997</v>
      </c>
      <c r="AL271" s="33">
        <v>877.3</v>
      </c>
      <c r="AM271" s="28">
        <f t="shared" si="65"/>
        <v>736.93031999999994</v>
      </c>
      <c r="AO271">
        <f t="shared" si="66"/>
        <v>0.67164179104477606</v>
      </c>
    </row>
    <row r="272" spans="1:41" x14ac:dyDescent="0.35">
      <c r="A272" t="s">
        <v>39</v>
      </c>
      <c r="B272">
        <v>10</v>
      </c>
      <c r="C272">
        <v>2</v>
      </c>
      <c r="D272" t="s">
        <v>40</v>
      </c>
      <c r="E272">
        <v>2</v>
      </c>
      <c r="F272">
        <v>1</v>
      </c>
      <c r="G272" s="16">
        <v>78</v>
      </c>
      <c r="H272" s="16">
        <v>23.867999999999999</v>
      </c>
      <c r="I272" s="16">
        <v>900</v>
      </c>
      <c r="J272" s="16">
        <v>31.097000000000001</v>
      </c>
      <c r="K272" s="16">
        <v>68.358000000000004</v>
      </c>
      <c r="L272" s="16">
        <v>0.73499999999999999</v>
      </c>
      <c r="M272" s="23">
        <v>661.28</v>
      </c>
      <c r="N272" s="16">
        <v>11.956</v>
      </c>
      <c r="O272" s="17">
        <v>8.4779999999999998</v>
      </c>
      <c r="P272" s="18">
        <v>78</v>
      </c>
      <c r="Q272" s="18">
        <v>31.097000000000001</v>
      </c>
      <c r="R272" s="18">
        <v>107.55200000000001</v>
      </c>
      <c r="S272" s="18">
        <v>553.72799999999995</v>
      </c>
      <c r="T272" s="14" t="b">
        <f t="shared" si="54"/>
        <v>1</v>
      </c>
      <c r="U272" s="14" t="b">
        <f t="shared" si="55"/>
        <v>1</v>
      </c>
      <c r="V272" s="15">
        <f>VLOOKUP(IF(J272&lt;10, 10, IF(J272&gt;50,50,J272)),'Over to underbark'!$A$3:$C$43,IF(A272="Scots pine",3,IF(A272="Sitka spruce",2, "error")),TRUE)/100</f>
        <v>0.85</v>
      </c>
      <c r="W272">
        <f t="shared" si="59"/>
        <v>82.277280000000005</v>
      </c>
      <c r="X272">
        <f t="shared" si="60"/>
        <v>423.60191999999995</v>
      </c>
      <c r="Y272">
        <f t="shared" si="61"/>
        <v>89.272800000000018</v>
      </c>
      <c r="Z272">
        <f t="shared" si="56"/>
        <v>199.71113760000003</v>
      </c>
      <c r="AA272">
        <f t="shared" si="57"/>
        <v>141.2797104</v>
      </c>
      <c r="AB272">
        <f t="shared" si="58"/>
        <v>254.16115199999996</v>
      </c>
      <c r="AC272">
        <f>LOOKUP($A272,'Over to underbark'!$A$47:$A$48,'Over to underbark'!E$47:E$48)*Z272</f>
        <v>83.878677792000005</v>
      </c>
      <c r="AD272">
        <f>LOOKUP($A272,'Over to underbark'!$A$47:$A$48,'Over to underbark'!E$47:E$48)*AA272</f>
        <v>59.337478367999999</v>
      </c>
      <c r="AE272">
        <f>LOOKUP($A272,'Over to underbark'!$A$47:$A$48,'Over to underbark'!E$47:E$48)*AB272</f>
        <v>106.74768383999998</v>
      </c>
      <c r="AF272" t="b">
        <f t="shared" si="62"/>
        <v>1</v>
      </c>
      <c r="AG272" t="b">
        <f t="shared" si="63"/>
        <v>1</v>
      </c>
      <c r="AH272">
        <f>LOOKUP(A272,'Over to underbark'!$A$47:$A$48,'Over to underbark'!E$47:E$48)*M272</f>
        <v>277.73759999999999</v>
      </c>
      <c r="AI272" s="27">
        <f>LOOKUP(A272,'Over to underbark'!$A$47:$A$48,'Over to underbark'!$B$47:$B$48)*AH272</f>
        <v>94.430784000000003</v>
      </c>
      <c r="AJ272" s="27">
        <f>LOOKUP(A273,'Over to underbark'!$A$47:$A$48,'Over to underbark'!C$47:C$48)*AH272</f>
        <v>97.208159999999992</v>
      </c>
      <c r="AK272" s="27">
        <f t="shared" si="64"/>
        <v>372.168384</v>
      </c>
      <c r="AL272" s="33">
        <v>886.12</v>
      </c>
      <c r="AM272" s="28">
        <f t="shared" si="65"/>
        <v>744.33676800000001</v>
      </c>
      <c r="AO272">
        <f t="shared" si="66"/>
        <v>0.67164179104477606</v>
      </c>
    </row>
    <row r="273" spans="1:41" x14ac:dyDescent="0.35">
      <c r="A273" t="s">
        <v>39</v>
      </c>
      <c r="B273">
        <v>10</v>
      </c>
      <c r="C273">
        <v>2</v>
      </c>
      <c r="D273" t="s">
        <v>40</v>
      </c>
      <c r="E273">
        <v>2</v>
      </c>
      <c r="F273">
        <v>1</v>
      </c>
      <c r="G273" s="16">
        <v>79</v>
      </c>
      <c r="H273" s="16">
        <v>24.006</v>
      </c>
      <c r="I273" s="16">
        <v>892</v>
      </c>
      <c r="J273" s="16">
        <v>31.317</v>
      </c>
      <c r="K273" s="16">
        <v>68.706000000000003</v>
      </c>
      <c r="L273" s="16">
        <v>0.749</v>
      </c>
      <c r="M273" s="23">
        <v>667.86</v>
      </c>
      <c r="N273" s="16">
        <v>12.061</v>
      </c>
      <c r="O273" s="17">
        <v>8.4540000000000006</v>
      </c>
      <c r="P273" s="18">
        <v>79</v>
      </c>
      <c r="Q273" s="18">
        <v>31.317</v>
      </c>
      <c r="R273" s="18">
        <v>105.715</v>
      </c>
      <c r="S273" s="18">
        <v>562.14499999999998</v>
      </c>
      <c r="T273" s="14" t="b">
        <f t="shared" si="54"/>
        <v>1</v>
      </c>
      <c r="U273" s="14" t="b">
        <f t="shared" si="55"/>
        <v>1</v>
      </c>
      <c r="V273" s="15">
        <f>VLOOKUP(IF(J273&lt;10, 10, IF(J273&gt;50,50,J273)),'Over to underbark'!$A$3:$C$43,IF(A273="Scots pine",3,IF(A273="Sitka spruce",2, "error")),TRUE)/100</f>
        <v>0.85</v>
      </c>
      <c r="W273">
        <f t="shared" si="59"/>
        <v>80.871975000000006</v>
      </c>
      <c r="X273">
        <f t="shared" si="60"/>
        <v>430.04092499999996</v>
      </c>
      <c r="Y273">
        <f t="shared" si="61"/>
        <v>90.161100000000019</v>
      </c>
      <c r="Z273">
        <f t="shared" si="56"/>
        <v>200.76426450000002</v>
      </c>
      <c r="AA273">
        <f t="shared" si="57"/>
        <v>142.2851805</v>
      </c>
      <c r="AB273">
        <f t="shared" si="58"/>
        <v>258.02455499999996</v>
      </c>
      <c r="AC273">
        <f>LOOKUP($A273,'Over to underbark'!$A$47:$A$48,'Over to underbark'!E$47:E$48)*Z273</f>
        <v>84.320991090000007</v>
      </c>
      <c r="AD273">
        <f>LOOKUP($A273,'Over to underbark'!$A$47:$A$48,'Over to underbark'!E$47:E$48)*AA273</f>
        <v>59.759775809999994</v>
      </c>
      <c r="AE273">
        <f>LOOKUP($A273,'Over to underbark'!$A$47:$A$48,'Over to underbark'!E$47:E$48)*AB273</f>
        <v>108.37031309999998</v>
      </c>
      <c r="AF273" t="b">
        <f t="shared" si="62"/>
        <v>1</v>
      </c>
      <c r="AG273" t="b">
        <f t="shared" si="63"/>
        <v>1</v>
      </c>
      <c r="AH273">
        <f>LOOKUP(A273,'Over to underbark'!$A$47:$A$48,'Over to underbark'!E$47:E$48)*M273</f>
        <v>280.50119999999998</v>
      </c>
      <c r="AI273" s="27">
        <f>LOOKUP(A273,'Over to underbark'!$A$47:$A$48,'Over to underbark'!$B$47:$B$48)*AH273</f>
        <v>95.370407999999998</v>
      </c>
      <c r="AJ273" s="27">
        <f>LOOKUP(A274,'Over to underbark'!$A$47:$A$48,'Over to underbark'!C$47:C$48)*AH273</f>
        <v>98.175419999999988</v>
      </c>
      <c r="AK273" s="27">
        <f t="shared" si="64"/>
        <v>375.87160799999998</v>
      </c>
      <c r="AL273" s="33">
        <v>894.93</v>
      </c>
      <c r="AM273" s="28">
        <f t="shared" si="65"/>
        <v>751.74321599999996</v>
      </c>
      <c r="AO273">
        <f t="shared" si="66"/>
        <v>0.67164179104477617</v>
      </c>
    </row>
    <row r="274" spans="1:41" x14ac:dyDescent="0.35">
      <c r="A274" t="s">
        <v>39</v>
      </c>
      <c r="B274">
        <v>10</v>
      </c>
      <c r="C274">
        <v>2</v>
      </c>
      <c r="D274" t="s">
        <v>40</v>
      </c>
      <c r="E274">
        <v>2</v>
      </c>
      <c r="F274">
        <v>1</v>
      </c>
      <c r="G274" s="16">
        <v>80</v>
      </c>
      <c r="H274" s="16">
        <v>24.143999999999998</v>
      </c>
      <c r="I274" s="16">
        <v>884</v>
      </c>
      <c r="J274" s="16">
        <v>31.539000000000001</v>
      </c>
      <c r="K274" s="16">
        <v>69.054000000000002</v>
      </c>
      <c r="L274" s="16">
        <v>0.76300000000000001</v>
      </c>
      <c r="M274" s="23">
        <v>674.44</v>
      </c>
      <c r="N274" s="16">
        <v>12.164</v>
      </c>
      <c r="O274" s="17">
        <v>8.4309999999999992</v>
      </c>
      <c r="P274" s="18">
        <v>80</v>
      </c>
      <c r="Q274" s="18">
        <v>31.539000000000001</v>
      </c>
      <c r="R274" s="18">
        <v>103.86799999999999</v>
      </c>
      <c r="S274" s="18">
        <v>570.572</v>
      </c>
      <c r="T274" s="14" t="b">
        <f t="shared" si="54"/>
        <v>1</v>
      </c>
      <c r="U274" s="14" t="b">
        <f t="shared" si="55"/>
        <v>1</v>
      </c>
      <c r="V274" s="15">
        <f>VLOOKUP(IF(J274&lt;10, 10, IF(J274&gt;50,50,J274)),'Over to underbark'!$A$3:$C$43,IF(A274="Scots pine",3,IF(A274="Sitka spruce",2, "error")),TRUE)/100</f>
        <v>0.85</v>
      </c>
      <c r="W274">
        <f t="shared" si="59"/>
        <v>79.459019999999995</v>
      </c>
      <c r="X274">
        <f t="shared" si="60"/>
        <v>436.48758000000004</v>
      </c>
      <c r="Y274">
        <f t="shared" si="61"/>
        <v>91.049400000000034</v>
      </c>
      <c r="Z274">
        <f t="shared" si="56"/>
        <v>201.81417840000003</v>
      </c>
      <c r="AA274">
        <f t="shared" si="57"/>
        <v>143.2892736</v>
      </c>
      <c r="AB274">
        <f t="shared" si="58"/>
        <v>261.89254800000003</v>
      </c>
      <c r="AC274">
        <f>LOOKUP($A274,'Over to underbark'!$A$47:$A$48,'Over to underbark'!E$47:E$48)*Z274</f>
        <v>84.761954928000009</v>
      </c>
      <c r="AD274">
        <f>LOOKUP($A274,'Over to underbark'!$A$47:$A$48,'Over to underbark'!E$47:E$48)*AA274</f>
        <v>60.181494911999998</v>
      </c>
      <c r="AE274">
        <f>LOOKUP($A274,'Over to underbark'!$A$47:$A$48,'Over to underbark'!E$47:E$48)*AB274</f>
        <v>109.99487016</v>
      </c>
      <c r="AF274" t="b">
        <f t="shared" si="62"/>
        <v>1</v>
      </c>
      <c r="AG274" t="b">
        <f t="shared" si="63"/>
        <v>1</v>
      </c>
      <c r="AH274">
        <f>LOOKUP(A274,'Over to underbark'!$A$47:$A$48,'Over to underbark'!E$47:E$48)*M274</f>
        <v>283.26480000000004</v>
      </c>
      <c r="AI274" s="27">
        <f>LOOKUP(A274,'Over to underbark'!$A$47:$A$48,'Over to underbark'!$B$47:$B$48)*AH274</f>
        <v>96.310032000000021</v>
      </c>
      <c r="AJ274" s="27">
        <f>LOOKUP(A275,'Over to underbark'!$A$47:$A$48,'Over to underbark'!C$47:C$48)*AH274</f>
        <v>99.142680000000013</v>
      </c>
      <c r="AK274" s="27">
        <f t="shared" si="64"/>
        <v>379.57483200000007</v>
      </c>
      <c r="AL274" s="33">
        <v>903.75</v>
      </c>
      <c r="AM274" s="28">
        <f t="shared" si="65"/>
        <v>759.14966400000014</v>
      </c>
      <c r="AO274">
        <f t="shared" si="66"/>
        <v>0.67164179104477606</v>
      </c>
    </row>
    <row r="275" spans="1:41" x14ac:dyDescent="0.35">
      <c r="A275" t="s">
        <v>39</v>
      </c>
      <c r="B275">
        <v>10</v>
      </c>
      <c r="C275">
        <v>2</v>
      </c>
      <c r="D275" t="s">
        <v>40</v>
      </c>
      <c r="E275">
        <v>2</v>
      </c>
      <c r="F275">
        <v>1</v>
      </c>
      <c r="G275" s="16">
        <v>81</v>
      </c>
      <c r="H275" s="16">
        <v>24.282</v>
      </c>
      <c r="I275" s="16">
        <v>876</v>
      </c>
      <c r="J275" s="16">
        <v>31.763000000000002</v>
      </c>
      <c r="K275" s="16">
        <v>69.400999999999996</v>
      </c>
      <c r="L275" s="16">
        <v>0.77800000000000002</v>
      </c>
      <c r="M275" s="23">
        <v>681.02</v>
      </c>
      <c r="N275" s="16">
        <v>12.265000000000001</v>
      </c>
      <c r="O275" s="17">
        <v>8.4079999999999995</v>
      </c>
      <c r="P275" s="18">
        <v>81</v>
      </c>
      <c r="Q275" s="18">
        <v>31.763000000000002</v>
      </c>
      <c r="R275" s="18">
        <v>102.01300000000001</v>
      </c>
      <c r="S275" s="18">
        <v>579.00699999999995</v>
      </c>
      <c r="T275" s="14" t="b">
        <f t="shared" si="54"/>
        <v>1</v>
      </c>
      <c r="U275" s="14" t="b">
        <f t="shared" si="55"/>
        <v>1</v>
      </c>
      <c r="V275" s="15">
        <f>VLOOKUP(IF(J275&lt;10, 10, IF(J275&gt;50,50,J275)),'Over to underbark'!$A$3:$C$43,IF(A275="Scots pine",3,IF(A275="Sitka spruce",2, "error")),TRUE)/100</f>
        <v>0.85</v>
      </c>
      <c r="W275">
        <f t="shared" si="59"/>
        <v>78.039945000000003</v>
      </c>
      <c r="X275">
        <f t="shared" si="60"/>
        <v>442.9403549999999</v>
      </c>
      <c r="Y275">
        <f t="shared" si="61"/>
        <v>91.937700000000021</v>
      </c>
      <c r="Z275">
        <f t="shared" si="56"/>
        <v>202.86152190000001</v>
      </c>
      <c r="AA275">
        <f t="shared" si="57"/>
        <v>144.29226509999998</v>
      </c>
      <c r="AB275">
        <f t="shared" si="58"/>
        <v>265.76421299999993</v>
      </c>
      <c r="AC275">
        <f>LOOKUP($A275,'Over to underbark'!$A$47:$A$48,'Over to underbark'!E$47:E$48)*Z275</f>
        <v>85.201839198000002</v>
      </c>
      <c r="AD275">
        <f>LOOKUP($A275,'Over to underbark'!$A$47:$A$48,'Over to underbark'!E$47:E$48)*AA275</f>
        <v>60.602751341999991</v>
      </c>
      <c r="AE275">
        <f>LOOKUP($A275,'Over to underbark'!$A$47:$A$48,'Over to underbark'!E$47:E$48)*AB275</f>
        <v>111.62096945999997</v>
      </c>
      <c r="AF275" t="b">
        <f t="shared" si="62"/>
        <v>1</v>
      </c>
      <c r="AG275" t="b">
        <f t="shared" si="63"/>
        <v>1</v>
      </c>
      <c r="AH275">
        <f>LOOKUP(A275,'Over to underbark'!$A$47:$A$48,'Over to underbark'!E$47:E$48)*M275</f>
        <v>286.02839999999998</v>
      </c>
      <c r="AI275" s="27">
        <f>LOOKUP(A275,'Over to underbark'!$A$47:$A$48,'Over to underbark'!$B$47:$B$48)*AH275</f>
        <v>97.249656000000002</v>
      </c>
      <c r="AJ275" s="27">
        <f>LOOKUP(A276,'Over to underbark'!$A$47:$A$48,'Over to underbark'!C$47:C$48)*AH275</f>
        <v>100.10993999999998</v>
      </c>
      <c r="AK275" s="27">
        <f t="shared" si="64"/>
        <v>383.27805599999999</v>
      </c>
      <c r="AL275" s="33">
        <v>912.57</v>
      </c>
      <c r="AM275" s="28">
        <f t="shared" si="65"/>
        <v>766.55611199999998</v>
      </c>
      <c r="AO275">
        <f t="shared" si="66"/>
        <v>0.67164179104477606</v>
      </c>
    </row>
    <row r="276" spans="1:41" x14ac:dyDescent="0.35">
      <c r="A276" t="s">
        <v>39</v>
      </c>
      <c r="B276">
        <v>10</v>
      </c>
      <c r="C276">
        <v>2</v>
      </c>
      <c r="D276" t="s">
        <v>40</v>
      </c>
      <c r="E276">
        <v>2</v>
      </c>
      <c r="F276">
        <v>1</v>
      </c>
      <c r="G276" s="16">
        <v>82</v>
      </c>
      <c r="H276" s="16">
        <v>24.42</v>
      </c>
      <c r="I276" s="16">
        <v>868</v>
      </c>
      <c r="J276" s="16">
        <v>31.99</v>
      </c>
      <c r="K276" s="16">
        <v>69.748999999999995</v>
      </c>
      <c r="L276" s="16">
        <v>0.79200000000000004</v>
      </c>
      <c r="M276" s="23">
        <v>687.6</v>
      </c>
      <c r="N276" s="16">
        <v>12.363</v>
      </c>
      <c r="O276" s="17">
        <v>8.3849999999999998</v>
      </c>
      <c r="P276" s="18">
        <v>82</v>
      </c>
      <c r="Q276" s="18">
        <v>31.99</v>
      </c>
      <c r="R276" s="18">
        <v>100.139</v>
      </c>
      <c r="S276" s="18">
        <v>587.46100000000001</v>
      </c>
      <c r="T276" s="14" t="b">
        <f t="shared" si="54"/>
        <v>1</v>
      </c>
      <c r="U276" s="14" t="b">
        <f t="shared" si="55"/>
        <v>1</v>
      </c>
      <c r="V276" s="15">
        <f>VLOOKUP(IF(J276&lt;10, 10, IF(J276&gt;50,50,J276)),'Over to underbark'!$A$3:$C$43,IF(A276="Scots pine",3,IF(A276="Sitka spruce",2, "error")),TRUE)/100</f>
        <v>0.85</v>
      </c>
      <c r="W276">
        <f t="shared" si="59"/>
        <v>76.606335000000001</v>
      </c>
      <c r="X276">
        <f t="shared" si="60"/>
        <v>449.40766500000001</v>
      </c>
      <c r="Y276">
        <f t="shared" si="61"/>
        <v>92.826000000000022</v>
      </c>
      <c r="Z276">
        <f t="shared" si="56"/>
        <v>203.90276070000002</v>
      </c>
      <c r="AA276">
        <f t="shared" si="57"/>
        <v>145.29264030000002</v>
      </c>
      <c r="AB276">
        <f t="shared" si="58"/>
        <v>269.64459899999997</v>
      </c>
      <c r="AC276">
        <f>LOOKUP($A276,'Over to underbark'!$A$47:$A$48,'Over to underbark'!E$47:E$48)*Z276</f>
        <v>85.639159493999998</v>
      </c>
      <c r="AD276">
        <f>LOOKUP($A276,'Over to underbark'!$A$47:$A$48,'Over to underbark'!E$47:E$48)*AA276</f>
        <v>61.022908926000007</v>
      </c>
      <c r="AE276">
        <f>LOOKUP($A276,'Over to underbark'!$A$47:$A$48,'Over to underbark'!E$47:E$48)*AB276</f>
        <v>113.25073157999998</v>
      </c>
      <c r="AF276" t="b">
        <f t="shared" si="62"/>
        <v>1</v>
      </c>
      <c r="AG276" t="b">
        <f t="shared" si="63"/>
        <v>1</v>
      </c>
      <c r="AH276">
        <f>LOOKUP(A276,'Over to underbark'!$A$47:$A$48,'Over to underbark'!E$47:E$48)*M276</f>
        <v>288.79199999999997</v>
      </c>
      <c r="AI276" s="27">
        <f>LOOKUP(A276,'Over to underbark'!$A$47:$A$48,'Over to underbark'!$B$47:$B$48)*AH276</f>
        <v>98.189279999999997</v>
      </c>
      <c r="AJ276" s="27">
        <f>LOOKUP(A277,'Over to underbark'!$A$47:$A$48,'Over to underbark'!C$47:C$48)*AH276</f>
        <v>101.07719999999999</v>
      </c>
      <c r="AK276" s="27">
        <f t="shared" si="64"/>
        <v>386.98127999999997</v>
      </c>
      <c r="AL276" s="33">
        <v>921.38</v>
      </c>
      <c r="AM276" s="28">
        <f t="shared" si="65"/>
        <v>773.96255999999994</v>
      </c>
      <c r="AO276">
        <f t="shared" si="66"/>
        <v>0.67164179104477606</v>
      </c>
    </row>
    <row r="277" spans="1:41" x14ac:dyDescent="0.35">
      <c r="A277" t="s">
        <v>39</v>
      </c>
      <c r="B277">
        <v>10</v>
      </c>
      <c r="C277">
        <v>2</v>
      </c>
      <c r="D277" t="s">
        <v>40</v>
      </c>
      <c r="E277">
        <v>2</v>
      </c>
      <c r="F277">
        <v>1</v>
      </c>
      <c r="G277" s="16">
        <v>83</v>
      </c>
      <c r="H277" s="16">
        <v>24.538</v>
      </c>
      <c r="I277" s="16">
        <v>861</v>
      </c>
      <c r="J277" s="16">
        <v>32.18</v>
      </c>
      <c r="K277" s="16">
        <v>70.040999999999997</v>
      </c>
      <c r="L277" s="16">
        <v>0.80500000000000005</v>
      </c>
      <c r="M277" s="23">
        <v>693.34</v>
      </c>
      <c r="N277" s="16">
        <v>12.45</v>
      </c>
      <c r="O277" s="17">
        <v>8.3529999999999998</v>
      </c>
      <c r="P277" s="18">
        <v>83</v>
      </c>
      <c r="Q277" s="18">
        <v>32.18</v>
      </c>
      <c r="R277" s="18">
        <v>98.619</v>
      </c>
      <c r="S277" s="18">
        <v>594.721</v>
      </c>
      <c r="T277" s="14" t="b">
        <f t="shared" si="54"/>
        <v>1</v>
      </c>
      <c r="U277" s="14" t="b">
        <f t="shared" si="55"/>
        <v>1</v>
      </c>
      <c r="V277" s="15">
        <f>VLOOKUP(IF(J277&lt;10, 10, IF(J277&gt;50,50,J277)),'Over to underbark'!$A$3:$C$43,IF(A277="Scots pine",3,IF(A277="Sitka spruce",2, "error")),TRUE)/100</f>
        <v>0.85</v>
      </c>
      <c r="W277">
        <f t="shared" si="59"/>
        <v>75.443535000000011</v>
      </c>
      <c r="X277">
        <f t="shared" si="60"/>
        <v>454.96156500000001</v>
      </c>
      <c r="Y277">
        <f t="shared" si="61"/>
        <v>93.600900000000024</v>
      </c>
      <c r="Z277">
        <f t="shared" si="56"/>
        <v>204.84794970000004</v>
      </c>
      <c r="AA277">
        <f t="shared" si="57"/>
        <v>146.1811113</v>
      </c>
      <c r="AB277">
        <f t="shared" si="58"/>
        <v>272.97693900000002</v>
      </c>
      <c r="AC277">
        <f>LOOKUP($A277,'Over to underbark'!$A$47:$A$48,'Over to underbark'!E$47:E$48)*Z277</f>
        <v>86.036138874000017</v>
      </c>
      <c r="AD277">
        <f>LOOKUP($A277,'Over to underbark'!$A$47:$A$48,'Over to underbark'!E$47:E$48)*AA277</f>
        <v>61.396066745999995</v>
      </c>
      <c r="AE277">
        <f>LOOKUP($A277,'Over to underbark'!$A$47:$A$48,'Over to underbark'!E$47:E$48)*AB277</f>
        <v>114.65031438</v>
      </c>
      <c r="AF277" t="b">
        <f t="shared" si="62"/>
        <v>1</v>
      </c>
      <c r="AG277" t="b">
        <f t="shared" si="63"/>
        <v>1</v>
      </c>
      <c r="AH277">
        <f>LOOKUP(A277,'Over to underbark'!$A$47:$A$48,'Over to underbark'!E$47:E$48)*M277</f>
        <v>291.20280000000002</v>
      </c>
      <c r="AI277" s="27">
        <f>LOOKUP(A277,'Over to underbark'!$A$47:$A$48,'Over to underbark'!$B$47:$B$48)*AH277</f>
        <v>99.008952000000022</v>
      </c>
      <c r="AJ277" s="27">
        <f>LOOKUP(A278,'Over to underbark'!$A$47:$A$48,'Over to underbark'!C$47:C$48)*AH277</f>
        <v>101.92098</v>
      </c>
      <c r="AK277" s="27">
        <f t="shared" si="64"/>
        <v>390.21175200000005</v>
      </c>
      <c r="AL277" s="33">
        <v>929.08</v>
      </c>
      <c r="AM277" s="28">
        <f t="shared" si="65"/>
        <v>780.42350400000009</v>
      </c>
      <c r="AO277">
        <f t="shared" si="66"/>
        <v>0.67164179104477617</v>
      </c>
    </row>
    <row r="278" spans="1:41" x14ac:dyDescent="0.35">
      <c r="A278" t="s">
        <v>39</v>
      </c>
      <c r="B278">
        <v>10</v>
      </c>
      <c r="C278">
        <v>2</v>
      </c>
      <c r="D278" t="s">
        <v>40</v>
      </c>
      <c r="E278">
        <v>2</v>
      </c>
      <c r="F278">
        <v>1</v>
      </c>
      <c r="G278" s="16">
        <v>84</v>
      </c>
      <c r="H278" s="16">
        <v>24.655999999999999</v>
      </c>
      <c r="I278" s="16">
        <v>855</v>
      </c>
      <c r="J278" s="16">
        <v>32.372</v>
      </c>
      <c r="K278" s="16">
        <v>70.334000000000003</v>
      </c>
      <c r="L278" s="16">
        <v>0.81799999999999995</v>
      </c>
      <c r="M278" s="23">
        <v>699.08</v>
      </c>
      <c r="N278" s="16">
        <v>12.536</v>
      </c>
      <c r="O278" s="17">
        <v>8.3219999999999992</v>
      </c>
      <c r="P278" s="18">
        <v>84</v>
      </c>
      <c r="Q278" s="18">
        <v>32.372</v>
      </c>
      <c r="R278" s="18">
        <v>97.087999999999994</v>
      </c>
      <c r="S278" s="18">
        <v>601.99199999999996</v>
      </c>
      <c r="T278" s="14" t="b">
        <f t="shared" si="54"/>
        <v>1</v>
      </c>
      <c r="U278" s="14" t="b">
        <f t="shared" si="55"/>
        <v>1</v>
      </c>
      <c r="V278" s="15">
        <f>VLOOKUP(IF(J278&lt;10, 10, IF(J278&gt;50,50,J278)),'Over to underbark'!$A$3:$C$43,IF(A278="Scots pine",3,IF(A278="Sitka spruce",2, "error")),TRUE)/100</f>
        <v>0.85</v>
      </c>
      <c r="W278">
        <f t="shared" si="59"/>
        <v>74.272319999999993</v>
      </c>
      <c r="X278">
        <f t="shared" si="60"/>
        <v>460.52387999999996</v>
      </c>
      <c r="Y278">
        <f t="shared" si="61"/>
        <v>94.375799999999998</v>
      </c>
      <c r="Z278">
        <f t="shared" si="56"/>
        <v>205.78960439999997</v>
      </c>
      <c r="AA278">
        <f t="shared" si="57"/>
        <v>147.06806759999998</v>
      </c>
      <c r="AB278">
        <f t="shared" si="58"/>
        <v>276.31432799999999</v>
      </c>
      <c r="AC278">
        <f>LOOKUP($A278,'Over to underbark'!$A$47:$A$48,'Over to underbark'!E$47:E$48)*Z278</f>
        <v>86.43163384799999</v>
      </c>
      <c r="AD278">
        <f>LOOKUP($A278,'Over to underbark'!$A$47:$A$48,'Over to underbark'!E$47:E$48)*AA278</f>
        <v>61.768588391999991</v>
      </c>
      <c r="AE278">
        <f>LOOKUP($A278,'Over to underbark'!$A$47:$A$48,'Over to underbark'!E$47:E$48)*AB278</f>
        <v>116.05201775999998</v>
      </c>
      <c r="AF278" t="b">
        <f t="shared" si="62"/>
        <v>1</v>
      </c>
      <c r="AG278" t="b">
        <f t="shared" si="63"/>
        <v>1</v>
      </c>
      <c r="AH278">
        <f>LOOKUP(A278,'Over to underbark'!$A$47:$A$48,'Over to underbark'!E$47:E$48)*M278</f>
        <v>293.61360000000002</v>
      </c>
      <c r="AI278" s="27">
        <f>LOOKUP(A278,'Over to underbark'!$A$47:$A$48,'Over to underbark'!$B$47:$B$48)*AH278</f>
        <v>99.828624000000019</v>
      </c>
      <c r="AJ278" s="27">
        <f>LOOKUP(A279,'Over to underbark'!$A$47:$A$48,'Over to underbark'!C$47:C$48)*AH278</f>
        <v>102.76476</v>
      </c>
      <c r="AK278" s="27">
        <f t="shared" si="64"/>
        <v>393.44222400000001</v>
      </c>
      <c r="AL278" s="33">
        <v>936.77</v>
      </c>
      <c r="AM278" s="28">
        <f t="shared" si="65"/>
        <v>786.88444800000002</v>
      </c>
      <c r="AO278">
        <f t="shared" si="66"/>
        <v>0.67164179104477606</v>
      </c>
    </row>
    <row r="279" spans="1:41" x14ac:dyDescent="0.35">
      <c r="A279" t="s">
        <v>39</v>
      </c>
      <c r="B279">
        <v>10</v>
      </c>
      <c r="C279">
        <v>2</v>
      </c>
      <c r="D279" t="s">
        <v>40</v>
      </c>
      <c r="E279">
        <v>2</v>
      </c>
      <c r="F279">
        <v>1</v>
      </c>
      <c r="G279" s="16">
        <v>85</v>
      </c>
      <c r="H279" s="16">
        <v>24.774000000000001</v>
      </c>
      <c r="I279" s="16">
        <v>848</v>
      </c>
      <c r="J279" s="16">
        <v>32.566000000000003</v>
      </c>
      <c r="K279" s="16">
        <v>70.626000000000005</v>
      </c>
      <c r="L279" s="16">
        <v>0.83099999999999996</v>
      </c>
      <c r="M279" s="23">
        <v>704.82</v>
      </c>
      <c r="N279" s="16">
        <v>12.621</v>
      </c>
      <c r="O279" s="17">
        <v>8.2919999999999998</v>
      </c>
      <c r="P279" s="18">
        <v>85</v>
      </c>
      <c r="Q279" s="18">
        <v>32.566000000000003</v>
      </c>
      <c r="R279" s="18">
        <v>95.546999999999997</v>
      </c>
      <c r="S279" s="18">
        <v>609.27300000000002</v>
      </c>
      <c r="T279" s="14" t="b">
        <f t="shared" si="54"/>
        <v>1</v>
      </c>
      <c r="U279" s="14" t="b">
        <f t="shared" si="55"/>
        <v>1</v>
      </c>
      <c r="V279" s="15">
        <f>VLOOKUP(IF(J279&lt;10, 10, IF(J279&gt;50,50,J279)),'Over to underbark'!$A$3:$C$43,IF(A279="Scots pine",3,IF(A279="Sitka spruce",2, "error")),TRUE)/100</f>
        <v>0.85</v>
      </c>
      <c r="W279">
        <f t="shared" si="59"/>
        <v>73.093454999999992</v>
      </c>
      <c r="X279">
        <f t="shared" si="60"/>
        <v>466.09384500000004</v>
      </c>
      <c r="Y279">
        <f t="shared" si="61"/>
        <v>95.150700000000029</v>
      </c>
      <c r="Z279">
        <f t="shared" si="56"/>
        <v>206.72804610000003</v>
      </c>
      <c r="AA279">
        <f t="shared" si="57"/>
        <v>147.9536469</v>
      </c>
      <c r="AB279">
        <f t="shared" si="58"/>
        <v>279.65630700000003</v>
      </c>
      <c r="AC279">
        <f>LOOKUP($A279,'Over to underbark'!$A$47:$A$48,'Over to underbark'!E$47:E$48)*Z279</f>
        <v>86.825779362000006</v>
      </c>
      <c r="AD279">
        <f>LOOKUP($A279,'Over to underbark'!$A$47:$A$48,'Over to underbark'!E$47:E$48)*AA279</f>
        <v>62.140531697999997</v>
      </c>
      <c r="AE279">
        <f>LOOKUP($A279,'Over to underbark'!$A$47:$A$48,'Over to underbark'!E$47:E$48)*AB279</f>
        <v>117.45564894</v>
      </c>
      <c r="AF279" t="b">
        <f t="shared" si="62"/>
        <v>1</v>
      </c>
      <c r="AG279" t="b">
        <f t="shared" si="63"/>
        <v>1</v>
      </c>
      <c r="AH279">
        <f>LOOKUP(A279,'Over to underbark'!$A$47:$A$48,'Over to underbark'!E$47:E$48)*M279</f>
        <v>296.02440000000001</v>
      </c>
      <c r="AI279" s="27">
        <f>LOOKUP(A279,'Over to underbark'!$A$47:$A$48,'Over to underbark'!$B$47:$B$48)*AH279</f>
        <v>100.64829600000002</v>
      </c>
      <c r="AJ279" s="27">
        <f>LOOKUP(A280,'Over to underbark'!$A$47:$A$48,'Over to underbark'!C$47:C$48)*AH279</f>
        <v>103.60854</v>
      </c>
      <c r="AK279" s="27">
        <f t="shared" si="64"/>
        <v>396.67269600000003</v>
      </c>
      <c r="AL279" s="33">
        <v>944.46</v>
      </c>
      <c r="AM279" s="28">
        <f t="shared" si="65"/>
        <v>793.34539200000006</v>
      </c>
      <c r="AO279">
        <f t="shared" si="66"/>
        <v>0.67164179104477606</v>
      </c>
    </row>
    <row r="280" spans="1:41" x14ac:dyDescent="0.35">
      <c r="A280" t="s">
        <v>39</v>
      </c>
      <c r="B280">
        <v>10</v>
      </c>
      <c r="C280">
        <v>2</v>
      </c>
      <c r="D280" t="s">
        <v>40</v>
      </c>
      <c r="E280">
        <v>2</v>
      </c>
      <c r="F280">
        <v>1</v>
      </c>
      <c r="G280" s="16">
        <v>86</v>
      </c>
      <c r="H280" s="16">
        <v>24.891999999999999</v>
      </c>
      <c r="I280" s="16">
        <v>841</v>
      </c>
      <c r="J280" s="16">
        <v>32.762</v>
      </c>
      <c r="K280" s="16">
        <v>70.918000000000006</v>
      </c>
      <c r="L280" s="16">
        <v>0.84499999999999997</v>
      </c>
      <c r="M280" s="23">
        <v>710.56</v>
      </c>
      <c r="N280" s="16">
        <v>12.702999999999999</v>
      </c>
      <c r="O280" s="17">
        <v>8.2620000000000005</v>
      </c>
      <c r="P280" s="18">
        <v>86</v>
      </c>
      <c r="Q280" s="18">
        <v>32.762</v>
      </c>
      <c r="R280" s="18">
        <v>93.997</v>
      </c>
      <c r="S280" s="18">
        <v>616.56299999999999</v>
      </c>
      <c r="T280" s="14" t="b">
        <f t="shared" ref="T280:T296" si="67">G280=P280</f>
        <v>1</v>
      </c>
      <c r="U280" s="14" t="b">
        <f t="shared" ref="U280:U296" si="68">J280=Q280</f>
        <v>1</v>
      </c>
      <c r="V280" s="15">
        <f>VLOOKUP(IF(J280&lt;10, 10, IF(J280&gt;50,50,J280)),'Over to underbark'!$A$3:$C$43,IF(A280="Scots pine",3,IF(A280="Sitka spruce",2, "error")),TRUE)/100</f>
        <v>0.85</v>
      </c>
      <c r="W280">
        <f t="shared" si="59"/>
        <v>71.907705000000007</v>
      </c>
      <c r="X280">
        <f t="shared" si="60"/>
        <v>471.67069499999997</v>
      </c>
      <c r="Y280">
        <f t="shared" si="61"/>
        <v>95.925600000000017</v>
      </c>
      <c r="Z280">
        <f t="shared" si="56"/>
        <v>207.66359610000001</v>
      </c>
      <c r="AA280">
        <f t="shared" si="57"/>
        <v>148.8379869</v>
      </c>
      <c r="AB280">
        <f t="shared" si="58"/>
        <v>283.00241699999998</v>
      </c>
      <c r="AC280">
        <f>LOOKUP($A280,'Over to underbark'!$A$47:$A$48,'Over to underbark'!E$47:E$48)*Z280</f>
        <v>87.218710361999996</v>
      </c>
      <c r="AD280">
        <f>LOOKUP($A280,'Over to underbark'!$A$47:$A$48,'Over to underbark'!E$47:E$48)*AA280</f>
        <v>62.511954498000001</v>
      </c>
      <c r="AE280">
        <f>LOOKUP($A280,'Over to underbark'!$A$47:$A$48,'Over to underbark'!E$47:E$48)*AB280</f>
        <v>118.86101513999999</v>
      </c>
      <c r="AF280" t="b">
        <f t="shared" si="62"/>
        <v>1</v>
      </c>
      <c r="AG280" t="b">
        <f t="shared" si="63"/>
        <v>1</v>
      </c>
      <c r="AH280">
        <f>LOOKUP(A280,'Over to underbark'!$A$47:$A$48,'Over to underbark'!E$47:E$48)*M280</f>
        <v>298.43519999999995</v>
      </c>
      <c r="AI280" s="27">
        <f>LOOKUP(A280,'Over to underbark'!$A$47:$A$48,'Over to underbark'!$B$47:$B$48)*AH280</f>
        <v>101.46796799999998</v>
      </c>
      <c r="AJ280" s="27">
        <f>LOOKUP(A281,'Over to underbark'!$A$47:$A$48,'Over to underbark'!C$47:C$48)*AH280</f>
        <v>104.45231999999997</v>
      </c>
      <c r="AK280" s="27">
        <f t="shared" si="64"/>
        <v>399.90316799999994</v>
      </c>
      <c r="AL280" s="33">
        <v>952.15</v>
      </c>
      <c r="AM280" s="28">
        <f t="shared" si="65"/>
        <v>799.80633599999987</v>
      </c>
      <c r="AO280">
        <f t="shared" si="66"/>
        <v>0.67164179104477617</v>
      </c>
    </row>
    <row r="281" spans="1:41" x14ac:dyDescent="0.35">
      <c r="A281" t="s">
        <v>39</v>
      </c>
      <c r="B281">
        <v>10</v>
      </c>
      <c r="C281">
        <v>2</v>
      </c>
      <c r="D281" t="s">
        <v>40</v>
      </c>
      <c r="E281">
        <v>2</v>
      </c>
      <c r="F281">
        <v>1</v>
      </c>
      <c r="G281" s="16">
        <v>87</v>
      </c>
      <c r="H281" s="16">
        <v>25.01</v>
      </c>
      <c r="I281" s="16">
        <v>835</v>
      </c>
      <c r="J281" s="16">
        <v>32.96</v>
      </c>
      <c r="K281" s="16">
        <v>71.209999999999994</v>
      </c>
      <c r="L281" s="16">
        <v>0.85799999999999998</v>
      </c>
      <c r="M281" s="23">
        <v>716.3</v>
      </c>
      <c r="N281" s="16">
        <v>12.785</v>
      </c>
      <c r="O281" s="17">
        <v>8.2330000000000005</v>
      </c>
      <c r="P281" s="18">
        <v>87</v>
      </c>
      <c r="Q281" s="18">
        <v>32.96</v>
      </c>
      <c r="R281" s="18">
        <v>92.44</v>
      </c>
      <c r="S281" s="18">
        <v>623.86</v>
      </c>
      <c r="T281" s="14" t="b">
        <f t="shared" si="67"/>
        <v>1</v>
      </c>
      <c r="U281" s="14" t="b">
        <f t="shared" si="68"/>
        <v>1</v>
      </c>
      <c r="V281" s="15">
        <f>VLOOKUP(IF(J281&lt;10, 10, IF(J281&gt;50,50,J281)),'Over to underbark'!$A$3:$C$43,IF(A281="Scots pine",3,IF(A281="Sitka spruce",2, "error")),TRUE)/100</f>
        <v>0.85</v>
      </c>
      <c r="W281">
        <f t="shared" si="59"/>
        <v>70.7166</v>
      </c>
      <c r="X281">
        <f t="shared" si="60"/>
        <v>477.25290000000001</v>
      </c>
      <c r="Y281">
        <f t="shared" si="61"/>
        <v>96.700500000000005</v>
      </c>
      <c r="Z281">
        <f t="shared" si="56"/>
        <v>208.59689700000001</v>
      </c>
      <c r="AA281">
        <f t="shared" si="57"/>
        <v>149.721363</v>
      </c>
      <c r="AB281">
        <f t="shared" si="58"/>
        <v>286.35174000000001</v>
      </c>
      <c r="AC281">
        <f>LOOKUP($A281,'Over to underbark'!$A$47:$A$48,'Over to underbark'!E$47:E$48)*Z281</f>
        <v>87.610696740000009</v>
      </c>
      <c r="AD281">
        <f>LOOKUP($A281,'Over to underbark'!$A$47:$A$48,'Over to underbark'!E$47:E$48)*AA281</f>
        <v>62.882972459999998</v>
      </c>
      <c r="AE281">
        <f>LOOKUP($A281,'Over to underbark'!$A$47:$A$48,'Over to underbark'!E$47:E$48)*AB281</f>
        <v>120.2677308</v>
      </c>
      <c r="AF281" t="b">
        <f t="shared" si="62"/>
        <v>1</v>
      </c>
      <c r="AG281" t="b">
        <f t="shared" si="63"/>
        <v>1</v>
      </c>
      <c r="AH281">
        <f>LOOKUP(A281,'Over to underbark'!$A$47:$A$48,'Over to underbark'!E$47:E$48)*M281</f>
        <v>300.84599999999995</v>
      </c>
      <c r="AI281" s="27">
        <f>LOOKUP(A281,'Over to underbark'!$A$47:$A$48,'Over to underbark'!$B$47:$B$48)*AH281</f>
        <v>102.28764</v>
      </c>
      <c r="AJ281" s="27">
        <f>LOOKUP(A282,'Over to underbark'!$A$47:$A$48,'Over to underbark'!C$47:C$48)*AH281</f>
        <v>105.29609999999998</v>
      </c>
      <c r="AK281" s="27">
        <f t="shared" si="64"/>
        <v>403.13363999999996</v>
      </c>
      <c r="AL281" s="33">
        <v>959.84</v>
      </c>
      <c r="AM281" s="28">
        <f t="shared" si="65"/>
        <v>806.26727999999991</v>
      </c>
      <c r="AO281">
        <f t="shared" si="66"/>
        <v>0.67164179104477617</v>
      </c>
    </row>
    <row r="282" spans="1:41" x14ac:dyDescent="0.35">
      <c r="A282" t="s">
        <v>39</v>
      </c>
      <c r="B282">
        <v>10</v>
      </c>
      <c r="C282">
        <v>2</v>
      </c>
      <c r="D282" t="s">
        <v>40</v>
      </c>
      <c r="E282">
        <v>2</v>
      </c>
      <c r="F282">
        <v>1</v>
      </c>
      <c r="G282" s="16">
        <v>88</v>
      </c>
      <c r="H282" s="16">
        <v>25.11</v>
      </c>
      <c r="I282" s="16">
        <v>829</v>
      </c>
      <c r="J282" s="16">
        <v>33.127000000000002</v>
      </c>
      <c r="K282" s="16">
        <v>71.47</v>
      </c>
      <c r="L282" s="16">
        <v>0.87</v>
      </c>
      <c r="M282" s="23">
        <v>721.2</v>
      </c>
      <c r="N282" s="16">
        <v>12.861000000000001</v>
      </c>
      <c r="O282" s="17">
        <v>8.1950000000000003</v>
      </c>
      <c r="P282" s="18">
        <v>88</v>
      </c>
      <c r="Q282" s="18">
        <v>33.127000000000002</v>
      </c>
      <c r="R282" s="18">
        <v>91.147999999999996</v>
      </c>
      <c r="S282" s="18">
        <v>630.05200000000002</v>
      </c>
      <c r="T282" s="14" t="b">
        <f t="shared" si="67"/>
        <v>1</v>
      </c>
      <c r="U282" s="14" t="b">
        <f t="shared" si="68"/>
        <v>1</v>
      </c>
      <c r="V282" s="15">
        <f>VLOOKUP(IF(J282&lt;10, 10, IF(J282&gt;50,50,J282)),'Over to underbark'!$A$3:$C$43,IF(A282="Scots pine",3,IF(A282="Sitka spruce",2, "error")),TRUE)/100</f>
        <v>0.85</v>
      </c>
      <c r="W282">
        <f t="shared" si="59"/>
        <v>69.728219999999993</v>
      </c>
      <c r="X282">
        <f t="shared" si="60"/>
        <v>481.98978000000005</v>
      </c>
      <c r="Y282">
        <f t="shared" si="61"/>
        <v>97.362000000000023</v>
      </c>
      <c r="Z282">
        <f t="shared" si="56"/>
        <v>209.40555240000003</v>
      </c>
      <c r="AA282">
        <f t="shared" si="57"/>
        <v>150.4805796</v>
      </c>
      <c r="AB282">
        <f t="shared" si="58"/>
        <v>289.19386800000001</v>
      </c>
      <c r="AC282">
        <f>LOOKUP($A282,'Over to underbark'!$A$47:$A$48,'Over to underbark'!E$47:E$48)*Z282</f>
        <v>87.950332008000004</v>
      </c>
      <c r="AD282">
        <f>LOOKUP($A282,'Over to underbark'!$A$47:$A$48,'Over to underbark'!E$47:E$48)*AA282</f>
        <v>63.201843431999997</v>
      </c>
      <c r="AE282">
        <f>LOOKUP($A282,'Over to underbark'!$A$47:$A$48,'Over to underbark'!E$47:E$48)*AB282</f>
        <v>121.46142456</v>
      </c>
      <c r="AF282" t="b">
        <f t="shared" si="62"/>
        <v>1</v>
      </c>
      <c r="AG282" t="b">
        <f t="shared" si="63"/>
        <v>1</v>
      </c>
      <c r="AH282">
        <f>LOOKUP(A282,'Over to underbark'!$A$47:$A$48,'Over to underbark'!E$47:E$48)*M282</f>
        <v>302.904</v>
      </c>
      <c r="AI282" s="27">
        <f>LOOKUP(A282,'Over to underbark'!$A$47:$A$48,'Over to underbark'!$B$47:$B$48)*AH282</f>
        <v>102.98736000000001</v>
      </c>
      <c r="AJ282" s="27">
        <f>LOOKUP(A283,'Over to underbark'!$A$47:$A$48,'Over to underbark'!C$47:C$48)*AH282</f>
        <v>106.01639999999999</v>
      </c>
      <c r="AK282" s="27">
        <f t="shared" si="64"/>
        <v>405.89136000000002</v>
      </c>
      <c r="AL282" s="33">
        <v>966.41</v>
      </c>
      <c r="AM282" s="28">
        <f t="shared" si="65"/>
        <v>811.78272000000004</v>
      </c>
      <c r="AO282">
        <f t="shared" si="66"/>
        <v>0.67164179104477617</v>
      </c>
    </row>
    <row r="283" spans="1:41" x14ac:dyDescent="0.35">
      <c r="A283" t="s">
        <v>39</v>
      </c>
      <c r="B283">
        <v>10</v>
      </c>
      <c r="C283">
        <v>2</v>
      </c>
      <c r="D283" t="s">
        <v>40</v>
      </c>
      <c r="E283">
        <v>2</v>
      </c>
      <c r="F283">
        <v>1</v>
      </c>
      <c r="G283" s="16">
        <v>89</v>
      </c>
      <c r="H283" s="16">
        <v>25.21</v>
      </c>
      <c r="I283" s="16">
        <v>824</v>
      </c>
      <c r="J283" s="16">
        <v>33.295999999999999</v>
      </c>
      <c r="K283" s="16">
        <v>71.728999999999999</v>
      </c>
      <c r="L283" s="16">
        <v>0.88100000000000001</v>
      </c>
      <c r="M283" s="23">
        <v>726.1</v>
      </c>
      <c r="N283" s="16">
        <v>12.936</v>
      </c>
      <c r="O283" s="17">
        <v>8.1579999999999995</v>
      </c>
      <c r="P283" s="18">
        <v>89</v>
      </c>
      <c r="Q283" s="18">
        <v>33.295999999999999</v>
      </c>
      <c r="R283" s="18">
        <v>89.843999999999994</v>
      </c>
      <c r="S283" s="18">
        <v>636.25599999999997</v>
      </c>
      <c r="T283" s="14" t="b">
        <f t="shared" si="67"/>
        <v>1</v>
      </c>
      <c r="U283" s="14" t="b">
        <f t="shared" si="68"/>
        <v>1</v>
      </c>
      <c r="V283" s="15">
        <f>VLOOKUP(IF(J283&lt;10, 10, IF(J283&gt;50,50,J283)),'Over to underbark'!$A$3:$C$43,IF(A283="Scots pine",3,IF(A283="Sitka spruce",2, "error")),TRUE)/100</f>
        <v>0.85</v>
      </c>
      <c r="W283">
        <f t="shared" si="59"/>
        <v>68.73066</v>
      </c>
      <c r="X283">
        <f t="shared" si="60"/>
        <v>486.73584</v>
      </c>
      <c r="Y283">
        <f t="shared" si="61"/>
        <v>98.023499999999999</v>
      </c>
      <c r="Z283">
        <f t="shared" si="56"/>
        <v>210.21035219999999</v>
      </c>
      <c r="AA283">
        <f t="shared" si="57"/>
        <v>151.23814379999999</v>
      </c>
      <c r="AB283">
        <f t="shared" si="58"/>
        <v>292.04150399999997</v>
      </c>
      <c r="AC283">
        <f>LOOKUP($A283,'Over to underbark'!$A$47:$A$48,'Over to underbark'!E$47:E$48)*Z283</f>
        <v>88.288347923999993</v>
      </c>
      <c r="AD283">
        <f>LOOKUP($A283,'Over to underbark'!$A$47:$A$48,'Over to underbark'!E$47:E$48)*AA283</f>
        <v>63.520020395999993</v>
      </c>
      <c r="AE283">
        <f>LOOKUP($A283,'Over to underbark'!$A$47:$A$48,'Over to underbark'!E$47:E$48)*AB283</f>
        <v>122.65743167999999</v>
      </c>
      <c r="AF283" t="b">
        <f t="shared" si="62"/>
        <v>1</v>
      </c>
      <c r="AG283" t="b">
        <f t="shared" si="63"/>
        <v>1</v>
      </c>
      <c r="AH283">
        <f>LOOKUP(A283,'Over to underbark'!$A$47:$A$48,'Over to underbark'!E$47:E$48)*M283</f>
        <v>304.96199999999999</v>
      </c>
      <c r="AI283" s="27">
        <f>LOOKUP(A283,'Over to underbark'!$A$47:$A$48,'Over to underbark'!$B$47:$B$48)*AH283</f>
        <v>103.68708000000001</v>
      </c>
      <c r="AJ283" s="27">
        <f>LOOKUP(A284,'Over to underbark'!$A$47:$A$48,'Over to underbark'!C$47:C$48)*AH283</f>
        <v>106.73669999999998</v>
      </c>
      <c r="AK283" s="27">
        <f t="shared" si="64"/>
        <v>408.64908000000003</v>
      </c>
      <c r="AL283" s="33">
        <v>972.97</v>
      </c>
      <c r="AM283" s="28">
        <f t="shared" si="65"/>
        <v>817.29816000000005</v>
      </c>
      <c r="AO283">
        <f t="shared" si="66"/>
        <v>0.67164179104477606</v>
      </c>
    </row>
    <row r="284" spans="1:41" x14ac:dyDescent="0.35">
      <c r="A284" t="s">
        <v>39</v>
      </c>
      <c r="B284">
        <v>10</v>
      </c>
      <c r="C284">
        <v>2</v>
      </c>
      <c r="D284" t="s">
        <v>40</v>
      </c>
      <c r="E284">
        <v>2</v>
      </c>
      <c r="F284">
        <v>1</v>
      </c>
      <c r="G284" s="16">
        <v>90</v>
      </c>
      <c r="H284" s="16">
        <v>25.31</v>
      </c>
      <c r="I284" s="16">
        <v>818</v>
      </c>
      <c r="J284" s="16">
        <v>33.466000000000001</v>
      </c>
      <c r="K284" s="16">
        <v>71.988</v>
      </c>
      <c r="L284" s="16">
        <v>0.89300000000000002</v>
      </c>
      <c r="M284" s="23">
        <v>731</v>
      </c>
      <c r="N284" s="16">
        <v>13.009</v>
      </c>
      <c r="O284" s="17">
        <v>8.1219999999999999</v>
      </c>
      <c r="P284" s="18">
        <v>90</v>
      </c>
      <c r="Q284" s="18">
        <v>33.466000000000001</v>
      </c>
      <c r="R284" s="18">
        <v>88.542000000000002</v>
      </c>
      <c r="S284" s="18">
        <v>642.45799999999997</v>
      </c>
      <c r="T284" s="14" t="b">
        <f t="shared" si="67"/>
        <v>1</v>
      </c>
      <c r="U284" s="14" t="b">
        <f t="shared" si="68"/>
        <v>1</v>
      </c>
      <c r="V284" s="15">
        <f>VLOOKUP(IF(J284&lt;10, 10, IF(J284&gt;50,50,J284)),'Over to underbark'!$A$3:$C$43,IF(A284="Scots pine",3,IF(A284="Sitka spruce",2, "error")),TRUE)/100</f>
        <v>0.85</v>
      </c>
      <c r="W284">
        <f t="shared" si="59"/>
        <v>67.73463000000001</v>
      </c>
      <c r="X284">
        <f t="shared" si="60"/>
        <v>491.48036999999994</v>
      </c>
      <c r="Y284">
        <f t="shared" si="61"/>
        <v>98.685000000000016</v>
      </c>
      <c r="Z284">
        <f t="shared" si="56"/>
        <v>211.01579459999999</v>
      </c>
      <c r="AA284">
        <f t="shared" si="57"/>
        <v>151.9959834</v>
      </c>
      <c r="AB284">
        <f t="shared" si="58"/>
        <v>294.88822199999993</v>
      </c>
      <c r="AC284">
        <f>LOOKUP($A284,'Over to underbark'!$A$47:$A$48,'Over to underbark'!E$47:E$48)*Z284</f>
        <v>88.626633731999988</v>
      </c>
      <c r="AD284">
        <f>LOOKUP($A284,'Over to underbark'!$A$47:$A$48,'Over to underbark'!E$47:E$48)*AA284</f>
        <v>63.838313027999995</v>
      </c>
      <c r="AE284">
        <f>LOOKUP($A284,'Over to underbark'!$A$47:$A$48,'Over to underbark'!E$47:E$48)*AB284</f>
        <v>123.85305323999997</v>
      </c>
      <c r="AF284" t="b">
        <f t="shared" si="62"/>
        <v>1</v>
      </c>
      <c r="AG284" t="b">
        <f t="shared" si="63"/>
        <v>1</v>
      </c>
      <c r="AH284">
        <f>LOOKUP(A284,'Over to underbark'!$A$47:$A$48,'Over to underbark'!E$47:E$48)*M284</f>
        <v>307.02</v>
      </c>
      <c r="AI284" s="27">
        <f>LOOKUP(A284,'Over to underbark'!$A$47:$A$48,'Over to underbark'!$B$47:$B$48)*AH284</f>
        <v>104.38680000000001</v>
      </c>
      <c r="AJ284" s="27">
        <f>LOOKUP(A285,'Over to underbark'!$A$47:$A$48,'Over to underbark'!C$47:C$48)*AH284</f>
        <v>107.45699999999999</v>
      </c>
      <c r="AK284" s="27">
        <f t="shared" si="64"/>
        <v>411.40679999999998</v>
      </c>
      <c r="AL284" s="33">
        <v>979.54</v>
      </c>
      <c r="AM284" s="28">
        <f t="shared" si="65"/>
        <v>822.81359999999995</v>
      </c>
      <c r="AO284">
        <f t="shared" si="66"/>
        <v>0.67164179104477595</v>
      </c>
    </row>
    <row r="285" spans="1:41" x14ac:dyDescent="0.35">
      <c r="A285" t="s">
        <v>39</v>
      </c>
      <c r="B285">
        <v>10</v>
      </c>
      <c r="C285">
        <v>2</v>
      </c>
      <c r="D285" t="s">
        <v>40</v>
      </c>
      <c r="E285">
        <v>2</v>
      </c>
      <c r="F285">
        <v>1</v>
      </c>
      <c r="G285" s="16">
        <v>91</v>
      </c>
      <c r="H285" s="16">
        <v>25.41</v>
      </c>
      <c r="I285" s="16">
        <v>813</v>
      </c>
      <c r="J285" s="16">
        <v>33.637</v>
      </c>
      <c r="K285" s="16">
        <v>72.247</v>
      </c>
      <c r="L285" s="16">
        <v>0.90500000000000003</v>
      </c>
      <c r="M285" s="23">
        <v>735.9</v>
      </c>
      <c r="N285" s="16">
        <v>13.082000000000001</v>
      </c>
      <c r="O285" s="17">
        <v>8.0869999999999997</v>
      </c>
      <c r="P285" s="18">
        <v>91</v>
      </c>
      <c r="Q285" s="18">
        <v>33.637</v>
      </c>
      <c r="R285" s="18">
        <v>87.241</v>
      </c>
      <c r="S285" s="18">
        <v>648.65899999999999</v>
      </c>
      <c r="T285" s="14" t="b">
        <f t="shared" si="67"/>
        <v>1</v>
      </c>
      <c r="U285" s="14" t="b">
        <f t="shared" si="68"/>
        <v>1</v>
      </c>
      <c r="V285" s="15">
        <f>VLOOKUP(IF(J285&lt;10, 10, IF(J285&gt;50,50,J285)),'Over to underbark'!$A$3:$C$43,IF(A285="Scots pine",3,IF(A285="Sitka spruce",2, "error")),TRUE)/100</f>
        <v>0.85</v>
      </c>
      <c r="W285">
        <f t="shared" si="59"/>
        <v>66.739365000000006</v>
      </c>
      <c r="X285">
        <f t="shared" si="60"/>
        <v>496.22413499999999</v>
      </c>
      <c r="Y285">
        <f t="shared" si="61"/>
        <v>99.346500000000006</v>
      </c>
      <c r="Z285">
        <f t="shared" si="56"/>
        <v>211.82155829999999</v>
      </c>
      <c r="AA285">
        <f t="shared" si="57"/>
        <v>152.75396069999999</v>
      </c>
      <c r="AB285">
        <f t="shared" si="58"/>
        <v>297.73448099999996</v>
      </c>
      <c r="AC285">
        <f>LOOKUP($A285,'Over to underbark'!$A$47:$A$48,'Over to underbark'!E$47:E$48)*Z285</f>
        <v>88.965054486</v>
      </c>
      <c r="AD285">
        <f>LOOKUP($A285,'Over to underbark'!$A$47:$A$48,'Over to underbark'!E$47:E$48)*AA285</f>
        <v>64.156663494</v>
      </c>
      <c r="AE285">
        <f>LOOKUP($A285,'Over to underbark'!$A$47:$A$48,'Over to underbark'!E$47:E$48)*AB285</f>
        <v>125.04848201999998</v>
      </c>
      <c r="AF285" t="b">
        <f t="shared" si="62"/>
        <v>1</v>
      </c>
      <c r="AG285" t="b">
        <f t="shared" si="63"/>
        <v>1</v>
      </c>
      <c r="AH285">
        <f>LOOKUP(A285,'Over to underbark'!$A$47:$A$48,'Over to underbark'!E$47:E$48)*M285</f>
        <v>309.07799999999997</v>
      </c>
      <c r="AI285" s="27">
        <f>LOOKUP(A285,'Over to underbark'!$A$47:$A$48,'Over to underbark'!$B$47:$B$48)*AH285</f>
        <v>105.08651999999999</v>
      </c>
      <c r="AJ285" s="27">
        <f>LOOKUP(A286,'Over to underbark'!$A$47:$A$48,'Over to underbark'!C$47:C$48)*AH285</f>
        <v>108.17729999999999</v>
      </c>
      <c r="AK285" s="27">
        <f t="shared" si="64"/>
        <v>414.16451999999998</v>
      </c>
      <c r="AL285" s="33">
        <v>986.11</v>
      </c>
      <c r="AM285" s="28">
        <f t="shared" si="65"/>
        <v>828.32903999999996</v>
      </c>
      <c r="AO285">
        <f t="shared" si="66"/>
        <v>0.67164179104477606</v>
      </c>
    </row>
    <row r="286" spans="1:41" x14ac:dyDescent="0.35">
      <c r="A286" t="s">
        <v>39</v>
      </c>
      <c r="B286">
        <v>10</v>
      </c>
      <c r="C286">
        <v>2</v>
      </c>
      <c r="D286" t="s">
        <v>40</v>
      </c>
      <c r="E286">
        <v>2</v>
      </c>
      <c r="F286">
        <v>1</v>
      </c>
      <c r="G286" s="16">
        <v>92</v>
      </c>
      <c r="H286" s="16">
        <v>25.51</v>
      </c>
      <c r="I286" s="16">
        <v>808</v>
      </c>
      <c r="J286" s="16">
        <v>33.81</v>
      </c>
      <c r="K286" s="16">
        <v>72.506</v>
      </c>
      <c r="L286" s="16">
        <v>0.91700000000000004</v>
      </c>
      <c r="M286" s="23">
        <v>740.8</v>
      </c>
      <c r="N286" s="16">
        <v>13.154</v>
      </c>
      <c r="O286" s="17">
        <v>8.0519999999999996</v>
      </c>
      <c r="P286" s="18">
        <v>92</v>
      </c>
      <c r="Q286" s="18">
        <v>33.81</v>
      </c>
      <c r="R286" s="18">
        <v>85.932000000000002</v>
      </c>
      <c r="S286" s="18">
        <v>654.86800000000005</v>
      </c>
      <c r="T286" s="14" t="b">
        <f t="shared" si="67"/>
        <v>1</v>
      </c>
      <c r="U286" s="14" t="b">
        <f t="shared" si="68"/>
        <v>1</v>
      </c>
      <c r="V286" s="15">
        <f>VLOOKUP(IF(J286&lt;10, 10, IF(J286&gt;50,50,J286)),'Over to underbark'!$A$3:$C$43,IF(A286="Scots pine",3,IF(A286="Sitka spruce",2, "error")),TRUE)/100</f>
        <v>0.85</v>
      </c>
      <c r="W286">
        <f t="shared" si="59"/>
        <v>65.737980000000007</v>
      </c>
      <c r="X286">
        <f t="shared" si="60"/>
        <v>500.97402</v>
      </c>
      <c r="Y286">
        <f t="shared" si="61"/>
        <v>100.00800000000002</v>
      </c>
      <c r="Z286">
        <f t="shared" si="56"/>
        <v>212.62475160000002</v>
      </c>
      <c r="AA286">
        <f t="shared" si="57"/>
        <v>153.51083640000002</v>
      </c>
      <c r="AB286">
        <f t="shared" si="58"/>
        <v>300.58441199999999</v>
      </c>
      <c r="AC286">
        <f>LOOKUP($A286,'Over to underbark'!$A$47:$A$48,'Over to underbark'!E$47:E$48)*Z286</f>
        <v>89.302395672000003</v>
      </c>
      <c r="AD286">
        <f>LOOKUP($A286,'Over to underbark'!$A$47:$A$48,'Over to underbark'!E$47:E$48)*AA286</f>
        <v>64.474551288000001</v>
      </c>
      <c r="AE286">
        <f>LOOKUP($A286,'Over to underbark'!$A$47:$A$48,'Over to underbark'!E$47:E$48)*AB286</f>
        <v>126.24545303999999</v>
      </c>
      <c r="AF286" t="b">
        <f t="shared" si="62"/>
        <v>1</v>
      </c>
      <c r="AG286" t="b">
        <f t="shared" si="63"/>
        <v>1</v>
      </c>
      <c r="AH286">
        <f>LOOKUP(A286,'Over to underbark'!$A$47:$A$48,'Over to underbark'!E$47:E$48)*M286</f>
        <v>311.13599999999997</v>
      </c>
      <c r="AI286" s="27">
        <f>LOOKUP(A286,'Over to underbark'!$A$47:$A$48,'Over to underbark'!$B$47:$B$48)*AH286</f>
        <v>105.78623999999999</v>
      </c>
      <c r="AJ286" s="27">
        <f>LOOKUP(A287,'Over to underbark'!$A$47:$A$48,'Over to underbark'!C$47:C$48)*AH286</f>
        <v>108.89759999999998</v>
      </c>
      <c r="AK286" s="27">
        <f t="shared" si="64"/>
        <v>416.92223999999999</v>
      </c>
      <c r="AL286" s="33">
        <v>992.67</v>
      </c>
      <c r="AM286" s="28">
        <f t="shared" si="65"/>
        <v>833.84447999999998</v>
      </c>
      <c r="AO286">
        <f t="shared" si="66"/>
        <v>0.67164179104477617</v>
      </c>
    </row>
    <row r="287" spans="1:41" x14ac:dyDescent="0.35">
      <c r="A287" t="s">
        <v>39</v>
      </c>
      <c r="B287">
        <v>10</v>
      </c>
      <c r="C287">
        <v>2</v>
      </c>
      <c r="D287" t="s">
        <v>40</v>
      </c>
      <c r="E287">
        <v>2</v>
      </c>
      <c r="F287">
        <v>1</v>
      </c>
      <c r="G287" s="16">
        <v>93</v>
      </c>
      <c r="H287" s="16">
        <v>25.591999999999999</v>
      </c>
      <c r="I287" s="16">
        <v>803</v>
      </c>
      <c r="J287" s="16">
        <v>33.954000000000001</v>
      </c>
      <c r="K287" s="16">
        <v>72.733000000000004</v>
      </c>
      <c r="L287" s="16">
        <v>0.92700000000000005</v>
      </c>
      <c r="M287" s="23">
        <v>744.9</v>
      </c>
      <c r="N287" s="16">
        <v>13.224</v>
      </c>
      <c r="O287" s="17">
        <v>8.01</v>
      </c>
      <c r="P287" s="18">
        <v>93</v>
      </c>
      <c r="Q287" s="18">
        <v>33.954000000000001</v>
      </c>
      <c r="R287" s="18">
        <v>84.855999999999995</v>
      </c>
      <c r="S287" s="18">
        <v>660.04399999999998</v>
      </c>
      <c r="T287" s="14" t="b">
        <f t="shared" si="67"/>
        <v>1</v>
      </c>
      <c r="U287" s="14" t="b">
        <f t="shared" si="68"/>
        <v>1</v>
      </c>
      <c r="V287" s="15">
        <f>VLOOKUP(IF(J287&lt;10, 10, IF(J287&gt;50,50,J287)),'Over to underbark'!$A$3:$C$43,IF(A287="Scots pine",3,IF(A287="Sitka spruce",2, "error")),TRUE)/100</f>
        <v>0.85</v>
      </c>
      <c r="W287">
        <f t="shared" si="59"/>
        <v>64.914839999999998</v>
      </c>
      <c r="X287">
        <f t="shared" si="60"/>
        <v>504.93365999999992</v>
      </c>
      <c r="Y287">
        <f t="shared" si="61"/>
        <v>100.56150000000001</v>
      </c>
      <c r="Z287">
        <f t="shared" ref="Z287:Z296" si="69">Y287+(57%*W287)+(15%*X287)</f>
        <v>213.30300779999999</v>
      </c>
      <c r="AA287">
        <f t="shared" ref="AA287:AA296" si="70">(43%*W287)+(25%*X287)</f>
        <v>154.14679619999998</v>
      </c>
      <c r="AB287">
        <f t="shared" ref="AB287:AB296" si="71">60%*X287</f>
        <v>302.96019599999994</v>
      </c>
      <c r="AC287">
        <f>LOOKUP($A287,'Over to underbark'!$A$47:$A$48,'Over to underbark'!E$47:E$48)*Z287</f>
        <v>89.587263275999987</v>
      </c>
      <c r="AD287">
        <f>LOOKUP($A287,'Over to underbark'!$A$47:$A$48,'Over to underbark'!E$47:E$48)*AA287</f>
        <v>64.741654403999988</v>
      </c>
      <c r="AE287">
        <f>LOOKUP($A287,'Over to underbark'!$A$47:$A$48,'Over to underbark'!E$47:E$48)*AB287</f>
        <v>127.24328231999996</v>
      </c>
      <c r="AF287" t="b">
        <f t="shared" si="62"/>
        <v>1</v>
      </c>
      <c r="AG287" t="b">
        <f t="shared" si="63"/>
        <v>1</v>
      </c>
      <c r="AH287">
        <f>LOOKUP(A287,'Over to underbark'!$A$47:$A$48,'Over to underbark'!E$47:E$48)*M287</f>
        <v>312.858</v>
      </c>
      <c r="AI287" s="27">
        <f>LOOKUP(A287,'Over to underbark'!$A$47:$A$48,'Over to underbark'!$B$47:$B$48)*AH287</f>
        <v>106.37172000000001</v>
      </c>
      <c r="AJ287" s="27">
        <f>LOOKUP(A288,'Over to underbark'!$A$47:$A$48,'Over to underbark'!C$47:C$48)*AH287</f>
        <v>109.5003</v>
      </c>
      <c r="AK287" s="27">
        <f t="shared" si="64"/>
        <v>419.22972000000004</v>
      </c>
      <c r="AL287" s="33">
        <v>998.17</v>
      </c>
      <c r="AM287" s="28">
        <f t="shared" si="65"/>
        <v>838.45944000000009</v>
      </c>
      <c r="AO287">
        <f t="shared" si="66"/>
        <v>0.67164179104477595</v>
      </c>
    </row>
    <row r="288" spans="1:41" x14ac:dyDescent="0.35">
      <c r="A288" t="s">
        <v>39</v>
      </c>
      <c r="B288">
        <v>10</v>
      </c>
      <c r="C288">
        <v>2</v>
      </c>
      <c r="D288" t="s">
        <v>40</v>
      </c>
      <c r="E288">
        <v>2</v>
      </c>
      <c r="F288">
        <v>1</v>
      </c>
      <c r="G288" s="16">
        <v>94</v>
      </c>
      <c r="H288" s="16">
        <v>25.673999999999999</v>
      </c>
      <c r="I288" s="16">
        <v>799</v>
      </c>
      <c r="J288" s="16">
        <v>34.098999999999997</v>
      </c>
      <c r="K288" s="16">
        <v>72.959000000000003</v>
      </c>
      <c r="L288" s="16">
        <v>0.93799999999999994</v>
      </c>
      <c r="M288" s="23">
        <v>749</v>
      </c>
      <c r="N288" s="16">
        <v>13.294</v>
      </c>
      <c r="O288" s="17">
        <v>7.968</v>
      </c>
      <c r="P288" s="18">
        <v>94</v>
      </c>
      <c r="Q288" s="18">
        <v>34.098999999999997</v>
      </c>
      <c r="R288" s="18">
        <v>83.778000000000006</v>
      </c>
      <c r="S288" s="18">
        <v>665.22199999999998</v>
      </c>
      <c r="T288" s="14" t="b">
        <f t="shared" si="67"/>
        <v>1</v>
      </c>
      <c r="U288" s="14" t="b">
        <f t="shared" si="68"/>
        <v>1</v>
      </c>
      <c r="V288" s="15">
        <f>VLOOKUP(IF(J288&lt;10, 10, IF(J288&gt;50,50,J288)),'Over to underbark'!$A$3:$C$43,IF(A288="Scots pine",3,IF(A288="Sitka spruce",2, "error")),TRUE)/100</f>
        <v>0.85</v>
      </c>
      <c r="W288">
        <f t="shared" si="59"/>
        <v>64.090170000000015</v>
      </c>
      <c r="X288">
        <f t="shared" si="60"/>
        <v>508.89482999999996</v>
      </c>
      <c r="Y288">
        <f t="shared" si="61"/>
        <v>101.11500000000002</v>
      </c>
      <c r="Z288">
        <f t="shared" si="69"/>
        <v>213.98062140000002</v>
      </c>
      <c r="AA288">
        <f t="shared" si="70"/>
        <v>154.78248059999999</v>
      </c>
      <c r="AB288">
        <f t="shared" si="71"/>
        <v>305.33689799999996</v>
      </c>
      <c r="AC288">
        <f>LOOKUP($A288,'Over to underbark'!$A$47:$A$48,'Over to underbark'!E$47:E$48)*Z288</f>
        <v>89.871860988000009</v>
      </c>
      <c r="AD288">
        <f>LOOKUP($A288,'Over to underbark'!$A$47:$A$48,'Over to underbark'!E$47:E$48)*AA288</f>
        <v>65.008641851999997</v>
      </c>
      <c r="AE288">
        <f>LOOKUP($A288,'Over to underbark'!$A$47:$A$48,'Over to underbark'!E$47:E$48)*AB288</f>
        <v>128.24149715999997</v>
      </c>
      <c r="AF288" t="b">
        <f t="shared" si="62"/>
        <v>1</v>
      </c>
      <c r="AG288" t="b">
        <f t="shared" si="63"/>
        <v>1</v>
      </c>
      <c r="AH288">
        <f>LOOKUP(A288,'Over to underbark'!$A$47:$A$48,'Over to underbark'!E$47:E$48)*M288</f>
        <v>314.58</v>
      </c>
      <c r="AI288" s="27">
        <f>LOOKUP(A288,'Over to underbark'!$A$47:$A$48,'Over to underbark'!$B$47:$B$48)*AH288</f>
        <v>106.9572</v>
      </c>
      <c r="AJ288" s="27">
        <f>LOOKUP(A289,'Over to underbark'!$A$47:$A$48,'Over to underbark'!C$47:C$48)*AH288</f>
        <v>110.10299999999999</v>
      </c>
      <c r="AK288" s="27">
        <f t="shared" si="64"/>
        <v>421.53719999999998</v>
      </c>
      <c r="AL288" s="33">
        <v>1003.66</v>
      </c>
      <c r="AM288" s="28">
        <f t="shared" si="65"/>
        <v>843.07439999999997</v>
      </c>
      <c r="AO288">
        <f t="shared" si="66"/>
        <v>0.67164179104477606</v>
      </c>
    </row>
    <row r="289" spans="1:41" x14ac:dyDescent="0.35">
      <c r="A289" t="s">
        <v>39</v>
      </c>
      <c r="B289">
        <v>10</v>
      </c>
      <c r="C289">
        <v>2</v>
      </c>
      <c r="D289" t="s">
        <v>40</v>
      </c>
      <c r="E289">
        <v>2</v>
      </c>
      <c r="F289">
        <v>1</v>
      </c>
      <c r="G289" s="16">
        <v>95</v>
      </c>
      <c r="H289" s="16">
        <v>25.756</v>
      </c>
      <c r="I289" s="16">
        <v>795</v>
      </c>
      <c r="J289" s="16">
        <v>34.244999999999997</v>
      </c>
      <c r="K289" s="16">
        <v>73.185000000000002</v>
      </c>
      <c r="L289" s="16">
        <v>0.94799999999999995</v>
      </c>
      <c r="M289" s="23">
        <v>753.1</v>
      </c>
      <c r="N289" s="16">
        <v>13.363</v>
      </c>
      <c r="O289" s="17">
        <v>7.9269999999999996</v>
      </c>
      <c r="P289" s="18">
        <v>95</v>
      </c>
      <c r="Q289" s="18">
        <v>34.244999999999997</v>
      </c>
      <c r="R289" s="18">
        <v>82.7</v>
      </c>
      <c r="S289" s="18">
        <v>670.4</v>
      </c>
      <c r="T289" s="14" t="b">
        <f t="shared" si="67"/>
        <v>1</v>
      </c>
      <c r="U289" s="14" t="b">
        <f t="shared" si="68"/>
        <v>1</v>
      </c>
      <c r="V289" s="15">
        <f>VLOOKUP(IF(J289&lt;10, 10, IF(J289&gt;50,50,J289)),'Over to underbark'!$A$3:$C$43,IF(A289="Scots pine",3,IF(A289="Sitka spruce",2, "error")),TRUE)/100</f>
        <v>0.85</v>
      </c>
      <c r="W289">
        <f t="shared" si="59"/>
        <v>63.265500000000003</v>
      </c>
      <c r="X289">
        <f t="shared" si="60"/>
        <v>512.85599999999999</v>
      </c>
      <c r="Y289">
        <f t="shared" si="61"/>
        <v>101.66850000000002</v>
      </c>
      <c r="Z289">
        <f t="shared" si="69"/>
        <v>214.65823500000005</v>
      </c>
      <c r="AA289">
        <f t="shared" si="70"/>
        <v>155.41816499999999</v>
      </c>
      <c r="AB289">
        <f t="shared" si="71"/>
        <v>307.71359999999999</v>
      </c>
      <c r="AC289">
        <f>LOOKUP($A289,'Over to underbark'!$A$47:$A$48,'Over to underbark'!E$47:E$48)*Z289</f>
        <v>90.156458700000016</v>
      </c>
      <c r="AD289">
        <f>LOOKUP($A289,'Over to underbark'!$A$47:$A$48,'Over to underbark'!E$47:E$48)*AA289</f>
        <v>65.275629299999991</v>
      </c>
      <c r="AE289">
        <f>LOOKUP($A289,'Over to underbark'!$A$47:$A$48,'Over to underbark'!E$47:E$48)*AB289</f>
        <v>129.239712</v>
      </c>
      <c r="AF289" t="b">
        <f t="shared" si="62"/>
        <v>1</v>
      </c>
      <c r="AG289" t="b">
        <f t="shared" si="63"/>
        <v>1</v>
      </c>
      <c r="AH289">
        <f>LOOKUP(A289,'Over to underbark'!$A$47:$A$48,'Over to underbark'!E$47:E$48)*M289</f>
        <v>316.30200000000002</v>
      </c>
      <c r="AI289" s="27">
        <f>LOOKUP(A289,'Over to underbark'!$A$47:$A$48,'Over to underbark'!$B$47:$B$48)*AH289</f>
        <v>107.54268000000002</v>
      </c>
      <c r="AJ289" s="27">
        <f>LOOKUP(A290,'Over to underbark'!$A$47:$A$48,'Over to underbark'!C$47:C$48)*AH289</f>
        <v>110.70570000000001</v>
      </c>
      <c r="AK289" s="27">
        <f t="shared" si="64"/>
        <v>423.84468000000004</v>
      </c>
      <c r="AL289" s="33">
        <v>1009.15</v>
      </c>
      <c r="AM289" s="28">
        <f t="shared" si="65"/>
        <v>847.68936000000008</v>
      </c>
      <c r="AO289">
        <f t="shared" si="66"/>
        <v>0.67164179104477606</v>
      </c>
    </row>
    <row r="290" spans="1:41" x14ac:dyDescent="0.35">
      <c r="A290" t="s">
        <v>39</v>
      </c>
      <c r="B290">
        <v>10</v>
      </c>
      <c r="C290">
        <v>2</v>
      </c>
      <c r="D290" t="s">
        <v>40</v>
      </c>
      <c r="E290">
        <v>2</v>
      </c>
      <c r="F290">
        <v>1</v>
      </c>
      <c r="G290" s="16">
        <v>96</v>
      </c>
      <c r="H290" s="16">
        <v>25.838000000000001</v>
      </c>
      <c r="I290" s="16">
        <v>790</v>
      </c>
      <c r="J290" s="16">
        <v>34.392000000000003</v>
      </c>
      <c r="K290" s="16">
        <v>73.412000000000006</v>
      </c>
      <c r="L290" s="16">
        <v>0.95799999999999996</v>
      </c>
      <c r="M290" s="23">
        <v>757.2</v>
      </c>
      <c r="N290" s="16">
        <v>13.430999999999999</v>
      </c>
      <c r="O290" s="17">
        <v>7.8869999999999996</v>
      </c>
      <c r="P290" s="18">
        <v>96</v>
      </c>
      <c r="Q290" s="18">
        <v>34.392000000000003</v>
      </c>
      <c r="R290" s="18">
        <v>81.622</v>
      </c>
      <c r="S290" s="18">
        <v>675.57799999999997</v>
      </c>
      <c r="T290" s="14" t="b">
        <f t="shared" si="67"/>
        <v>1</v>
      </c>
      <c r="U290" s="14" t="b">
        <f t="shared" si="68"/>
        <v>1</v>
      </c>
      <c r="V290" s="15">
        <f>VLOOKUP(IF(J290&lt;10, 10, IF(J290&gt;50,50,J290)),'Over to underbark'!$A$3:$C$43,IF(A290="Scots pine",3,IF(A290="Sitka spruce",2, "error")),TRUE)/100</f>
        <v>0.85</v>
      </c>
      <c r="W290">
        <f t="shared" si="59"/>
        <v>62.440829999999998</v>
      </c>
      <c r="X290">
        <f t="shared" si="60"/>
        <v>516.81717000000003</v>
      </c>
      <c r="Y290">
        <f t="shared" si="61"/>
        <v>102.22199999999999</v>
      </c>
      <c r="Z290">
        <f t="shared" si="69"/>
        <v>215.33584860000002</v>
      </c>
      <c r="AA290">
        <f t="shared" si="70"/>
        <v>156.05384940000002</v>
      </c>
      <c r="AB290">
        <f t="shared" si="71"/>
        <v>310.09030200000001</v>
      </c>
      <c r="AC290">
        <f>LOOKUP($A290,'Over to underbark'!$A$47:$A$48,'Over to underbark'!E$47:E$48)*Z290</f>
        <v>90.441056412000009</v>
      </c>
      <c r="AD290">
        <f>LOOKUP($A290,'Over to underbark'!$A$47:$A$48,'Over to underbark'!E$47:E$48)*AA290</f>
        <v>65.542616748</v>
      </c>
      <c r="AE290">
        <f>LOOKUP($A290,'Over to underbark'!$A$47:$A$48,'Over to underbark'!E$47:E$48)*AB290</f>
        <v>130.23792684</v>
      </c>
      <c r="AF290" t="b">
        <f t="shared" si="62"/>
        <v>1</v>
      </c>
      <c r="AG290" t="b">
        <f t="shared" si="63"/>
        <v>1</v>
      </c>
      <c r="AH290">
        <f>LOOKUP(A290,'Over to underbark'!$A$47:$A$48,'Over to underbark'!E$47:E$48)*M290</f>
        <v>318.024</v>
      </c>
      <c r="AI290" s="27">
        <f>LOOKUP(A290,'Over to underbark'!$A$47:$A$48,'Over to underbark'!$B$47:$B$48)*AH290</f>
        <v>108.12816000000001</v>
      </c>
      <c r="AJ290" s="27">
        <f>LOOKUP(A291,'Over to underbark'!$A$47:$A$48,'Over to underbark'!C$47:C$48)*AH290</f>
        <v>111.30839999999999</v>
      </c>
      <c r="AK290" s="27">
        <f t="shared" si="64"/>
        <v>426.15215999999998</v>
      </c>
      <c r="AL290" s="33">
        <v>1014.65</v>
      </c>
      <c r="AM290" s="28">
        <f t="shared" si="65"/>
        <v>852.30431999999996</v>
      </c>
      <c r="AO290">
        <f t="shared" si="66"/>
        <v>0.67164179104477617</v>
      </c>
    </row>
    <row r="291" spans="1:41" x14ac:dyDescent="0.35">
      <c r="A291" t="s">
        <v>39</v>
      </c>
      <c r="B291">
        <v>10</v>
      </c>
      <c r="C291">
        <v>2</v>
      </c>
      <c r="D291" t="s">
        <v>40</v>
      </c>
      <c r="E291">
        <v>2</v>
      </c>
      <c r="F291">
        <v>1</v>
      </c>
      <c r="G291" s="16">
        <v>97</v>
      </c>
      <c r="H291" s="16">
        <v>25.92</v>
      </c>
      <c r="I291" s="16">
        <v>786</v>
      </c>
      <c r="J291" s="16">
        <v>34.54</v>
      </c>
      <c r="K291" s="16">
        <v>73.638000000000005</v>
      </c>
      <c r="L291" s="16">
        <v>0.96899999999999997</v>
      </c>
      <c r="M291" s="23">
        <v>761.3</v>
      </c>
      <c r="N291" s="16">
        <v>13.497999999999999</v>
      </c>
      <c r="O291" s="17">
        <v>7.8479999999999999</v>
      </c>
      <c r="P291" s="18">
        <v>97</v>
      </c>
      <c r="Q291" s="18">
        <v>34.54</v>
      </c>
      <c r="R291" s="18">
        <v>80.543999999999997</v>
      </c>
      <c r="S291" s="18">
        <v>680.75599999999997</v>
      </c>
      <c r="T291" s="14" t="b">
        <f t="shared" si="67"/>
        <v>1</v>
      </c>
      <c r="U291" s="14" t="b">
        <f t="shared" si="68"/>
        <v>1</v>
      </c>
      <c r="V291" s="15">
        <f>VLOOKUP(IF(J291&lt;10, 10, IF(J291&gt;50,50,J291)),'Over to underbark'!$A$3:$C$43,IF(A291="Scots pine",3,IF(A291="Sitka spruce",2, "error")),TRUE)/100</f>
        <v>0.85</v>
      </c>
      <c r="W291">
        <f t="shared" si="59"/>
        <v>61.616159999999994</v>
      </c>
      <c r="X291">
        <f t="shared" si="60"/>
        <v>520.77833999999996</v>
      </c>
      <c r="Y291">
        <f t="shared" si="61"/>
        <v>102.77550000000001</v>
      </c>
      <c r="Z291">
        <f t="shared" si="69"/>
        <v>216.01346219999999</v>
      </c>
      <c r="AA291">
        <f t="shared" si="70"/>
        <v>156.68953379999999</v>
      </c>
      <c r="AB291">
        <f t="shared" si="71"/>
        <v>312.46700399999997</v>
      </c>
      <c r="AC291">
        <f>LOOKUP($A291,'Over to underbark'!$A$47:$A$48,'Over to underbark'!E$47:E$48)*Z291</f>
        <v>90.725654123999988</v>
      </c>
      <c r="AD291">
        <f>LOOKUP($A291,'Over to underbark'!$A$47:$A$48,'Over to underbark'!E$47:E$48)*AA291</f>
        <v>65.809604195999995</v>
      </c>
      <c r="AE291">
        <f>LOOKUP($A291,'Over to underbark'!$A$47:$A$48,'Over to underbark'!E$47:E$48)*AB291</f>
        <v>131.23614167999997</v>
      </c>
      <c r="AF291" t="b">
        <f t="shared" si="62"/>
        <v>1</v>
      </c>
      <c r="AG291" t="b">
        <f t="shared" si="63"/>
        <v>1</v>
      </c>
      <c r="AH291">
        <f>LOOKUP(A291,'Over to underbark'!$A$47:$A$48,'Over to underbark'!E$47:E$48)*M291</f>
        <v>319.74599999999998</v>
      </c>
      <c r="AI291" s="27">
        <f>LOOKUP(A291,'Over to underbark'!$A$47:$A$48,'Over to underbark'!$B$47:$B$48)*AH291</f>
        <v>108.71364</v>
      </c>
      <c r="AJ291" s="27">
        <f>LOOKUP(A292,'Over to underbark'!$A$47:$A$48,'Over to underbark'!C$47:C$48)*AH291</f>
        <v>111.91109999999999</v>
      </c>
      <c r="AK291" s="27">
        <f t="shared" si="64"/>
        <v>428.45963999999998</v>
      </c>
      <c r="AL291" s="33">
        <v>1020.14</v>
      </c>
      <c r="AM291" s="28">
        <f t="shared" si="65"/>
        <v>856.91927999999996</v>
      </c>
      <c r="AO291">
        <f t="shared" si="66"/>
        <v>0.67164179104477606</v>
      </c>
    </row>
    <row r="292" spans="1:41" x14ac:dyDescent="0.35">
      <c r="A292" t="s">
        <v>39</v>
      </c>
      <c r="B292">
        <v>10</v>
      </c>
      <c r="C292">
        <v>2</v>
      </c>
      <c r="D292" t="s">
        <v>40</v>
      </c>
      <c r="E292">
        <v>2</v>
      </c>
      <c r="F292">
        <v>1</v>
      </c>
      <c r="G292" s="16">
        <v>98</v>
      </c>
      <c r="H292" s="16">
        <v>25.994</v>
      </c>
      <c r="I292" s="16">
        <v>782</v>
      </c>
      <c r="J292" s="16">
        <v>34.673999999999999</v>
      </c>
      <c r="K292" s="16">
        <v>73.855000000000004</v>
      </c>
      <c r="L292" s="16">
        <v>0.97799999999999998</v>
      </c>
      <c r="M292" s="23">
        <v>765.1</v>
      </c>
      <c r="N292" s="16">
        <v>13.561999999999999</v>
      </c>
      <c r="O292" s="17">
        <v>7.8070000000000004</v>
      </c>
      <c r="P292" s="18">
        <v>98</v>
      </c>
      <c r="Q292" s="18">
        <v>34.673999999999999</v>
      </c>
      <c r="R292" s="18">
        <v>79.585999999999999</v>
      </c>
      <c r="S292" s="18">
        <v>685.51400000000001</v>
      </c>
      <c r="T292" s="14" t="b">
        <f t="shared" si="67"/>
        <v>1</v>
      </c>
      <c r="U292" s="14" t="b">
        <f t="shared" si="68"/>
        <v>1</v>
      </c>
      <c r="V292" s="15">
        <f>VLOOKUP(IF(J292&lt;10, 10, IF(J292&gt;50,50,J292)),'Over to underbark'!$A$3:$C$43,IF(A292="Scots pine",3,IF(A292="Sitka spruce",2, "error")),TRUE)/100</f>
        <v>0.85</v>
      </c>
      <c r="W292">
        <f t="shared" si="59"/>
        <v>60.883289999999995</v>
      </c>
      <c r="X292">
        <f t="shared" si="60"/>
        <v>524.41821000000004</v>
      </c>
      <c r="Y292">
        <f t="shared" si="61"/>
        <v>103.28850000000001</v>
      </c>
      <c r="Z292">
        <f t="shared" si="69"/>
        <v>216.65470680000001</v>
      </c>
      <c r="AA292">
        <f t="shared" si="70"/>
        <v>157.28436720000002</v>
      </c>
      <c r="AB292">
        <f t="shared" si="71"/>
        <v>314.65092600000003</v>
      </c>
      <c r="AC292">
        <f>LOOKUP($A292,'Over to underbark'!$A$47:$A$48,'Over to underbark'!E$47:E$48)*Z292</f>
        <v>90.994976856000008</v>
      </c>
      <c r="AD292">
        <f>LOOKUP($A292,'Over to underbark'!$A$47:$A$48,'Over to underbark'!E$47:E$48)*AA292</f>
        <v>66.059434224</v>
      </c>
      <c r="AE292">
        <f>LOOKUP($A292,'Over to underbark'!$A$47:$A$48,'Over to underbark'!E$47:E$48)*AB292</f>
        <v>132.15338892</v>
      </c>
      <c r="AF292" t="b">
        <f t="shared" si="62"/>
        <v>1</v>
      </c>
      <c r="AG292" t="b">
        <f t="shared" si="63"/>
        <v>1</v>
      </c>
      <c r="AH292">
        <f>LOOKUP(A292,'Over to underbark'!$A$47:$A$48,'Over to underbark'!E$47:E$48)*M292</f>
        <v>321.34199999999998</v>
      </c>
      <c r="AI292" s="27">
        <f>LOOKUP(A292,'Over to underbark'!$A$47:$A$48,'Over to underbark'!$B$47:$B$48)*AH292</f>
        <v>109.25628</v>
      </c>
      <c r="AJ292" s="27">
        <f>LOOKUP(A293,'Over to underbark'!$A$47:$A$48,'Over to underbark'!C$47:C$48)*AH292</f>
        <v>112.46969999999999</v>
      </c>
      <c r="AK292" s="27">
        <f t="shared" si="64"/>
        <v>430.59827999999999</v>
      </c>
      <c r="AL292" s="33">
        <v>1025.23</v>
      </c>
      <c r="AM292" s="28">
        <f t="shared" si="65"/>
        <v>861.19655999999998</v>
      </c>
      <c r="AO292">
        <f t="shared" si="66"/>
        <v>0.67164179104477617</v>
      </c>
    </row>
    <row r="293" spans="1:41" x14ac:dyDescent="0.35">
      <c r="A293" t="s">
        <v>39</v>
      </c>
      <c r="B293">
        <v>10</v>
      </c>
      <c r="C293">
        <v>2</v>
      </c>
      <c r="D293" t="s">
        <v>40</v>
      </c>
      <c r="E293">
        <v>2</v>
      </c>
      <c r="F293">
        <v>1</v>
      </c>
      <c r="G293" s="16">
        <v>99</v>
      </c>
      <c r="H293" s="16">
        <v>26.068000000000001</v>
      </c>
      <c r="I293" s="16">
        <v>778</v>
      </c>
      <c r="J293" s="16">
        <v>34.81</v>
      </c>
      <c r="K293" s="16">
        <v>74.072999999999993</v>
      </c>
      <c r="L293" s="16">
        <v>0.98799999999999999</v>
      </c>
      <c r="M293" s="23">
        <v>768.9</v>
      </c>
      <c r="N293" s="16">
        <v>13.624000000000001</v>
      </c>
      <c r="O293" s="17">
        <v>7.7670000000000003</v>
      </c>
      <c r="P293" s="18">
        <v>99</v>
      </c>
      <c r="Q293" s="18">
        <v>34.81</v>
      </c>
      <c r="R293" s="18">
        <v>78.617000000000004</v>
      </c>
      <c r="S293" s="18">
        <v>690.28300000000002</v>
      </c>
      <c r="T293" s="14" t="b">
        <f t="shared" si="67"/>
        <v>1</v>
      </c>
      <c r="U293" s="14" t="b">
        <f t="shared" si="68"/>
        <v>1</v>
      </c>
      <c r="V293" s="15">
        <f>VLOOKUP(IF(J293&lt;10, 10, IF(J293&gt;50,50,J293)),'Over to underbark'!$A$3:$C$43,IF(A293="Scots pine",3,IF(A293="Sitka spruce",2, "error")),TRUE)/100</f>
        <v>0.85</v>
      </c>
      <c r="W293">
        <f t="shared" si="59"/>
        <v>60.142005000000005</v>
      </c>
      <c r="X293">
        <f t="shared" si="60"/>
        <v>528.06649500000003</v>
      </c>
      <c r="Y293">
        <f t="shared" si="61"/>
        <v>103.80150000000002</v>
      </c>
      <c r="Z293">
        <f t="shared" si="69"/>
        <v>217.29241710000002</v>
      </c>
      <c r="AA293">
        <f t="shared" si="70"/>
        <v>157.87768590000002</v>
      </c>
      <c r="AB293">
        <f t="shared" si="71"/>
        <v>316.83989700000001</v>
      </c>
      <c r="AC293">
        <f>LOOKUP($A293,'Over to underbark'!$A$47:$A$48,'Over to underbark'!E$47:E$48)*Z293</f>
        <v>91.262815182000011</v>
      </c>
      <c r="AD293">
        <f>LOOKUP($A293,'Over to underbark'!$A$47:$A$48,'Over to underbark'!E$47:E$48)*AA293</f>
        <v>66.308628077999998</v>
      </c>
      <c r="AE293">
        <f>LOOKUP($A293,'Over to underbark'!$A$47:$A$48,'Over to underbark'!E$47:E$48)*AB293</f>
        <v>133.07275673999999</v>
      </c>
      <c r="AF293" t="b">
        <f t="shared" si="62"/>
        <v>1</v>
      </c>
      <c r="AG293" t="b">
        <f t="shared" si="63"/>
        <v>1</v>
      </c>
      <c r="AH293">
        <f>LOOKUP(A293,'Over to underbark'!$A$47:$A$48,'Over to underbark'!E$47:E$48)*M293</f>
        <v>322.93799999999999</v>
      </c>
      <c r="AI293" s="27">
        <f>LOOKUP(A293,'Over to underbark'!$A$47:$A$48,'Over to underbark'!$B$47:$B$48)*AH293</f>
        <v>109.79892000000001</v>
      </c>
      <c r="AJ293" s="27">
        <f>LOOKUP(A294,'Over to underbark'!$A$47:$A$48,'Over to underbark'!C$47:C$48)*AH293</f>
        <v>113.02829999999999</v>
      </c>
      <c r="AK293" s="27">
        <f t="shared" si="64"/>
        <v>432.73692</v>
      </c>
      <c r="AL293" s="33">
        <v>1030.33</v>
      </c>
      <c r="AM293" s="28">
        <f t="shared" si="65"/>
        <v>865.47384</v>
      </c>
      <c r="AO293">
        <f t="shared" si="66"/>
        <v>0.67164179104477617</v>
      </c>
    </row>
    <row r="294" spans="1:41" x14ac:dyDescent="0.35">
      <c r="A294" t="s">
        <v>39</v>
      </c>
      <c r="B294">
        <v>10</v>
      </c>
      <c r="C294">
        <v>2</v>
      </c>
      <c r="D294" t="s">
        <v>40</v>
      </c>
      <c r="E294">
        <v>2</v>
      </c>
      <c r="F294">
        <v>1</v>
      </c>
      <c r="G294" s="16">
        <v>100</v>
      </c>
      <c r="H294" s="16">
        <v>26.141999999999999</v>
      </c>
      <c r="I294" s="16">
        <v>775</v>
      </c>
      <c r="J294" s="16">
        <v>34.945999999999998</v>
      </c>
      <c r="K294" s="16">
        <v>74.290000000000006</v>
      </c>
      <c r="L294" s="16">
        <v>0.998</v>
      </c>
      <c r="M294" s="23">
        <v>772.7</v>
      </c>
      <c r="N294" s="16">
        <v>13.686</v>
      </c>
      <c r="O294" s="17">
        <v>7.7270000000000003</v>
      </c>
      <c r="P294" s="18">
        <v>100</v>
      </c>
      <c r="Q294" s="18">
        <v>34.945999999999998</v>
      </c>
      <c r="R294" s="18">
        <v>77.656000000000006</v>
      </c>
      <c r="S294" s="18">
        <v>695.04399999999998</v>
      </c>
      <c r="T294" s="14" t="b">
        <f t="shared" si="67"/>
        <v>1</v>
      </c>
      <c r="U294" s="14" t="b">
        <f t="shared" si="68"/>
        <v>1</v>
      </c>
      <c r="V294" s="15">
        <f>VLOOKUP(IF(J294&lt;10, 10, IF(J294&gt;50,50,J294)),'Over to underbark'!$A$3:$C$43,IF(A294="Scots pine",3,IF(A294="Sitka spruce",2, "error")),TRUE)/100</f>
        <v>0.85</v>
      </c>
      <c r="W294">
        <f t="shared" si="59"/>
        <v>59.40684000000001</v>
      </c>
      <c r="X294">
        <f t="shared" si="60"/>
        <v>531.7086599999999</v>
      </c>
      <c r="Y294">
        <f t="shared" si="61"/>
        <v>104.31450000000002</v>
      </c>
      <c r="Z294">
        <f t="shared" si="69"/>
        <v>217.9326978</v>
      </c>
      <c r="AA294">
        <f t="shared" si="70"/>
        <v>158.47210619999998</v>
      </c>
      <c r="AB294">
        <f t="shared" si="71"/>
        <v>319.02519599999994</v>
      </c>
      <c r="AC294">
        <f>LOOKUP($A294,'Over to underbark'!$A$47:$A$48,'Over to underbark'!E$47:E$48)*Z294</f>
        <v>91.531733075999995</v>
      </c>
      <c r="AD294">
        <f>LOOKUP($A294,'Over to underbark'!$A$47:$A$48,'Over to underbark'!E$47:E$48)*AA294</f>
        <v>66.558284603999994</v>
      </c>
      <c r="AE294">
        <f>LOOKUP($A294,'Over to underbark'!$A$47:$A$48,'Over to underbark'!E$47:E$48)*AB294</f>
        <v>133.99058231999996</v>
      </c>
      <c r="AF294" t="b">
        <f t="shared" si="62"/>
        <v>1</v>
      </c>
      <c r="AG294" t="b">
        <f t="shared" si="63"/>
        <v>1</v>
      </c>
      <c r="AH294">
        <f>LOOKUP(A294,'Over to underbark'!$A$47:$A$48,'Over to underbark'!E$47:E$48)*M294</f>
        <v>324.53399999999999</v>
      </c>
      <c r="AI294" s="27">
        <f>LOOKUP(A294,'Over to underbark'!$A$47:$A$48,'Over to underbark'!$B$47:$B$48)*AH294</f>
        <v>110.34156</v>
      </c>
      <c r="AJ294" s="27">
        <f>LOOKUP(A295,'Over to underbark'!$A$47:$A$48,'Over to underbark'!C$47:C$48)*AH294</f>
        <v>113.58689999999999</v>
      </c>
      <c r="AK294" s="27">
        <f t="shared" si="64"/>
        <v>434.87556000000001</v>
      </c>
      <c r="AL294" s="33">
        <v>1035.42</v>
      </c>
      <c r="AM294" s="28">
        <f t="shared" si="65"/>
        <v>869.75112000000001</v>
      </c>
      <c r="AO294">
        <f t="shared" si="66"/>
        <v>0.67164179104477595</v>
      </c>
    </row>
    <row r="295" spans="1:41" x14ac:dyDescent="0.35">
      <c r="A295" t="s">
        <v>39</v>
      </c>
      <c r="B295">
        <v>10</v>
      </c>
      <c r="C295">
        <v>2</v>
      </c>
      <c r="D295" t="s">
        <v>40</v>
      </c>
      <c r="E295">
        <v>2</v>
      </c>
      <c r="F295">
        <v>1</v>
      </c>
      <c r="G295" s="16">
        <v>101</v>
      </c>
      <c r="H295" s="16">
        <v>26.216000000000001</v>
      </c>
      <c r="I295" s="16">
        <v>771</v>
      </c>
      <c r="J295" s="16">
        <v>35.082000000000001</v>
      </c>
      <c r="K295" s="16">
        <v>74.507000000000005</v>
      </c>
      <c r="L295" s="16">
        <v>1.0069999999999999</v>
      </c>
      <c r="M295" s="23">
        <v>776.5</v>
      </c>
      <c r="N295" s="16">
        <v>13.747</v>
      </c>
      <c r="O295" s="17">
        <v>7.6879999999999997</v>
      </c>
      <c r="P295" s="18">
        <v>101</v>
      </c>
      <c r="Q295" s="18">
        <v>35.082000000000001</v>
      </c>
      <c r="R295" s="18">
        <v>76.704999999999998</v>
      </c>
      <c r="S295" s="18">
        <v>699.79499999999996</v>
      </c>
      <c r="T295" s="14" t="b">
        <f t="shared" si="67"/>
        <v>1</v>
      </c>
      <c r="U295" s="14" t="b">
        <f t="shared" si="68"/>
        <v>1</v>
      </c>
      <c r="V295" s="15">
        <f>VLOOKUP(IF(J295&lt;10, 10, IF(J295&gt;50,50,J295)),'Over to underbark'!$A$3:$C$43,IF(A295="Scots pine",3,IF(A295="Sitka spruce",2, "error")),TRUE)/100</f>
        <v>0.85</v>
      </c>
      <c r="W295">
        <f t="shared" si="59"/>
        <v>58.679324999999992</v>
      </c>
      <c r="X295">
        <f t="shared" si="60"/>
        <v>535.34317499999997</v>
      </c>
      <c r="Y295">
        <f t="shared" si="61"/>
        <v>104.82750000000001</v>
      </c>
      <c r="Z295">
        <f t="shared" si="69"/>
        <v>218.57619149999999</v>
      </c>
      <c r="AA295">
        <f t="shared" si="70"/>
        <v>159.0679035</v>
      </c>
      <c r="AB295">
        <f t="shared" si="71"/>
        <v>321.20590499999997</v>
      </c>
      <c r="AC295">
        <f>LOOKUP($A295,'Over to underbark'!$A$47:$A$48,'Over to underbark'!E$47:E$48)*Z295</f>
        <v>91.802000429999993</v>
      </c>
      <c r="AD295">
        <f>LOOKUP($A295,'Over to underbark'!$A$47:$A$48,'Over to underbark'!E$47:E$48)*AA295</f>
        <v>66.808519469999993</v>
      </c>
      <c r="AE295">
        <f>LOOKUP($A295,'Over to underbark'!$A$47:$A$48,'Over to underbark'!E$47:E$48)*AB295</f>
        <v>134.90648009999998</v>
      </c>
      <c r="AF295" t="b">
        <f t="shared" si="62"/>
        <v>1</v>
      </c>
      <c r="AG295" t="b">
        <f t="shared" si="63"/>
        <v>1</v>
      </c>
      <c r="AH295">
        <f>LOOKUP(A295,'Over to underbark'!$A$47:$A$48,'Over to underbark'!E$47:E$48)*M295</f>
        <v>326.13</v>
      </c>
      <c r="AI295" s="27">
        <f>LOOKUP(A295,'Over to underbark'!$A$47:$A$48,'Over to underbark'!$B$47:$B$48)*AH295</f>
        <v>110.88420000000001</v>
      </c>
      <c r="AJ295" s="27">
        <f>LOOKUP(A296,'Over to underbark'!$A$47:$A$48,'Over to underbark'!C$47:C$48)*AH295</f>
        <v>114.14549999999998</v>
      </c>
      <c r="AK295" s="27">
        <f t="shared" si="64"/>
        <v>437.01420000000002</v>
      </c>
      <c r="AL295" s="33">
        <v>1040.51</v>
      </c>
      <c r="AM295" s="28">
        <f t="shared" si="65"/>
        <v>874.02840000000003</v>
      </c>
      <c r="AO295">
        <f t="shared" si="66"/>
        <v>0.67164179104477595</v>
      </c>
    </row>
    <row r="296" spans="1:41" x14ac:dyDescent="0.35">
      <c r="A296" t="s">
        <v>39</v>
      </c>
      <c r="B296">
        <v>10</v>
      </c>
      <c r="C296">
        <v>2</v>
      </c>
      <c r="D296" t="s">
        <v>40</v>
      </c>
      <c r="E296">
        <v>2</v>
      </c>
      <c r="F296">
        <v>1</v>
      </c>
      <c r="G296" s="16">
        <v>102</v>
      </c>
      <c r="H296" s="16">
        <v>26.29</v>
      </c>
      <c r="I296" s="16">
        <v>767</v>
      </c>
      <c r="J296" s="16">
        <v>35.22</v>
      </c>
      <c r="K296" s="16">
        <v>74.724999999999994</v>
      </c>
      <c r="L296" s="16">
        <v>1.0169999999999999</v>
      </c>
      <c r="M296" s="23">
        <v>780.3</v>
      </c>
      <c r="N296" s="16">
        <v>13.808</v>
      </c>
      <c r="O296" s="17">
        <v>7.65</v>
      </c>
      <c r="P296" s="18">
        <v>102</v>
      </c>
      <c r="Q296" s="18">
        <v>35.22</v>
      </c>
      <c r="R296" s="18">
        <v>75.742999999999995</v>
      </c>
      <c r="S296" s="18">
        <v>704.55700000000002</v>
      </c>
      <c r="T296" s="14" t="b">
        <f t="shared" si="67"/>
        <v>1</v>
      </c>
      <c r="U296" s="14" t="b">
        <f t="shared" si="68"/>
        <v>1</v>
      </c>
      <c r="V296" s="15">
        <f>VLOOKUP(IF(J296&lt;10, 10, IF(J296&gt;50,50,J296)),'Over to underbark'!$A$3:$C$43,IF(A296="Scots pine",3,IF(A296="Sitka spruce",2, "error")),TRUE)/100</f>
        <v>0.85</v>
      </c>
      <c r="W296">
        <f t="shared" si="59"/>
        <v>57.943395000000002</v>
      </c>
      <c r="X296">
        <f t="shared" si="60"/>
        <v>538.98610500000007</v>
      </c>
      <c r="Y296">
        <f t="shared" si="61"/>
        <v>105.34050000000001</v>
      </c>
      <c r="Z296">
        <f t="shared" si="69"/>
        <v>219.2161509</v>
      </c>
      <c r="AA296">
        <f t="shared" si="70"/>
        <v>159.66218610000001</v>
      </c>
      <c r="AB296">
        <f t="shared" si="71"/>
        <v>323.39166300000005</v>
      </c>
      <c r="AC296">
        <f>LOOKUP($A296,'Over to underbark'!$A$47:$A$48,'Over to underbark'!E$47:E$48)*Z296</f>
        <v>92.070783378000002</v>
      </c>
      <c r="AD296">
        <f>LOOKUP($A296,'Over to underbark'!$A$47:$A$48,'Over to underbark'!E$47:E$48)*AA296</f>
        <v>67.058118162</v>
      </c>
      <c r="AE296">
        <f>LOOKUP($A296,'Over to underbark'!$A$47:$A$48,'Over to underbark'!E$47:E$48)*AB296</f>
        <v>135.82449846000003</v>
      </c>
      <c r="AF296" t="b">
        <f t="shared" si="62"/>
        <v>1</v>
      </c>
      <c r="AG296" t="b">
        <f t="shared" si="63"/>
        <v>1</v>
      </c>
      <c r="AH296">
        <f>LOOKUP(A296,'Over to underbark'!$A$47:$A$48,'Over to underbark'!E$47:E$48)*M296</f>
        <v>327.72599999999994</v>
      </c>
      <c r="AI296" s="27">
        <f>LOOKUP(A296,'Over to underbark'!$A$47:$A$48,'Over to underbark'!$B$47:$B$48)*AH296</f>
        <v>111.42683999999998</v>
      </c>
      <c r="AJ296" s="27">
        <f>LOOKUP(A297,'Over to underbark'!$A$47:$A$48,'Over to underbark'!C$47:C$48)*AH296</f>
        <v>160.58573999999996</v>
      </c>
      <c r="AK296" s="27">
        <f t="shared" si="64"/>
        <v>439.15283999999991</v>
      </c>
      <c r="AL296" s="33">
        <v>1045.5999999999999</v>
      </c>
      <c r="AM296" s="28">
        <f t="shared" si="65"/>
        <v>878.30567999999982</v>
      </c>
      <c r="AO296">
        <f t="shared" si="66"/>
        <v>0.67164179104477639</v>
      </c>
    </row>
    <row r="297" spans="1:41" x14ac:dyDescent="0.35">
      <c r="A297" t="s">
        <v>41</v>
      </c>
      <c r="B297">
        <v>6</v>
      </c>
      <c r="C297">
        <v>2</v>
      </c>
      <c r="D297" t="s">
        <v>40</v>
      </c>
      <c r="E297">
        <v>2</v>
      </c>
      <c r="F297">
        <v>1</v>
      </c>
      <c r="G297" s="16">
        <v>30</v>
      </c>
      <c r="H297" s="16">
        <v>7.45</v>
      </c>
      <c r="I297" s="16">
        <v>2307</v>
      </c>
      <c r="J297" s="16">
        <v>11.42</v>
      </c>
      <c r="K297" s="16">
        <v>23.63</v>
      </c>
      <c r="L297" s="16">
        <v>2.9000000000000001E-2</v>
      </c>
      <c r="M297" s="23">
        <v>67</v>
      </c>
      <c r="N297" s="16">
        <v>0</v>
      </c>
      <c r="O297" s="17">
        <v>2.2330000000000001</v>
      </c>
      <c r="P297" s="18">
        <v>30</v>
      </c>
      <c r="Q297" s="18">
        <v>11.42</v>
      </c>
      <c r="R297" s="18">
        <v>67</v>
      </c>
      <c r="S297" s="18">
        <v>0</v>
      </c>
      <c r="T297" s="14" t="b">
        <f t="shared" ref="T297:T360" si="72">G297=P297</f>
        <v>1</v>
      </c>
      <c r="U297" s="14" t="b">
        <f t="shared" ref="U297:U360" si="73">J297=Q297</f>
        <v>1</v>
      </c>
      <c r="V297" s="15">
        <f>VLOOKUP(IF(J297&lt;10, 10, IF(J297&gt;50,50,J297)),'Over to underbark'!$A$3:$C$43,IF(A297="Scots pine",3,IF(A297="Sitka spruce",2, "error")),TRUE)/100</f>
        <v>0.82</v>
      </c>
      <c r="W297">
        <f t="shared" ref="W297:W360" si="74">R297*0.9*V297</f>
        <v>49.445999999999998</v>
      </c>
      <c r="X297">
        <f t="shared" ref="X297:X360" si="75">S297*0.9*V297</f>
        <v>0</v>
      </c>
      <c r="Y297">
        <f t="shared" ref="Y297:Y360" si="76">(R297+S297)*0.9*(100%-V297)</f>
        <v>10.854000000000005</v>
      </c>
      <c r="Z297">
        <f t="shared" ref="Z297:Z360" si="77">Y297+(57%*W297)+(15%*X297)</f>
        <v>39.038220000000003</v>
      </c>
      <c r="AA297">
        <f t="shared" ref="AA297:AA360" si="78">(43%*W297)+(25%*X297)</f>
        <v>21.261779999999998</v>
      </c>
      <c r="AB297">
        <f t="shared" ref="AB297:AB360" si="79">60%*X297</f>
        <v>0</v>
      </c>
      <c r="AC297">
        <f>LOOKUP($A297,'Over to underbark'!$A$47:$A$48,'Over to underbark'!E$47:E$48)*Z297</f>
        <v>12.882612600000002</v>
      </c>
      <c r="AD297">
        <f>LOOKUP($A297,'Over to underbark'!$A$47:$A$48,'Over to underbark'!E$47:E$48)*AA297</f>
        <v>7.0163873999999993</v>
      </c>
      <c r="AE297">
        <f>LOOKUP($A297,'Over to underbark'!$A$47:$A$48,'Over to underbark'!E$47:E$48)*AB297</f>
        <v>0</v>
      </c>
      <c r="AF297" t="b">
        <f t="shared" ref="AF297:AF360" si="80">SUM(W297:Y297)=SUM(Z297:AB297)</f>
        <v>1</v>
      </c>
      <c r="AG297" t="b">
        <f t="shared" ref="AG297:AG360" si="81">SUM(R297:S297)*0.9 = SUM(W297:Y297)</f>
        <v>1</v>
      </c>
      <c r="AH297">
        <f>LOOKUP(A297,'Over to underbark'!$A$47:$A$48,'Over to underbark'!E$47:E$48)*M297</f>
        <v>22.11</v>
      </c>
      <c r="AI297" s="27">
        <f>LOOKUP(A297,'Over to underbark'!$A$47:$A$48,'Over to underbark'!$B$47:$B$48)*AH297</f>
        <v>7.0751999999999997</v>
      </c>
      <c r="AJ297" s="27">
        <f>LOOKUP(A298,'Over to underbark'!$A$47:$A$48,'Over to underbark'!C$47:C$48)*AH297</f>
        <v>10.8339</v>
      </c>
      <c r="AK297" s="27">
        <f t="shared" si="64"/>
        <v>29.185199999999998</v>
      </c>
      <c r="AL297" s="33">
        <v>88.44</v>
      </c>
      <c r="AM297" s="28">
        <f t="shared" si="65"/>
        <v>58.370399999999997</v>
      </c>
      <c r="AO297">
        <f t="shared" si="66"/>
        <v>0.68181818181818188</v>
      </c>
    </row>
    <row r="298" spans="1:41" x14ac:dyDescent="0.35">
      <c r="A298" t="s">
        <v>41</v>
      </c>
      <c r="B298">
        <v>6</v>
      </c>
      <c r="C298">
        <v>2</v>
      </c>
      <c r="D298" t="s">
        <v>40</v>
      </c>
      <c r="E298">
        <v>2</v>
      </c>
      <c r="F298">
        <v>1</v>
      </c>
      <c r="G298" s="16">
        <v>31</v>
      </c>
      <c r="H298" s="16">
        <v>7.8019999999999996</v>
      </c>
      <c r="I298" s="16">
        <v>2299</v>
      </c>
      <c r="J298" s="16">
        <v>11.76</v>
      </c>
      <c r="K298" s="16">
        <v>24.971</v>
      </c>
      <c r="L298" s="16">
        <v>3.3000000000000002E-2</v>
      </c>
      <c r="M298" s="23">
        <v>75.14</v>
      </c>
      <c r="N298" s="16">
        <v>0</v>
      </c>
      <c r="O298" s="17">
        <v>2.4239999999999999</v>
      </c>
      <c r="P298" s="18">
        <v>31</v>
      </c>
      <c r="Q298" s="18">
        <v>11.76</v>
      </c>
      <c r="R298" s="18">
        <v>75.14</v>
      </c>
      <c r="S298" s="18">
        <v>0</v>
      </c>
      <c r="T298" s="14" t="b">
        <f t="shared" si="72"/>
        <v>1</v>
      </c>
      <c r="U298" s="14" t="b">
        <f t="shared" si="73"/>
        <v>1</v>
      </c>
      <c r="V298" s="15">
        <f>VLOOKUP(IF(J298&lt;10, 10, IF(J298&gt;50,50,J298)),'Over to underbark'!$A$3:$C$43,IF(A298="Scots pine",3,IF(A298="Sitka spruce",2, "error")),TRUE)/100</f>
        <v>0.82</v>
      </c>
      <c r="W298">
        <f t="shared" si="74"/>
        <v>55.453319999999998</v>
      </c>
      <c r="X298">
        <f t="shared" si="75"/>
        <v>0</v>
      </c>
      <c r="Y298">
        <f t="shared" si="76"/>
        <v>12.172680000000003</v>
      </c>
      <c r="Z298">
        <f t="shared" si="77"/>
        <v>43.781072399999999</v>
      </c>
      <c r="AA298">
        <f t="shared" si="78"/>
        <v>23.844927599999998</v>
      </c>
      <c r="AB298">
        <f t="shared" si="79"/>
        <v>0</v>
      </c>
      <c r="AC298">
        <f>LOOKUP($A298,'Over to underbark'!$A$47:$A$48,'Over to underbark'!E$47:E$48)*Z298</f>
        <v>14.447753892</v>
      </c>
      <c r="AD298">
        <f>LOOKUP($A298,'Over to underbark'!$A$47:$A$48,'Over to underbark'!E$47:E$48)*AA298</f>
        <v>7.8688261079999995</v>
      </c>
      <c r="AE298">
        <f>LOOKUP($A298,'Over to underbark'!$A$47:$A$48,'Over to underbark'!E$47:E$48)*AB298</f>
        <v>0</v>
      </c>
      <c r="AF298" t="b">
        <f t="shared" si="80"/>
        <v>1</v>
      </c>
      <c r="AG298" t="b">
        <f t="shared" si="81"/>
        <v>1</v>
      </c>
      <c r="AH298">
        <f>LOOKUP(A298,'Over to underbark'!$A$47:$A$48,'Over to underbark'!E$47:E$48)*M298</f>
        <v>24.796200000000002</v>
      </c>
      <c r="AI298" s="27">
        <f>LOOKUP(A298,'Over to underbark'!$A$47:$A$48,'Over to underbark'!$B$47:$B$48)*AH298</f>
        <v>7.9347840000000014</v>
      </c>
      <c r="AJ298" s="27">
        <f>LOOKUP(A299,'Over to underbark'!$A$47:$A$48,'Over to underbark'!C$47:C$48)*AH298</f>
        <v>12.150138</v>
      </c>
      <c r="AK298" s="27">
        <f t="shared" si="64"/>
        <v>32.730984000000007</v>
      </c>
      <c r="AL298" s="33">
        <v>99.18</v>
      </c>
      <c r="AM298" s="28">
        <f t="shared" si="65"/>
        <v>65.461968000000013</v>
      </c>
      <c r="AO298">
        <f t="shared" si="66"/>
        <v>0.68181818181818166</v>
      </c>
    </row>
    <row r="299" spans="1:41" x14ac:dyDescent="0.35">
      <c r="A299" t="s">
        <v>41</v>
      </c>
      <c r="B299">
        <v>6</v>
      </c>
      <c r="C299">
        <v>2</v>
      </c>
      <c r="D299" t="s">
        <v>40</v>
      </c>
      <c r="E299">
        <v>2</v>
      </c>
      <c r="F299">
        <v>1</v>
      </c>
      <c r="G299" s="16">
        <v>32</v>
      </c>
      <c r="H299" s="16">
        <v>8.1539999999999999</v>
      </c>
      <c r="I299" s="16">
        <v>2291</v>
      </c>
      <c r="J299" s="16">
        <v>12.093</v>
      </c>
      <c r="K299" s="16">
        <v>26.312000000000001</v>
      </c>
      <c r="L299" s="16">
        <v>3.5999999999999997E-2</v>
      </c>
      <c r="M299" s="23">
        <v>83.28</v>
      </c>
      <c r="N299" s="16">
        <v>0</v>
      </c>
      <c r="O299" s="17">
        <v>2.6030000000000002</v>
      </c>
      <c r="P299" s="18">
        <v>32</v>
      </c>
      <c r="Q299" s="18">
        <v>12.093</v>
      </c>
      <c r="R299" s="18">
        <v>83.28</v>
      </c>
      <c r="S299" s="18">
        <v>0</v>
      </c>
      <c r="T299" s="14" t="b">
        <f t="shared" si="72"/>
        <v>1</v>
      </c>
      <c r="U299" s="14" t="b">
        <f t="shared" si="73"/>
        <v>1</v>
      </c>
      <c r="V299" s="15">
        <f>VLOOKUP(IF(J299&lt;10, 10, IF(J299&gt;50,50,J299)),'Over to underbark'!$A$3:$C$43,IF(A299="Scots pine",3,IF(A299="Sitka spruce",2, "error")),TRUE)/100</f>
        <v>0.87</v>
      </c>
      <c r="W299">
        <f t="shared" si="74"/>
        <v>65.208240000000004</v>
      </c>
      <c r="X299">
        <f t="shared" si="75"/>
        <v>0</v>
      </c>
      <c r="Y299">
        <f t="shared" si="76"/>
        <v>9.74376</v>
      </c>
      <c r="Z299">
        <f t="shared" si="77"/>
        <v>46.912456800000001</v>
      </c>
      <c r="AA299">
        <f t="shared" si="78"/>
        <v>28.039543200000001</v>
      </c>
      <c r="AB299">
        <f t="shared" si="79"/>
        <v>0</v>
      </c>
      <c r="AC299">
        <f>LOOKUP($A299,'Over to underbark'!$A$47:$A$48,'Over to underbark'!E$47:E$48)*Z299</f>
        <v>15.481110744</v>
      </c>
      <c r="AD299">
        <f>LOOKUP($A299,'Over to underbark'!$A$47:$A$48,'Over to underbark'!E$47:E$48)*AA299</f>
        <v>9.2530492560000006</v>
      </c>
      <c r="AE299">
        <f>LOOKUP($A299,'Over to underbark'!$A$47:$A$48,'Over to underbark'!E$47:E$48)*AB299</f>
        <v>0</v>
      </c>
      <c r="AF299" t="b">
        <f t="shared" si="80"/>
        <v>1</v>
      </c>
      <c r="AG299" t="b">
        <f t="shared" si="81"/>
        <v>1</v>
      </c>
      <c r="AH299">
        <f>LOOKUP(A299,'Over to underbark'!$A$47:$A$48,'Over to underbark'!E$47:E$48)*M299</f>
        <v>27.482400000000002</v>
      </c>
      <c r="AI299" s="27">
        <f>LOOKUP(A299,'Over to underbark'!$A$47:$A$48,'Over to underbark'!$B$47:$B$48)*AH299</f>
        <v>8.7943680000000004</v>
      </c>
      <c r="AJ299" s="27">
        <f>LOOKUP(A300,'Over to underbark'!$A$47:$A$48,'Over to underbark'!C$47:C$48)*AH299</f>
        <v>13.466376</v>
      </c>
      <c r="AK299" s="27">
        <f t="shared" si="64"/>
        <v>36.276768000000004</v>
      </c>
      <c r="AL299" s="33">
        <v>109.93</v>
      </c>
      <c r="AM299" s="28">
        <f t="shared" si="65"/>
        <v>72.553536000000008</v>
      </c>
      <c r="AO299">
        <f t="shared" si="66"/>
        <v>0.68181818181818177</v>
      </c>
    </row>
    <row r="300" spans="1:41" x14ac:dyDescent="0.35">
      <c r="A300" t="s">
        <v>41</v>
      </c>
      <c r="B300">
        <v>6</v>
      </c>
      <c r="C300">
        <v>2</v>
      </c>
      <c r="D300" t="s">
        <v>40</v>
      </c>
      <c r="E300">
        <v>2</v>
      </c>
      <c r="F300">
        <v>1</v>
      </c>
      <c r="G300" s="16">
        <v>33</v>
      </c>
      <c r="H300" s="16">
        <v>8.5060000000000002</v>
      </c>
      <c r="I300" s="16">
        <v>2283</v>
      </c>
      <c r="J300" s="16">
        <v>12.419</v>
      </c>
      <c r="K300" s="16">
        <v>27.654</v>
      </c>
      <c r="L300" s="16">
        <v>0.04</v>
      </c>
      <c r="M300" s="23">
        <v>91.42</v>
      </c>
      <c r="N300" s="16">
        <v>0</v>
      </c>
      <c r="O300" s="17">
        <v>2.77</v>
      </c>
      <c r="P300" s="18">
        <v>33</v>
      </c>
      <c r="Q300" s="18">
        <v>12.419</v>
      </c>
      <c r="R300" s="18">
        <v>91.42</v>
      </c>
      <c r="S300" s="18">
        <v>0</v>
      </c>
      <c r="T300" s="14" t="b">
        <f t="shared" si="72"/>
        <v>1</v>
      </c>
      <c r="U300" s="14" t="b">
        <f t="shared" si="73"/>
        <v>1</v>
      </c>
      <c r="V300" s="15">
        <f>VLOOKUP(IF(J300&lt;10, 10, IF(J300&gt;50,50,J300)),'Over to underbark'!$A$3:$C$43,IF(A300="Scots pine",3,IF(A300="Sitka spruce",2, "error")),TRUE)/100</f>
        <v>0.87</v>
      </c>
      <c r="W300">
        <f t="shared" si="74"/>
        <v>71.581860000000006</v>
      </c>
      <c r="X300">
        <f t="shared" si="75"/>
        <v>0</v>
      </c>
      <c r="Y300">
        <f t="shared" si="76"/>
        <v>10.696140000000002</v>
      </c>
      <c r="Z300">
        <f t="shared" si="77"/>
        <v>51.4978002</v>
      </c>
      <c r="AA300">
        <f t="shared" si="78"/>
        <v>30.780199800000002</v>
      </c>
      <c r="AB300">
        <f t="shared" si="79"/>
        <v>0</v>
      </c>
      <c r="AC300">
        <f>LOOKUP($A300,'Over to underbark'!$A$47:$A$48,'Over to underbark'!E$47:E$48)*Z300</f>
        <v>16.994274066000003</v>
      </c>
      <c r="AD300">
        <f>LOOKUP($A300,'Over to underbark'!$A$47:$A$48,'Over to underbark'!E$47:E$48)*AA300</f>
        <v>10.157465934000001</v>
      </c>
      <c r="AE300">
        <f>LOOKUP($A300,'Over to underbark'!$A$47:$A$48,'Over to underbark'!E$47:E$48)*AB300</f>
        <v>0</v>
      </c>
      <c r="AF300" t="b">
        <f t="shared" si="80"/>
        <v>1</v>
      </c>
      <c r="AG300" t="b">
        <f t="shared" si="81"/>
        <v>1</v>
      </c>
      <c r="AH300">
        <f>LOOKUP(A300,'Over to underbark'!$A$47:$A$48,'Over to underbark'!E$47:E$48)*M300</f>
        <v>30.168600000000001</v>
      </c>
      <c r="AI300" s="27">
        <f>LOOKUP(A300,'Over to underbark'!$A$47:$A$48,'Over to underbark'!$B$47:$B$48)*AH300</f>
        <v>9.6539520000000003</v>
      </c>
      <c r="AJ300" s="27">
        <f>LOOKUP(A301,'Over to underbark'!$A$47:$A$48,'Over to underbark'!C$47:C$48)*AH300</f>
        <v>14.782614000000001</v>
      </c>
      <c r="AK300" s="27">
        <f t="shared" si="64"/>
        <v>39.822552000000002</v>
      </c>
      <c r="AL300" s="33">
        <v>120.67</v>
      </c>
      <c r="AM300" s="28">
        <f t="shared" si="65"/>
        <v>79.645104000000003</v>
      </c>
      <c r="AO300">
        <f t="shared" si="66"/>
        <v>0.68181818181818188</v>
      </c>
    </row>
    <row r="301" spans="1:41" x14ac:dyDescent="0.35">
      <c r="A301" t="s">
        <v>41</v>
      </c>
      <c r="B301">
        <v>6</v>
      </c>
      <c r="C301">
        <v>2</v>
      </c>
      <c r="D301" t="s">
        <v>40</v>
      </c>
      <c r="E301">
        <v>2</v>
      </c>
      <c r="F301">
        <v>1</v>
      </c>
      <c r="G301" s="16">
        <v>34</v>
      </c>
      <c r="H301" s="16">
        <v>8.8580000000000005</v>
      </c>
      <c r="I301" s="16">
        <v>2275</v>
      </c>
      <c r="J301" s="16">
        <v>12.739000000000001</v>
      </c>
      <c r="K301" s="16">
        <v>28.995000000000001</v>
      </c>
      <c r="L301" s="16">
        <v>4.3999999999999997E-2</v>
      </c>
      <c r="M301" s="23">
        <v>99.56</v>
      </c>
      <c r="N301" s="16">
        <v>0</v>
      </c>
      <c r="O301" s="17">
        <v>2.9279999999999999</v>
      </c>
      <c r="P301" s="18">
        <v>34</v>
      </c>
      <c r="Q301" s="18">
        <v>12.739000000000001</v>
      </c>
      <c r="R301" s="18">
        <v>99.284999999999997</v>
      </c>
      <c r="S301" s="18">
        <v>0.27500000000000002</v>
      </c>
      <c r="T301" s="14" t="b">
        <f t="shared" si="72"/>
        <v>1</v>
      </c>
      <c r="U301" s="14" t="b">
        <f t="shared" si="73"/>
        <v>1</v>
      </c>
      <c r="V301" s="15">
        <f>VLOOKUP(IF(J301&lt;10, 10, IF(J301&gt;50,50,J301)),'Over to underbark'!$A$3:$C$43,IF(A301="Scots pine",3,IF(A301="Sitka spruce",2, "error")),TRUE)/100</f>
        <v>0.87</v>
      </c>
      <c r="W301">
        <f t="shared" si="74"/>
        <v>77.740155000000001</v>
      </c>
      <c r="X301">
        <f t="shared" si="75"/>
        <v>0.21532500000000002</v>
      </c>
      <c r="Y301">
        <f t="shared" si="76"/>
        <v>11.64852</v>
      </c>
      <c r="Z301">
        <f t="shared" si="77"/>
        <v>55.992707099999997</v>
      </c>
      <c r="AA301">
        <f t="shared" si="78"/>
        <v>33.482097899999999</v>
      </c>
      <c r="AB301">
        <f t="shared" si="79"/>
        <v>0.129195</v>
      </c>
      <c r="AC301">
        <f>LOOKUP($A301,'Over to underbark'!$A$47:$A$48,'Over to underbark'!E$47:E$48)*Z301</f>
        <v>18.477593342999999</v>
      </c>
      <c r="AD301">
        <f>LOOKUP($A301,'Over to underbark'!$A$47:$A$48,'Over to underbark'!E$47:E$48)*AA301</f>
        <v>11.049092307</v>
      </c>
      <c r="AE301">
        <f>LOOKUP($A301,'Over to underbark'!$A$47:$A$48,'Over to underbark'!E$47:E$48)*AB301</f>
        <v>4.2634350000000001E-2</v>
      </c>
      <c r="AF301" t="b">
        <f t="shared" si="80"/>
        <v>1</v>
      </c>
      <c r="AG301" t="b">
        <f t="shared" si="81"/>
        <v>1</v>
      </c>
      <c r="AH301">
        <f>LOOKUP(A301,'Over to underbark'!$A$47:$A$48,'Over to underbark'!E$47:E$48)*M301</f>
        <v>32.854800000000004</v>
      </c>
      <c r="AI301" s="27">
        <f>LOOKUP(A301,'Over to underbark'!$A$47:$A$48,'Over to underbark'!$B$47:$B$48)*AH301</f>
        <v>10.513536000000002</v>
      </c>
      <c r="AJ301" s="27">
        <f>LOOKUP(A302,'Over to underbark'!$A$47:$A$48,'Over to underbark'!C$47:C$48)*AH301</f>
        <v>16.098852000000001</v>
      </c>
      <c r="AK301" s="27">
        <f t="shared" si="64"/>
        <v>43.368336000000006</v>
      </c>
      <c r="AL301" s="33">
        <v>131.41999999999999</v>
      </c>
      <c r="AM301" s="28">
        <f t="shared" si="65"/>
        <v>86.736672000000013</v>
      </c>
      <c r="AO301">
        <f t="shared" si="66"/>
        <v>0.68181818181818166</v>
      </c>
    </row>
    <row r="302" spans="1:41" x14ac:dyDescent="0.35">
      <c r="A302" t="s">
        <v>41</v>
      </c>
      <c r="B302">
        <v>6</v>
      </c>
      <c r="C302">
        <v>2</v>
      </c>
      <c r="D302" t="s">
        <v>40</v>
      </c>
      <c r="E302">
        <v>2</v>
      </c>
      <c r="F302">
        <v>1</v>
      </c>
      <c r="G302" s="16">
        <v>35</v>
      </c>
      <c r="H302" s="16">
        <v>9.2100000000000009</v>
      </c>
      <c r="I302" s="16">
        <v>2268</v>
      </c>
      <c r="J302" s="16">
        <v>13.05</v>
      </c>
      <c r="K302" s="16">
        <v>30.335999999999999</v>
      </c>
      <c r="L302" s="16">
        <v>4.7E-2</v>
      </c>
      <c r="M302" s="23">
        <v>107.7</v>
      </c>
      <c r="N302" s="16">
        <v>0</v>
      </c>
      <c r="O302" s="17">
        <v>3.077</v>
      </c>
      <c r="P302" s="18">
        <v>35</v>
      </c>
      <c r="Q302" s="18">
        <v>13.05</v>
      </c>
      <c r="R302" s="18">
        <v>105.548</v>
      </c>
      <c r="S302" s="18">
        <v>2.1520000000000001</v>
      </c>
      <c r="T302" s="14" t="b">
        <f t="shared" si="72"/>
        <v>1</v>
      </c>
      <c r="U302" s="14" t="b">
        <f t="shared" si="73"/>
        <v>1</v>
      </c>
      <c r="V302" s="15">
        <f>VLOOKUP(IF(J302&lt;10, 10, IF(J302&gt;50,50,J302)),'Over to underbark'!$A$3:$C$43,IF(A302="Scots pine",3,IF(A302="Sitka spruce",2, "error")),TRUE)/100</f>
        <v>0.89</v>
      </c>
      <c r="W302">
        <f t="shared" si="74"/>
        <v>84.543948</v>
      </c>
      <c r="X302">
        <f t="shared" si="75"/>
        <v>1.7237520000000002</v>
      </c>
      <c r="Y302">
        <f t="shared" si="76"/>
        <v>10.6623</v>
      </c>
      <c r="Z302">
        <f t="shared" si="77"/>
        <v>59.110913159999996</v>
      </c>
      <c r="AA302">
        <f t="shared" si="78"/>
        <v>36.784835639999997</v>
      </c>
      <c r="AB302">
        <f t="shared" si="79"/>
        <v>1.0342512000000001</v>
      </c>
      <c r="AC302">
        <f>LOOKUP($A302,'Over to underbark'!$A$47:$A$48,'Over to underbark'!E$47:E$48)*Z302</f>
        <v>19.5066013428</v>
      </c>
      <c r="AD302">
        <f>LOOKUP($A302,'Over to underbark'!$A$47:$A$48,'Over to underbark'!E$47:E$48)*AA302</f>
        <v>12.1389957612</v>
      </c>
      <c r="AE302">
        <f>LOOKUP($A302,'Over to underbark'!$A$47:$A$48,'Over to underbark'!E$47:E$48)*AB302</f>
        <v>0.34130289600000008</v>
      </c>
      <c r="AF302" t="b">
        <f t="shared" si="80"/>
        <v>1</v>
      </c>
      <c r="AG302" t="b">
        <f t="shared" si="81"/>
        <v>1</v>
      </c>
      <c r="AH302">
        <f>LOOKUP(A302,'Over to underbark'!$A$47:$A$48,'Over to underbark'!E$47:E$48)*M302</f>
        <v>35.541000000000004</v>
      </c>
      <c r="AI302" s="27">
        <f>LOOKUP(A302,'Over to underbark'!$A$47:$A$48,'Over to underbark'!$B$47:$B$48)*AH302</f>
        <v>11.373120000000002</v>
      </c>
      <c r="AJ302" s="27">
        <f>LOOKUP(A303,'Over to underbark'!$A$47:$A$48,'Over to underbark'!C$47:C$48)*AH302</f>
        <v>17.415090000000003</v>
      </c>
      <c r="AK302" s="27">
        <f t="shared" si="64"/>
        <v>46.914120000000004</v>
      </c>
      <c r="AL302" s="33">
        <v>142.16</v>
      </c>
      <c r="AM302" s="28">
        <f t="shared" si="65"/>
        <v>93.828240000000008</v>
      </c>
      <c r="AO302">
        <f t="shared" si="66"/>
        <v>0.68181818181818177</v>
      </c>
    </row>
    <row r="303" spans="1:41" x14ac:dyDescent="0.35">
      <c r="A303" t="s">
        <v>41</v>
      </c>
      <c r="B303">
        <v>6</v>
      </c>
      <c r="C303">
        <v>2</v>
      </c>
      <c r="D303" t="s">
        <v>40</v>
      </c>
      <c r="E303">
        <v>2</v>
      </c>
      <c r="F303">
        <v>1</v>
      </c>
      <c r="G303" s="16">
        <v>36</v>
      </c>
      <c r="H303" s="16">
        <v>9.532</v>
      </c>
      <c r="I303" s="16">
        <v>2260</v>
      </c>
      <c r="J303" s="16">
        <v>13.359</v>
      </c>
      <c r="K303" s="16">
        <v>31.677</v>
      </c>
      <c r="L303" s="16">
        <v>5.1999999999999998E-2</v>
      </c>
      <c r="M303" s="23">
        <v>117.22</v>
      </c>
      <c r="N303" s="16">
        <v>0</v>
      </c>
      <c r="O303" s="17">
        <v>3.2559999999999998</v>
      </c>
      <c r="P303" s="18">
        <v>36</v>
      </c>
      <c r="Q303" s="18">
        <v>13.359</v>
      </c>
      <c r="R303" s="18">
        <v>112.83</v>
      </c>
      <c r="S303" s="18">
        <v>4.3899999999999997</v>
      </c>
      <c r="T303" s="14" t="b">
        <f t="shared" si="72"/>
        <v>1</v>
      </c>
      <c r="U303" s="14" t="b">
        <f t="shared" si="73"/>
        <v>1</v>
      </c>
      <c r="V303" s="15">
        <f>VLOOKUP(IF(J303&lt;10, 10, IF(J303&gt;50,50,J303)),'Over to underbark'!$A$3:$C$43,IF(A303="Scots pine",3,IF(A303="Sitka spruce",2, "error")),TRUE)/100</f>
        <v>0.89</v>
      </c>
      <c r="W303">
        <f t="shared" si="74"/>
        <v>90.376829999999998</v>
      </c>
      <c r="X303">
        <f t="shared" si="75"/>
        <v>3.5163899999999999</v>
      </c>
      <c r="Y303">
        <f t="shared" si="76"/>
        <v>11.60478</v>
      </c>
      <c r="Z303">
        <f t="shared" si="77"/>
        <v>63.647031599999991</v>
      </c>
      <c r="AA303">
        <f t="shared" si="78"/>
        <v>39.7411344</v>
      </c>
      <c r="AB303">
        <f t="shared" si="79"/>
        <v>2.1098339999999998</v>
      </c>
      <c r="AC303">
        <f>LOOKUP($A303,'Over to underbark'!$A$47:$A$48,'Over to underbark'!E$47:E$48)*Z303</f>
        <v>21.003520427999998</v>
      </c>
      <c r="AD303">
        <f>LOOKUP($A303,'Over to underbark'!$A$47:$A$48,'Over to underbark'!E$47:E$48)*AA303</f>
        <v>13.114574352</v>
      </c>
      <c r="AE303">
        <f>LOOKUP($A303,'Over to underbark'!$A$47:$A$48,'Over to underbark'!E$47:E$48)*AB303</f>
        <v>0.69624522</v>
      </c>
      <c r="AF303" t="b">
        <f t="shared" si="80"/>
        <v>1</v>
      </c>
      <c r="AG303" t="b">
        <f t="shared" si="81"/>
        <v>1</v>
      </c>
      <c r="AH303">
        <f>LOOKUP(A303,'Over to underbark'!$A$47:$A$48,'Over to underbark'!E$47:E$48)*M303</f>
        <v>38.682600000000001</v>
      </c>
      <c r="AI303" s="27">
        <f>LOOKUP(A303,'Over to underbark'!$A$47:$A$48,'Over to underbark'!$B$47:$B$48)*AH303</f>
        <v>12.378432</v>
      </c>
      <c r="AJ303" s="27">
        <f>LOOKUP(A304,'Over to underbark'!$A$47:$A$48,'Over to underbark'!C$47:C$48)*AH303</f>
        <v>18.954474000000001</v>
      </c>
      <c r="AK303" s="27">
        <f t="shared" si="64"/>
        <v>51.061031999999997</v>
      </c>
      <c r="AL303" s="33">
        <v>154.72999999999999</v>
      </c>
      <c r="AM303" s="28">
        <f t="shared" si="65"/>
        <v>102.12206399999999</v>
      </c>
      <c r="AO303">
        <f t="shared" si="66"/>
        <v>0.68181818181818188</v>
      </c>
    </row>
    <row r="304" spans="1:41" x14ac:dyDescent="0.35">
      <c r="A304" t="s">
        <v>41</v>
      </c>
      <c r="B304">
        <v>6</v>
      </c>
      <c r="C304">
        <v>2</v>
      </c>
      <c r="D304" t="s">
        <v>40</v>
      </c>
      <c r="E304">
        <v>2</v>
      </c>
      <c r="F304">
        <v>1</v>
      </c>
      <c r="G304" s="16">
        <v>37</v>
      </c>
      <c r="H304" s="16">
        <v>9.8539999999999992</v>
      </c>
      <c r="I304" s="16">
        <v>2253</v>
      </c>
      <c r="J304" s="16">
        <v>13.66</v>
      </c>
      <c r="K304" s="16">
        <v>33.018999999999998</v>
      </c>
      <c r="L304" s="16">
        <v>5.6000000000000001E-2</v>
      </c>
      <c r="M304" s="23">
        <v>126.74</v>
      </c>
      <c r="N304" s="16">
        <v>0</v>
      </c>
      <c r="O304" s="17">
        <v>3.4249999999999998</v>
      </c>
      <c r="P304" s="18">
        <v>37</v>
      </c>
      <c r="Q304" s="18">
        <v>13.66</v>
      </c>
      <c r="R304" s="18">
        <v>119.79900000000001</v>
      </c>
      <c r="S304" s="18">
        <v>6.9409999999999998</v>
      </c>
      <c r="T304" s="14" t="b">
        <f t="shared" si="72"/>
        <v>1</v>
      </c>
      <c r="U304" s="14" t="b">
        <f t="shared" si="73"/>
        <v>1</v>
      </c>
      <c r="V304" s="15">
        <f>VLOOKUP(IF(J304&lt;10, 10, IF(J304&gt;50,50,J304)),'Over to underbark'!$A$3:$C$43,IF(A304="Scots pine",3,IF(A304="Sitka spruce",2, "error")),TRUE)/100</f>
        <v>0.89</v>
      </c>
      <c r="W304">
        <f t="shared" si="74"/>
        <v>95.958999000000006</v>
      </c>
      <c r="X304">
        <f t="shared" si="75"/>
        <v>5.5597409999999998</v>
      </c>
      <c r="Y304">
        <f t="shared" si="76"/>
        <v>12.54726</v>
      </c>
      <c r="Z304">
        <f t="shared" si="77"/>
        <v>68.077850579999989</v>
      </c>
      <c r="AA304">
        <f t="shared" si="78"/>
        <v>42.652304820000005</v>
      </c>
      <c r="AB304">
        <f t="shared" si="79"/>
        <v>3.3358445999999997</v>
      </c>
      <c r="AC304">
        <f>LOOKUP($A304,'Over to underbark'!$A$47:$A$48,'Over to underbark'!E$47:E$48)*Z304</f>
        <v>22.465690691399999</v>
      </c>
      <c r="AD304">
        <f>LOOKUP($A304,'Over to underbark'!$A$47:$A$48,'Over to underbark'!E$47:E$48)*AA304</f>
        <v>14.075260590600003</v>
      </c>
      <c r="AE304">
        <f>LOOKUP($A304,'Over to underbark'!$A$47:$A$48,'Over to underbark'!E$47:E$48)*AB304</f>
        <v>1.100828718</v>
      </c>
      <c r="AF304" t="b">
        <f t="shared" si="80"/>
        <v>1</v>
      </c>
      <c r="AG304" t="b">
        <f t="shared" si="81"/>
        <v>1</v>
      </c>
      <c r="AH304">
        <f>LOOKUP(A304,'Over to underbark'!$A$47:$A$48,'Over to underbark'!E$47:E$48)*M304</f>
        <v>41.824199999999998</v>
      </c>
      <c r="AI304" s="27">
        <f>LOOKUP(A304,'Over to underbark'!$A$47:$A$48,'Over to underbark'!$B$47:$B$48)*AH304</f>
        <v>13.383744</v>
      </c>
      <c r="AJ304" s="27">
        <f>LOOKUP(A305,'Over to underbark'!$A$47:$A$48,'Over to underbark'!C$47:C$48)*AH304</f>
        <v>20.493857999999999</v>
      </c>
      <c r="AK304" s="27">
        <f t="shared" si="64"/>
        <v>55.207943999999998</v>
      </c>
      <c r="AL304" s="33">
        <v>167.3</v>
      </c>
      <c r="AM304" s="28">
        <f t="shared" si="65"/>
        <v>110.415888</v>
      </c>
      <c r="AO304">
        <f t="shared" si="66"/>
        <v>0.68181818181818188</v>
      </c>
    </row>
    <row r="305" spans="1:41" x14ac:dyDescent="0.35">
      <c r="A305" t="s">
        <v>41</v>
      </c>
      <c r="B305">
        <v>6</v>
      </c>
      <c r="C305">
        <v>2</v>
      </c>
      <c r="D305" t="s">
        <v>40</v>
      </c>
      <c r="E305">
        <v>2</v>
      </c>
      <c r="F305">
        <v>1</v>
      </c>
      <c r="G305" s="16">
        <v>38</v>
      </c>
      <c r="H305" s="16">
        <v>10.176</v>
      </c>
      <c r="I305" s="16">
        <v>2245</v>
      </c>
      <c r="J305" s="16">
        <v>13.96</v>
      </c>
      <c r="K305" s="16">
        <v>34.360999999999997</v>
      </c>
      <c r="L305" s="16">
        <v>6.0999999999999999E-2</v>
      </c>
      <c r="M305" s="23">
        <v>136.26</v>
      </c>
      <c r="N305" s="16">
        <v>0</v>
      </c>
      <c r="O305" s="17">
        <v>3.5859999999999999</v>
      </c>
      <c r="P305" s="18">
        <v>38</v>
      </c>
      <c r="Q305" s="18">
        <v>13.96</v>
      </c>
      <c r="R305" s="18">
        <v>126.41</v>
      </c>
      <c r="S305" s="18">
        <v>9.85</v>
      </c>
      <c r="T305" s="14" t="b">
        <f t="shared" si="72"/>
        <v>1</v>
      </c>
      <c r="U305" s="14" t="b">
        <f t="shared" si="73"/>
        <v>1</v>
      </c>
      <c r="V305" s="15">
        <f>VLOOKUP(IF(J305&lt;10, 10, IF(J305&gt;50,50,J305)),'Over to underbark'!$A$3:$C$43,IF(A305="Scots pine",3,IF(A305="Sitka spruce",2, "error")),TRUE)/100</f>
        <v>0.89</v>
      </c>
      <c r="W305">
        <f t="shared" si="74"/>
        <v>101.25441000000001</v>
      </c>
      <c r="X305">
        <f t="shared" si="75"/>
        <v>7.88985</v>
      </c>
      <c r="Y305">
        <f t="shared" si="76"/>
        <v>13.489739999999998</v>
      </c>
      <c r="Z305">
        <f t="shared" si="77"/>
        <v>72.388231199999993</v>
      </c>
      <c r="AA305">
        <f t="shared" si="78"/>
        <v>45.511858799999999</v>
      </c>
      <c r="AB305">
        <f t="shared" si="79"/>
        <v>4.7339099999999998</v>
      </c>
      <c r="AC305">
        <f>LOOKUP($A305,'Over to underbark'!$A$47:$A$48,'Over to underbark'!E$47:E$48)*Z305</f>
        <v>23.888116296</v>
      </c>
      <c r="AD305">
        <f>LOOKUP($A305,'Over to underbark'!$A$47:$A$48,'Over to underbark'!E$47:E$48)*AA305</f>
        <v>15.018913404000001</v>
      </c>
      <c r="AE305">
        <f>LOOKUP($A305,'Over to underbark'!$A$47:$A$48,'Over to underbark'!E$47:E$48)*AB305</f>
        <v>1.5621902999999999</v>
      </c>
      <c r="AF305" t="b">
        <f t="shared" si="80"/>
        <v>1</v>
      </c>
      <c r="AG305" t="b">
        <f t="shared" si="81"/>
        <v>1</v>
      </c>
      <c r="AH305">
        <f>LOOKUP(A305,'Over to underbark'!$A$47:$A$48,'Over to underbark'!E$47:E$48)*M305</f>
        <v>44.965800000000002</v>
      </c>
      <c r="AI305" s="27">
        <f>LOOKUP(A305,'Over to underbark'!$A$47:$A$48,'Over to underbark'!$B$47:$B$48)*AH305</f>
        <v>14.389056</v>
      </c>
      <c r="AJ305" s="27">
        <f>LOOKUP(A306,'Over to underbark'!$A$47:$A$48,'Over to underbark'!C$47:C$48)*AH305</f>
        <v>22.033242000000001</v>
      </c>
      <c r="AK305" s="27">
        <f t="shared" si="64"/>
        <v>59.354855999999998</v>
      </c>
      <c r="AL305" s="33">
        <v>179.86</v>
      </c>
      <c r="AM305" s="28">
        <f t="shared" si="65"/>
        <v>118.709712</v>
      </c>
      <c r="AO305">
        <f t="shared" si="66"/>
        <v>0.68181818181818188</v>
      </c>
    </row>
    <row r="306" spans="1:41" x14ac:dyDescent="0.35">
      <c r="A306" t="s">
        <v>41</v>
      </c>
      <c r="B306">
        <v>6</v>
      </c>
      <c r="C306">
        <v>2</v>
      </c>
      <c r="D306" t="s">
        <v>40</v>
      </c>
      <c r="E306">
        <v>2</v>
      </c>
      <c r="F306">
        <v>1</v>
      </c>
      <c r="G306" s="16">
        <v>39</v>
      </c>
      <c r="H306" s="16">
        <v>10.497999999999999</v>
      </c>
      <c r="I306" s="16">
        <v>2238</v>
      </c>
      <c r="J306" s="16">
        <v>14.252000000000001</v>
      </c>
      <c r="K306" s="16">
        <v>35.701999999999998</v>
      </c>
      <c r="L306" s="16">
        <v>6.5000000000000002E-2</v>
      </c>
      <c r="M306" s="23">
        <v>145.78</v>
      </c>
      <c r="N306" s="16">
        <v>0</v>
      </c>
      <c r="O306" s="17">
        <v>3.738</v>
      </c>
      <c r="P306" s="18">
        <v>39</v>
      </c>
      <c r="Q306" s="18">
        <v>14.252000000000001</v>
      </c>
      <c r="R306" s="18">
        <v>132.72499999999999</v>
      </c>
      <c r="S306" s="18">
        <v>13.055</v>
      </c>
      <c r="T306" s="14" t="b">
        <f t="shared" si="72"/>
        <v>1</v>
      </c>
      <c r="U306" s="14" t="b">
        <f t="shared" si="73"/>
        <v>1</v>
      </c>
      <c r="V306" s="15">
        <f>VLOOKUP(IF(J306&lt;10, 10, IF(J306&gt;50,50,J306)),'Over to underbark'!$A$3:$C$43,IF(A306="Scots pine",3,IF(A306="Sitka spruce",2, "error")),TRUE)/100</f>
        <v>0.9</v>
      </c>
      <c r="W306">
        <f t="shared" si="74"/>
        <v>107.50725</v>
      </c>
      <c r="X306">
        <f t="shared" si="75"/>
        <v>10.57455</v>
      </c>
      <c r="Y306">
        <f t="shared" si="76"/>
        <v>13.120199999999997</v>
      </c>
      <c r="Z306">
        <f t="shared" si="77"/>
        <v>75.985514999999992</v>
      </c>
      <c r="AA306">
        <f t="shared" si="78"/>
        <v>48.871754999999993</v>
      </c>
      <c r="AB306">
        <f t="shared" si="79"/>
        <v>6.3447300000000002</v>
      </c>
      <c r="AC306">
        <f>LOOKUP($A306,'Over to underbark'!$A$47:$A$48,'Over to underbark'!E$47:E$48)*Z306</f>
        <v>25.075219949999997</v>
      </c>
      <c r="AD306">
        <f>LOOKUP($A306,'Over to underbark'!$A$47:$A$48,'Over to underbark'!E$47:E$48)*AA306</f>
        <v>16.127679149999999</v>
      </c>
      <c r="AE306">
        <f>LOOKUP($A306,'Over to underbark'!$A$47:$A$48,'Over to underbark'!E$47:E$48)*AB306</f>
        <v>2.0937609000000004</v>
      </c>
      <c r="AF306" t="b">
        <f t="shared" si="80"/>
        <v>1</v>
      </c>
      <c r="AG306" t="b">
        <f t="shared" si="81"/>
        <v>1</v>
      </c>
      <c r="AH306">
        <f>LOOKUP(A306,'Over to underbark'!$A$47:$A$48,'Over to underbark'!E$47:E$48)*M306</f>
        <v>48.107400000000005</v>
      </c>
      <c r="AI306" s="27">
        <f>LOOKUP(A306,'Over to underbark'!$A$47:$A$48,'Over to underbark'!$B$47:$B$48)*AH306</f>
        <v>15.394368000000002</v>
      </c>
      <c r="AJ306" s="27">
        <f>LOOKUP(A307,'Over to underbark'!$A$47:$A$48,'Over to underbark'!C$47:C$48)*AH306</f>
        <v>23.572626000000003</v>
      </c>
      <c r="AK306" s="27">
        <f t="shared" si="64"/>
        <v>63.501768000000006</v>
      </c>
      <c r="AL306" s="33">
        <v>192.43</v>
      </c>
      <c r="AM306" s="28">
        <f t="shared" si="65"/>
        <v>127.00353600000001</v>
      </c>
      <c r="AO306">
        <f t="shared" si="66"/>
        <v>0.68181818181818166</v>
      </c>
    </row>
    <row r="307" spans="1:41" x14ac:dyDescent="0.35">
      <c r="A307" t="s">
        <v>41</v>
      </c>
      <c r="B307">
        <v>6</v>
      </c>
      <c r="C307">
        <v>2</v>
      </c>
      <c r="D307" t="s">
        <v>40</v>
      </c>
      <c r="E307">
        <v>2</v>
      </c>
      <c r="F307">
        <v>1</v>
      </c>
      <c r="G307" s="16">
        <v>40</v>
      </c>
      <c r="H307" s="16">
        <v>10.82</v>
      </c>
      <c r="I307" s="16">
        <v>2231</v>
      </c>
      <c r="J307" s="16">
        <v>14.54</v>
      </c>
      <c r="K307" s="16">
        <v>37.043999999999997</v>
      </c>
      <c r="L307" s="16">
        <v>7.0000000000000007E-2</v>
      </c>
      <c r="M307" s="23">
        <v>155.30000000000001</v>
      </c>
      <c r="N307" s="16">
        <v>0</v>
      </c>
      <c r="O307" s="17">
        <v>3.883</v>
      </c>
      <c r="P307" s="18">
        <v>40</v>
      </c>
      <c r="Q307" s="18">
        <v>14.54</v>
      </c>
      <c r="R307" s="18">
        <v>138.71899999999999</v>
      </c>
      <c r="S307" s="18">
        <v>16.581</v>
      </c>
      <c r="T307" s="14" t="b">
        <f t="shared" si="72"/>
        <v>1</v>
      </c>
      <c r="U307" s="14" t="b">
        <f t="shared" si="73"/>
        <v>1</v>
      </c>
      <c r="V307" s="15">
        <f>VLOOKUP(IF(J307&lt;10, 10, IF(J307&gt;50,50,J307)),'Over to underbark'!$A$3:$C$43,IF(A307="Scots pine",3,IF(A307="Sitka spruce",2, "error")),TRUE)/100</f>
        <v>0.9</v>
      </c>
      <c r="W307">
        <f t="shared" si="74"/>
        <v>112.36239</v>
      </c>
      <c r="X307">
        <f t="shared" si="75"/>
        <v>13.43061</v>
      </c>
      <c r="Y307">
        <f t="shared" si="76"/>
        <v>13.976999999999995</v>
      </c>
      <c r="Z307">
        <f t="shared" si="77"/>
        <v>80.038153799999975</v>
      </c>
      <c r="AA307">
        <f t="shared" si="78"/>
        <v>51.6734802</v>
      </c>
      <c r="AB307">
        <f t="shared" si="79"/>
        <v>8.0583659999999995</v>
      </c>
      <c r="AC307">
        <f>LOOKUP($A307,'Over to underbark'!$A$47:$A$48,'Over to underbark'!E$47:E$48)*Z307</f>
        <v>26.412590753999993</v>
      </c>
      <c r="AD307">
        <f>LOOKUP($A307,'Over to underbark'!$A$47:$A$48,'Over to underbark'!E$47:E$48)*AA307</f>
        <v>17.052248466000002</v>
      </c>
      <c r="AE307">
        <f>LOOKUP($A307,'Over to underbark'!$A$47:$A$48,'Over to underbark'!E$47:E$48)*AB307</f>
        <v>2.6592607799999999</v>
      </c>
      <c r="AF307" t="b">
        <f t="shared" si="80"/>
        <v>1</v>
      </c>
      <c r="AG307" t="b">
        <f t="shared" si="81"/>
        <v>1</v>
      </c>
      <c r="AH307">
        <f>LOOKUP(A307,'Over to underbark'!$A$47:$A$48,'Over to underbark'!E$47:E$48)*M307</f>
        <v>51.249000000000009</v>
      </c>
      <c r="AI307" s="27">
        <f>LOOKUP(A307,'Over to underbark'!$A$47:$A$48,'Over to underbark'!$B$47:$B$48)*AH307</f>
        <v>16.399680000000004</v>
      </c>
      <c r="AJ307" s="27">
        <f>LOOKUP(A308,'Over to underbark'!$A$47:$A$48,'Over to underbark'!C$47:C$48)*AH307</f>
        <v>25.112010000000005</v>
      </c>
      <c r="AK307" s="27">
        <f t="shared" si="64"/>
        <v>67.648680000000013</v>
      </c>
      <c r="AL307" s="33">
        <v>205</v>
      </c>
      <c r="AM307" s="28">
        <f t="shared" si="65"/>
        <v>135.29736000000003</v>
      </c>
      <c r="AO307">
        <f t="shared" si="66"/>
        <v>0.68181818181818155</v>
      </c>
    </row>
    <row r="308" spans="1:41" x14ac:dyDescent="0.35">
      <c r="A308" t="s">
        <v>41</v>
      </c>
      <c r="B308">
        <v>6</v>
      </c>
      <c r="C308">
        <v>2</v>
      </c>
      <c r="D308" t="s">
        <v>40</v>
      </c>
      <c r="E308">
        <v>2</v>
      </c>
      <c r="F308">
        <v>1</v>
      </c>
      <c r="G308" s="16">
        <v>41</v>
      </c>
      <c r="H308" s="16">
        <v>11.116</v>
      </c>
      <c r="I308" s="16">
        <v>2211</v>
      </c>
      <c r="J308" s="16">
        <v>14.805999999999999</v>
      </c>
      <c r="K308" s="16">
        <v>38.07</v>
      </c>
      <c r="L308" s="16">
        <v>7.4999999999999997E-2</v>
      </c>
      <c r="M308" s="23">
        <v>165.3</v>
      </c>
      <c r="N308" s="16">
        <v>8.5000000000000006E-2</v>
      </c>
      <c r="O308" s="17">
        <v>4.032</v>
      </c>
      <c r="P308" s="18">
        <v>41</v>
      </c>
      <c r="Q308" s="18">
        <v>14.805999999999999</v>
      </c>
      <c r="R308" s="18">
        <v>145.001</v>
      </c>
      <c r="S308" s="18">
        <v>20.298999999999999</v>
      </c>
      <c r="T308" s="14" t="b">
        <f t="shared" si="72"/>
        <v>1</v>
      </c>
      <c r="U308" s="14" t="b">
        <f t="shared" si="73"/>
        <v>1</v>
      </c>
      <c r="V308" s="15">
        <f>VLOOKUP(IF(J308&lt;10, 10, IF(J308&gt;50,50,J308)),'Over to underbark'!$A$3:$C$43,IF(A308="Scots pine",3,IF(A308="Sitka spruce",2, "error")),TRUE)/100</f>
        <v>0.9</v>
      </c>
      <c r="W308">
        <f t="shared" si="74"/>
        <v>117.45081</v>
      </c>
      <c r="X308">
        <f t="shared" si="75"/>
        <v>16.442190000000004</v>
      </c>
      <c r="Y308">
        <f t="shared" si="76"/>
        <v>14.876999999999997</v>
      </c>
      <c r="Z308">
        <f t="shared" si="77"/>
        <v>84.290290200000001</v>
      </c>
      <c r="AA308">
        <f t="shared" si="78"/>
        <v>54.614395800000004</v>
      </c>
      <c r="AB308">
        <f t="shared" si="79"/>
        <v>9.8653140000000015</v>
      </c>
      <c r="AC308">
        <f>LOOKUP($A308,'Over to underbark'!$A$47:$A$48,'Over to underbark'!E$47:E$48)*Z308</f>
        <v>27.815795766000001</v>
      </c>
      <c r="AD308">
        <f>LOOKUP($A308,'Over to underbark'!$A$47:$A$48,'Over to underbark'!E$47:E$48)*AA308</f>
        <v>18.022750614000003</v>
      </c>
      <c r="AE308">
        <f>LOOKUP($A308,'Over to underbark'!$A$47:$A$48,'Over to underbark'!E$47:E$48)*AB308</f>
        <v>3.2555536200000006</v>
      </c>
      <c r="AF308" t="b">
        <f t="shared" si="80"/>
        <v>1</v>
      </c>
      <c r="AG308" t="b">
        <f t="shared" si="81"/>
        <v>1</v>
      </c>
      <c r="AH308">
        <f>LOOKUP(A308,'Over to underbark'!$A$47:$A$48,'Over to underbark'!E$47:E$48)*M308</f>
        <v>54.549000000000007</v>
      </c>
      <c r="AI308" s="27">
        <f>LOOKUP(A308,'Over to underbark'!$A$47:$A$48,'Over to underbark'!$B$47:$B$48)*AH308</f>
        <v>17.455680000000001</v>
      </c>
      <c r="AJ308" s="27">
        <f>LOOKUP(A309,'Over to underbark'!$A$47:$A$48,'Over to underbark'!C$47:C$48)*AH308</f>
        <v>26.729010000000002</v>
      </c>
      <c r="AK308" s="27">
        <f t="shared" si="64"/>
        <v>72.004680000000008</v>
      </c>
      <c r="AL308" s="33">
        <v>218.2</v>
      </c>
      <c r="AM308" s="28">
        <f t="shared" si="65"/>
        <v>144.00936000000002</v>
      </c>
      <c r="AO308">
        <f t="shared" si="66"/>
        <v>0.68181818181818177</v>
      </c>
    </row>
    <row r="309" spans="1:41" x14ac:dyDescent="0.35">
      <c r="A309" t="s">
        <v>41</v>
      </c>
      <c r="B309">
        <v>6</v>
      </c>
      <c r="C309">
        <v>2</v>
      </c>
      <c r="D309" t="s">
        <v>40</v>
      </c>
      <c r="E309">
        <v>2</v>
      </c>
      <c r="F309">
        <v>1</v>
      </c>
      <c r="G309" s="16">
        <v>42</v>
      </c>
      <c r="H309" s="16">
        <v>11.412000000000001</v>
      </c>
      <c r="I309" s="16">
        <v>2191</v>
      </c>
      <c r="J309" s="16">
        <v>15.073</v>
      </c>
      <c r="K309" s="16">
        <v>39.094999999999999</v>
      </c>
      <c r="L309" s="16">
        <v>0.08</v>
      </c>
      <c r="M309" s="23">
        <v>175.3</v>
      </c>
      <c r="N309" s="16">
        <v>0.159</v>
      </c>
      <c r="O309" s="17">
        <v>4.1740000000000004</v>
      </c>
      <c r="P309" s="18">
        <v>42</v>
      </c>
      <c r="Q309" s="18">
        <v>15.073</v>
      </c>
      <c r="R309" s="18">
        <v>150.934</v>
      </c>
      <c r="S309" s="18">
        <v>24.366</v>
      </c>
      <c r="T309" s="14" t="b">
        <f t="shared" si="72"/>
        <v>1</v>
      </c>
      <c r="U309" s="14" t="b">
        <f t="shared" si="73"/>
        <v>1</v>
      </c>
      <c r="V309" s="15">
        <f>VLOOKUP(IF(J309&lt;10, 10, IF(J309&gt;50,50,J309)),'Over to underbark'!$A$3:$C$43,IF(A309="Scots pine",3,IF(A309="Sitka spruce",2, "error")),TRUE)/100</f>
        <v>0.9</v>
      </c>
      <c r="W309">
        <f t="shared" si="74"/>
        <v>122.25654</v>
      </c>
      <c r="X309">
        <f t="shared" si="75"/>
        <v>19.736460000000001</v>
      </c>
      <c r="Y309">
        <f t="shared" si="76"/>
        <v>15.776999999999997</v>
      </c>
      <c r="Z309">
        <f t="shared" si="77"/>
        <v>88.423696800000002</v>
      </c>
      <c r="AA309">
        <f t="shared" si="78"/>
        <v>57.504427199999995</v>
      </c>
      <c r="AB309">
        <f t="shared" si="79"/>
        <v>11.841876000000001</v>
      </c>
      <c r="AC309">
        <f>LOOKUP($A309,'Over to underbark'!$A$47:$A$48,'Over to underbark'!E$47:E$48)*Z309</f>
        <v>29.179819944000002</v>
      </c>
      <c r="AD309">
        <f>LOOKUP($A309,'Over to underbark'!$A$47:$A$48,'Over to underbark'!E$47:E$48)*AA309</f>
        <v>18.976460975999998</v>
      </c>
      <c r="AE309">
        <f>LOOKUP($A309,'Over to underbark'!$A$47:$A$48,'Over to underbark'!E$47:E$48)*AB309</f>
        <v>3.9078190800000003</v>
      </c>
      <c r="AF309" t="b">
        <f t="shared" si="80"/>
        <v>1</v>
      </c>
      <c r="AG309" t="b">
        <f t="shared" si="81"/>
        <v>1</v>
      </c>
      <c r="AH309">
        <f>LOOKUP(A309,'Over to underbark'!$A$47:$A$48,'Over to underbark'!E$47:E$48)*M309</f>
        <v>57.849000000000004</v>
      </c>
      <c r="AI309" s="27">
        <f>LOOKUP(A309,'Over to underbark'!$A$47:$A$48,'Over to underbark'!$B$47:$B$48)*AH309</f>
        <v>18.511680000000002</v>
      </c>
      <c r="AJ309" s="27">
        <f>LOOKUP(A310,'Over to underbark'!$A$47:$A$48,'Over to underbark'!C$47:C$48)*AH309</f>
        <v>28.34601</v>
      </c>
      <c r="AK309" s="27">
        <f t="shared" si="64"/>
        <v>76.360680000000002</v>
      </c>
      <c r="AL309" s="33">
        <v>231.4</v>
      </c>
      <c r="AM309" s="28">
        <f t="shared" si="65"/>
        <v>152.72136</v>
      </c>
      <c r="AO309">
        <f t="shared" si="66"/>
        <v>0.68181818181818188</v>
      </c>
    </row>
    <row r="310" spans="1:41" x14ac:dyDescent="0.35">
      <c r="A310" t="s">
        <v>41</v>
      </c>
      <c r="B310">
        <v>6</v>
      </c>
      <c r="C310">
        <v>2</v>
      </c>
      <c r="D310" t="s">
        <v>40</v>
      </c>
      <c r="E310">
        <v>2</v>
      </c>
      <c r="F310">
        <v>1</v>
      </c>
      <c r="G310" s="16">
        <v>43</v>
      </c>
      <c r="H310" s="16">
        <v>11.708</v>
      </c>
      <c r="I310" s="16">
        <v>2171</v>
      </c>
      <c r="J310" s="16">
        <v>15.34</v>
      </c>
      <c r="K310" s="16">
        <v>40.121000000000002</v>
      </c>
      <c r="L310" s="16">
        <v>8.5000000000000006E-2</v>
      </c>
      <c r="M310" s="23">
        <v>185.3</v>
      </c>
      <c r="N310" s="16">
        <v>0.22600000000000001</v>
      </c>
      <c r="O310" s="17">
        <v>4.3090000000000002</v>
      </c>
      <c r="P310" s="18">
        <v>43</v>
      </c>
      <c r="Q310" s="18">
        <v>15.34</v>
      </c>
      <c r="R310" s="18">
        <v>156.52799999999999</v>
      </c>
      <c r="S310" s="18">
        <v>28.771999999999998</v>
      </c>
      <c r="T310" s="14" t="b">
        <f t="shared" si="72"/>
        <v>1</v>
      </c>
      <c r="U310" s="14" t="b">
        <f t="shared" si="73"/>
        <v>1</v>
      </c>
      <c r="V310" s="15">
        <f>VLOOKUP(IF(J310&lt;10, 10, IF(J310&gt;50,50,J310)),'Over to underbark'!$A$3:$C$43,IF(A310="Scots pine",3,IF(A310="Sitka spruce",2, "error")),TRUE)/100</f>
        <v>0.9</v>
      </c>
      <c r="W310">
        <f t="shared" si="74"/>
        <v>126.78768000000001</v>
      </c>
      <c r="X310">
        <f t="shared" si="75"/>
        <v>23.305320000000002</v>
      </c>
      <c r="Y310">
        <f t="shared" si="76"/>
        <v>16.676999999999996</v>
      </c>
      <c r="Z310">
        <f t="shared" si="77"/>
        <v>92.441775599999986</v>
      </c>
      <c r="AA310">
        <f t="shared" si="78"/>
        <v>60.345032400000001</v>
      </c>
      <c r="AB310">
        <f t="shared" si="79"/>
        <v>13.983192000000001</v>
      </c>
      <c r="AC310">
        <f>LOOKUP($A310,'Over to underbark'!$A$47:$A$48,'Over to underbark'!E$47:E$48)*Z310</f>
        <v>30.505785947999996</v>
      </c>
      <c r="AD310">
        <f>LOOKUP($A310,'Over to underbark'!$A$47:$A$48,'Over to underbark'!E$47:E$48)*AA310</f>
        <v>19.913860692</v>
      </c>
      <c r="AE310">
        <f>LOOKUP($A310,'Over to underbark'!$A$47:$A$48,'Over to underbark'!E$47:E$48)*AB310</f>
        <v>4.6144533600000006</v>
      </c>
      <c r="AF310" t="b">
        <f t="shared" si="80"/>
        <v>1</v>
      </c>
      <c r="AG310" t="b">
        <f t="shared" si="81"/>
        <v>1</v>
      </c>
      <c r="AH310">
        <f>LOOKUP(A310,'Over to underbark'!$A$47:$A$48,'Over to underbark'!E$47:E$48)*M310</f>
        <v>61.149000000000008</v>
      </c>
      <c r="AI310" s="27">
        <f>LOOKUP(A310,'Over to underbark'!$A$47:$A$48,'Over to underbark'!$B$47:$B$48)*AH310</f>
        <v>19.567680000000003</v>
      </c>
      <c r="AJ310" s="27">
        <f>LOOKUP(A311,'Over to underbark'!$A$47:$A$48,'Over to underbark'!C$47:C$48)*AH310</f>
        <v>29.963010000000004</v>
      </c>
      <c r="AK310" s="27">
        <f>AH310+AI310</f>
        <v>80.716680000000011</v>
      </c>
      <c r="AL310" s="33">
        <v>244.6</v>
      </c>
      <c r="AM310" s="28">
        <f t="shared" si="65"/>
        <v>161.43336000000002</v>
      </c>
      <c r="AO310">
        <f t="shared" si="66"/>
        <v>0.68181818181818166</v>
      </c>
    </row>
    <row r="311" spans="1:41" x14ac:dyDescent="0.35">
      <c r="A311" t="s">
        <v>41</v>
      </c>
      <c r="B311">
        <v>6</v>
      </c>
      <c r="C311">
        <v>2</v>
      </c>
      <c r="D311" t="s">
        <v>40</v>
      </c>
      <c r="E311">
        <v>2</v>
      </c>
      <c r="F311">
        <v>1</v>
      </c>
      <c r="G311" s="16">
        <v>44</v>
      </c>
      <c r="H311" s="16">
        <v>12.004</v>
      </c>
      <c r="I311" s="16">
        <v>2151</v>
      </c>
      <c r="J311" s="16">
        <v>15.606</v>
      </c>
      <c r="K311" s="16">
        <v>41.146999999999998</v>
      </c>
      <c r="L311" s="16">
        <v>9.0999999999999998E-2</v>
      </c>
      <c r="M311" s="23">
        <v>195.3</v>
      </c>
      <c r="N311" s="16">
        <v>0.28599999999999998</v>
      </c>
      <c r="O311" s="17">
        <v>4.4390000000000001</v>
      </c>
      <c r="P311" s="18">
        <v>44</v>
      </c>
      <c r="Q311" s="18">
        <v>15.606</v>
      </c>
      <c r="R311" s="18">
        <v>161.79599999999999</v>
      </c>
      <c r="S311" s="18">
        <v>33.503999999999998</v>
      </c>
      <c r="T311" s="14" t="b">
        <f t="shared" si="72"/>
        <v>1</v>
      </c>
      <c r="U311" s="14" t="b">
        <f t="shared" si="73"/>
        <v>1</v>
      </c>
      <c r="V311" s="15">
        <f>VLOOKUP(IF(J311&lt;10, 10, IF(J311&gt;50,50,J311)),'Over to underbark'!$A$3:$C$43,IF(A311="Scots pine",3,IF(A311="Sitka spruce",2, "error")),TRUE)/100</f>
        <v>0.9</v>
      </c>
      <c r="W311">
        <f t="shared" si="74"/>
        <v>131.05476000000002</v>
      </c>
      <c r="X311">
        <f t="shared" si="75"/>
        <v>27.13824</v>
      </c>
      <c r="Y311">
        <f t="shared" si="76"/>
        <v>17.576999999999995</v>
      </c>
      <c r="Z311">
        <f t="shared" si="77"/>
        <v>96.348949199999993</v>
      </c>
      <c r="AA311">
        <f t="shared" si="78"/>
        <v>63.138106800000003</v>
      </c>
      <c r="AB311">
        <f t="shared" si="79"/>
        <v>16.282944000000001</v>
      </c>
      <c r="AC311">
        <f>LOOKUP($A311,'Over to underbark'!$A$47:$A$48,'Over to underbark'!E$47:E$48)*Z311</f>
        <v>31.795153236000001</v>
      </c>
      <c r="AD311">
        <f>LOOKUP($A311,'Over to underbark'!$A$47:$A$48,'Over to underbark'!E$47:E$48)*AA311</f>
        <v>20.835575244000001</v>
      </c>
      <c r="AE311">
        <f>LOOKUP($A311,'Over to underbark'!$A$47:$A$48,'Over to underbark'!E$47:E$48)*AB311</f>
        <v>5.3733715200000001</v>
      </c>
      <c r="AF311" t="b">
        <f t="shared" si="80"/>
        <v>1</v>
      </c>
      <c r="AG311" t="b">
        <f t="shared" si="81"/>
        <v>1</v>
      </c>
      <c r="AH311">
        <f>LOOKUP(A311,'Over to underbark'!$A$47:$A$48,'Over to underbark'!E$47:E$48)*M311</f>
        <v>64.449000000000012</v>
      </c>
      <c r="AI311" s="27">
        <f>LOOKUP(A311,'Over to underbark'!$A$47:$A$48,'Over to underbark'!$B$47:$B$48)*AH311</f>
        <v>20.623680000000004</v>
      </c>
      <c r="AJ311" s="27">
        <f>LOOKUP(A312,'Over to underbark'!$A$47:$A$48,'Over to underbark'!C$47:C$48)*AH311</f>
        <v>31.580010000000005</v>
      </c>
      <c r="AK311" s="27">
        <f t="shared" si="64"/>
        <v>85.07268000000002</v>
      </c>
      <c r="AL311" s="33">
        <v>257.8</v>
      </c>
      <c r="AM311" s="28">
        <f t="shared" si="65"/>
        <v>170.14536000000004</v>
      </c>
      <c r="AO311">
        <f t="shared" si="66"/>
        <v>0.68181818181818166</v>
      </c>
    </row>
    <row r="312" spans="1:41" x14ac:dyDescent="0.35">
      <c r="A312" t="s">
        <v>41</v>
      </c>
      <c r="B312">
        <v>6</v>
      </c>
      <c r="C312">
        <v>2</v>
      </c>
      <c r="D312" t="s">
        <v>40</v>
      </c>
      <c r="E312">
        <v>2</v>
      </c>
      <c r="F312">
        <v>1</v>
      </c>
      <c r="G312" s="16">
        <v>45</v>
      </c>
      <c r="H312" s="16">
        <v>12.3</v>
      </c>
      <c r="I312" s="16">
        <v>2132</v>
      </c>
      <c r="J312" s="16">
        <v>15.87</v>
      </c>
      <c r="K312" s="16">
        <v>42.173000000000002</v>
      </c>
      <c r="L312" s="16">
        <v>9.6000000000000002E-2</v>
      </c>
      <c r="M312" s="23">
        <v>205.3</v>
      </c>
      <c r="N312" s="16">
        <v>0.34</v>
      </c>
      <c r="O312" s="17">
        <v>4.5620000000000003</v>
      </c>
      <c r="P312" s="18">
        <v>45</v>
      </c>
      <c r="Q312" s="18">
        <v>15.87</v>
      </c>
      <c r="R312" s="18">
        <v>166.75700000000001</v>
      </c>
      <c r="S312" s="18">
        <v>38.542999999999999</v>
      </c>
      <c r="T312" s="14" t="b">
        <f t="shared" si="72"/>
        <v>1</v>
      </c>
      <c r="U312" s="14" t="b">
        <f t="shared" si="73"/>
        <v>1</v>
      </c>
      <c r="V312" s="15">
        <f>VLOOKUP(IF(J312&lt;10, 10, IF(J312&gt;50,50,J312)),'Over to underbark'!$A$3:$C$43,IF(A312="Scots pine",3,IF(A312="Sitka spruce",2, "error")),TRUE)/100</f>
        <v>0.9</v>
      </c>
      <c r="W312">
        <f t="shared" si="74"/>
        <v>135.07317</v>
      </c>
      <c r="X312">
        <f t="shared" si="75"/>
        <v>31.219829999999998</v>
      </c>
      <c r="Y312">
        <f t="shared" si="76"/>
        <v>18.476999999999997</v>
      </c>
      <c r="Z312">
        <f t="shared" si="77"/>
        <v>100.1516814</v>
      </c>
      <c r="AA312">
        <f t="shared" si="78"/>
        <v>65.886420599999994</v>
      </c>
      <c r="AB312">
        <f t="shared" si="79"/>
        <v>18.731897999999997</v>
      </c>
      <c r="AC312">
        <f>LOOKUP($A312,'Over to underbark'!$A$47:$A$48,'Over to underbark'!E$47:E$48)*Z312</f>
        <v>33.050054862000003</v>
      </c>
      <c r="AD312">
        <f>LOOKUP($A312,'Over to underbark'!$A$47:$A$48,'Over to underbark'!E$47:E$48)*AA312</f>
        <v>21.742518797999999</v>
      </c>
      <c r="AE312">
        <f>LOOKUP($A312,'Over to underbark'!$A$47:$A$48,'Over to underbark'!E$47:E$48)*AB312</f>
        <v>6.1815263399999996</v>
      </c>
      <c r="AF312" t="b">
        <f t="shared" si="80"/>
        <v>1</v>
      </c>
      <c r="AG312" t="b">
        <f t="shared" si="81"/>
        <v>1</v>
      </c>
      <c r="AH312">
        <f>LOOKUP(A312,'Over to underbark'!$A$47:$A$48,'Over to underbark'!E$47:E$48)*M312</f>
        <v>67.749000000000009</v>
      </c>
      <c r="AI312" s="27">
        <f>LOOKUP(A312,'Over to underbark'!$A$47:$A$48,'Over to underbark'!$B$47:$B$48)*AH312</f>
        <v>21.679680000000005</v>
      </c>
      <c r="AJ312" s="27">
        <f>LOOKUP(A313,'Over to underbark'!$A$47:$A$48,'Over to underbark'!C$47:C$48)*AH312</f>
        <v>33.197010000000006</v>
      </c>
      <c r="AK312" s="27">
        <f t="shared" si="64"/>
        <v>89.428680000000014</v>
      </c>
      <c r="AL312" s="33">
        <v>271</v>
      </c>
      <c r="AM312" s="28">
        <f t="shared" si="65"/>
        <v>178.85736000000003</v>
      </c>
      <c r="AO312">
        <f t="shared" si="66"/>
        <v>0.68181818181818166</v>
      </c>
    </row>
    <row r="313" spans="1:41" x14ac:dyDescent="0.35">
      <c r="A313" t="s">
        <v>41</v>
      </c>
      <c r="B313">
        <v>6</v>
      </c>
      <c r="C313">
        <v>2</v>
      </c>
      <c r="D313" t="s">
        <v>40</v>
      </c>
      <c r="E313">
        <v>2</v>
      </c>
      <c r="F313">
        <v>1</v>
      </c>
      <c r="G313" s="16">
        <v>46</v>
      </c>
      <c r="H313" s="16">
        <v>12.57</v>
      </c>
      <c r="I313" s="16">
        <v>2111</v>
      </c>
      <c r="J313" s="16">
        <v>16.099</v>
      </c>
      <c r="K313" s="16">
        <v>42.970999999999997</v>
      </c>
      <c r="L313" s="16">
        <v>0.10199999999999999</v>
      </c>
      <c r="M313" s="23">
        <v>214.96</v>
      </c>
      <c r="N313" s="16">
        <v>0.44500000000000001</v>
      </c>
      <c r="O313" s="17">
        <v>4.673</v>
      </c>
      <c r="P313" s="18">
        <v>46</v>
      </c>
      <c r="Q313" s="18">
        <v>16.099</v>
      </c>
      <c r="R313" s="18">
        <v>171.58099999999999</v>
      </c>
      <c r="S313" s="18">
        <v>43.378999999999998</v>
      </c>
      <c r="T313" s="14" t="b">
        <f t="shared" si="72"/>
        <v>1</v>
      </c>
      <c r="U313" s="14" t="b">
        <f t="shared" si="73"/>
        <v>1</v>
      </c>
      <c r="V313" s="15">
        <f>VLOOKUP(IF(J313&lt;10, 10, IF(J313&gt;50,50,J313)),'Over to underbark'!$A$3:$C$43,IF(A313="Scots pine",3,IF(A313="Sitka spruce",2, "error")),TRUE)/100</f>
        <v>0.89</v>
      </c>
      <c r="W313">
        <f t="shared" si="74"/>
        <v>137.43638100000001</v>
      </c>
      <c r="X313">
        <f t="shared" si="75"/>
        <v>34.746579000000004</v>
      </c>
      <c r="Y313">
        <f t="shared" si="76"/>
        <v>21.281039999999997</v>
      </c>
      <c r="Z313">
        <f t="shared" si="77"/>
        <v>104.83176401999999</v>
      </c>
      <c r="AA313">
        <f t="shared" si="78"/>
        <v>67.784288580000009</v>
      </c>
      <c r="AB313">
        <f t="shared" si="79"/>
        <v>20.847947400000002</v>
      </c>
      <c r="AC313">
        <f>LOOKUP($A313,'Over to underbark'!$A$47:$A$48,'Over to underbark'!E$47:E$48)*Z313</f>
        <v>34.594482126599999</v>
      </c>
      <c r="AD313">
        <f>LOOKUP($A313,'Over to underbark'!$A$47:$A$48,'Over to underbark'!E$47:E$48)*AA313</f>
        <v>22.368815231400003</v>
      </c>
      <c r="AE313">
        <f>LOOKUP($A313,'Over to underbark'!$A$47:$A$48,'Over to underbark'!E$47:E$48)*AB313</f>
        <v>6.8798226420000015</v>
      </c>
      <c r="AF313" t="b">
        <f t="shared" si="80"/>
        <v>1</v>
      </c>
      <c r="AG313" t="b">
        <f t="shared" si="81"/>
        <v>1</v>
      </c>
      <c r="AH313">
        <f>LOOKUP(A313,'Over to underbark'!$A$47:$A$48,'Over to underbark'!E$47:E$48)*M313</f>
        <v>70.936800000000005</v>
      </c>
      <c r="AI313" s="27">
        <f>LOOKUP(A313,'Over to underbark'!$A$47:$A$48,'Over to underbark'!$B$47:$B$48)*AH313</f>
        <v>22.699776000000004</v>
      </c>
      <c r="AJ313" s="27">
        <f>LOOKUP(A314,'Over to underbark'!$A$47:$A$48,'Over to underbark'!C$47:C$48)*AH313</f>
        <v>34.759032000000005</v>
      </c>
      <c r="AK313" s="27">
        <f t="shared" si="64"/>
        <v>93.636576000000005</v>
      </c>
      <c r="AL313" s="33">
        <v>283.75</v>
      </c>
      <c r="AM313" s="28">
        <f t="shared" si="65"/>
        <v>187.27315200000001</v>
      </c>
      <c r="AO313">
        <f t="shared" si="66"/>
        <v>0.68181818181818188</v>
      </c>
    </row>
    <row r="314" spans="1:41" x14ac:dyDescent="0.35">
      <c r="A314" t="s">
        <v>41</v>
      </c>
      <c r="B314">
        <v>6</v>
      </c>
      <c r="C314">
        <v>2</v>
      </c>
      <c r="D314" t="s">
        <v>40</v>
      </c>
      <c r="E314">
        <v>2</v>
      </c>
      <c r="F314">
        <v>1</v>
      </c>
      <c r="G314" s="16">
        <v>47</v>
      </c>
      <c r="H314" s="16">
        <v>12.84</v>
      </c>
      <c r="I314" s="16">
        <v>2090</v>
      </c>
      <c r="J314" s="16">
        <v>16.329000000000001</v>
      </c>
      <c r="K314" s="16">
        <v>43.768999999999998</v>
      </c>
      <c r="L314" s="16">
        <v>0.107</v>
      </c>
      <c r="M314" s="23">
        <v>224.62</v>
      </c>
      <c r="N314" s="16">
        <v>0.54</v>
      </c>
      <c r="O314" s="17">
        <v>4.7789999999999999</v>
      </c>
      <c r="P314" s="18">
        <v>47</v>
      </c>
      <c r="Q314" s="18">
        <v>16.329000000000001</v>
      </c>
      <c r="R314" s="18">
        <v>176.12</v>
      </c>
      <c r="S314" s="18">
        <v>48.5</v>
      </c>
      <c r="T314" s="14" t="b">
        <f t="shared" si="72"/>
        <v>1</v>
      </c>
      <c r="U314" s="14" t="b">
        <f t="shared" si="73"/>
        <v>1</v>
      </c>
      <c r="V314" s="15">
        <f>VLOOKUP(IF(J314&lt;10, 10, IF(J314&gt;50,50,J314)),'Over to underbark'!$A$3:$C$43,IF(A314="Scots pine",3,IF(A314="Sitka spruce",2, "error")),TRUE)/100</f>
        <v>0.89</v>
      </c>
      <c r="W314">
        <f t="shared" si="74"/>
        <v>141.07212000000001</v>
      </c>
      <c r="X314">
        <f t="shared" si="75"/>
        <v>38.848500000000001</v>
      </c>
      <c r="Y314">
        <f t="shared" si="76"/>
        <v>22.237379999999998</v>
      </c>
      <c r="Z314">
        <f t="shared" si="77"/>
        <v>108.47576340000001</v>
      </c>
      <c r="AA314">
        <f t="shared" si="78"/>
        <v>70.373136600000009</v>
      </c>
      <c r="AB314">
        <f t="shared" si="79"/>
        <v>23.309100000000001</v>
      </c>
      <c r="AC314">
        <f>LOOKUP($A314,'Over to underbark'!$A$47:$A$48,'Over to underbark'!E$47:E$48)*Z314</f>
        <v>35.797001922000007</v>
      </c>
      <c r="AD314">
        <f>LOOKUP($A314,'Over to underbark'!$A$47:$A$48,'Over to underbark'!E$47:E$48)*AA314</f>
        <v>23.223135078000006</v>
      </c>
      <c r="AE314">
        <f>LOOKUP($A314,'Over to underbark'!$A$47:$A$48,'Over to underbark'!E$47:E$48)*AB314</f>
        <v>7.6920030000000006</v>
      </c>
      <c r="AF314" t="b">
        <f t="shared" si="80"/>
        <v>1</v>
      </c>
      <c r="AG314" t="b">
        <f t="shared" si="81"/>
        <v>1</v>
      </c>
      <c r="AH314">
        <f>LOOKUP(A314,'Over to underbark'!$A$47:$A$48,'Over to underbark'!E$47:E$48)*M314</f>
        <v>74.124600000000001</v>
      </c>
      <c r="AI314" s="27">
        <f>LOOKUP(A314,'Over to underbark'!$A$47:$A$48,'Over to underbark'!$B$47:$B$48)*AH314</f>
        <v>23.719872000000002</v>
      </c>
      <c r="AJ314" s="27">
        <f>LOOKUP(A315,'Over to underbark'!$A$47:$A$48,'Over to underbark'!C$47:C$48)*AH314</f>
        <v>36.321053999999997</v>
      </c>
      <c r="AK314" s="27">
        <f t="shared" si="64"/>
        <v>97.844471999999996</v>
      </c>
      <c r="AL314" s="33">
        <v>296.5</v>
      </c>
      <c r="AM314" s="28">
        <f t="shared" si="65"/>
        <v>195.68894399999999</v>
      </c>
      <c r="AO314">
        <f t="shared" si="66"/>
        <v>0.68181818181818199</v>
      </c>
    </row>
    <row r="315" spans="1:41" x14ac:dyDescent="0.35">
      <c r="A315" t="s">
        <v>41</v>
      </c>
      <c r="B315">
        <v>6</v>
      </c>
      <c r="C315">
        <v>2</v>
      </c>
      <c r="D315" t="s">
        <v>40</v>
      </c>
      <c r="E315">
        <v>2</v>
      </c>
      <c r="F315">
        <v>1</v>
      </c>
      <c r="G315" s="16">
        <v>48</v>
      </c>
      <c r="H315" s="16">
        <v>13.11</v>
      </c>
      <c r="I315" s="16">
        <v>2070</v>
      </c>
      <c r="J315" s="16">
        <v>16.556999999999999</v>
      </c>
      <c r="K315" s="16">
        <v>44.567</v>
      </c>
      <c r="L315" s="16">
        <v>0.113</v>
      </c>
      <c r="M315" s="23">
        <v>234.28</v>
      </c>
      <c r="N315" s="16">
        <v>0.628</v>
      </c>
      <c r="O315" s="17">
        <v>4.8810000000000002</v>
      </c>
      <c r="P315" s="18">
        <v>48</v>
      </c>
      <c r="Q315" s="18">
        <v>16.556999999999999</v>
      </c>
      <c r="R315" s="18">
        <v>180.41800000000001</v>
      </c>
      <c r="S315" s="18">
        <v>53.862000000000002</v>
      </c>
      <c r="T315" s="14" t="b">
        <f t="shared" si="72"/>
        <v>1</v>
      </c>
      <c r="U315" s="14" t="b">
        <f t="shared" si="73"/>
        <v>1</v>
      </c>
      <c r="V315" s="15">
        <f>VLOOKUP(IF(J315&lt;10, 10, IF(J315&gt;50,50,J315)),'Over to underbark'!$A$3:$C$43,IF(A315="Scots pine",3,IF(A315="Sitka spruce",2, "error")),TRUE)/100</f>
        <v>0.89</v>
      </c>
      <c r="W315">
        <f t="shared" si="74"/>
        <v>144.51481800000002</v>
      </c>
      <c r="X315">
        <f t="shared" si="75"/>
        <v>43.143462</v>
      </c>
      <c r="Y315">
        <f t="shared" si="76"/>
        <v>23.193719999999999</v>
      </c>
      <c r="Z315">
        <f t="shared" si="77"/>
        <v>112.03868556</v>
      </c>
      <c r="AA315">
        <f t="shared" si="78"/>
        <v>72.927237240000011</v>
      </c>
      <c r="AB315">
        <f t="shared" si="79"/>
        <v>25.886077199999999</v>
      </c>
      <c r="AC315">
        <f>LOOKUP($A315,'Over to underbark'!$A$47:$A$48,'Over to underbark'!E$47:E$48)*Z315</f>
        <v>36.972766234800005</v>
      </c>
      <c r="AD315">
        <f>LOOKUP($A315,'Over to underbark'!$A$47:$A$48,'Over to underbark'!E$47:E$48)*AA315</f>
        <v>24.065988289200003</v>
      </c>
      <c r="AE315">
        <f>LOOKUP($A315,'Over to underbark'!$A$47:$A$48,'Over to underbark'!E$47:E$48)*AB315</f>
        <v>8.5424054760000008</v>
      </c>
      <c r="AF315" t="b">
        <f t="shared" si="80"/>
        <v>1</v>
      </c>
      <c r="AG315" t="b">
        <f t="shared" si="81"/>
        <v>1</v>
      </c>
      <c r="AH315">
        <f>LOOKUP(A315,'Over to underbark'!$A$47:$A$48,'Over to underbark'!E$47:E$48)*M315</f>
        <v>77.312400000000011</v>
      </c>
      <c r="AI315" s="27">
        <f>LOOKUP(A315,'Over to underbark'!$A$47:$A$48,'Over to underbark'!$B$47:$B$48)*AH315</f>
        <v>24.739968000000005</v>
      </c>
      <c r="AJ315" s="27">
        <f>LOOKUP(A316,'Over to underbark'!$A$47:$A$48,'Over to underbark'!C$47:C$48)*AH315</f>
        <v>37.883076000000003</v>
      </c>
      <c r="AK315" s="27">
        <f t="shared" si="64"/>
        <v>102.05236800000002</v>
      </c>
      <c r="AL315" s="33">
        <v>309.25</v>
      </c>
      <c r="AM315" s="28">
        <f t="shared" si="65"/>
        <v>204.10473600000003</v>
      </c>
      <c r="AO315">
        <f t="shared" si="66"/>
        <v>0.68181818181818188</v>
      </c>
    </row>
    <row r="316" spans="1:41" x14ac:dyDescent="0.35">
      <c r="A316" t="s">
        <v>41</v>
      </c>
      <c r="B316">
        <v>6</v>
      </c>
      <c r="C316">
        <v>2</v>
      </c>
      <c r="D316" t="s">
        <v>40</v>
      </c>
      <c r="E316">
        <v>2</v>
      </c>
      <c r="F316">
        <v>1</v>
      </c>
      <c r="G316" s="16">
        <v>49</v>
      </c>
      <c r="H316" s="16">
        <v>13.38</v>
      </c>
      <c r="I316" s="16">
        <v>2049</v>
      </c>
      <c r="J316" s="16">
        <v>16.79</v>
      </c>
      <c r="K316" s="16">
        <v>45.365000000000002</v>
      </c>
      <c r="L316" s="16">
        <v>0.11899999999999999</v>
      </c>
      <c r="M316" s="23">
        <v>243.94</v>
      </c>
      <c r="N316" s="16">
        <v>0.70799999999999996</v>
      </c>
      <c r="O316" s="17">
        <v>4.9779999999999998</v>
      </c>
      <c r="P316" s="18">
        <v>49</v>
      </c>
      <c r="Q316" s="18">
        <v>16.79</v>
      </c>
      <c r="R316" s="18">
        <v>184.37700000000001</v>
      </c>
      <c r="S316" s="18">
        <v>59.563000000000002</v>
      </c>
      <c r="T316" s="14" t="b">
        <f t="shared" si="72"/>
        <v>1</v>
      </c>
      <c r="U316" s="14" t="b">
        <f t="shared" si="73"/>
        <v>1</v>
      </c>
      <c r="V316" s="15">
        <f>VLOOKUP(IF(J316&lt;10, 10, IF(J316&gt;50,50,J316)),'Over to underbark'!$A$3:$C$43,IF(A316="Scots pine",3,IF(A316="Sitka spruce",2, "error")),TRUE)/100</f>
        <v>0.89</v>
      </c>
      <c r="W316">
        <f t="shared" si="74"/>
        <v>147.68597700000001</v>
      </c>
      <c r="X316">
        <f t="shared" si="75"/>
        <v>47.709963000000002</v>
      </c>
      <c r="Y316">
        <f t="shared" si="76"/>
        <v>24.150059999999996</v>
      </c>
      <c r="Z316">
        <f t="shared" si="77"/>
        <v>115.48756133999998</v>
      </c>
      <c r="AA316">
        <f t="shared" si="78"/>
        <v>75.432460860000006</v>
      </c>
      <c r="AB316">
        <f t="shared" si="79"/>
        <v>28.625977800000001</v>
      </c>
      <c r="AC316">
        <f>LOOKUP($A316,'Over to underbark'!$A$47:$A$48,'Over to underbark'!E$47:E$48)*Z316</f>
        <v>38.110895242199994</v>
      </c>
      <c r="AD316">
        <f>LOOKUP($A316,'Over to underbark'!$A$47:$A$48,'Over to underbark'!E$47:E$48)*AA316</f>
        <v>24.892712083800003</v>
      </c>
      <c r="AE316">
        <f>LOOKUP($A316,'Over to underbark'!$A$47:$A$48,'Over to underbark'!E$47:E$48)*AB316</f>
        <v>9.4465726740000004</v>
      </c>
      <c r="AF316" t="b">
        <f t="shared" si="80"/>
        <v>1</v>
      </c>
      <c r="AG316" t="b">
        <f t="shared" si="81"/>
        <v>1</v>
      </c>
      <c r="AH316">
        <f>LOOKUP(A316,'Over to underbark'!$A$47:$A$48,'Over to underbark'!E$47:E$48)*M316</f>
        <v>80.500200000000007</v>
      </c>
      <c r="AI316" s="27">
        <f>LOOKUP(A316,'Over to underbark'!$A$47:$A$48,'Over to underbark'!$B$47:$B$48)*AH316</f>
        <v>25.760064000000003</v>
      </c>
      <c r="AJ316" s="27">
        <f>LOOKUP(A317,'Over to underbark'!$A$47:$A$48,'Over to underbark'!C$47:C$48)*AH316</f>
        <v>39.445098000000002</v>
      </c>
      <c r="AK316" s="27">
        <f t="shared" si="64"/>
        <v>106.26026400000001</v>
      </c>
      <c r="AL316" s="33">
        <v>322</v>
      </c>
      <c r="AM316" s="28">
        <f t="shared" si="65"/>
        <v>212.52052800000001</v>
      </c>
      <c r="AO316">
        <f t="shared" si="66"/>
        <v>0.68181818181818166</v>
      </c>
    </row>
    <row r="317" spans="1:41" x14ac:dyDescent="0.35">
      <c r="A317" t="s">
        <v>41</v>
      </c>
      <c r="B317">
        <v>6</v>
      </c>
      <c r="C317">
        <v>2</v>
      </c>
      <c r="D317" t="s">
        <v>40</v>
      </c>
      <c r="E317">
        <v>2</v>
      </c>
      <c r="F317">
        <v>1</v>
      </c>
      <c r="G317" s="16">
        <v>50</v>
      </c>
      <c r="H317" s="16">
        <v>13.65</v>
      </c>
      <c r="I317" s="16">
        <v>2029</v>
      </c>
      <c r="J317" s="16">
        <v>17.02</v>
      </c>
      <c r="K317" s="16">
        <v>46.162999999999997</v>
      </c>
      <c r="L317" s="16">
        <v>0.125</v>
      </c>
      <c r="M317" s="23">
        <v>253.6</v>
      </c>
      <c r="N317" s="16">
        <v>0.78200000000000003</v>
      </c>
      <c r="O317" s="17">
        <v>5.0720000000000001</v>
      </c>
      <c r="P317" s="18">
        <v>50</v>
      </c>
      <c r="Q317" s="18">
        <v>17.02</v>
      </c>
      <c r="R317" s="18">
        <v>188.11699999999999</v>
      </c>
      <c r="S317" s="18">
        <v>65.483000000000004</v>
      </c>
      <c r="T317" s="14" t="b">
        <f t="shared" si="72"/>
        <v>1</v>
      </c>
      <c r="U317" s="14" t="b">
        <f t="shared" si="73"/>
        <v>1</v>
      </c>
      <c r="V317" s="15">
        <f>VLOOKUP(IF(J317&lt;10, 10, IF(J317&gt;50,50,J317)),'Over to underbark'!$A$3:$C$43,IF(A317="Scots pine",3,IF(A317="Sitka spruce",2, "error")),TRUE)/100</f>
        <v>0.9</v>
      </c>
      <c r="W317">
        <f t="shared" si="74"/>
        <v>152.37476999999998</v>
      </c>
      <c r="X317">
        <f t="shared" si="75"/>
        <v>53.041230000000006</v>
      </c>
      <c r="Y317">
        <f t="shared" si="76"/>
        <v>22.823999999999995</v>
      </c>
      <c r="Z317">
        <f t="shared" si="77"/>
        <v>117.63380339999999</v>
      </c>
      <c r="AA317">
        <f t="shared" si="78"/>
        <v>78.781458599999993</v>
      </c>
      <c r="AB317">
        <f t="shared" si="79"/>
        <v>31.824738000000004</v>
      </c>
      <c r="AC317">
        <f>LOOKUP($A317,'Over to underbark'!$A$47:$A$48,'Over to underbark'!E$47:E$48)*Z317</f>
        <v>38.819155121999998</v>
      </c>
      <c r="AD317">
        <f>LOOKUP($A317,'Over to underbark'!$A$47:$A$48,'Over to underbark'!E$47:E$48)*AA317</f>
        <v>25.997881337999999</v>
      </c>
      <c r="AE317">
        <f>LOOKUP($A317,'Over to underbark'!$A$47:$A$48,'Over to underbark'!E$47:E$48)*AB317</f>
        <v>10.502163540000002</v>
      </c>
      <c r="AF317" t="b">
        <f t="shared" si="80"/>
        <v>1</v>
      </c>
      <c r="AG317" t="b">
        <f t="shared" si="81"/>
        <v>1</v>
      </c>
      <c r="AH317">
        <f>LOOKUP(A317,'Over to underbark'!$A$47:$A$48,'Over to underbark'!E$47:E$48)*M317</f>
        <v>83.688000000000002</v>
      </c>
      <c r="AI317" s="27">
        <f>LOOKUP(A317,'Over to underbark'!$A$47:$A$48,'Over to underbark'!$B$47:$B$48)*AH317</f>
        <v>26.780160000000002</v>
      </c>
      <c r="AJ317" s="27">
        <f>LOOKUP(A318,'Over to underbark'!$A$47:$A$48,'Over to underbark'!C$47:C$48)*AH317</f>
        <v>41.00712</v>
      </c>
      <c r="AK317" s="27">
        <f t="shared" si="64"/>
        <v>110.46816000000001</v>
      </c>
      <c r="AL317" s="33">
        <v>334.75</v>
      </c>
      <c r="AM317" s="28">
        <f t="shared" si="65"/>
        <v>220.93632000000002</v>
      </c>
      <c r="AO317">
        <f t="shared" si="66"/>
        <v>0.68181818181818166</v>
      </c>
    </row>
    <row r="318" spans="1:41" x14ac:dyDescent="0.35">
      <c r="A318" t="s">
        <v>41</v>
      </c>
      <c r="B318">
        <v>6</v>
      </c>
      <c r="C318">
        <v>2</v>
      </c>
      <c r="D318" t="s">
        <v>40</v>
      </c>
      <c r="E318">
        <v>2</v>
      </c>
      <c r="F318">
        <v>1</v>
      </c>
      <c r="G318" s="16">
        <v>51</v>
      </c>
      <c r="H318" s="16">
        <v>13.888</v>
      </c>
      <c r="I318" s="16">
        <v>2007</v>
      </c>
      <c r="J318" s="16">
        <v>17.216000000000001</v>
      </c>
      <c r="K318" s="16">
        <v>46.718000000000004</v>
      </c>
      <c r="L318" s="16">
        <v>0.13100000000000001</v>
      </c>
      <c r="M318" s="23">
        <v>262.32</v>
      </c>
      <c r="N318" s="16">
        <v>0.89900000000000002</v>
      </c>
      <c r="O318" s="17">
        <v>5.1440000000000001</v>
      </c>
      <c r="P318" s="18">
        <v>51</v>
      </c>
      <c r="Q318" s="18">
        <v>17.216000000000001</v>
      </c>
      <c r="R318" s="18">
        <v>191.45599999999999</v>
      </c>
      <c r="S318" s="18">
        <v>70.864000000000004</v>
      </c>
      <c r="T318" s="14" t="b">
        <f t="shared" si="72"/>
        <v>1</v>
      </c>
      <c r="U318" s="14" t="b">
        <f t="shared" si="73"/>
        <v>1</v>
      </c>
      <c r="V318" s="15">
        <f>VLOOKUP(IF(J318&lt;10, 10, IF(J318&gt;50,50,J318)),'Over to underbark'!$A$3:$C$43,IF(A318="Scots pine",3,IF(A318="Sitka spruce",2, "error")),TRUE)/100</f>
        <v>0.9</v>
      </c>
      <c r="W318">
        <f t="shared" si="74"/>
        <v>155.07935999999998</v>
      </c>
      <c r="X318">
        <f t="shared" si="75"/>
        <v>57.399840000000005</v>
      </c>
      <c r="Y318">
        <f t="shared" si="76"/>
        <v>23.608799999999995</v>
      </c>
      <c r="Z318">
        <f t="shared" si="77"/>
        <v>120.61401119999998</v>
      </c>
      <c r="AA318">
        <f t="shared" si="78"/>
        <v>81.034084799999988</v>
      </c>
      <c r="AB318">
        <f t="shared" si="79"/>
        <v>34.439903999999999</v>
      </c>
      <c r="AC318">
        <f>LOOKUP($A318,'Over to underbark'!$A$47:$A$48,'Over to underbark'!E$47:E$48)*Z318</f>
        <v>39.802623695999998</v>
      </c>
      <c r="AD318">
        <f>LOOKUP($A318,'Over to underbark'!$A$47:$A$48,'Over to underbark'!E$47:E$48)*AA318</f>
        <v>26.741247983999997</v>
      </c>
      <c r="AE318">
        <f>LOOKUP($A318,'Over to underbark'!$A$47:$A$48,'Over to underbark'!E$47:E$48)*AB318</f>
        <v>11.36516832</v>
      </c>
      <c r="AF318" t="b">
        <f t="shared" si="80"/>
        <v>1</v>
      </c>
      <c r="AG318" t="b">
        <f t="shared" si="81"/>
        <v>1</v>
      </c>
      <c r="AH318">
        <f>LOOKUP(A318,'Over to underbark'!$A$47:$A$48,'Over to underbark'!E$47:E$48)*M318</f>
        <v>86.565600000000003</v>
      </c>
      <c r="AI318" s="27">
        <f>LOOKUP(A318,'Over to underbark'!$A$47:$A$48,'Over to underbark'!$B$47:$B$48)*AH318</f>
        <v>27.700992000000003</v>
      </c>
      <c r="AJ318" s="27">
        <f>LOOKUP(A319,'Over to underbark'!$A$47:$A$48,'Over to underbark'!C$47:C$48)*AH318</f>
        <v>42.417144</v>
      </c>
      <c r="AK318" s="27">
        <f t="shared" si="64"/>
        <v>114.266592</v>
      </c>
      <c r="AL318" s="33">
        <v>346.26</v>
      </c>
      <c r="AM318" s="28">
        <f t="shared" si="65"/>
        <v>228.53318400000001</v>
      </c>
      <c r="AO318">
        <f t="shared" si="66"/>
        <v>0.68181818181818177</v>
      </c>
    </row>
    <row r="319" spans="1:41" x14ac:dyDescent="0.35">
      <c r="A319" t="s">
        <v>41</v>
      </c>
      <c r="B319">
        <v>6</v>
      </c>
      <c r="C319">
        <v>2</v>
      </c>
      <c r="D319" t="s">
        <v>40</v>
      </c>
      <c r="E319">
        <v>2</v>
      </c>
      <c r="F319">
        <v>1</v>
      </c>
      <c r="G319" s="16">
        <v>52</v>
      </c>
      <c r="H319" s="16">
        <v>14.125999999999999</v>
      </c>
      <c r="I319" s="16">
        <v>1985</v>
      </c>
      <c r="J319" s="16">
        <v>17.414000000000001</v>
      </c>
      <c r="K319" s="16">
        <v>47.274000000000001</v>
      </c>
      <c r="L319" s="16">
        <v>0.13700000000000001</v>
      </c>
      <c r="M319" s="23">
        <v>271.04000000000002</v>
      </c>
      <c r="N319" s="16">
        <v>1.008</v>
      </c>
      <c r="O319" s="17">
        <v>5.2119999999999997</v>
      </c>
      <c r="P319" s="18">
        <v>52</v>
      </c>
      <c r="Q319" s="18">
        <v>17.414000000000001</v>
      </c>
      <c r="R319" s="18">
        <v>194.566</v>
      </c>
      <c r="S319" s="18">
        <v>76.474000000000004</v>
      </c>
      <c r="T319" s="14" t="b">
        <f t="shared" si="72"/>
        <v>1</v>
      </c>
      <c r="U319" s="14" t="b">
        <f t="shared" si="73"/>
        <v>1</v>
      </c>
      <c r="V319" s="15">
        <f>VLOOKUP(IF(J319&lt;10, 10, IF(J319&gt;50,50,J319)),'Over to underbark'!$A$3:$C$43,IF(A319="Scots pine",3,IF(A319="Sitka spruce",2, "error")),TRUE)/100</f>
        <v>0.9</v>
      </c>
      <c r="W319">
        <f t="shared" si="74"/>
        <v>157.59845999999999</v>
      </c>
      <c r="X319">
        <f t="shared" si="75"/>
        <v>61.943939999999998</v>
      </c>
      <c r="Y319">
        <f t="shared" si="76"/>
        <v>24.393599999999999</v>
      </c>
      <c r="Z319">
        <f t="shared" si="77"/>
        <v>123.51631319999997</v>
      </c>
      <c r="AA319">
        <f t="shared" si="78"/>
        <v>83.253322799999992</v>
      </c>
      <c r="AB319">
        <f t="shared" si="79"/>
        <v>37.166363999999994</v>
      </c>
      <c r="AC319">
        <f>LOOKUP($A319,'Over to underbark'!$A$47:$A$48,'Over to underbark'!E$47:E$48)*Z319</f>
        <v>40.760383355999991</v>
      </c>
      <c r="AD319">
        <f>LOOKUP($A319,'Over to underbark'!$A$47:$A$48,'Over to underbark'!E$47:E$48)*AA319</f>
        <v>27.473596523999998</v>
      </c>
      <c r="AE319">
        <f>LOOKUP($A319,'Over to underbark'!$A$47:$A$48,'Over to underbark'!E$47:E$48)*AB319</f>
        <v>12.264900119999998</v>
      </c>
      <c r="AF319" t="b">
        <f t="shared" si="80"/>
        <v>1</v>
      </c>
      <c r="AG319" t="b">
        <f t="shared" si="81"/>
        <v>1</v>
      </c>
      <c r="AH319">
        <f>LOOKUP(A319,'Over to underbark'!$A$47:$A$48,'Over to underbark'!E$47:E$48)*M319</f>
        <v>89.443200000000004</v>
      </c>
      <c r="AI319" s="27">
        <f>LOOKUP(A319,'Over to underbark'!$A$47:$A$48,'Over to underbark'!$B$47:$B$48)*AH319</f>
        <v>28.621824000000004</v>
      </c>
      <c r="AJ319" s="27">
        <f>LOOKUP(A320,'Over to underbark'!$A$47:$A$48,'Over to underbark'!C$47:C$48)*AH319</f>
        <v>43.827168</v>
      </c>
      <c r="AK319" s="27">
        <f t="shared" si="64"/>
        <v>118.06502400000001</v>
      </c>
      <c r="AL319" s="33">
        <v>357.77</v>
      </c>
      <c r="AM319" s="28">
        <f t="shared" si="65"/>
        <v>236.13004800000002</v>
      </c>
      <c r="AO319">
        <f t="shared" si="66"/>
        <v>0.68181818181818166</v>
      </c>
    </row>
    <row r="320" spans="1:41" x14ac:dyDescent="0.35">
      <c r="A320" t="s">
        <v>41</v>
      </c>
      <c r="B320">
        <v>6</v>
      </c>
      <c r="C320">
        <v>2</v>
      </c>
      <c r="D320" t="s">
        <v>40</v>
      </c>
      <c r="E320">
        <v>2</v>
      </c>
      <c r="F320">
        <v>1</v>
      </c>
      <c r="G320" s="16">
        <v>53</v>
      </c>
      <c r="H320" s="16">
        <v>14.364000000000001</v>
      </c>
      <c r="I320" s="16">
        <v>1963</v>
      </c>
      <c r="J320" s="16">
        <v>17.613</v>
      </c>
      <c r="K320" s="16">
        <v>47.83</v>
      </c>
      <c r="L320" s="16">
        <v>0.14299999999999999</v>
      </c>
      <c r="M320" s="23">
        <v>279.76</v>
      </c>
      <c r="N320" s="16">
        <v>1.1100000000000001</v>
      </c>
      <c r="O320" s="17">
        <v>5.2779999999999996</v>
      </c>
      <c r="P320" s="18">
        <v>53</v>
      </c>
      <c r="Q320" s="18">
        <v>17.613</v>
      </c>
      <c r="R320" s="18">
        <v>197.464</v>
      </c>
      <c r="S320" s="18">
        <v>82.296000000000006</v>
      </c>
      <c r="T320" s="14" t="b">
        <f t="shared" si="72"/>
        <v>1</v>
      </c>
      <c r="U320" s="14" t="b">
        <f t="shared" si="73"/>
        <v>1</v>
      </c>
      <c r="V320" s="15">
        <f>VLOOKUP(IF(J320&lt;10, 10, IF(J320&gt;50,50,J320)),'Over to underbark'!$A$3:$C$43,IF(A320="Scots pine",3,IF(A320="Sitka spruce",2, "error")),TRUE)/100</f>
        <v>0.9</v>
      </c>
      <c r="W320">
        <f t="shared" si="74"/>
        <v>159.94584</v>
      </c>
      <c r="X320">
        <f t="shared" si="75"/>
        <v>66.659760000000006</v>
      </c>
      <c r="Y320">
        <f t="shared" si="76"/>
        <v>25.178399999999993</v>
      </c>
      <c r="Z320">
        <f t="shared" si="77"/>
        <v>126.34649279999999</v>
      </c>
      <c r="AA320">
        <f t="shared" si="78"/>
        <v>85.441651199999995</v>
      </c>
      <c r="AB320">
        <f t="shared" si="79"/>
        <v>39.995856000000003</v>
      </c>
      <c r="AC320">
        <f>LOOKUP($A320,'Over to underbark'!$A$47:$A$48,'Over to underbark'!E$47:E$48)*Z320</f>
        <v>41.694342624000001</v>
      </c>
      <c r="AD320">
        <f>LOOKUP($A320,'Over to underbark'!$A$47:$A$48,'Over to underbark'!E$47:E$48)*AA320</f>
        <v>28.195744896000001</v>
      </c>
      <c r="AE320">
        <f>LOOKUP($A320,'Over to underbark'!$A$47:$A$48,'Over to underbark'!E$47:E$48)*AB320</f>
        <v>13.198632480000002</v>
      </c>
      <c r="AF320" t="b">
        <f t="shared" si="80"/>
        <v>1</v>
      </c>
      <c r="AG320" t="b">
        <f t="shared" si="81"/>
        <v>1</v>
      </c>
      <c r="AH320">
        <f>LOOKUP(A320,'Over to underbark'!$A$47:$A$48,'Over to underbark'!E$47:E$48)*M320</f>
        <v>92.320800000000006</v>
      </c>
      <c r="AI320" s="27">
        <f>LOOKUP(A320,'Over to underbark'!$A$47:$A$48,'Over to underbark'!$B$47:$B$48)*AH320</f>
        <v>29.542656000000001</v>
      </c>
      <c r="AJ320" s="27">
        <f>LOOKUP(A321,'Over to underbark'!$A$47:$A$48,'Over to underbark'!C$47:C$48)*AH320</f>
        <v>45.237192</v>
      </c>
      <c r="AK320" s="27">
        <f t="shared" si="64"/>
        <v>121.86345600000001</v>
      </c>
      <c r="AL320" s="33">
        <v>369.28</v>
      </c>
      <c r="AM320" s="28">
        <f t="shared" si="65"/>
        <v>243.72691200000003</v>
      </c>
      <c r="AO320">
        <f t="shared" si="66"/>
        <v>0.68181818181818177</v>
      </c>
    </row>
    <row r="321" spans="1:41" x14ac:dyDescent="0.35">
      <c r="A321" t="s">
        <v>41</v>
      </c>
      <c r="B321">
        <v>6</v>
      </c>
      <c r="C321">
        <v>2</v>
      </c>
      <c r="D321" t="s">
        <v>40</v>
      </c>
      <c r="E321">
        <v>2</v>
      </c>
      <c r="F321">
        <v>1</v>
      </c>
      <c r="G321" s="16">
        <v>54</v>
      </c>
      <c r="H321" s="16">
        <v>14.602</v>
      </c>
      <c r="I321" s="16">
        <v>1941</v>
      </c>
      <c r="J321" s="16">
        <v>17.815999999999999</v>
      </c>
      <c r="K321" s="16">
        <v>48.384999999999998</v>
      </c>
      <c r="L321" s="16">
        <v>0.14899999999999999</v>
      </c>
      <c r="M321" s="23">
        <v>288.48</v>
      </c>
      <c r="N321" s="16">
        <v>1.2050000000000001</v>
      </c>
      <c r="O321" s="17">
        <v>5.3419999999999996</v>
      </c>
      <c r="P321" s="18">
        <v>54</v>
      </c>
      <c r="Q321" s="18">
        <v>17.815999999999999</v>
      </c>
      <c r="R321" s="18">
        <v>200.1</v>
      </c>
      <c r="S321" s="18">
        <v>88.38</v>
      </c>
      <c r="T321" s="14" t="b">
        <f t="shared" si="72"/>
        <v>1</v>
      </c>
      <c r="U321" s="14" t="b">
        <f t="shared" si="73"/>
        <v>1</v>
      </c>
      <c r="V321" s="15">
        <f>VLOOKUP(IF(J321&lt;10, 10, IF(J321&gt;50,50,J321)),'Over to underbark'!$A$3:$C$43,IF(A321="Scots pine",3,IF(A321="Sitka spruce",2, "error")),TRUE)/100</f>
        <v>0.9</v>
      </c>
      <c r="W321">
        <f t="shared" si="74"/>
        <v>162.08100000000002</v>
      </c>
      <c r="X321">
        <f t="shared" si="75"/>
        <v>71.587800000000001</v>
      </c>
      <c r="Y321">
        <f t="shared" si="76"/>
        <v>25.963199999999993</v>
      </c>
      <c r="Z321">
        <f t="shared" si="77"/>
        <v>129.08753999999999</v>
      </c>
      <c r="AA321">
        <f t="shared" si="78"/>
        <v>87.591780000000014</v>
      </c>
      <c r="AB321">
        <f t="shared" si="79"/>
        <v>42.952680000000001</v>
      </c>
      <c r="AC321">
        <f>LOOKUP($A321,'Over to underbark'!$A$47:$A$48,'Over to underbark'!E$47:E$48)*Z321</f>
        <v>42.598888199999998</v>
      </c>
      <c r="AD321">
        <f>LOOKUP($A321,'Over to underbark'!$A$47:$A$48,'Over to underbark'!E$47:E$48)*AA321</f>
        <v>28.905287400000006</v>
      </c>
      <c r="AE321">
        <f>LOOKUP($A321,'Over to underbark'!$A$47:$A$48,'Over to underbark'!E$47:E$48)*AB321</f>
        <v>14.174384400000001</v>
      </c>
      <c r="AF321" t="b">
        <f t="shared" si="80"/>
        <v>1</v>
      </c>
      <c r="AG321" t="b">
        <f t="shared" si="81"/>
        <v>1</v>
      </c>
      <c r="AH321">
        <f>LOOKUP(A321,'Over to underbark'!$A$47:$A$48,'Over to underbark'!E$47:E$48)*M321</f>
        <v>95.198400000000007</v>
      </c>
      <c r="AI321" s="27">
        <f>LOOKUP(A321,'Over to underbark'!$A$47:$A$48,'Over to underbark'!$B$47:$B$48)*AH321</f>
        <v>30.463488000000002</v>
      </c>
      <c r="AJ321" s="27">
        <f>LOOKUP(A322,'Over to underbark'!$A$47:$A$48,'Over to underbark'!C$47:C$48)*AH321</f>
        <v>46.647216</v>
      </c>
      <c r="AK321" s="27">
        <f t="shared" si="64"/>
        <v>125.661888</v>
      </c>
      <c r="AL321" s="33">
        <v>380.79</v>
      </c>
      <c r="AM321" s="28">
        <f t="shared" si="65"/>
        <v>251.32377600000001</v>
      </c>
      <c r="AO321">
        <f t="shared" si="66"/>
        <v>0.68181818181818188</v>
      </c>
    </row>
    <row r="322" spans="1:41" x14ac:dyDescent="0.35">
      <c r="A322" t="s">
        <v>41</v>
      </c>
      <c r="B322">
        <v>6</v>
      </c>
      <c r="C322">
        <v>2</v>
      </c>
      <c r="D322" t="s">
        <v>40</v>
      </c>
      <c r="E322">
        <v>2</v>
      </c>
      <c r="F322">
        <v>1</v>
      </c>
      <c r="G322" s="16">
        <v>55</v>
      </c>
      <c r="H322" s="16">
        <v>14.84</v>
      </c>
      <c r="I322" s="16">
        <v>1919</v>
      </c>
      <c r="J322" s="16">
        <v>18.02</v>
      </c>
      <c r="K322" s="16">
        <v>48.941000000000003</v>
      </c>
      <c r="L322" s="16">
        <v>0.155</v>
      </c>
      <c r="M322" s="23">
        <v>297.2</v>
      </c>
      <c r="N322" s="16">
        <v>1.2949999999999999</v>
      </c>
      <c r="O322" s="17">
        <v>5.4039999999999999</v>
      </c>
      <c r="P322" s="18">
        <v>55</v>
      </c>
      <c r="Q322" s="18">
        <v>18.02</v>
      </c>
      <c r="R322" s="18">
        <v>202.52500000000001</v>
      </c>
      <c r="S322" s="18">
        <v>94.674999999999997</v>
      </c>
      <c r="T322" s="14" t="b">
        <f t="shared" si="72"/>
        <v>1</v>
      </c>
      <c r="U322" s="14" t="b">
        <f t="shared" si="73"/>
        <v>1</v>
      </c>
      <c r="V322" s="15">
        <f>VLOOKUP(IF(J322&lt;10, 10, IF(J322&gt;50,50,J322)),'Over to underbark'!$A$3:$C$43,IF(A322="Scots pine",3,IF(A322="Sitka spruce",2, "error")),TRUE)/100</f>
        <v>0.9</v>
      </c>
      <c r="W322">
        <f t="shared" si="74"/>
        <v>164.04525000000001</v>
      </c>
      <c r="X322">
        <f t="shared" si="75"/>
        <v>76.686750000000004</v>
      </c>
      <c r="Y322">
        <f t="shared" si="76"/>
        <v>26.747999999999998</v>
      </c>
      <c r="Z322">
        <f t="shared" si="77"/>
        <v>131.75680500000001</v>
      </c>
      <c r="AA322">
        <f t="shared" si="78"/>
        <v>89.711145000000002</v>
      </c>
      <c r="AB322">
        <f t="shared" si="79"/>
        <v>46.012050000000002</v>
      </c>
      <c r="AC322">
        <f>LOOKUP($A322,'Over to underbark'!$A$47:$A$48,'Over to underbark'!E$47:E$48)*Z322</f>
        <v>43.479745650000005</v>
      </c>
      <c r="AD322">
        <f>LOOKUP($A322,'Over to underbark'!$A$47:$A$48,'Over to underbark'!E$47:E$48)*AA322</f>
        <v>29.604677850000002</v>
      </c>
      <c r="AE322">
        <f>LOOKUP($A322,'Over to underbark'!$A$47:$A$48,'Over to underbark'!E$47:E$48)*AB322</f>
        <v>15.183976500000002</v>
      </c>
      <c r="AF322" t="b">
        <f t="shared" si="80"/>
        <v>1</v>
      </c>
      <c r="AG322" t="b">
        <f t="shared" si="81"/>
        <v>1</v>
      </c>
      <c r="AH322">
        <f>LOOKUP(A322,'Over to underbark'!$A$47:$A$48,'Over to underbark'!E$47:E$48)*M322</f>
        <v>98.076000000000008</v>
      </c>
      <c r="AI322" s="27">
        <f>LOOKUP(A322,'Over to underbark'!$A$47:$A$48,'Over to underbark'!$B$47:$B$48)*AH322</f>
        <v>31.384320000000002</v>
      </c>
      <c r="AJ322" s="27">
        <f>LOOKUP(A323,'Over to underbark'!$A$47:$A$48,'Over to underbark'!C$47:C$48)*AH322</f>
        <v>48.05724</v>
      </c>
      <c r="AK322" s="27">
        <f t="shared" si="64"/>
        <v>129.46032000000002</v>
      </c>
      <c r="AL322" s="33">
        <v>392.3</v>
      </c>
      <c r="AM322" s="28">
        <f t="shared" si="65"/>
        <v>258.92064000000005</v>
      </c>
      <c r="AO322">
        <f t="shared" si="66"/>
        <v>0.68181818181818177</v>
      </c>
    </row>
    <row r="323" spans="1:41" x14ac:dyDescent="0.35">
      <c r="A323" t="s">
        <v>41</v>
      </c>
      <c r="B323">
        <v>6</v>
      </c>
      <c r="C323">
        <v>2</v>
      </c>
      <c r="D323" t="s">
        <v>40</v>
      </c>
      <c r="E323">
        <v>2</v>
      </c>
      <c r="F323">
        <v>1</v>
      </c>
      <c r="G323" s="16">
        <v>56</v>
      </c>
      <c r="H323" s="16">
        <v>15.042</v>
      </c>
      <c r="I323" s="16">
        <v>1899</v>
      </c>
      <c r="J323" s="16">
        <v>18.193000000000001</v>
      </c>
      <c r="K323" s="16">
        <v>49.365000000000002</v>
      </c>
      <c r="L323" s="16">
        <v>0.16</v>
      </c>
      <c r="M323" s="23">
        <v>304.66000000000003</v>
      </c>
      <c r="N323" s="16">
        <v>1.4239999999999999</v>
      </c>
      <c r="O323" s="17">
        <v>5.44</v>
      </c>
      <c r="P323" s="18">
        <v>56</v>
      </c>
      <c r="Q323" s="18">
        <v>18.193000000000001</v>
      </c>
      <c r="R323" s="18">
        <v>204.476</v>
      </c>
      <c r="S323" s="18">
        <v>100.184</v>
      </c>
      <c r="T323" s="14" t="b">
        <f t="shared" si="72"/>
        <v>1</v>
      </c>
      <c r="U323" s="14" t="b">
        <f t="shared" si="73"/>
        <v>1</v>
      </c>
      <c r="V323" s="15">
        <f>VLOOKUP(IF(J323&lt;10, 10, IF(J323&gt;50,50,J323)),'Over to underbark'!$A$3:$C$43,IF(A323="Scots pine",3,IF(A323="Sitka spruce",2, "error")),TRUE)/100</f>
        <v>0.9</v>
      </c>
      <c r="W323">
        <f t="shared" si="74"/>
        <v>165.62556000000001</v>
      </c>
      <c r="X323">
        <f t="shared" si="75"/>
        <v>81.149039999999999</v>
      </c>
      <c r="Y323">
        <f t="shared" si="76"/>
        <v>27.419399999999989</v>
      </c>
      <c r="Z323">
        <f t="shared" si="77"/>
        <v>133.99832519999998</v>
      </c>
      <c r="AA323">
        <f t="shared" si="78"/>
        <v>91.506250800000004</v>
      </c>
      <c r="AB323">
        <f t="shared" si="79"/>
        <v>48.689423999999995</v>
      </c>
      <c r="AC323">
        <f>LOOKUP($A323,'Over to underbark'!$A$47:$A$48,'Over to underbark'!E$47:E$48)*Z323</f>
        <v>44.219447315999993</v>
      </c>
      <c r="AD323">
        <f>LOOKUP($A323,'Over to underbark'!$A$47:$A$48,'Over to underbark'!E$47:E$48)*AA323</f>
        <v>30.197062764000002</v>
      </c>
      <c r="AE323">
        <f>LOOKUP($A323,'Over to underbark'!$A$47:$A$48,'Over to underbark'!E$47:E$48)*AB323</f>
        <v>16.067509919999999</v>
      </c>
      <c r="AF323" t="b">
        <f t="shared" si="80"/>
        <v>1</v>
      </c>
      <c r="AG323" t="b">
        <f t="shared" si="81"/>
        <v>1</v>
      </c>
      <c r="AH323">
        <f>LOOKUP(A323,'Over to underbark'!$A$47:$A$48,'Over to underbark'!E$47:E$48)*M323</f>
        <v>100.53780000000002</v>
      </c>
      <c r="AI323" s="27">
        <f>LOOKUP(A323,'Over to underbark'!$A$47:$A$48,'Over to underbark'!$B$47:$B$48)*AH323</f>
        <v>32.172096000000003</v>
      </c>
      <c r="AJ323" s="27">
        <f>LOOKUP(A324,'Over to underbark'!$A$47:$A$48,'Over to underbark'!C$47:C$48)*AH323</f>
        <v>49.263522000000009</v>
      </c>
      <c r="AK323" s="27">
        <f t="shared" si="64"/>
        <v>132.70989600000001</v>
      </c>
      <c r="AL323" s="33">
        <v>402.15</v>
      </c>
      <c r="AM323" s="28">
        <f t="shared" si="65"/>
        <v>265.41979200000003</v>
      </c>
      <c r="AO323">
        <f t="shared" si="66"/>
        <v>0.68181818181818166</v>
      </c>
    </row>
    <row r="324" spans="1:41" x14ac:dyDescent="0.35">
      <c r="A324" t="s">
        <v>41</v>
      </c>
      <c r="B324">
        <v>6</v>
      </c>
      <c r="C324">
        <v>2</v>
      </c>
      <c r="D324" t="s">
        <v>40</v>
      </c>
      <c r="E324">
        <v>2</v>
      </c>
      <c r="F324">
        <v>1</v>
      </c>
      <c r="G324" s="16">
        <v>57</v>
      </c>
      <c r="H324" s="16">
        <v>15.244</v>
      </c>
      <c r="I324" s="16">
        <v>1880</v>
      </c>
      <c r="J324" s="16">
        <v>18.363</v>
      </c>
      <c r="K324" s="16">
        <v>49.79</v>
      </c>
      <c r="L324" s="16">
        <v>0.16600000000000001</v>
      </c>
      <c r="M324" s="23">
        <v>312.12</v>
      </c>
      <c r="N324" s="16">
        <v>1.546</v>
      </c>
      <c r="O324" s="17">
        <v>5.476</v>
      </c>
      <c r="P324" s="18">
        <v>57</v>
      </c>
      <c r="Q324" s="18">
        <v>18.363</v>
      </c>
      <c r="R324" s="18">
        <v>206.346</v>
      </c>
      <c r="S324" s="18">
        <v>105.774</v>
      </c>
      <c r="T324" s="14" t="b">
        <f t="shared" si="72"/>
        <v>1</v>
      </c>
      <c r="U324" s="14" t="b">
        <f t="shared" si="73"/>
        <v>1</v>
      </c>
      <c r="V324" s="15">
        <f>VLOOKUP(IF(J324&lt;10, 10, IF(J324&gt;50,50,J324)),'Over to underbark'!$A$3:$C$43,IF(A324="Scots pine",3,IF(A324="Sitka spruce",2, "error")),TRUE)/100</f>
        <v>0.9</v>
      </c>
      <c r="W324">
        <f t="shared" si="74"/>
        <v>167.14026000000001</v>
      </c>
      <c r="X324">
        <f t="shared" si="75"/>
        <v>85.676940000000002</v>
      </c>
      <c r="Y324">
        <f t="shared" si="76"/>
        <v>28.090799999999994</v>
      </c>
      <c r="Z324">
        <f t="shared" si="77"/>
        <v>136.21228919999999</v>
      </c>
      <c r="AA324">
        <f t="shared" si="78"/>
        <v>93.289546800000011</v>
      </c>
      <c r="AB324">
        <f t="shared" si="79"/>
        <v>51.406163999999997</v>
      </c>
      <c r="AC324">
        <f>LOOKUP($A324,'Over to underbark'!$A$47:$A$48,'Over to underbark'!E$47:E$48)*Z324</f>
        <v>44.950055436</v>
      </c>
      <c r="AD324">
        <f>LOOKUP($A324,'Over to underbark'!$A$47:$A$48,'Over to underbark'!E$47:E$48)*AA324</f>
        <v>30.785550444000005</v>
      </c>
      <c r="AE324">
        <f>LOOKUP($A324,'Over to underbark'!$A$47:$A$48,'Over to underbark'!E$47:E$48)*AB324</f>
        <v>16.964034120000001</v>
      </c>
      <c r="AF324" t="b">
        <f t="shared" si="80"/>
        <v>1</v>
      </c>
      <c r="AG324" t="b">
        <f t="shared" si="81"/>
        <v>1</v>
      </c>
      <c r="AH324">
        <f>LOOKUP(A324,'Over to underbark'!$A$47:$A$48,'Over to underbark'!E$47:E$48)*M324</f>
        <v>102.9996</v>
      </c>
      <c r="AI324" s="27">
        <f>LOOKUP(A324,'Over to underbark'!$A$47:$A$48,'Over to underbark'!$B$47:$B$48)*AH324</f>
        <v>32.959872000000004</v>
      </c>
      <c r="AJ324" s="27">
        <f>LOOKUP(A325,'Over to underbark'!$A$47:$A$48,'Over to underbark'!C$47:C$48)*AH324</f>
        <v>50.469803999999996</v>
      </c>
      <c r="AK324" s="27">
        <f t="shared" ref="AK324:AK387" si="82">AH324+AI324</f>
        <v>135.95947200000001</v>
      </c>
      <c r="AL324" s="33">
        <v>412</v>
      </c>
      <c r="AM324" s="28">
        <f t="shared" ref="AM324:AM387" si="83">AK324*2</f>
        <v>271.91894400000001</v>
      </c>
      <c r="AO324">
        <f t="shared" ref="AO324:AO387" si="84">(AC324+AD324+AE324)/AK324</f>
        <v>0.68181818181818188</v>
      </c>
    </row>
    <row r="325" spans="1:41" x14ac:dyDescent="0.35">
      <c r="A325" t="s">
        <v>41</v>
      </c>
      <c r="B325">
        <v>6</v>
      </c>
      <c r="C325">
        <v>2</v>
      </c>
      <c r="D325" t="s">
        <v>40</v>
      </c>
      <c r="E325">
        <v>2</v>
      </c>
      <c r="F325">
        <v>1</v>
      </c>
      <c r="G325" s="16">
        <v>58</v>
      </c>
      <c r="H325" s="16">
        <v>15.446</v>
      </c>
      <c r="I325" s="16">
        <v>1860</v>
      </c>
      <c r="J325" s="16">
        <v>18.54</v>
      </c>
      <c r="K325" s="16">
        <v>50.213999999999999</v>
      </c>
      <c r="L325" s="16">
        <v>0.17199999999999999</v>
      </c>
      <c r="M325" s="23">
        <v>319.58</v>
      </c>
      <c r="N325" s="16">
        <v>1.6619999999999999</v>
      </c>
      <c r="O325" s="17">
        <v>5.51</v>
      </c>
      <c r="P325" s="18">
        <v>58</v>
      </c>
      <c r="Q325" s="18">
        <v>18.54</v>
      </c>
      <c r="R325" s="18">
        <v>207.95400000000001</v>
      </c>
      <c r="S325" s="18">
        <v>111.626</v>
      </c>
      <c r="T325" s="14" t="b">
        <f t="shared" si="72"/>
        <v>1</v>
      </c>
      <c r="U325" s="14" t="b">
        <f t="shared" si="73"/>
        <v>1</v>
      </c>
      <c r="V325" s="15">
        <f>VLOOKUP(IF(J325&lt;10, 10, IF(J325&gt;50,50,J325)),'Over to underbark'!$A$3:$C$43,IF(A325="Scots pine",3,IF(A325="Sitka spruce",2, "error")),TRUE)/100</f>
        <v>0.9</v>
      </c>
      <c r="W325">
        <f t="shared" si="74"/>
        <v>168.44274000000001</v>
      </c>
      <c r="X325">
        <f t="shared" si="75"/>
        <v>90.417060000000006</v>
      </c>
      <c r="Y325">
        <f t="shared" si="76"/>
        <v>28.7622</v>
      </c>
      <c r="Z325">
        <f t="shared" si="77"/>
        <v>138.33712079999998</v>
      </c>
      <c r="AA325">
        <f t="shared" si="78"/>
        <v>95.034643200000005</v>
      </c>
      <c r="AB325">
        <f t="shared" si="79"/>
        <v>54.250236000000001</v>
      </c>
      <c r="AC325">
        <f>LOOKUP($A325,'Over to underbark'!$A$47:$A$48,'Over to underbark'!E$47:E$48)*Z325</f>
        <v>45.651249863999993</v>
      </c>
      <c r="AD325">
        <f>LOOKUP($A325,'Over to underbark'!$A$47:$A$48,'Over to underbark'!E$47:E$48)*AA325</f>
        <v>31.361432256000004</v>
      </c>
      <c r="AE325">
        <f>LOOKUP($A325,'Over to underbark'!$A$47:$A$48,'Over to underbark'!E$47:E$48)*AB325</f>
        <v>17.902577880000003</v>
      </c>
      <c r="AF325" t="b">
        <f t="shared" si="80"/>
        <v>1</v>
      </c>
      <c r="AG325" t="b">
        <f t="shared" si="81"/>
        <v>1</v>
      </c>
      <c r="AH325">
        <f>LOOKUP(A325,'Over to underbark'!$A$47:$A$48,'Over to underbark'!E$47:E$48)*M325</f>
        <v>105.4614</v>
      </c>
      <c r="AI325" s="27">
        <f>LOOKUP(A325,'Over to underbark'!$A$47:$A$48,'Over to underbark'!$B$47:$B$48)*AH325</f>
        <v>33.747647999999998</v>
      </c>
      <c r="AJ325" s="27">
        <f>LOOKUP(A326,'Over to underbark'!$A$47:$A$48,'Over to underbark'!C$47:C$48)*AH325</f>
        <v>51.676085999999998</v>
      </c>
      <c r="AK325" s="27">
        <f t="shared" si="82"/>
        <v>139.209048</v>
      </c>
      <c r="AL325" s="33">
        <v>421.85</v>
      </c>
      <c r="AM325" s="28">
        <f t="shared" si="83"/>
        <v>278.41809599999999</v>
      </c>
      <c r="AO325">
        <f t="shared" si="84"/>
        <v>0.68181818181818177</v>
      </c>
    </row>
    <row r="326" spans="1:41" x14ac:dyDescent="0.35">
      <c r="A326" t="s">
        <v>41</v>
      </c>
      <c r="B326">
        <v>6</v>
      </c>
      <c r="C326">
        <v>2</v>
      </c>
      <c r="D326" t="s">
        <v>40</v>
      </c>
      <c r="E326">
        <v>2</v>
      </c>
      <c r="F326">
        <v>1</v>
      </c>
      <c r="G326" s="16">
        <v>59</v>
      </c>
      <c r="H326" s="16">
        <v>15.648</v>
      </c>
      <c r="I326" s="16">
        <v>1841</v>
      </c>
      <c r="J326" s="16">
        <v>18.713999999999999</v>
      </c>
      <c r="K326" s="16">
        <v>50.637999999999998</v>
      </c>
      <c r="L326" s="16">
        <v>0.17799999999999999</v>
      </c>
      <c r="M326" s="23">
        <v>327.04000000000002</v>
      </c>
      <c r="N326" s="16">
        <v>1.772</v>
      </c>
      <c r="O326" s="17">
        <v>5.5430000000000001</v>
      </c>
      <c r="P326" s="18">
        <v>59</v>
      </c>
      <c r="Q326" s="18">
        <v>18.713999999999999</v>
      </c>
      <c r="R326" s="18">
        <v>209.48599999999999</v>
      </c>
      <c r="S326" s="18">
        <v>117.554</v>
      </c>
      <c r="T326" s="14" t="b">
        <f t="shared" si="72"/>
        <v>1</v>
      </c>
      <c r="U326" s="14" t="b">
        <f t="shared" si="73"/>
        <v>1</v>
      </c>
      <c r="V326" s="15">
        <f>VLOOKUP(IF(J326&lt;10, 10, IF(J326&gt;50,50,J326)),'Over to underbark'!$A$3:$C$43,IF(A326="Scots pine",3,IF(A326="Sitka spruce",2, "error")),TRUE)/100</f>
        <v>0.9</v>
      </c>
      <c r="W326">
        <f t="shared" si="74"/>
        <v>169.68366</v>
      </c>
      <c r="X326">
        <f t="shared" si="75"/>
        <v>95.218740000000011</v>
      </c>
      <c r="Y326">
        <f t="shared" si="76"/>
        <v>29.433599999999988</v>
      </c>
      <c r="Z326">
        <f t="shared" si="77"/>
        <v>140.43609719999998</v>
      </c>
      <c r="AA326">
        <f t="shared" si="78"/>
        <v>96.768658800000011</v>
      </c>
      <c r="AB326">
        <f t="shared" si="79"/>
        <v>57.131244000000002</v>
      </c>
      <c r="AC326">
        <f>LOOKUP($A326,'Over to underbark'!$A$47:$A$48,'Over to underbark'!E$47:E$48)*Z326</f>
        <v>46.343912075999995</v>
      </c>
      <c r="AD326">
        <f>LOOKUP($A326,'Over to underbark'!$A$47:$A$48,'Over to underbark'!E$47:E$48)*AA326</f>
        <v>31.933657404000005</v>
      </c>
      <c r="AE326">
        <f>LOOKUP($A326,'Over to underbark'!$A$47:$A$48,'Over to underbark'!E$47:E$48)*AB326</f>
        <v>18.853310520000001</v>
      </c>
      <c r="AF326" t="b">
        <f t="shared" si="80"/>
        <v>1</v>
      </c>
      <c r="AG326" t="b">
        <f t="shared" si="81"/>
        <v>1</v>
      </c>
      <c r="AH326">
        <f>LOOKUP(A326,'Over to underbark'!$A$47:$A$48,'Over to underbark'!E$47:E$48)*M326</f>
        <v>107.92320000000001</v>
      </c>
      <c r="AI326" s="27">
        <f>LOOKUP(A326,'Over to underbark'!$A$47:$A$48,'Over to underbark'!$B$47:$B$48)*AH326</f>
        <v>34.535424000000006</v>
      </c>
      <c r="AJ326" s="27">
        <f>LOOKUP(A327,'Over to underbark'!$A$47:$A$48,'Over to underbark'!C$47:C$48)*AH326</f>
        <v>52.882368000000007</v>
      </c>
      <c r="AK326" s="27">
        <f t="shared" si="82"/>
        <v>142.45862400000001</v>
      </c>
      <c r="AL326" s="33">
        <v>431.69</v>
      </c>
      <c r="AM326" s="28">
        <f t="shared" si="83"/>
        <v>284.91724800000003</v>
      </c>
      <c r="AO326">
        <f t="shared" si="84"/>
        <v>0.68181818181818166</v>
      </c>
    </row>
    <row r="327" spans="1:41" x14ac:dyDescent="0.35">
      <c r="A327" t="s">
        <v>41</v>
      </c>
      <c r="B327">
        <v>6</v>
      </c>
      <c r="C327">
        <v>2</v>
      </c>
      <c r="D327" t="s">
        <v>40</v>
      </c>
      <c r="E327">
        <v>2</v>
      </c>
      <c r="F327">
        <v>1</v>
      </c>
      <c r="G327" s="16">
        <v>60</v>
      </c>
      <c r="H327" s="16">
        <v>15.85</v>
      </c>
      <c r="I327" s="16">
        <v>1822</v>
      </c>
      <c r="J327" s="16">
        <v>18.89</v>
      </c>
      <c r="K327" s="16">
        <v>51.063000000000002</v>
      </c>
      <c r="L327" s="16">
        <v>0.184</v>
      </c>
      <c r="M327" s="23">
        <v>334.5</v>
      </c>
      <c r="N327" s="16">
        <v>1.877</v>
      </c>
      <c r="O327" s="17">
        <v>5.5750000000000002</v>
      </c>
      <c r="P327" s="18">
        <v>60</v>
      </c>
      <c r="Q327" s="18">
        <v>18.89</v>
      </c>
      <c r="R327" s="18">
        <v>210.851</v>
      </c>
      <c r="S327" s="18">
        <v>123.649</v>
      </c>
      <c r="T327" s="14" t="b">
        <f t="shared" si="72"/>
        <v>1</v>
      </c>
      <c r="U327" s="14" t="b">
        <f t="shared" si="73"/>
        <v>1</v>
      </c>
      <c r="V327" s="15">
        <f>VLOOKUP(IF(J327&lt;10, 10, IF(J327&gt;50,50,J327)),'Over to underbark'!$A$3:$C$43,IF(A327="Scots pine",3,IF(A327="Sitka spruce",2, "error")),TRUE)/100</f>
        <v>0.9</v>
      </c>
      <c r="W327">
        <f t="shared" si="74"/>
        <v>170.78931000000003</v>
      </c>
      <c r="X327">
        <f t="shared" si="75"/>
        <v>100.15569000000001</v>
      </c>
      <c r="Y327">
        <f t="shared" si="76"/>
        <v>30.104999999999993</v>
      </c>
      <c r="Z327">
        <f t="shared" si="77"/>
        <v>142.47826019999999</v>
      </c>
      <c r="AA327">
        <f t="shared" si="78"/>
        <v>98.478325800000007</v>
      </c>
      <c r="AB327">
        <f t="shared" si="79"/>
        <v>60.093414000000003</v>
      </c>
      <c r="AC327">
        <f>LOOKUP($A327,'Over to underbark'!$A$47:$A$48,'Over to underbark'!E$47:E$48)*Z327</f>
        <v>47.017825866000003</v>
      </c>
      <c r="AD327">
        <f>LOOKUP($A327,'Over to underbark'!$A$47:$A$48,'Over to underbark'!E$47:E$48)*AA327</f>
        <v>32.497847514000007</v>
      </c>
      <c r="AE327">
        <f>LOOKUP($A327,'Over to underbark'!$A$47:$A$48,'Over to underbark'!E$47:E$48)*AB327</f>
        <v>19.830826620000003</v>
      </c>
      <c r="AF327" t="b">
        <f t="shared" si="80"/>
        <v>1</v>
      </c>
      <c r="AG327" t="b">
        <f t="shared" si="81"/>
        <v>1</v>
      </c>
      <c r="AH327">
        <f>LOOKUP(A327,'Over to underbark'!$A$47:$A$48,'Over to underbark'!E$47:E$48)*M327</f>
        <v>110.38500000000001</v>
      </c>
      <c r="AI327" s="27">
        <f>LOOKUP(A327,'Over to underbark'!$A$47:$A$48,'Over to underbark'!$B$47:$B$48)*AH327</f>
        <v>35.3232</v>
      </c>
      <c r="AJ327" s="27">
        <f>LOOKUP(A328,'Over to underbark'!$A$47:$A$48,'Over to underbark'!C$47:C$48)*AH327</f>
        <v>54.088650000000001</v>
      </c>
      <c r="AK327" s="27">
        <f t="shared" si="82"/>
        <v>145.70820000000001</v>
      </c>
      <c r="AL327" s="33">
        <v>441.54</v>
      </c>
      <c r="AM327" s="28">
        <f t="shared" si="83"/>
        <v>291.41640000000001</v>
      </c>
      <c r="AO327">
        <f t="shared" si="84"/>
        <v>0.68181818181818188</v>
      </c>
    </row>
    <row r="328" spans="1:41" x14ac:dyDescent="0.35">
      <c r="A328" t="s">
        <v>41</v>
      </c>
      <c r="B328">
        <v>6</v>
      </c>
      <c r="C328">
        <v>2</v>
      </c>
      <c r="D328" t="s">
        <v>40</v>
      </c>
      <c r="E328">
        <v>2</v>
      </c>
      <c r="F328">
        <v>1</v>
      </c>
      <c r="G328" s="16">
        <v>61</v>
      </c>
      <c r="H328" s="16">
        <v>16.012</v>
      </c>
      <c r="I328" s="16">
        <v>1806</v>
      </c>
      <c r="J328" s="16">
        <v>19.036999999999999</v>
      </c>
      <c r="K328" s="16">
        <v>51.408000000000001</v>
      </c>
      <c r="L328" s="16">
        <v>0.189</v>
      </c>
      <c r="M328" s="23">
        <v>340.72</v>
      </c>
      <c r="N328" s="16">
        <v>2.0299999999999998</v>
      </c>
      <c r="O328" s="17">
        <v>5.5860000000000003</v>
      </c>
      <c r="P328" s="18">
        <v>61</v>
      </c>
      <c r="Q328" s="18">
        <v>19.036999999999999</v>
      </c>
      <c r="R328" s="18">
        <v>211.887</v>
      </c>
      <c r="S328" s="18">
        <v>128.833</v>
      </c>
      <c r="T328" s="14" t="b">
        <f t="shared" si="72"/>
        <v>1</v>
      </c>
      <c r="U328" s="14" t="b">
        <f t="shared" si="73"/>
        <v>1</v>
      </c>
      <c r="V328" s="15">
        <f>VLOOKUP(IF(J328&lt;10, 10, IF(J328&gt;50,50,J328)),'Over to underbark'!$A$3:$C$43,IF(A328="Scots pine",3,IF(A328="Sitka spruce",2, "error")),TRUE)/100</f>
        <v>0.9</v>
      </c>
      <c r="W328">
        <f t="shared" si="74"/>
        <v>171.62847000000002</v>
      </c>
      <c r="X328">
        <f t="shared" si="75"/>
        <v>104.35473</v>
      </c>
      <c r="Y328">
        <f t="shared" si="76"/>
        <v>30.664799999999996</v>
      </c>
      <c r="Z328">
        <f t="shared" si="77"/>
        <v>144.14623739999999</v>
      </c>
      <c r="AA328">
        <f t="shared" si="78"/>
        <v>99.88892460000001</v>
      </c>
      <c r="AB328">
        <f t="shared" si="79"/>
        <v>62.612837999999996</v>
      </c>
      <c r="AC328">
        <f>LOOKUP($A328,'Over to underbark'!$A$47:$A$48,'Over to underbark'!E$47:E$48)*Z328</f>
        <v>47.568258342</v>
      </c>
      <c r="AD328">
        <f>LOOKUP($A328,'Over to underbark'!$A$47:$A$48,'Over to underbark'!E$47:E$48)*AA328</f>
        <v>32.963345118000007</v>
      </c>
      <c r="AE328">
        <f>LOOKUP($A328,'Over to underbark'!$A$47:$A$48,'Over to underbark'!E$47:E$48)*AB328</f>
        <v>20.662236539999999</v>
      </c>
      <c r="AF328" t="b">
        <f t="shared" si="80"/>
        <v>1</v>
      </c>
      <c r="AG328" t="b">
        <f t="shared" si="81"/>
        <v>1</v>
      </c>
      <c r="AH328">
        <f>LOOKUP(A328,'Over to underbark'!$A$47:$A$48,'Over to underbark'!E$47:E$48)*M328</f>
        <v>112.43760000000002</v>
      </c>
      <c r="AI328" s="27">
        <f>LOOKUP(A328,'Over to underbark'!$A$47:$A$48,'Over to underbark'!$B$47:$B$48)*AH328</f>
        <v>35.980032000000008</v>
      </c>
      <c r="AJ328" s="27">
        <f>LOOKUP(A329,'Over to underbark'!$A$47:$A$48,'Over to underbark'!C$47:C$48)*AH328</f>
        <v>55.094424000000011</v>
      </c>
      <c r="AK328" s="27">
        <f t="shared" si="82"/>
        <v>148.41763200000003</v>
      </c>
      <c r="AL328" s="33">
        <v>449.75</v>
      </c>
      <c r="AM328" s="28">
        <f t="shared" si="83"/>
        <v>296.83526400000005</v>
      </c>
      <c r="AO328">
        <f t="shared" si="84"/>
        <v>0.68181818181818177</v>
      </c>
    </row>
    <row r="329" spans="1:41" x14ac:dyDescent="0.35">
      <c r="A329" t="s">
        <v>41</v>
      </c>
      <c r="B329">
        <v>6</v>
      </c>
      <c r="C329">
        <v>2</v>
      </c>
      <c r="D329" t="s">
        <v>40</v>
      </c>
      <c r="E329">
        <v>2</v>
      </c>
      <c r="F329">
        <v>1</v>
      </c>
      <c r="G329" s="16">
        <v>62</v>
      </c>
      <c r="H329" s="16">
        <v>16.173999999999999</v>
      </c>
      <c r="I329" s="16">
        <v>1791</v>
      </c>
      <c r="J329" s="16">
        <v>19.181000000000001</v>
      </c>
      <c r="K329" s="16">
        <v>51.753</v>
      </c>
      <c r="L329" s="16">
        <v>0.19400000000000001</v>
      </c>
      <c r="M329" s="23">
        <v>346.94</v>
      </c>
      <c r="N329" s="16">
        <v>2.177</v>
      </c>
      <c r="O329" s="17">
        <v>5.5960000000000001</v>
      </c>
      <c r="P329" s="18">
        <v>62</v>
      </c>
      <c r="Q329" s="18">
        <v>19.181000000000001</v>
      </c>
      <c r="R329" s="18">
        <v>212.89400000000001</v>
      </c>
      <c r="S329" s="18">
        <v>134.04599999999999</v>
      </c>
      <c r="T329" s="14" t="b">
        <f t="shared" si="72"/>
        <v>1</v>
      </c>
      <c r="U329" s="14" t="b">
        <f t="shared" si="73"/>
        <v>1</v>
      </c>
      <c r="V329" s="15">
        <f>VLOOKUP(IF(J329&lt;10, 10, IF(J329&gt;50,50,J329)),'Over to underbark'!$A$3:$C$43,IF(A329="Scots pine",3,IF(A329="Sitka spruce",2, "error")),TRUE)/100</f>
        <v>0.9</v>
      </c>
      <c r="W329">
        <f t="shared" si="74"/>
        <v>172.44414</v>
      </c>
      <c r="X329">
        <f t="shared" si="75"/>
        <v>108.57726</v>
      </c>
      <c r="Y329">
        <f t="shared" si="76"/>
        <v>31.224599999999992</v>
      </c>
      <c r="Z329">
        <f t="shared" si="77"/>
        <v>145.80434879999999</v>
      </c>
      <c r="AA329">
        <f t="shared" si="78"/>
        <v>101.2952952</v>
      </c>
      <c r="AB329">
        <f t="shared" si="79"/>
        <v>65.146355999999997</v>
      </c>
      <c r="AC329">
        <f>LOOKUP($A329,'Over to underbark'!$A$47:$A$48,'Over to underbark'!E$47:E$48)*Z329</f>
        <v>48.115435103999999</v>
      </c>
      <c r="AD329">
        <f>LOOKUP($A329,'Over to underbark'!$A$47:$A$48,'Over to underbark'!E$47:E$48)*AA329</f>
        <v>33.427447416</v>
      </c>
      <c r="AE329">
        <f>LOOKUP($A329,'Over to underbark'!$A$47:$A$48,'Over to underbark'!E$47:E$48)*AB329</f>
        <v>21.498297480000002</v>
      </c>
      <c r="AF329" t="b">
        <f t="shared" si="80"/>
        <v>1</v>
      </c>
      <c r="AG329" t="b">
        <f t="shared" si="81"/>
        <v>1</v>
      </c>
      <c r="AH329">
        <f>LOOKUP(A329,'Over to underbark'!$A$47:$A$48,'Over to underbark'!E$47:E$48)*M329</f>
        <v>114.4902</v>
      </c>
      <c r="AI329" s="27">
        <f>LOOKUP(A329,'Over to underbark'!$A$47:$A$48,'Over to underbark'!$B$47:$B$48)*AH329</f>
        <v>36.636864000000003</v>
      </c>
      <c r="AJ329" s="27">
        <f>LOOKUP(A330,'Over to underbark'!$A$47:$A$48,'Over to underbark'!C$47:C$48)*AH329</f>
        <v>56.100197999999999</v>
      </c>
      <c r="AK329" s="27">
        <f t="shared" si="82"/>
        <v>151.12706400000002</v>
      </c>
      <c r="AL329" s="33">
        <v>457.96</v>
      </c>
      <c r="AM329" s="28">
        <f t="shared" si="83"/>
        <v>302.25412800000004</v>
      </c>
      <c r="AO329">
        <f t="shared" si="84"/>
        <v>0.68181818181818177</v>
      </c>
    </row>
    <row r="330" spans="1:41" x14ac:dyDescent="0.35">
      <c r="A330" t="s">
        <v>41</v>
      </c>
      <c r="B330">
        <v>6</v>
      </c>
      <c r="C330">
        <v>2</v>
      </c>
      <c r="D330" t="s">
        <v>40</v>
      </c>
      <c r="E330">
        <v>2</v>
      </c>
      <c r="F330">
        <v>1</v>
      </c>
      <c r="G330" s="16">
        <v>63</v>
      </c>
      <c r="H330" s="16">
        <v>16.335999999999999</v>
      </c>
      <c r="I330" s="16">
        <v>1776</v>
      </c>
      <c r="J330" s="16">
        <v>19.326000000000001</v>
      </c>
      <c r="K330" s="16">
        <v>52.097999999999999</v>
      </c>
      <c r="L330" s="16">
        <v>0.19900000000000001</v>
      </c>
      <c r="M330" s="23">
        <v>353.16</v>
      </c>
      <c r="N330" s="16">
        <v>2.3180000000000001</v>
      </c>
      <c r="O330" s="17">
        <v>5.6059999999999999</v>
      </c>
      <c r="P330" s="18">
        <v>63</v>
      </c>
      <c r="Q330" s="18">
        <v>19.326000000000001</v>
      </c>
      <c r="R330" s="18">
        <v>213.798</v>
      </c>
      <c r="S330" s="18">
        <v>139.36199999999999</v>
      </c>
      <c r="T330" s="14" t="b">
        <f t="shared" si="72"/>
        <v>1</v>
      </c>
      <c r="U330" s="14" t="b">
        <f t="shared" si="73"/>
        <v>1</v>
      </c>
      <c r="V330" s="15">
        <f>VLOOKUP(IF(J330&lt;10, 10, IF(J330&gt;50,50,J330)),'Over to underbark'!$A$3:$C$43,IF(A330="Scots pine",3,IF(A330="Sitka spruce",2, "error")),TRUE)/100</f>
        <v>0.9</v>
      </c>
      <c r="W330">
        <f t="shared" si="74"/>
        <v>173.17638000000002</v>
      </c>
      <c r="X330">
        <f t="shared" si="75"/>
        <v>112.88321999999999</v>
      </c>
      <c r="Y330">
        <f t="shared" si="76"/>
        <v>31.784399999999991</v>
      </c>
      <c r="Z330">
        <f t="shared" si="77"/>
        <v>147.42741960000001</v>
      </c>
      <c r="AA330">
        <f t="shared" si="78"/>
        <v>102.68664840000001</v>
      </c>
      <c r="AB330">
        <f t="shared" si="79"/>
        <v>67.729931999999991</v>
      </c>
      <c r="AC330">
        <f>LOOKUP($A330,'Over to underbark'!$A$47:$A$48,'Over to underbark'!E$47:E$48)*Z330</f>
        <v>48.651048468000006</v>
      </c>
      <c r="AD330">
        <f>LOOKUP($A330,'Over to underbark'!$A$47:$A$48,'Over to underbark'!E$47:E$48)*AA330</f>
        <v>33.886593972000007</v>
      </c>
      <c r="AE330">
        <f>LOOKUP($A330,'Over to underbark'!$A$47:$A$48,'Over to underbark'!E$47:E$48)*AB330</f>
        <v>22.350877559999997</v>
      </c>
      <c r="AF330" t="b">
        <f t="shared" si="80"/>
        <v>1</v>
      </c>
      <c r="AG330" t="b">
        <f t="shared" si="81"/>
        <v>1</v>
      </c>
      <c r="AH330">
        <f>LOOKUP(A330,'Over to underbark'!$A$47:$A$48,'Over to underbark'!E$47:E$48)*M330</f>
        <v>116.54280000000001</v>
      </c>
      <c r="AI330" s="27">
        <f>LOOKUP(A330,'Over to underbark'!$A$47:$A$48,'Over to underbark'!$B$47:$B$48)*AH330</f>
        <v>37.293696000000004</v>
      </c>
      <c r="AJ330" s="27">
        <f>LOOKUP(A331,'Over to underbark'!$A$47:$A$48,'Over to underbark'!C$47:C$48)*AH330</f>
        <v>57.105972000000008</v>
      </c>
      <c r="AK330" s="27">
        <f t="shared" si="82"/>
        <v>153.83649600000001</v>
      </c>
      <c r="AL330" s="33">
        <v>466.17</v>
      </c>
      <c r="AM330" s="28">
        <f t="shared" si="83"/>
        <v>307.67299200000002</v>
      </c>
      <c r="AO330">
        <f t="shared" si="84"/>
        <v>0.68181818181818188</v>
      </c>
    </row>
    <row r="331" spans="1:41" x14ac:dyDescent="0.35">
      <c r="A331" t="s">
        <v>41</v>
      </c>
      <c r="B331">
        <v>6</v>
      </c>
      <c r="C331">
        <v>2</v>
      </c>
      <c r="D331" t="s">
        <v>40</v>
      </c>
      <c r="E331">
        <v>2</v>
      </c>
      <c r="F331">
        <v>1</v>
      </c>
      <c r="G331" s="16">
        <v>64</v>
      </c>
      <c r="H331" s="16">
        <v>16.498000000000001</v>
      </c>
      <c r="I331" s="16">
        <v>1761</v>
      </c>
      <c r="J331" s="16">
        <v>19.472000000000001</v>
      </c>
      <c r="K331" s="16">
        <v>52.442999999999998</v>
      </c>
      <c r="L331" s="16">
        <v>0.20399999999999999</v>
      </c>
      <c r="M331" s="23">
        <v>359.38</v>
      </c>
      <c r="N331" s="16">
        <v>2.4540000000000002</v>
      </c>
      <c r="O331" s="17">
        <v>5.6150000000000002</v>
      </c>
      <c r="P331" s="18">
        <v>64</v>
      </c>
      <c r="Q331" s="18">
        <v>19.472000000000001</v>
      </c>
      <c r="R331" s="18">
        <v>214.59899999999999</v>
      </c>
      <c r="S331" s="18">
        <v>144.78100000000001</v>
      </c>
      <c r="T331" s="14" t="b">
        <f t="shared" si="72"/>
        <v>1</v>
      </c>
      <c r="U331" s="14" t="b">
        <f t="shared" si="73"/>
        <v>1</v>
      </c>
      <c r="V331" s="15">
        <f>VLOOKUP(IF(J331&lt;10, 10, IF(J331&gt;50,50,J331)),'Over to underbark'!$A$3:$C$43,IF(A331="Scots pine",3,IF(A331="Sitka spruce",2, "error")),TRUE)/100</f>
        <v>0.9</v>
      </c>
      <c r="W331">
        <f t="shared" si="74"/>
        <v>173.82518999999999</v>
      </c>
      <c r="X331">
        <f t="shared" si="75"/>
        <v>117.27261000000003</v>
      </c>
      <c r="Y331">
        <f t="shared" si="76"/>
        <v>32.344199999999994</v>
      </c>
      <c r="Z331">
        <f t="shared" si="77"/>
        <v>149.01544979999997</v>
      </c>
      <c r="AA331">
        <f t="shared" si="78"/>
        <v>104.0629842</v>
      </c>
      <c r="AB331">
        <f t="shared" si="79"/>
        <v>70.36356600000002</v>
      </c>
      <c r="AC331">
        <f>LOOKUP($A331,'Over to underbark'!$A$47:$A$48,'Over to underbark'!E$47:E$48)*Z331</f>
        <v>49.175098433999992</v>
      </c>
      <c r="AD331">
        <f>LOOKUP($A331,'Over to underbark'!$A$47:$A$48,'Over to underbark'!E$47:E$48)*AA331</f>
        <v>34.340784786</v>
      </c>
      <c r="AE331">
        <f>LOOKUP($A331,'Over to underbark'!$A$47:$A$48,'Over to underbark'!E$47:E$48)*AB331</f>
        <v>23.219976780000007</v>
      </c>
      <c r="AF331" t="b">
        <f t="shared" si="80"/>
        <v>1</v>
      </c>
      <c r="AG331" t="b">
        <f t="shared" si="81"/>
        <v>1</v>
      </c>
      <c r="AH331">
        <f>LOOKUP(A331,'Over to underbark'!$A$47:$A$48,'Over to underbark'!E$47:E$48)*M331</f>
        <v>118.5954</v>
      </c>
      <c r="AI331" s="27">
        <f>LOOKUP(A331,'Over to underbark'!$A$47:$A$48,'Over to underbark'!$B$47:$B$48)*AH331</f>
        <v>37.950527999999998</v>
      </c>
      <c r="AJ331" s="27">
        <f>LOOKUP(A332,'Over to underbark'!$A$47:$A$48,'Over to underbark'!C$47:C$48)*AH331</f>
        <v>58.111745999999997</v>
      </c>
      <c r="AK331" s="27">
        <f t="shared" si="82"/>
        <v>156.545928</v>
      </c>
      <c r="AL331" s="33">
        <v>474.38</v>
      </c>
      <c r="AM331" s="28">
        <f t="shared" si="83"/>
        <v>313.09185600000001</v>
      </c>
      <c r="AO331">
        <f t="shared" si="84"/>
        <v>0.68181818181818177</v>
      </c>
    </row>
    <row r="332" spans="1:41" x14ac:dyDescent="0.35">
      <c r="A332" t="s">
        <v>41</v>
      </c>
      <c r="B332">
        <v>6</v>
      </c>
      <c r="C332">
        <v>2</v>
      </c>
      <c r="D332" t="s">
        <v>40</v>
      </c>
      <c r="E332">
        <v>2</v>
      </c>
      <c r="F332">
        <v>1</v>
      </c>
      <c r="G332" s="16">
        <v>65</v>
      </c>
      <c r="H332" s="16">
        <v>16.66</v>
      </c>
      <c r="I332" s="16">
        <v>1746</v>
      </c>
      <c r="J332" s="16">
        <v>19.62</v>
      </c>
      <c r="K332" s="16">
        <v>52.787999999999997</v>
      </c>
      <c r="L332" s="16">
        <v>0.20899999999999999</v>
      </c>
      <c r="M332" s="23">
        <v>365.6</v>
      </c>
      <c r="N332" s="16">
        <v>2.585</v>
      </c>
      <c r="O332" s="17">
        <v>5.625</v>
      </c>
      <c r="P332" s="18">
        <v>65</v>
      </c>
      <c r="Q332" s="18">
        <v>19.62</v>
      </c>
      <c r="R332" s="18">
        <v>215.27699999999999</v>
      </c>
      <c r="S332" s="18">
        <v>150.32300000000001</v>
      </c>
      <c r="T332" s="14" t="b">
        <f t="shared" si="72"/>
        <v>1</v>
      </c>
      <c r="U332" s="14" t="b">
        <f t="shared" si="73"/>
        <v>1</v>
      </c>
      <c r="V332" s="15">
        <f>VLOOKUP(IF(J332&lt;10, 10, IF(J332&gt;50,50,J332)),'Over to underbark'!$A$3:$C$43,IF(A332="Scots pine",3,IF(A332="Sitka spruce",2, "error")),TRUE)/100</f>
        <v>0.9</v>
      </c>
      <c r="W332">
        <f t="shared" si="74"/>
        <v>174.37437</v>
      </c>
      <c r="X332">
        <f t="shared" si="75"/>
        <v>121.76163000000001</v>
      </c>
      <c r="Y332">
        <f t="shared" si="76"/>
        <v>32.903999999999996</v>
      </c>
      <c r="Z332">
        <f t="shared" si="77"/>
        <v>150.56163539999997</v>
      </c>
      <c r="AA332">
        <f t="shared" si="78"/>
        <v>105.42138660000001</v>
      </c>
      <c r="AB332">
        <f t="shared" si="79"/>
        <v>73.056978000000001</v>
      </c>
      <c r="AC332">
        <f>LOOKUP($A332,'Over to underbark'!$A$47:$A$48,'Over to underbark'!E$47:E$48)*Z332</f>
        <v>49.685339681999992</v>
      </c>
      <c r="AD332">
        <f>LOOKUP($A332,'Over to underbark'!$A$47:$A$48,'Over to underbark'!E$47:E$48)*AA332</f>
        <v>34.789057578000005</v>
      </c>
      <c r="AE332">
        <f>LOOKUP($A332,'Over to underbark'!$A$47:$A$48,'Over to underbark'!E$47:E$48)*AB332</f>
        <v>24.108802740000002</v>
      </c>
      <c r="AF332" t="b">
        <f t="shared" si="80"/>
        <v>1</v>
      </c>
      <c r="AG332" t="b">
        <f t="shared" si="81"/>
        <v>1</v>
      </c>
      <c r="AH332">
        <f>LOOKUP(A332,'Over to underbark'!$A$47:$A$48,'Over to underbark'!E$47:E$48)*M332</f>
        <v>120.64800000000001</v>
      </c>
      <c r="AI332" s="27">
        <f>LOOKUP(A332,'Over to underbark'!$A$47:$A$48,'Over to underbark'!$B$47:$B$48)*AH332</f>
        <v>38.607360000000007</v>
      </c>
      <c r="AJ332" s="27">
        <f>LOOKUP(A333,'Over to underbark'!$A$47:$A$48,'Over to underbark'!C$47:C$48)*AH332</f>
        <v>59.117520000000006</v>
      </c>
      <c r="AK332" s="27">
        <f t="shared" si="82"/>
        <v>159.25536000000002</v>
      </c>
      <c r="AL332" s="33">
        <v>482.59</v>
      </c>
      <c r="AM332" s="28">
        <f t="shared" si="83"/>
        <v>318.51072000000005</v>
      </c>
      <c r="AO332">
        <f t="shared" si="84"/>
        <v>0.68181818181818166</v>
      </c>
    </row>
    <row r="333" spans="1:41" x14ac:dyDescent="0.35">
      <c r="A333" t="s">
        <v>41</v>
      </c>
      <c r="B333">
        <v>6</v>
      </c>
      <c r="C333">
        <v>2</v>
      </c>
      <c r="D333" t="s">
        <v>40</v>
      </c>
      <c r="E333">
        <v>2</v>
      </c>
      <c r="F333">
        <v>1</v>
      </c>
      <c r="G333" s="16">
        <v>66</v>
      </c>
      <c r="H333" s="16">
        <v>16.797999999999998</v>
      </c>
      <c r="I333" s="16">
        <v>1733</v>
      </c>
      <c r="J333" s="16">
        <v>19.751000000000001</v>
      </c>
      <c r="K333" s="16">
        <v>53.094000000000001</v>
      </c>
      <c r="L333" s="16">
        <v>0.214</v>
      </c>
      <c r="M333" s="23">
        <v>370.84</v>
      </c>
      <c r="N333" s="16">
        <v>2.738</v>
      </c>
      <c r="O333" s="17">
        <v>5.6189999999999998</v>
      </c>
      <c r="P333" s="18">
        <v>66</v>
      </c>
      <c r="Q333" s="18">
        <v>19.751000000000001</v>
      </c>
      <c r="R333" s="18">
        <v>215.655</v>
      </c>
      <c r="S333" s="18">
        <v>155.185</v>
      </c>
      <c r="T333" s="14" t="b">
        <f t="shared" si="72"/>
        <v>1</v>
      </c>
      <c r="U333" s="14" t="b">
        <f t="shared" si="73"/>
        <v>1</v>
      </c>
      <c r="V333" s="15">
        <f>VLOOKUP(IF(J333&lt;10, 10, IF(J333&gt;50,50,J333)),'Over to underbark'!$A$3:$C$43,IF(A333="Scots pine",3,IF(A333="Sitka spruce",2, "error")),TRUE)/100</f>
        <v>0.9</v>
      </c>
      <c r="W333">
        <f t="shared" si="74"/>
        <v>174.68055000000001</v>
      </c>
      <c r="X333">
        <f t="shared" si="75"/>
        <v>125.69985000000001</v>
      </c>
      <c r="Y333">
        <f t="shared" si="76"/>
        <v>33.375599999999999</v>
      </c>
      <c r="Z333">
        <f t="shared" si="77"/>
        <v>151.79849099999998</v>
      </c>
      <c r="AA333">
        <f t="shared" si="78"/>
        <v>106.53759900000001</v>
      </c>
      <c r="AB333">
        <f t="shared" si="79"/>
        <v>75.419910000000002</v>
      </c>
      <c r="AC333">
        <f>LOOKUP($A333,'Over to underbark'!$A$47:$A$48,'Over to underbark'!E$47:E$48)*Z333</f>
        <v>50.093502029999996</v>
      </c>
      <c r="AD333">
        <f>LOOKUP($A333,'Over to underbark'!$A$47:$A$48,'Over to underbark'!E$47:E$48)*AA333</f>
        <v>35.157407670000005</v>
      </c>
      <c r="AE333">
        <f>LOOKUP($A333,'Over to underbark'!$A$47:$A$48,'Over to underbark'!E$47:E$48)*AB333</f>
        <v>24.888570300000001</v>
      </c>
      <c r="AF333" t="b">
        <f t="shared" si="80"/>
        <v>1</v>
      </c>
      <c r="AG333" t="b">
        <f t="shared" si="81"/>
        <v>1</v>
      </c>
      <c r="AH333">
        <f>LOOKUP(A333,'Over to underbark'!$A$47:$A$48,'Over to underbark'!E$47:E$48)*M333</f>
        <v>122.3772</v>
      </c>
      <c r="AI333" s="27">
        <f>LOOKUP(A333,'Over to underbark'!$A$47:$A$48,'Over to underbark'!$B$47:$B$48)*AH333</f>
        <v>39.160704000000003</v>
      </c>
      <c r="AJ333" s="27">
        <f>LOOKUP(A334,'Over to underbark'!$A$47:$A$48,'Over to underbark'!C$47:C$48)*AH333</f>
        <v>59.964827999999997</v>
      </c>
      <c r="AK333" s="27">
        <f t="shared" si="82"/>
        <v>161.537904</v>
      </c>
      <c r="AL333" s="33">
        <v>489.51</v>
      </c>
      <c r="AM333" s="28">
        <f t="shared" si="83"/>
        <v>323.07580799999999</v>
      </c>
      <c r="AO333">
        <f t="shared" si="84"/>
        <v>0.68181818181818177</v>
      </c>
    </row>
    <row r="334" spans="1:41" x14ac:dyDescent="0.35">
      <c r="A334" t="s">
        <v>41</v>
      </c>
      <c r="B334">
        <v>6</v>
      </c>
      <c r="C334">
        <v>2</v>
      </c>
      <c r="D334" t="s">
        <v>40</v>
      </c>
      <c r="E334">
        <v>2</v>
      </c>
      <c r="F334">
        <v>1</v>
      </c>
      <c r="G334" s="16">
        <v>67</v>
      </c>
      <c r="H334" s="16">
        <v>16.936</v>
      </c>
      <c r="I334" s="16">
        <v>1721</v>
      </c>
      <c r="J334" s="16">
        <v>19.876000000000001</v>
      </c>
      <c r="K334" s="16">
        <v>53.401000000000003</v>
      </c>
      <c r="L334" s="16">
        <v>0.219</v>
      </c>
      <c r="M334" s="23">
        <v>376.08</v>
      </c>
      <c r="N334" s="16">
        <v>2.887</v>
      </c>
      <c r="O334" s="17">
        <v>5.6130000000000004</v>
      </c>
      <c r="P334" s="18">
        <v>67</v>
      </c>
      <c r="Q334" s="18">
        <v>19.876000000000001</v>
      </c>
      <c r="R334" s="18">
        <v>216.09899999999999</v>
      </c>
      <c r="S334" s="18">
        <v>159.98099999999999</v>
      </c>
      <c r="T334" s="14" t="b">
        <f t="shared" si="72"/>
        <v>1</v>
      </c>
      <c r="U334" s="14" t="b">
        <f t="shared" si="73"/>
        <v>1</v>
      </c>
      <c r="V334" s="15">
        <f>VLOOKUP(IF(J334&lt;10, 10, IF(J334&gt;50,50,J334)),'Over to underbark'!$A$3:$C$43,IF(A334="Scots pine",3,IF(A334="Sitka spruce",2, "error")),TRUE)/100</f>
        <v>0.9</v>
      </c>
      <c r="W334">
        <f t="shared" si="74"/>
        <v>175.04019000000002</v>
      </c>
      <c r="X334">
        <f t="shared" si="75"/>
        <v>129.58461</v>
      </c>
      <c r="Y334">
        <f t="shared" si="76"/>
        <v>33.847199999999994</v>
      </c>
      <c r="Z334">
        <f t="shared" si="77"/>
        <v>153.0577998</v>
      </c>
      <c r="AA334">
        <f t="shared" si="78"/>
        <v>107.66343420000001</v>
      </c>
      <c r="AB334">
        <f t="shared" si="79"/>
        <v>77.750765999999999</v>
      </c>
      <c r="AC334">
        <f>LOOKUP($A334,'Over to underbark'!$A$47:$A$48,'Over to underbark'!E$47:E$48)*Z334</f>
        <v>50.509073934</v>
      </c>
      <c r="AD334">
        <f>LOOKUP($A334,'Over to underbark'!$A$47:$A$48,'Over to underbark'!E$47:E$48)*AA334</f>
        <v>35.528933286000004</v>
      </c>
      <c r="AE334">
        <f>LOOKUP($A334,'Over to underbark'!$A$47:$A$48,'Over to underbark'!E$47:E$48)*AB334</f>
        <v>25.657752779999999</v>
      </c>
      <c r="AF334" t="b">
        <f t="shared" si="80"/>
        <v>1</v>
      </c>
      <c r="AG334" t="b">
        <f t="shared" si="81"/>
        <v>1</v>
      </c>
      <c r="AH334">
        <f>LOOKUP(A334,'Over to underbark'!$A$47:$A$48,'Over to underbark'!E$47:E$48)*M334</f>
        <v>124.10639999999999</v>
      </c>
      <c r="AI334" s="27">
        <f>LOOKUP(A334,'Over to underbark'!$A$47:$A$48,'Over to underbark'!$B$47:$B$48)*AH334</f>
        <v>39.714047999999998</v>
      </c>
      <c r="AJ334" s="27">
        <f>LOOKUP(A335,'Over to underbark'!$A$47:$A$48,'Over to underbark'!C$47:C$48)*AH334</f>
        <v>60.812135999999995</v>
      </c>
      <c r="AK334" s="27">
        <f t="shared" si="82"/>
        <v>163.820448</v>
      </c>
      <c r="AL334" s="33">
        <v>496.43</v>
      </c>
      <c r="AM334" s="28">
        <f t="shared" si="83"/>
        <v>327.640896</v>
      </c>
      <c r="AO334">
        <f t="shared" si="84"/>
        <v>0.68181818181818177</v>
      </c>
    </row>
    <row r="335" spans="1:41" x14ac:dyDescent="0.35">
      <c r="A335" t="s">
        <v>41</v>
      </c>
      <c r="B335">
        <v>6</v>
      </c>
      <c r="C335">
        <v>2</v>
      </c>
      <c r="D335" t="s">
        <v>40</v>
      </c>
      <c r="E335">
        <v>2</v>
      </c>
      <c r="F335">
        <v>1</v>
      </c>
      <c r="G335" s="16">
        <v>68</v>
      </c>
      <c r="H335" s="16">
        <v>17.074000000000002</v>
      </c>
      <c r="I335" s="16">
        <v>1709</v>
      </c>
      <c r="J335" s="16">
        <v>20.003</v>
      </c>
      <c r="K335" s="16">
        <v>53.707999999999998</v>
      </c>
      <c r="L335" s="16">
        <v>0.223</v>
      </c>
      <c r="M335" s="23">
        <v>381.32</v>
      </c>
      <c r="N335" s="16">
        <v>3.0310000000000001</v>
      </c>
      <c r="O335" s="17">
        <v>5.6079999999999997</v>
      </c>
      <c r="P335" s="18">
        <v>68</v>
      </c>
      <c r="Q335" s="18">
        <v>20.003</v>
      </c>
      <c r="R335" s="18">
        <v>216.446</v>
      </c>
      <c r="S335" s="18">
        <v>164.874</v>
      </c>
      <c r="T335" s="14" t="b">
        <f t="shared" si="72"/>
        <v>1</v>
      </c>
      <c r="U335" s="14" t="b">
        <f t="shared" si="73"/>
        <v>1</v>
      </c>
      <c r="V335" s="15">
        <f>VLOOKUP(IF(J335&lt;10, 10, IF(J335&gt;50,50,J335)),'Over to underbark'!$A$3:$C$43,IF(A335="Scots pine",3,IF(A335="Sitka spruce",2, "error")),TRUE)/100</f>
        <v>0.9</v>
      </c>
      <c r="W335">
        <f t="shared" si="74"/>
        <v>175.32126</v>
      </c>
      <c r="X335">
        <f t="shared" si="75"/>
        <v>133.54793999999998</v>
      </c>
      <c r="Y335">
        <f t="shared" si="76"/>
        <v>34.318799999999989</v>
      </c>
      <c r="Z335">
        <f t="shared" si="77"/>
        <v>154.28410919999999</v>
      </c>
      <c r="AA335">
        <f t="shared" si="78"/>
        <v>108.7751268</v>
      </c>
      <c r="AB335">
        <f t="shared" si="79"/>
        <v>80.12876399999999</v>
      </c>
      <c r="AC335">
        <f>LOOKUP($A335,'Over to underbark'!$A$47:$A$48,'Over to underbark'!E$47:E$48)*Z335</f>
        <v>50.913756035999995</v>
      </c>
      <c r="AD335">
        <f>LOOKUP($A335,'Over to underbark'!$A$47:$A$48,'Over to underbark'!E$47:E$48)*AA335</f>
        <v>35.895791844000001</v>
      </c>
      <c r="AE335">
        <f>LOOKUP($A335,'Over to underbark'!$A$47:$A$48,'Over to underbark'!E$47:E$48)*AB335</f>
        <v>26.442492119999997</v>
      </c>
      <c r="AF335" t="b">
        <f t="shared" si="80"/>
        <v>1</v>
      </c>
      <c r="AG335" t="b">
        <f t="shared" si="81"/>
        <v>1</v>
      </c>
      <c r="AH335">
        <f>LOOKUP(A335,'Over to underbark'!$A$47:$A$48,'Over to underbark'!E$47:E$48)*M335</f>
        <v>125.8356</v>
      </c>
      <c r="AI335" s="27">
        <f>LOOKUP(A335,'Over to underbark'!$A$47:$A$48,'Over to underbark'!$B$47:$B$48)*AH335</f>
        <v>40.267392000000001</v>
      </c>
      <c r="AJ335" s="27">
        <f>LOOKUP(A336,'Over to underbark'!$A$47:$A$48,'Over to underbark'!C$47:C$48)*AH335</f>
        <v>61.659444000000001</v>
      </c>
      <c r="AK335" s="27">
        <f t="shared" si="82"/>
        <v>166.102992</v>
      </c>
      <c r="AL335" s="33">
        <v>503.34</v>
      </c>
      <c r="AM335" s="28">
        <f t="shared" si="83"/>
        <v>332.205984</v>
      </c>
      <c r="AO335">
        <f t="shared" si="84"/>
        <v>0.68181818181818177</v>
      </c>
    </row>
    <row r="336" spans="1:41" x14ac:dyDescent="0.35">
      <c r="A336" t="s">
        <v>41</v>
      </c>
      <c r="B336">
        <v>6</v>
      </c>
      <c r="C336">
        <v>2</v>
      </c>
      <c r="D336" t="s">
        <v>40</v>
      </c>
      <c r="E336">
        <v>2</v>
      </c>
      <c r="F336">
        <v>1</v>
      </c>
      <c r="G336" s="16">
        <v>69</v>
      </c>
      <c r="H336" s="16">
        <v>17.212</v>
      </c>
      <c r="I336" s="16">
        <v>1697</v>
      </c>
      <c r="J336" s="16">
        <v>20.131</v>
      </c>
      <c r="K336" s="16">
        <v>54.014000000000003</v>
      </c>
      <c r="L336" s="16">
        <v>0.22800000000000001</v>
      </c>
      <c r="M336" s="23">
        <v>386.56</v>
      </c>
      <c r="N336" s="16">
        <v>3.1709999999999998</v>
      </c>
      <c r="O336" s="17">
        <v>5.6020000000000003</v>
      </c>
      <c r="P336" s="18">
        <v>69</v>
      </c>
      <c r="Q336" s="18">
        <v>20.131</v>
      </c>
      <c r="R336" s="18">
        <v>216.71700000000001</v>
      </c>
      <c r="S336" s="18">
        <v>169.84299999999999</v>
      </c>
      <c r="T336" s="14" t="b">
        <f t="shared" si="72"/>
        <v>1</v>
      </c>
      <c r="U336" s="14" t="b">
        <f t="shared" si="73"/>
        <v>1</v>
      </c>
      <c r="V336" s="15">
        <f>VLOOKUP(IF(J336&lt;10, 10, IF(J336&gt;50,50,J336)),'Over to underbark'!$A$3:$C$43,IF(A336="Scots pine",3,IF(A336="Sitka spruce",2, "error")),TRUE)/100</f>
        <v>0.9</v>
      </c>
      <c r="W336">
        <f t="shared" si="74"/>
        <v>175.54077000000004</v>
      </c>
      <c r="X336">
        <f t="shared" si="75"/>
        <v>137.57283000000001</v>
      </c>
      <c r="Y336">
        <f t="shared" si="76"/>
        <v>34.790399999999991</v>
      </c>
      <c r="Z336">
        <f t="shared" si="77"/>
        <v>155.48456340000001</v>
      </c>
      <c r="AA336">
        <f t="shared" si="78"/>
        <v>109.87573860000002</v>
      </c>
      <c r="AB336">
        <f t="shared" si="79"/>
        <v>82.543698000000006</v>
      </c>
      <c r="AC336">
        <f>LOOKUP($A336,'Over to underbark'!$A$47:$A$48,'Over to underbark'!E$47:E$48)*Z336</f>
        <v>51.309905922000006</v>
      </c>
      <c r="AD336">
        <f>LOOKUP($A336,'Over to underbark'!$A$47:$A$48,'Over to underbark'!E$47:E$48)*AA336</f>
        <v>36.258993738000008</v>
      </c>
      <c r="AE336">
        <f>LOOKUP($A336,'Over to underbark'!$A$47:$A$48,'Over to underbark'!E$47:E$48)*AB336</f>
        <v>27.239420340000002</v>
      </c>
      <c r="AF336" t="b">
        <f t="shared" si="80"/>
        <v>1</v>
      </c>
      <c r="AG336" t="b">
        <f t="shared" si="81"/>
        <v>1</v>
      </c>
      <c r="AH336">
        <f>LOOKUP(A336,'Over to underbark'!$A$47:$A$48,'Over to underbark'!E$47:E$48)*M336</f>
        <v>127.56480000000001</v>
      </c>
      <c r="AI336" s="27">
        <f>LOOKUP(A336,'Over to underbark'!$A$47:$A$48,'Over to underbark'!$B$47:$B$48)*AH336</f>
        <v>40.820736000000004</v>
      </c>
      <c r="AJ336" s="27">
        <f>LOOKUP(A337,'Over to underbark'!$A$47:$A$48,'Over to underbark'!C$47:C$48)*AH336</f>
        <v>62.506751999999999</v>
      </c>
      <c r="AK336" s="27">
        <f t="shared" si="82"/>
        <v>168.385536</v>
      </c>
      <c r="AL336" s="33">
        <v>510.26</v>
      </c>
      <c r="AM336" s="28">
        <f t="shared" si="83"/>
        <v>336.771072</v>
      </c>
      <c r="AO336">
        <f t="shared" si="84"/>
        <v>0.68181818181818188</v>
      </c>
    </row>
    <row r="337" spans="1:41" x14ac:dyDescent="0.35">
      <c r="A337" t="s">
        <v>41</v>
      </c>
      <c r="B337">
        <v>6</v>
      </c>
      <c r="C337">
        <v>2</v>
      </c>
      <c r="D337" t="s">
        <v>40</v>
      </c>
      <c r="E337">
        <v>2</v>
      </c>
      <c r="F337">
        <v>1</v>
      </c>
      <c r="G337" s="16">
        <v>70</v>
      </c>
      <c r="H337" s="16">
        <v>17.350000000000001</v>
      </c>
      <c r="I337" s="16">
        <v>1685</v>
      </c>
      <c r="J337" s="16">
        <v>20.260000000000002</v>
      </c>
      <c r="K337" s="16">
        <v>54.320999999999998</v>
      </c>
      <c r="L337" s="16">
        <v>0.23300000000000001</v>
      </c>
      <c r="M337" s="23">
        <v>391.8</v>
      </c>
      <c r="N337" s="16">
        <v>3.3069999999999999</v>
      </c>
      <c r="O337" s="17">
        <v>5.5970000000000004</v>
      </c>
      <c r="P337" s="18">
        <v>70</v>
      </c>
      <c r="Q337" s="18">
        <v>20.260000000000002</v>
      </c>
      <c r="R337" s="18">
        <v>216.91300000000001</v>
      </c>
      <c r="S337" s="18">
        <v>174.887</v>
      </c>
      <c r="T337" s="14" t="b">
        <f t="shared" si="72"/>
        <v>1</v>
      </c>
      <c r="U337" s="14" t="b">
        <f t="shared" si="73"/>
        <v>1</v>
      </c>
      <c r="V337" s="15">
        <f>VLOOKUP(IF(J337&lt;10, 10, IF(J337&gt;50,50,J337)),'Over to underbark'!$A$3:$C$43,IF(A337="Scots pine",3,IF(A337="Sitka spruce",2, "error")),TRUE)/100</f>
        <v>0.9</v>
      </c>
      <c r="W337">
        <f t="shared" si="74"/>
        <v>175.69953000000004</v>
      </c>
      <c r="X337">
        <f t="shared" si="75"/>
        <v>141.65847000000002</v>
      </c>
      <c r="Y337">
        <f t="shared" si="76"/>
        <v>35.261999999999993</v>
      </c>
      <c r="Z337">
        <f t="shared" si="77"/>
        <v>156.65950260000002</v>
      </c>
      <c r="AA337">
        <f t="shared" si="78"/>
        <v>110.96541540000003</v>
      </c>
      <c r="AB337">
        <f t="shared" si="79"/>
        <v>84.995082000000011</v>
      </c>
      <c r="AC337">
        <f>LOOKUP($A337,'Over to underbark'!$A$47:$A$48,'Over to underbark'!E$47:E$48)*Z337</f>
        <v>51.697635858000012</v>
      </c>
      <c r="AD337">
        <f>LOOKUP($A337,'Over to underbark'!$A$47:$A$48,'Over to underbark'!E$47:E$48)*AA337</f>
        <v>36.618587082000012</v>
      </c>
      <c r="AE337">
        <f>LOOKUP($A337,'Over to underbark'!$A$47:$A$48,'Over to underbark'!E$47:E$48)*AB337</f>
        <v>28.048377060000004</v>
      </c>
      <c r="AF337" t="b">
        <f t="shared" si="80"/>
        <v>1</v>
      </c>
      <c r="AG337" t="b">
        <f t="shared" si="81"/>
        <v>1</v>
      </c>
      <c r="AH337">
        <f>LOOKUP(A337,'Over to underbark'!$A$47:$A$48,'Over to underbark'!E$47:E$48)*M337</f>
        <v>129.29400000000001</v>
      </c>
      <c r="AI337" s="27">
        <f>LOOKUP(A337,'Over to underbark'!$A$47:$A$48,'Over to underbark'!$B$47:$B$48)*AH337</f>
        <v>41.374080000000006</v>
      </c>
      <c r="AJ337" s="27">
        <f>LOOKUP(A338,'Over to underbark'!$A$47:$A$48,'Over to underbark'!C$47:C$48)*AH337</f>
        <v>63.354060000000004</v>
      </c>
      <c r="AK337" s="27">
        <f t="shared" si="82"/>
        <v>170.66808000000003</v>
      </c>
      <c r="AL337" s="33">
        <v>517.17999999999995</v>
      </c>
      <c r="AM337" s="28">
        <f t="shared" si="83"/>
        <v>341.33616000000006</v>
      </c>
      <c r="AO337">
        <f t="shared" si="84"/>
        <v>0.68181818181818188</v>
      </c>
    </row>
    <row r="338" spans="1:41" x14ac:dyDescent="0.35">
      <c r="A338" t="s">
        <v>41</v>
      </c>
      <c r="B338">
        <v>6</v>
      </c>
      <c r="C338">
        <v>2</v>
      </c>
      <c r="D338" t="s">
        <v>40</v>
      </c>
      <c r="E338">
        <v>2</v>
      </c>
      <c r="F338">
        <v>1</v>
      </c>
      <c r="G338" s="16">
        <v>71</v>
      </c>
      <c r="H338" s="16">
        <v>17.474</v>
      </c>
      <c r="I338" s="16">
        <v>1673</v>
      </c>
      <c r="J338" s="16">
        <v>20.367999999999999</v>
      </c>
      <c r="K338" s="16">
        <v>54.511000000000003</v>
      </c>
      <c r="L338" s="16">
        <v>0.23699999999999999</v>
      </c>
      <c r="M338" s="23">
        <v>396.2</v>
      </c>
      <c r="N338" s="16">
        <v>3.4649999999999999</v>
      </c>
      <c r="O338" s="17">
        <v>5.58</v>
      </c>
      <c r="P338" s="18">
        <v>71</v>
      </c>
      <c r="Q338" s="18">
        <v>20.367999999999999</v>
      </c>
      <c r="R338" s="18">
        <v>217.042</v>
      </c>
      <c r="S338" s="18">
        <v>179.15799999999999</v>
      </c>
      <c r="T338" s="14" t="b">
        <f t="shared" si="72"/>
        <v>1</v>
      </c>
      <c r="U338" s="14" t="b">
        <f t="shared" si="73"/>
        <v>1</v>
      </c>
      <c r="V338" s="15">
        <f>VLOOKUP(IF(J338&lt;10, 10, IF(J338&gt;50,50,J338)),'Over to underbark'!$A$3:$C$43,IF(A338="Scots pine",3,IF(A338="Sitka spruce",2, "error")),TRUE)/100</f>
        <v>0.9</v>
      </c>
      <c r="W338">
        <f t="shared" si="74"/>
        <v>175.80402000000001</v>
      </c>
      <c r="X338">
        <f t="shared" si="75"/>
        <v>145.11797999999999</v>
      </c>
      <c r="Y338">
        <f t="shared" si="76"/>
        <v>35.657999999999987</v>
      </c>
      <c r="Z338">
        <f t="shared" si="77"/>
        <v>157.63398839999996</v>
      </c>
      <c r="AA338">
        <f t="shared" si="78"/>
        <v>111.8752236</v>
      </c>
      <c r="AB338">
        <f t="shared" si="79"/>
        <v>87.070787999999993</v>
      </c>
      <c r="AC338">
        <f>LOOKUP($A338,'Over to underbark'!$A$47:$A$48,'Over to underbark'!E$47:E$48)*Z338</f>
        <v>52.019216171999993</v>
      </c>
      <c r="AD338">
        <f>LOOKUP($A338,'Over to underbark'!$A$47:$A$48,'Over to underbark'!E$47:E$48)*AA338</f>
        <v>36.918823788000005</v>
      </c>
      <c r="AE338">
        <f>LOOKUP($A338,'Over to underbark'!$A$47:$A$48,'Over to underbark'!E$47:E$48)*AB338</f>
        <v>28.733360040000001</v>
      </c>
      <c r="AF338" t="b">
        <f t="shared" si="80"/>
        <v>1</v>
      </c>
      <c r="AG338" t="b">
        <f t="shared" si="81"/>
        <v>1</v>
      </c>
      <c r="AH338">
        <f>LOOKUP(A338,'Over to underbark'!$A$47:$A$48,'Over to underbark'!E$47:E$48)*M338</f>
        <v>130.74600000000001</v>
      </c>
      <c r="AI338" s="27">
        <f>LOOKUP(A338,'Over to underbark'!$A$47:$A$48,'Over to underbark'!$B$47:$B$48)*AH338</f>
        <v>41.838720000000002</v>
      </c>
      <c r="AJ338" s="27">
        <f>LOOKUP(A339,'Over to underbark'!$A$47:$A$48,'Over to underbark'!C$47:C$48)*AH338</f>
        <v>64.065539999999999</v>
      </c>
      <c r="AK338" s="27">
        <f t="shared" si="82"/>
        <v>172.58472</v>
      </c>
      <c r="AL338" s="33">
        <v>522.98</v>
      </c>
      <c r="AM338" s="28">
        <f t="shared" si="83"/>
        <v>345.16944000000001</v>
      </c>
      <c r="AO338">
        <f t="shared" si="84"/>
        <v>0.68181818181818188</v>
      </c>
    </row>
    <row r="339" spans="1:41" x14ac:dyDescent="0.35">
      <c r="A339" t="s">
        <v>41</v>
      </c>
      <c r="B339">
        <v>6</v>
      </c>
      <c r="C339">
        <v>2</v>
      </c>
      <c r="D339" t="s">
        <v>40</v>
      </c>
      <c r="E339">
        <v>2</v>
      </c>
      <c r="F339">
        <v>1</v>
      </c>
      <c r="G339" s="16">
        <v>72</v>
      </c>
      <c r="H339" s="16">
        <v>17.597999999999999</v>
      </c>
      <c r="I339" s="16">
        <v>1661</v>
      </c>
      <c r="J339" s="16">
        <v>20.477</v>
      </c>
      <c r="K339" s="16">
        <v>54.701000000000001</v>
      </c>
      <c r="L339" s="16">
        <v>0.24099999999999999</v>
      </c>
      <c r="M339" s="23">
        <v>400.6</v>
      </c>
      <c r="N339" s="16">
        <v>3.6190000000000002</v>
      </c>
      <c r="O339" s="17">
        <v>5.5640000000000001</v>
      </c>
      <c r="P339" s="18">
        <v>72</v>
      </c>
      <c r="Q339" s="18">
        <v>20.477</v>
      </c>
      <c r="R339" s="18">
        <v>217.114</v>
      </c>
      <c r="S339" s="18">
        <v>183.48599999999999</v>
      </c>
      <c r="T339" s="14" t="b">
        <f t="shared" si="72"/>
        <v>1</v>
      </c>
      <c r="U339" s="14" t="b">
        <f t="shared" si="73"/>
        <v>1</v>
      </c>
      <c r="V339" s="15">
        <f>VLOOKUP(IF(J339&lt;10, 10, IF(J339&gt;50,50,J339)),'Over to underbark'!$A$3:$C$43,IF(A339="Scots pine",3,IF(A339="Sitka spruce",2, "error")),TRUE)/100</f>
        <v>0.9</v>
      </c>
      <c r="W339">
        <f t="shared" si="74"/>
        <v>175.86234000000002</v>
      </c>
      <c r="X339">
        <f t="shared" si="75"/>
        <v>148.62366</v>
      </c>
      <c r="Y339">
        <f t="shared" si="76"/>
        <v>36.053999999999995</v>
      </c>
      <c r="Z339">
        <f t="shared" si="77"/>
        <v>158.58908279999997</v>
      </c>
      <c r="AA339">
        <f t="shared" si="78"/>
        <v>112.7767212</v>
      </c>
      <c r="AB339">
        <f t="shared" si="79"/>
        <v>89.174195999999995</v>
      </c>
      <c r="AC339">
        <f>LOOKUP($A339,'Over to underbark'!$A$47:$A$48,'Over to underbark'!E$47:E$48)*Z339</f>
        <v>52.334397323999994</v>
      </c>
      <c r="AD339">
        <f>LOOKUP($A339,'Over to underbark'!$A$47:$A$48,'Over to underbark'!E$47:E$48)*AA339</f>
        <v>37.216317996000001</v>
      </c>
      <c r="AE339">
        <f>LOOKUP($A339,'Over to underbark'!$A$47:$A$48,'Over to underbark'!E$47:E$48)*AB339</f>
        <v>29.427484679999999</v>
      </c>
      <c r="AF339" t="b">
        <f t="shared" si="80"/>
        <v>1</v>
      </c>
      <c r="AG339" t="b">
        <f t="shared" si="81"/>
        <v>1</v>
      </c>
      <c r="AH339">
        <f>LOOKUP(A339,'Over to underbark'!$A$47:$A$48,'Over to underbark'!E$47:E$48)*M339</f>
        <v>132.19800000000001</v>
      </c>
      <c r="AI339" s="27">
        <f>LOOKUP(A339,'Over to underbark'!$A$47:$A$48,'Over to underbark'!$B$47:$B$48)*AH339</f>
        <v>42.303360000000005</v>
      </c>
      <c r="AJ339" s="27">
        <f>LOOKUP(A340,'Over to underbark'!$A$47:$A$48,'Over to underbark'!C$47:C$48)*AH339</f>
        <v>64.777020000000007</v>
      </c>
      <c r="AK339" s="27">
        <f t="shared" si="82"/>
        <v>174.50136000000001</v>
      </c>
      <c r="AL339" s="33">
        <v>528.79</v>
      </c>
      <c r="AM339" s="28">
        <f t="shared" si="83"/>
        <v>349.00272000000001</v>
      </c>
      <c r="AO339">
        <f t="shared" si="84"/>
        <v>0.68181818181818177</v>
      </c>
    </row>
    <row r="340" spans="1:41" x14ac:dyDescent="0.35">
      <c r="A340" t="s">
        <v>41</v>
      </c>
      <c r="B340">
        <v>6</v>
      </c>
      <c r="C340">
        <v>2</v>
      </c>
      <c r="D340" t="s">
        <v>40</v>
      </c>
      <c r="E340">
        <v>2</v>
      </c>
      <c r="F340">
        <v>1</v>
      </c>
      <c r="G340" s="16">
        <v>73</v>
      </c>
      <c r="H340" s="16">
        <v>17.722000000000001</v>
      </c>
      <c r="I340" s="16">
        <v>1649</v>
      </c>
      <c r="J340" s="16">
        <v>20.587</v>
      </c>
      <c r="K340" s="16">
        <v>54.89</v>
      </c>
      <c r="L340" s="16">
        <v>0.246</v>
      </c>
      <c r="M340" s="23">
        <v>405</v>
      </c>
      <c r="N340" s="16">
        <v>3.7679999999999998</v>
      </c>
      <c r="O340" s="17">
        <v>5.548</v>
      </c>
      <c r="P340" s="18">
        <v>73</v>
      </c>
      <c r="Q340" s="18">
        <v>20.587</v>
      </c>
      <c r="R340" s="18">
        <v>217.12799999999999</v>
      </c>
      <c r="S340" s="18">
        <v>187.87200000000001</v>
      </c>
      <c r="T340" s="14" t="b">
        <f t="shared" si="72"/>
        <v>1</v>
      </c>
      <c r="U340" s="14" t="b">
        <f t="shared" si="73"/>
        <v>1</v>
      </c>
      <c r="V340" s="15">
        <f>VLOOKUP(IF(J340&lt;10, 10, IF(J340&gt;50,50,J340)),'Over to underbark'!$A$3:$C$43,IF(A340="Scots pine",3,IF(A340="Sitka spruce",2, "error")),TRUE)/100</f>
        <v>0.9</v>
      </c>
      <c r="W340">
        <f t="shared" si="74"/>
        <v>175.87368000000001</v>
      </c>
      <c r="X340">
        <f t="shared" si="75"/>
        <v>152.17632000000003</v>
      </c>
      <c r="Y340">
        <f t="shared" si="76"/>
        <v>36.449999999999989</v>
      </c>
      <c r="Z340">
        <f t="shared" si="77"/>
        <v>159.52444559999998</v>
      </c>
      <c r="AA340">
        <f t="shared" si="78"/>
        <v>113.66976240000001</v>
      </c>
      <c r="AB340">
        <f t="shared" si="79"/>
        <v>91.305792000000011</v>
      </c>
      <c r="AC340">
        <f>LOOKUP($A340,'Over to underbark'!$A$47:$A$48,'Over to underbark'!E$47:E$48)*Z340</f>
        <v>52.643067047999999</v>
      </c>
      <c r="AD340">
        <f>LOOKUP($A340,'Over to underbark'!$A$47:$A$48,'Over to underbark'!E$47:E$48)*AA340</f>
        <v>37.511021592000006</v>
      </c>
      <c r="AE340">
        <f>LOOKUP($A340,'Over to underbark'!$A$47:$A$48,'Over to underbark'!E$47:E$48)*AB340</f>
        <v>30.130911360000006</v>
      </c>
      <c r="AF340" t="b">
        <f t="shared" si="80"/>
        <v>1</v>
      </c>
      <c r="AG340" t="b">
        <f t="shared" si="81"/>
        <v>1</v>
      </c>
      <c r="AH340">
        <f>LOOKUP(A340,'Over to underbark'!$A$47:$A$48,'Over to underbark'!E$47:E$48)*M340</f>
        <v>133.65</v>
      </c>
      <c r="AI340" s="27">
        <f>LOOKUP(A340,'Over to underbark'!$A$47:$A$48,'Over to underbark'!$B$47:$B$48)*AH340</f>
        <v>42.768000000000001</v>
      </c>
      <c r="AJ340" s="27">
        <f>LOOKUP(A341,'Over to underbark'!$A$47:$A$48,'Over to underbark'!C$47:C$48)*AH340</f>
        <v>65.488500000000002</v>
      </c>
      <c r="AK340" s="27">
        <f t="shared" si="82"/>
        <v>176.41800000000001</v>
      </c>
      <c r="AL340" s="33">
        <v>534.6</v>
      </c>
      <c r="AM340" s="28">
        <f t="shared" si="83"/>
        <v>352.83600000000001</v>
      </c>
      <c r="AO340">
        <f t="shared" si="84"/>
        <v>0.68181818181818177</v>
      </c>
    </row>
    <row r="341" spans="1:41" x14ac:dyDescent="0.35">
      <c r="A341" t="s">
        <v>41</v>
      </c>
      <c r="B341">
        <v>6</v>
      </c>
      <c r="C341">
        <v>2</v>
      </c>
      <c r="D341" t="s">
        <v>40</v>
      </c>
      <c r="E341">
        <v>2</v>
      </c>
      <c r="F341">
        <v>1</v>
      </c>
      <c r="G341" s="16">
        <v>74</v>
      </c>
      <c r="H341" s="16">
        <v>17.846</v>
      </c>
      <c r="I341" s="16">
        <v>1637</v>
      </c>
      <c r="J341" s="16">
        <v>20.698</v>
      </c>
      <c r="K341" s="16">
        <v>55.08</v>
      </c>
      <c r="L341" s="16">
        <v>0.25</v>
      </c>
      <c r="M341" s="23">
        <v>409.4</v>
      </c>
      <c r="N341" s="16">
        <v>3.915</v>
      </c>
      <c r="O341" s="17">
        <v>5.532</v>
      </c>
      <c r="P341" s="18">
        <v>74</v>
      </c>
      <c r="Q341" s="18">
        <v>20.698</v>
      </c>
      <c r="R341" s="18">
        <v>217.084</v>
      </c>
      <c r="S341" s="18">
        <v>192.316</v>
      </c>
      <c r="T341" s="14" t="b">
        <f t="shared" si="72"/>
        <v>1</v>
      </c>
      <c r="U341" s="14" t="b">
        <f t="shared" si="73"/>
        <v>1</v>
      </c>
      <c r="V341" s="15">
        <f>VLOOKUP(IF(J341&lt;10, 10, IF(J341&gt;50,50,J341)),'Over to underbark'!$A$3:$C$43,IF(A341="Scots pine",3,IF(A341="Sitka spruce",2, "error")),TRUE)/100</f>
        <v>0.9</v>
      </c>
      <c r="W341">
        <f t="shared" si="74"/>
        <v>175.83804000000003</v>
      </c>
      <c r="X341">
        <f t="shared" si="75"/>
        <v>155.77596000000003</v>
      </c>
      <c r="Y341">
        <f t="shared" si="76"/>
        <v>36.845999999999989</v>
      </c>
      <c r="Z341">
        <f t="shared" si="77"/>
        <v>160.44007680000001</v>
      </c>
      <c r="AA341">
        <f t="shared" si="78"/>
        <v>114.55434720000002</v>
      </c>
      <c r="AB341">
        <f t="shared" si="79"/>
        <v>93.465576000000013</v>
      </c>
      <c r="AC341">
        <f>LOOKUP($A341,'Over to underbark'!$A$47:$A$48,'Over to underbark'!E$47:E$48)*Z341</f>
        <v>52.945225344000008</v>
      </c>
      <c r="AD341">
        <f>LOOKUP($A341,'Over to underbark'!$A$47:$A$48,'Over to underbark'!E$47:E$48)*AA341</f>
        <v>37.802934576000013</v>
      </c>
      <c r="AE341">
        <f>LOOKUP($A341,'Over to underbark'!$A$47:$A$48,'Over to underbark'!E$47:E$48)*AB341</f>
        <v>30.843640080000007</v>
      </c>
      <c r="AF341" t="b">
        <f t="shared" si="80"/>
        <v>1</v>
      </c>
      <c r="AG341" t="b">
        <f t="shared" si="81"/>
        <v>1</v>
      </c>
      <c r="AH341">
        <f>LOOKUP(A341,'Over to underbark'!$A$47:$A$48,'Over to underbark'!E$47:E$48)*M341</f>
        <v>135.102</v>
      </c>
      <c r="AI341" s="27">
        <f>LOOKUP(A341,'Over to underbark'!$A$47:$A$48,'Over to underbark'!$B$47:$B$48)*AH341</f>
        <v>43.232640000000004</v>
      </c>
      <c r="AJ341" s="27">
        <f>LOOKUP(A342,'Over to underbark'!$A$47:$A$48,'Over to underbark'!C$47:C$48)*AH341</f>
        <v>66.199979999999996</v>
      </c>
      <c r="AK341" s="27">
        <f t="shared" si="82"/>
        <v>178.33464000000001</v>
      </c>
      <c r="AL341" s="33">
        <v>540.41</v>
      </c>
      <c r="AM341" s="28">
        <f t="shared" si="83"/>
        <v>356.66928000000001</v>
      </c>
      <c r="AO341">
        <f t="shared" si="84"/>
        <v>0.68181818181818199</v>
      </c>
    </row>
    <row r="342" spans="1:41" x14ac:dyDescent="0.35">
      <c r="A342" t="s">
        <v>41</v>
      </c>
      <c r="B342">
        <v>6</v>
      </c>
      <c r="C342">
        <v>2</v>
      </c>
      <c r="D342" t="s">
        <v>40</v>
      </c>
      <c r="E342">
        <v>2</v>
      </c>
      <c r="F342">
        <v>1</v>
      </c>
      <c r="G342" s="16">
        <v>75</v>
      </c>
      <c r="H342" s="16">
        <v>17.97</v>
      </c>
      <c r="I342" s="16">
        <v>1625</v>
      </c>
      <c r="J342" s="16">
        <v>20.81</v>
      </c>
      <c r="K342" s="16">
        <v>55.27</v>
      </c>
      <c r="L342" s="16">
        <v>0.255</v>
      </c>
      <c r="M342" s="23">
        <v>413.8</v>
      </c>
      <c r="N342" s="16">
        <v>4.0579999999999998</v>
      </c>
      <c r="O342" s="17">
        <v>5.5170000000000003</v>
      </c>
      <c r="P342" s="18">
        <v>75</v>
      </c>
      <c r="Q342" s="18">
        <v>20.81</v>
      </c>
      <c r="R342" s="18">
        <v>216.982</v>
      </c>
      <c r="S342" s="18">
        <v>196.81800000000001</v>
      </c>
      <c r="T342" s="14" t="b">
        <f t="shared" si="72"/>
        <v>1</v>
      </c>
      <c r="U342" s="14" t="b">
        <f t="shared" si="73"/>
        <v>1</v>
      </c>
      <c r="V342" s="15">
        <f>VLOOKUP(IF(J342&lt;10, 10, IF(J342&gt;50,50,J342)),'Over to underbark'!$A$3:$C$43,IF(A342="Scots pine",3,IF(A342="Sitka spruce",2, "error")),TRUE)/100</f>
        <v>0.9</v>
      </c>
      <c r="W342">
        <f t="shared" si="74"/>
        <v>175.75542000000002</v>
      </c>
      <c r="X342">
        <f t="shared" si="75"/>
        <v>159.42258000000001</v>
      </c>
      <c r="Y342">
        <f t="shared" si="76"/>
        <v>37.24199999999999</v>
      </c>
      <c r="Z342">
        <f t="shared" si="77"/>
        <v>161.33597639999999</v>
      </c>
      <c r="AA342">
        <f t="shared" si="78"/>
        <v>115.43047559999999</v>
      </c>
      <c r="AB342">
        <f t="shared" si="79"/>
        <v>95.653548000000001</v>
      </c>
      <c r="AC342">
        <f>LOOKUP($A342,'Over to underbark'!$A$47:$A$48,'Over to underbark'!E$47:E$48)*Z342</f>
        <v>53.240872211999999</v>
      </c>
      <c r="AD342">
        <f>LOOKUP($A342,'Over to underbark'!$A$47:$A$48,'Over to underbark'!E$47:E$48)*AA342</f>
        <v>38.092056948</v>
      </c>
      <c r="AE342">
        <f>LOOKUP($A342,'Over to underbark'!$A$47:$A$48,'Over to underbark'!E$47:E$48)*AB342</f>
        <v>31.565670840000003</v>
      </c>
      <c r="AF342" t="b">
        <f t="shared" si="80"/>
        <v>1</v>
      </c>
      <c r="AG342" t="b">
        <f t="shared" si="81"/>
        <v>1</v>
      </c>
      <c r="AH342">
        <f>LOOKUP(A342,'Over to underbark'!$A$47:$A$48,'Over to underbark'!E$47:E$48)*M342</f>
        <v>136.554</v>
      </c>
      <c r="AI342" s="27">
        <f>LOOKUP(A342,'Over to underbark'!$A$47:$A$48,'Over to underbark'!$B$47:$B$48)*AH342</f>
        <v>43.697279999999999</v>
      </c>
      <c r="AJ342" s="27">
        <f>LOOKUP(A343,'Over to underbark'!$A$47:$A$48,'Over to underbark'!C$47:C$48)*AH342</f>
        <v>66.911460000000005</v>
      </c>
      <c r="AK342" s="27">
        <f t="shared" si="82"/>
        <v>180.25128000000001</v>
      </c>
      <c r="AL342" s="33">
        <v>546.22</v>
      </c>
      <c r="AM342" s="28">
        <f t="shared" si="83"/>
        <v>360.50256000000002</v>
      </c>
      <c r="AO342">
        <f t="shared" si="84"/>
        <v>0.68181818181818177</v>
      </c>
    </row>
    <row r="343" spans="1:41" x14ac:dyDescent="0.35">
      <c r="A343" t="s">
        <v>41</v>
      </c>
      <c r="B343">
        <v>6</v>
      </c>
      <c r="C343">
        <v>2</v>
      </c>
      <c r="D343" t="s">
        <v>40</v>
      </c>
      <c r="E343">
        <v>2</v>
      </c>
      <c r="F343">
        <v>1</v>
      </c>
      <c r="G343" s="16">
        <v>76</v>
      </c>
      <c r="H343" s="16">
        <v>18.076000000000001</v>
      </c>
      <c r="I343" s="16">
        <v>1614</v>
      </c>
      <c r="J343" s="16">
        <v>20.911999999999999</v>
      </c>
      <c r="K343" s="16">
        <v>55.436</v>
      </c>
      <c r="L343" s="16">
        <v>0.25900000000000001</v>
      </c>
      <c r="M343" s="23">
        <v>417.26</v>
      </c>
      <c r="N343" s="16">
        <v>4.2759999999999998</v>
      </c>
      <c r="O343" s="17">
        <v>5.49</v>
      </c>
      <c r="P343" s="18">
        <v>76</v>
      </c>
      <c r="Q343" s="18">
        <v>20.911999999999999</v>
      </c>
      <c r="R343" s="18">
        <v>216.57599999999999</v>
      </c>
      <c r="S343" s="18">
        <v>200.684</v>
      </c>
      <c r="T343" s="14" t="b">
        <f t="shared" si="72"/>
        <v>1</v>
      </c>
      <c r="U343" s="14" t="b">
        <f t="shared" si="73"/>
        <v>1</v>
      </c>
      <c r="V343" s="15">
        <f>VLOOKUP(IF(J343&lt;10, 10, IF(J343&gt;50,50,J343)),'Over to underbark'!$A$3:$C$43,IF(A343="Scots pine",3,IF(A343="Sitka spruce",2, "error")),TRUE)/100</f>
        <v>0.9</v>
      </c>
      <c r="W343">
        <f t="shared" si="74"/>
        <v>175.42655999999999</v>
      </c>
      <c r="X343">
        <f t="shared" si="75"/>
        <v>162.55404000000001</v>
      </c>
      <c r="Y343">
        <f t="shared" si="76"/>
        <v>37.553399999999989</v>
      </c>
      <c r="Z343">
        <f t="shared" si="77"/>
        <v>161.92964519999998</v>
      </c>
      <c r="AA343">
        <f t="shared" si="78"/>
        <v>116.07193079999999</v>
      </c>
      <c r="AB343">
        <f t="shared" si="79"/>
        <v>97.532424000000006</v>
      </c>
      <c r="AC343">
        <f>LOOKUP($A343,'Over to underbark'!$A$47:$A$48,'Over to underbark'!E$47:E$48)*Z343</f>
        <v>53.436782915999999</v>
      </c>
      <c r="AD343">
        <f>LOOKUP($A343,'Over to underbark'!$A$47:$A$48,'Over to underbark'!E$47:E$48)*AA343</f>
        <v>38.303737163999998</v>
      </c>
      <c r="AE343">
        <f>LOOKUP($A343,'Over to underbark'!$A$47:$A$48,'Over to underbark'!E$47:E$48)*AB343</f>
        <v>32.185699920000005</v>
      </c>
      <c r="AF343" t="b">
        <f t="shared" si="80"/>
        <v>1</v>
      </c>
      <c r="AG343" t="b">
        <f t="shared" si="81"/>
        <v>1</v>
      </c>
      <c r="AH343">
        <f>LOOKUP(A343,'Over to underbark'!$A$47:$A$48,'Over to underbark'!E$47:E$48)*M343</f>
        <v>137.69579999999999</v>
      </c>
      <c r="AI343" s="27">
        <f>LOOKUP(A343,'Over to underbark'!$A$47:$A$48,'Over to underbark'!$B$47:$B$48)*AH343</f>
        <v>44.062655999999997</v>
      </c>
      <c r="AJ343" s="27">
        <f>LOOKUP(A344,'Over to underbark'!$A$47:$A$48,'Over to underbark'!C$47:C$48)*AH343</f>
        <v>67.470941999999994</v>
      </c>
      <c r="AK343" s="27">
        <f t="shared" si="82"/>
        <v>181.758456</v>
      </c>
      <c r="AL343" s="33">
        <v>550.78</v>
      </c>
      <c r="AM343" s="28">
        <f t="shared" si="83"/>
        <v>363.51691199999999</v>
      </c>
      <c r="AO343">
        <f t="shared" si="84"/>
        <v>0.68181818181818188</v>
      </c>
    </row>
    <row r="344" spans="1:41" x14ac:dyDescent="0.35">
      <c r="A344" t="s">
        <v>41</v>
      </c>
      <c r="B344">
        <v>6</v>
      </c>
      <c r="C344">
        <v>2</v>
      </c>
      <c r="D344" t="s">
        <v>40</v>
      </c>
      <c r="E344">
        <v>2</v>
      </c>
      <c r="F344">
        <v>1</v>
      </c>
      <c r="G344" s="16">
        <v>77</v>
      </c>
      <c r="H344" s="16">
        <v>18.181999999999999</v>
      </c>
      <c r="I344" s="16">
        <v>1603</v>
      </c>
      <c r="J344" s="16">
        <v>21.015000000000001</v>
      </c>
      <c r="K344" s="16">
        <v>55.601999999999997</v>
      </c>
      <c r="L344" s="16">
        <v>0.26200000000000001</v>
      </c>
      <c r="M344" s="23">
        <v>420.72</v>
      </c>
      <c r="N344" s="16">
        <v>4.49</v>
      </c>
      <c r="O344" s="17">
        <v>5.4640000000000004</v>
      </c>
      <c r="P344" s="18">
        <v>77</v>
      </c>
      <c r="Q344" s="18">
        <v>21.015000000000001</v>
      </c>
      <c r="R344" s="18">
        <v>216.125</v>
      </c>
      <c r="S344" s="18">
        <v>204.595</v>
      </c>
      <c r="T344" s="14" t="b">
        <f t="shared" si="72"/>
        <v>1</v>
      </c>
      <c r="U344" s="14" t="b">
        <f t="shared" si="73"/>
        <v>1</v>
      </c>
      <c r="V344" s="15">
        <f>VLOOKUP(IF(J344&lt;10, 10, IF(J344&gt;50,50,J344)),'Over to underbark'!$A$3:$C$43,IF(A344="Scots pine",3,IF(A344="Sitka spruce",2, "error")),TRUE)/100</f>
        <v>0.9</v>
      </c>
      <c r="W344">
        <f t="shared" si="74"/>
        <v>175.06125000000003</v>
      </c>
      <c r="X344">
        <f t="shared" si="75"/>
        <v>165.72195000000002</v>
      </c>
      <c r="Y344">
        <f t="shared" si="76"/>
        <v>37.864799999999995</v>
      </c>
      <c r="Z344">
        <f t="shared" si="77"/>
        <v>162.508005</v>
      </c>
      <c r="AA344">
        <f t="shared" si="78"/>
        <v>116.70682500000001</v>
      </c>
      <c r="AB344">
        <f t="shared" si="79"/>
        <v>99.433170000000004</v>
      </c>
      <c r="AC344">
        <f>LOOKUP($A344,'Over to underbark'!$A$47:$A$48,'Over to underbark'!E$47:E$48)*Z344</f>
        <v>53.627641650000001</v>
      </c>
      <c r="AD344">
        <f>LOOKUP($A344,'Over to underbark'!$A$47:$A$48,'Over to underbark'!E$47:E$48)*AA344</f>
        <v>38.513252250000008</v>
      </c>
      <c r="AE344">
        <f>LOOKUP($A344,'Over to underbark'!$A$47:$A$48,'Over to underbark'!E$47:E$48)*AB344</f>
        <v>32.812946100000005</v>
      </c>
      <c r="AF344" t="b">
        <f t="shared" si="80"/>
        <v>1</v>
      </c>
      <c r="AG344" t="b">
        <f t="shared" si="81"/>
        <v>1</v>
      </c>
      <c r="AH344">
        <f>LOOKUP(A344,'Over to underbark'!$A$47:$A$48,'Over to underbark'!E$47:E$48)*M344</f>
        <v>138.83760000000001</v>
      </c>
      <c r="AI344" s="27">
        <f>LOOKUP(A344,'Over to underbark'!$A$47:$A$48,'Over to underbark'!$B$47:$B$48)*AH344</f>
        <v>44.428032000000002</v>
      </c>
      <c r="AJ344" s="27">
        <f>LOOKUP(A345,'Over to underbark'!$A$47:$A$48,'Over to underbark'!C$47:C$48)*AH344</f>
        <v>68.030423999999996</v>
      </c>
      <c r="AK344" s="27">
        <f t="shared" si="82"/>
        <v>183.26563200000001</v>
      </c>
      <c r="AL344" s="33">
        <v>555.35</v>
      </c>
      <c r="AM344" s="28">
        <f t="shared" si="83"/>
        <v>366.53126400000002</v>
      </c>
      <c r="AO344">
        <f t="shared" si="84"/>
        <v>0.68181818181818188</v>
      </c>
    </row>
    <row r="345" spans="1:41" x14ac:dyDescent="0.35">
      <c r="A345" t="s">
        <v>41</v>
      </c>
      <c r="B345">
        <v>6</v>
      </c>
      <c r="C345">
        <v>2</v>
      </c>
      <c r="D345" t="s">
        <v>40</v>
      </c>
      <c r="E345">
        <v>2</v>
      </c>
      <c r="F345">
        <v>1</v>
      </c>
      <c r="G345" s="16">
        <v>78</v>
      </c>
      <c r="H345" s="16">
        <v>18.288</v>
      </c>
      <c r="I345" s="16">
        <v>1592</v>
      </c>
      <c r="J345" s="16">
        <v>21.119</v>
      </c>
      <c r="K345" s="16">
        <v>55.768999999999998</v>
      </c>
      <c r="L345" s="16">
        <v>0.26600000000000001</v>
      </c>
      <c r="M345" s="23">
        <v>424.18</v>
      </c>
      <c r="N345" s="16">
        <v>4.7</v>
      </c>
      <c r="O345" s="17">
        <v>5.4379999999999997</v>
      </c>
      <c r="P345" s="18">
        <v>78</v>
      </c>
      <c r="Q345" s="18">
        <v>21.119</v>
      </c>
      <c r="R345" s="18">
        <v>215.63</v>
      </c>
      <c r="S345" s="18">
        <v>208.55</v>
      </c>
      <c r="T345" s="14" t="b">
        <f t="shared" si="72"/>
        <v>1</v>
      </c>
      <c r="U345" s="14" t="b">
        <f t="shared" si="73"/>
        <v>1</v>
      </c>
      <c r="V345" s="15">
        <f>VLOOKUP(IF(J345&lt;10, 10, IF(J345&gt;50,50,J345)),'Over to underbark'!$A$3:$C$43,IF(A345="Scots pine",3,IF(A345="Sitka spruce",2, "error")),TRUE)/100</f>
        <v>0.9</v>
      </c>
      <c r="W345">
        <f t="shared" si="74"/>
        <v>174.66030000000001</v>
      </c>
      <c r="X345">
        <f t="shared" si="75"/>
        <v>168.92550000000003</v>
      </c>
      <c r="Y345">
        <f t="shared" si="76"/>
        <v>38.176199999999994</v>
      </c>
      <c r="Z345">
        <f t="shared" si="77"/>
        <v>163.07139600000002</v>
      </c>
      <c r="AA345">
        <f t="shared" si="78"/>
        <v>117.33530400000001</v>
      </c>
      <c r="AB345">
        <f t="shared" si="79"/>
        <v>101.35530000000001</v>
      </c>
      <c r="AC345">
        <f>LOOKUP($A345,'Over to underbark'!$A$47:$A$48,'Over to underbark'!E$47:E$48)*Z345</f>
        <v>53.813560680000009</v>
      </c>
      <c r="AD345">
        <f>LOOKUP($A345,'Over to underbark'!$A$47:$A$48,'Over to underbark'!E$47:E$48)*AA345</f>
        <v>38.720650320000004</v>
      </c>
      <c r="AE345">
        <f>LOOKUP($A345,'Over to underbark'!$A$47:$A$48,'Over to underbark'!E$47:E$48)*AB345</f>
        <v>33.447249000000006</v>
      </c>
      <c r="AF345" t="b">
        <f t="shared" si="80"/>
        <v>1</v>
      </c>
      <c r="AG345" t="b">
        <f t="shared" si="81"/>
        <v>1</v>
      </c>
      <c r="AH345">
        <f>LOOKUP(A345,'Over to underbark'!$A$47:$A$48,'Over to underbark'!E$47:E$48)*M345</f>
        <v>139.9794</v>
      </c>
      <c r="AI345" s="27">
        <f>LOOKUP(A345,'Over to underbark'!$A$47:$A$48,'Over to underbark'!$B$47:$B$48)*AH345</f>
        <v>44.793407999999999</v>
      </c>
      <c r="AJ345" s="27">
        <f>LOOKUP(A346,'Over to underbark'!$A$47:$A$48,'Over to underbark'!C$47:C$48)*AH345</f>
        <v>68.589905999999999</v>
      </c>
      <c r="AK345" s="27">
        <f t="shared" si="82"/>
        <v>184.772808</v>
      </c>
      <c r="AL345" s="33">
        <v>559.91999999999996</v>
      </c>
      <c r="AM345" s="28">
        <f t="shared" si="83"/>
        <v>369.545616</v>
      </c>
      <c r="AO345">
        <f t="shared" si="84"/>
        <v>0.68181818181818199</v>
      </c>
    </row>
    <row r="346" spans="1:41" x14ac:dyDescent="0.35">
      <c r="A346" t="s">
        <v>41</v>
      </c>
      <c r="B346">
        <v>6</v>
      </c>
      <c r="C346">
        <v>2</v>
      </c>
      <c r="D346" t="s">
        <v>40</v>
      </c>
      <c r="E346">
        <v>2</v>
      </c>
      <c r="F346">
        <v>1</v>
      </c>
      <c r="G346" s="16">
        <v>79</v>
      </c>
      <c r="H346" s="16">
        <v>18.393999999999998</v>
      </c>
      <c r="I346" s="16">
        <v>1581</v>
      </c>
      <c r="J346" s="16">
        <v>21.224</v>
      </c>
      <c r="K346" s="16">
        <v>55.935000000000002</v>
      </c>
      <c r="L346" s="16">
        <v>0.27</v>
      </c>
      <c r="M346" s="23">
        <v>427.64</v>
      </c>
      <c r="N346" s="16">
        <v>4.9050000000000002</v>
      </c>
      <c r="O346" s="17">
        <v>5.4130000000000003</v>
      </c>
      <c r="P346" s="18">
        <v>79</v>
      </c>
      <c r="Q346" s="18">
        <v>21.224</v>
      </c>
      <c r="R346" s="18">
        <v>215.09200000000001</v>
      </c>
      <c r="S346" s="18">
        <v>212.548</v>
      </c>
      <c r="T346" s="14" t="b">
        <f t="shared" si="72"/>
        <v>1</v>
      </c>
      <c r="U346" s="14" t="b">
        <f t="shared" si="73"/>
        <v>1</v>
      </c>
      <c r="V346" s="15">
        <f>VLOOKUP(IF(J346&lt;10, 10, IF(J346&gt;50,50,J346)),'Over to underbark'!$A$3:$C$43,IF(A346="Scots pine",3,IF(A346="Sitka spruce",2, "error")),TRUE)/100</f>
        <v>0.9</v>
      </c>
      <c r="W346">
        <f t="shared" si="74"/>
        <v>174.22452000000001</v>
      </c>
      <c r="X346">
        <f t="shared" si="75"/>
        <v>172.16388000000001</v>
      </c>
      <c r="Y346">
        <f t="shared" si="76"/>
        <v>38.487599999999986</v>
      </c>
      <c r="Z346">
        <f t="shared" si="77"/>
        <v>163.62015839999998</v>
      </c>
      <c r="AA346">
        <f t="shared" si="78"/>
        <v>117.9575136</v>
      </c>
      <c r="AB346">
        <f t="shared" si="79"/>
        <v>103.298328</v>
      </c>
      <c r="AC346">
        <f>LOOKUP($A346,'Over to underbark'!$A$47:$A$48,'Over to underbark'!E$47:E$48)*Z346</f>
        <v>53.994652271999996</v>
      </c>
      <c r="AD346">
        <f>LOOKUP($A346,'Over to underbark'!$A$47:$A$48,'Over to underbark'!E$47:E$48)*AA346</f>
        <v>38.925979488000003</v>
      </c>
      <c r="AE346">
        <f>LOOKUP($A346,'Over to underbark'!$A$47:$A$48,'Over to underbark'!E$47:E$48)*AB346</f>
        <v>34.088448239999998</v>
      </c>
      <c r="AF346" t="b">
        <f t="shared" si="80"/>
        <v>1</v>
      </c>
      <c r="AG346" t="b">
        <f t="shared" si="81"/>
        <v>1</v>
      </c>
      <c r="AH346">
        <f>LOOKUP(A346,'Over to underbark'!$A$47:$A$48,'Over to underbark'!E$47:E$48)*M346</f>
        <v>141.12120000000002</v>
      </c>
      <c r="AI346" s="27">
        <f>LOOKUP(A346,'Over to underbark'!$A$47:$A$48,'Over to underbark'!$B$47:$B$48)*AH346</f>
        <v>45.158784000000004</v>
      </c>
      <c r="AJ346" s="27">
        <f>LOOKUP(A347,'Over to underbark'!$A$47:$A$48,'Over to underbark'!C$47:C$48)*AH346</f>
        <v>69.149388000000002</v>
      </c>
      <c r="AK346" s="27">
        <f t="shared" si="82"/>
        <v>186.27998400000001</v>
      </c>
      <c r="AL346" s="33">
        <v>564.48</v>
      </c>
      <c r="AM346" s="28">
        <f t="shared" si="83"/>
        <v>372.55996800000003</v>
      </c>
      <c r="AO346">
        <f t="shared" si="84"/>
        <v>0.68181818181818166</v>
      </c>
    </row>
    <row r="347" spans="1:41" x14ac:dyDescent="0.35">
      <c r="A347" t="s">
        <v>41</v>
      </c>
      <c r="B347">
        <v>6</v>
      </c>
      <c r="C347">
        <v>2</v>
      </c>
      <c r="D347" t="s">
        <v>40</v>
      </c>
      <c r="E347">
        <v>2</v>
      </c>
      <c r="F347">
        <v>1</v>
      </c>
      <c r="G347" s="16">
        <v>80</v>
      </c>
      <c r="H347" s="16">
        <v>18.5</v>
      </c>
      <c r="I347" s="16">
        <v>1570</v>
      </c>
      <c r="J347" s="16">
        <v>21.33</v>
      </c>
      <c r="K347" s="16">
        <v>56.100999999999999</v>
      </c>
      <c r="L347" s="16">
        <v>0.27500000000000002</v>
      </c>
      <c r="M347" s="23">
        <v>431.1</v>
      </c>
      <c r="N347" s="16">
        <v>5.1070000000000002</v>
      </c>
      <c r="O347" s="17">
        <v>5.3890000000000002</v>
      </c>
      <c r="P347" s="18">
        <v>80</v>
      </c>
      <c r="Q347" s="18">
        <v>21.33</v>
      </c>
      <c r="R347" s="18">
        <v>214.51</v>
      </c>
      <c r="S347" s="18">
        <v>216.59</v>
      </c>
      <c r="T347" s="14" t="b">
        <f t="shared" si="72"/>
        <v>1</v>
      </c>
      <c r="U347" s="14" t="b">
        <f t="shared" si="73"/>
        <v>1</v>
      </c>
      <c r="V347" s="15">
        <f>VLOOKUP(IF(J347&lt;10, 10, IF(J347&gt;50,50,J347)),'Over to underbark'!$A$3:$C$43,IF(A347="Scots pine",3,IF(A347="Sitka spruce",2, "error")),TRUE)/100</f>
        <v>0.9</v>
      </c>
      <c r="W347">
        <f t="shared" si="74"/>
        <v>173.75309999999999</v>
      </c>
      <c r="X347">
        <f t="shared" si="75"/>
        <v>175.43790000000001</v>
      </c>
      <c r="Y347">
        <f t="shared" si="76"/>
        <v>38.798999999999992</v>
      </c>
      <c r="Z347">
        <f t="shared" si="77"/>
        <v>164.15395199999998</v>
      </c>
      <c r="AA347">
        <f t="shared" si="78"/>
        <v>118.573308</v>
      </c>
      <c r="AB347">
        <f t="shared" si="79"/>
        <v>105.26274000000001</v>
      </c>
      <c r="AC347">
        <f>LOOKUP($A347,'Over to underbark'!$A$47:$A$48,'Over to underbark'!E$47:E$48)*Z347</f>
        <v>54.170804159999996</v>
      </c>
      <c r="AD347">
        <f>LOOKUP($A347,'Over to underbark'!$A$47:$A$48,'Over to underbark'!E$47:E$48)*AA347</f>
        <v>39.129191640000002</v>
      </c>
      <c r="AE347">
        <f>LOOKUP($A347,'Over to underbark'!$A$47:$A$48,'Over to underbark'!E$47:E$48)*AB347</f>
        <v>34.736704200000005</v>
      </c>
      <c r="AF347" t="b">
        <f t="shared" si="80"/>
        <v>1</v>
      </c>
      <c r="AG347" t="b">
        <f t="shared" si="81"/>
        <v>1</v>
      </c>
      <c r="AH347">
        <f>LOOKUP(A347,'Over to underbark'!$A$47:$A$48,'Over to underbark'!E$47:E$48)*M347</f>
        <v>142.26300000000001</v>
      </c>
      <c r="AI347" s="27">
        <f>LOOKUP(A347,'Over to underbark'!$A$47:$A$48,'Over to underbark'!$B$47:$B$48)*AH347</f>
        <v>45.524160000000002</v>
      </c>
      <c r="AJ347" s="27">
        <f>LOOKUP(A348,'Over to underbark'!$A$47:$A$48,'Over to underbark'!C$47:C$48)*AH347</f>
        <v>69.708870000000005</v>
      </c>
      <c r="AK347" s="27">
        <f t="shared" si="82"/>
        <v>187.78716</v>
      </c>
      <c r="AL347" s="33">
        <v>569.04999999999995</v>
      </c>
      <c r="AM347" s="28">
        <f t="shared" si="83"/>
        <v>375.57432</v>
      </c>
      <c r="AO347">
        <f t="shared" si="84"/>
        <v>0.68181818181818177</v>
      </c>
    </row>
    <row r="348" spans="1:41" x14ac:dyDescent="0.35">
      <c r="A348" t="s">
        <v>41</v>
      </c>
      <c r="B348">
        <v>8</v>
      </c>
      <c r="C348">
        <v>2</v>
      </c>
      <c r="D348" t="s">
        <v>40</v>
      </c>
      <c r="E348">
        <v>2</v>
      </c>
      <c r="F348">
        <v>1</v>
      </c>
      <c r="G348" s="16">
        <v>25</v>
      </c>
      <c r="H348" s="16">
        <v>7.08</v>
      </c>
      <c r="I348" s="16">
        <v>2316</v>
      </c>
      <c r="J348" s="16">
        <v>11.4</v>
      </c>
      <c r="K348" s="16">
        <v>23.638999999999999</v>
      </c>
      <c r="L348" s="16">
        <v>2.7E-2</v>
      </c>
      <c r="M348" s="23">
        <v>63.4</v>
      </c>
      <c r="N348" s="16">
        <v>0</v>
      </c>
      <c r="O348" s="17">
        <v>2.536</v>
      </c>
      <c r="P348" s="18">
        <v>25</v>
      </c>
      <c r="Q348" s="18">
        <v>11.4</v>
      </c>
      <c r="R348" s="18">
        <v>63.4</v>
      </c>
      <c r="S348" s="18">
        <v>0</v>
      </c>
      <c r="T348" s="14" t="b">
        <f t="shared" si="72"/>
        <v>1</v>
      </c>
      <c r="U348" s="14" t="b">
        <f t="shared" si="73"/>
        <v>1</v>
      </c>
      <c r="V348" s="15">
        <f>VLOOKUP(IF(J348&lt;10, 10, IF(J348&gt;50,50,J348)),'Over to underbark'!$A$3:$C$43,IF(A348="Scots pine",3,IF(A348="Sitka spruce",2, "error")),TRUE)/100</f>
        <v>0.82</v>
      </c>
      <c r="W348">
        <f t="shared" si="74"/>
        <v>46.789200000000001</v>
      </c>
      <c r="X348">
        <f t="shared" si="75"/>
        <v>0</v>
      </c>
      <c r="Y348">
        <f t="shared" si="76"/>
        <v>10.270800000000003</v>
      </c>
      <c r="Z348">
        <f t="shared" si="77"/>
        <v>36.940643999999999</v>
      </c>
      <c r="AA348">
        <f t="shared" si="78"/>
        <v>20.119356</v>
      </c>
      <c r="AB348">
        <f t="shared" si="79"/>
        <v>0</v>
      </c>
      <c r="AC348">
        <f>LOOKUP($A348,'Over to underbark'!$A$47:$A$48,'Over to underbark'!E$47:E$48)*Z348</f>
        <v>12.190412520000001</v>
      </c>
      <c r="AD348">
        <f>LOOKUP($A348,'Over to underbark'!$A$47:$A$48,'Over to underbark'!E$47:E$48)*AA348</f>
        <v>6.6393874799999999</v>
      </c>
      <c r="AE348">
        <f>LOOKUP($A348,'Over to underbark'!$A$47:$A$48,'Over to underbark'!E$47:E$48)*AB348</f>
        <v>0</v>
      </c>
      <c r="AF348" t="b">
        <f t="shared" si="80"/>
        <v>1</v>
      </c>
      <c r="AG348" t="b">
        <f t="shared" si="81"/>
        <v>1</v>
      </c>
      <c r="AH348">
        <f>LOOKUP(A348,'Over to underbark'!$A$47:$A$48,'Over to underbark'!E$47:E$48)*M348</f>
        <v>20.922000000000001</v>
      </c>
      <c r="AI348" s="27">
        <f>LOOKUP(A348,'Over to underbark'!$A$47:$A$48,'Over to underbark'!$B$47:$B$48)*AH348</f>
        <v>6.6950400000000005</v>
      </c>
      <c r="AJ348" s="27">
        <f>LOOKUP(A349,'Over to underbark'!$A$47:$A$48,'Over to underbark'!C$47:C$48)*AH348</f>
        <v>10.25178</v>
      </c>
      <c r="AK348" s="27">
        <f t="shared" si="82"/>
        <v>27.617040000000003</v>
      </c>
      <c r="AL348" s="33">
        <v>83.69</v>
      </c>
      <c r="AM348" s="28">
        <f t="shared" si="83"/>
        <v>55.234080000000006</v>
      </c>
      <c r="AO348">
        <f t="shared" si="84"/>
        <v>0.68181818181818166</v>
      </c>
    </row>
    <row r="349" spans="1:41" x14ac:dyDescent="0.35">
      <c r="A349" t="s">
        <v>41</v>
      </c>
      <c r="B349">
        <v>8</v>
      </c>
      <c r="C349">
        <v>2</v>
      </c>
      <c r="D349" t="s">
        <v>40</v>
      </c>
      <c r="E349">
        <v>2</v>
      </c>
      <c r="F349">
        <v>1</v>
      </c>
      <c r="G349" s="16">
        <v>26</v>
      </c>
      <c r="H349" s="16">
        <v>7.5039999999999996</v>
      </c>
      <c r="I349" s="16">
        <v>2306</v>
      </c>
      <c r="J349" s="16">
        <v>11.788</v>
      </c>
      <c r="K349" s="16">
        <v>25.166</v>
      </c>
      <c r="L349" s="16">
        <v>3.2000000000000001E-2</v>
      </c>
      <c r="M349" s="23">
        <v>72.94</v>
      </c>
      <c r="N349" s="16">
        <v>0</v>
      </c>
      <c r="O349" s="17">
        <v>2.8050000000000002</v>
      </c>
      <c r="P349" s="18">
        <v>26</v>
      </c>
      <c r="Q349" s="18">
        <v>11.788</v>
      </c>
      <c r="R349" s="18">
        <v>72.94</v>
      </c>
      <c r="S349" s="18">
        <v>0</v>
      </c>
      <c r="T349" s="14" t="b">
        <f t="shared" si="72"/>
        <v>1</v>
      </c>
      <c r="U349" s="14" t="b">
        <f t="shared" si="73"/>
        <v>1</v>
      </c>
      <c r="V349" s="15">
        <f>VLOOKUP(IF(J349&lt;10, 10, IF(J349&gt;50,50,J349)),'Over to underbark'!$A$3:$C$43,IF(A349="Scots pine",3,IF(A349="Sitka spruce",2, "error")),TRUE)/100</f>
        <v>0.82</v>
      </c>
      <c r="W349">
        <f t="shared" si="74"/>
        <v>53.829719999999995</v>
      </c>
      <c r="X349">
        <f t="shared" si="75"/>
        <v>0</v>
      </c>
      <c r="Y349">
        <f t="shared" si="76"/>
        <v>11.816280000000003</v>
      </c>
      <c r="Z349">
        <f t="shared" si="77"/>
        <v>42.499220399999999</v>
      </c>
      <c r="AA349">
        <f t="shared" si="78"/>
        <v>23.146779599999999</v>
      </c>
      <c r="AB349">
        <f t="shared" si="79"/>
        <v>0</v>
      </c>
      <c r="AC349">
        <f>LOOKUP($A349,'Over to underbark'!$A$47:$A$48,'Over to underbark'!E$47:E$48)*Z349</f>
        <v>14.024742732</v>
      </c>
      <c r="AD349">
        <f>LOOKUP($A349,'Over to underbark'!$A$47:$A$48,'Over to underbark'!E$47:E$48)*AA349</f>
        <v>7.6384372679999997</v>
      </c>
      <c r="AE349">
        <f>LOOKUP($A349,'Over to underbark'!$A$47:$A$48,'Over to underbark'!E$47:E$48)*AB349</f>
        <v>0</v>
      </c>
      <c r="AF349" t="b">
        <f t="shared" si="80"/>
        <v>1</v>
      </c>
      <c r="AG349" t="b">
        <f t="shared" si="81"/>
        <v>1</v>
      </c>
      <c r="AH349">
        <f>LOOKUP(A349,'Over to underbark'!$A$47:$A$48,'Over to underbark'!E$47:E$48)*M349</f>
        <v>24.0702</v>
      </c>
      <c r="AI349" s="27">
        <f>LOOKUP(A349,'Over to underbark'!$A$47:$A$48,'Over to underbark'!$B$47:$B$48)*AH349</f>
        <v>7.702464</v>
      </c>
      <c r="AJ349" s="27">
        <f>LOOKUP(A350,'Over to underbark'!$A$47:$A$48,'Over to underbark'!C$47:C$48)*AH349</f>
        <v>11.794397999999999</v>
      </c>
      <c r="AK349" s="27">
        <f t="shared" si="82"/>
        <v>31.772663999999999</v>
      </c>
      <c r="AL349" s="33">
        <v>96.28</v>
      </c>
      <c r="AM349" s="28">
        <f t="shared" si="83"/>
        <v>63.545327999999998</v>
      </c>
      <c r="AO349">
        <f t="shared" si="84"/>
        <v>0.68181818181818188</v>
      </c>
    </row>
    <row r="350" spans="1:41" x14ac:dyDescent="0.35">
      <c r="A350" t="s">
        <v>41</v>
      </c>
      <c r="B350">
        <v>8</v>
      </c>
      <c r="C350">
        <v>2</v>
      </c>
      <c r="D350" t="s">
        <v>40</v>
      </c>
      <c r="E350">
        <v>2</v>
      </c>
      <c r="F350">
        <v>1</v>
      </c>
      <c r="G350" s="16">
        <v>27</v>
      </c>
      <c r="H350" s="16">
        <v>7.9279999999999999</v>
      </c>
      <c r="I350" s="16">
        <v>2296</v>
      </c>
      <c r="J350" s="16">
        <v>12.167</v>
      </c>
      <c r="K350" s="16">
        <v>26.693000000000001</v>
      </c>
      <c r="L350" s="16">
        <v>3.5999999999999997E-2</v>
      </c>
      <c r="M350" s="23">
        <v>82.48</v>
      </c>
      <c r="N350" s="16">
        <v>0</v>
      </c>
      <c r="O350" s="17">
        <v>3.0550000000000002</v>
      </c>
      <c r="P350" s="18">
        <v>27</v>
      </c>
      <c r="Q350" s="18">
        <v>12.167</v>
      </c>
      <c r="R350" s="18">
        <v>82.48</v>
      </c>
      <c r="S350" s="18">
        <v>0</v>
      </c>
      <c r="T350" s="14" t="b">
        <f t="shared" si="72"/>
        <v>1</v>
      </c>
      <c r="U350" s="14" t="b">
        <f t="shared" si="73"/>
        <v>1</v>
      </c>
      <c r="V350" s="15">
        <f>VLOOKUP(IF(J350&lt;10, 10, IF(J350&gt;50,50,J350)),'Over to underbark'!$A$3:$C$43,IF(A350="Scots pine",3,IF(A350="Sitka spruce",2, "error")),TRUE)/100</f>
        <v>0.87</v>
      </c>
      <c r="W350">
        <f t="shared" si="74"/>
        <v>64.58184</v>
      </c>
      <c r="X350">
        <f t="shared" si="75"/>
        <v>0</v>
      </c>
      <c r="Y350">
        <f t="shared" si="76"/>
        <v>9.6501599999999996</v>
      </c>
      <c r="Z350">
        <f t="shared" si="77"/>
        <v>46.461808799999993</v>
      </c>
      <c r="AA350">
        <f t="shared" si="78"/>
        <v>27.770191199999999</v>
      </c>
      <c r="AB350">
        <f t="shared" si="79"/>
        <v>0</v>
      </c>
      <c r="AC350">
        <f>LOOKUP($A350,'Over to underbark'!$A$47:$A$48,'Over to underbark'!E$47:E$48)*Z350</f>
        <v>15.332396903999998</v>
      </c>
      <c r="AD350">
        <f>LOOKUP($A350,'Over to underbark'!$A$47:$A$48,'Over to underbark'!E$47:E$48)*AA350</f>
        <v>9.1641630959999993</v>
      </c>
      <c r="AE350">
        <f>LOOKUP($A350,'Over to underbark'!$A$47:$A$48,'Over to underbark'!E$47:E$48)*AB350</f>
        <v>0</v>
      </c>
      <c r="AF350" t="b">
        <f t="shared" si="80"/>
        <v>1</v>
      </c>
      <c r="AG350" t="b">
        <f t="shared" si="81"/>
        <v>1</v>
      </c>
      <c r="AH350">
        <f>LOOKUP(A350,'Over to underbark'!$A$47:$A$48,'Over to underbark'!E$47:E$48)*M350</f>
        <v>27.218400000000003</v>
      </c>
      <c r="AI350" s="27">
        <f>LOOKUP(A350,'Over to underbark'!$A$47:$A$48,'Over to underbark'!$B$47:$B$48)*AH350</f>
        <v>8.7098880000000012</v>
      </c>
      <c r="AJ350" s="27">
        <f>LOOKUP(A351,'Over to underbark'!$A$47:$A$48,'Over to underbark'!C$47:C$48)*AH350</f>
        <v>13.337016</v>
      </c>
      <c r="AK350" s="27">
        <f t="shared" si="82"/>
        <v>35.928288000000002</v>
      </c>
      <c r="AL350" s="33">
        <v>108.87</v>
      </c>
      <c r="AM350" s="28">
        <f t="shared" si="83"/>
        <v>71.856576000000004</v>
      </c>
      <c r="AO350">
        <f t="shared" si="84"/>
        <v>0.68181818181818166</v>
      </c>
    </row>
    <row r="351" spans="1:41" x14ac:dyDescent="0.35">
      <c r="A351" t="s">
        <v>41</v>
      </c>
      <c r="B351">
        <v>8</v>
      </c>
      <c r="C351">
        <v>2</v>
      </c>
      <c r="D351" t="s">
        <v>40</v>
      </c>
      <c r="E351">
        <v>2</v>
      </c>
      <c r="F351">
        <v>1</v>
      </c>
      <c r="G351" s="16">
        <v>28</v>
      </c>
      <c r="H351" s="16">
        <v>8.3520000000000003</v>
      </c>
      <c r="I351" s="16">
        <v>2287</v>
      </c>
      <c r="J351" s="16">
        <v>12.534000000000001</v>
      </c>
      <c r="K351" s="16">
        <v>28.219000000000001</v>
      </c>
      <c r="L351" s="16">
        <v>0.04</v>
      </c>
      <c r="M351" s="23">
        <v>92.02</v>
      </c>
      <c r="N351" s="16">
        <v>0</v>
      </c>
      <c r="O351" s="17">
        <v>3.286</v>
      </c>
      <c r="P351" s="18">
        <v>28</v>
      </c>
      <c r="Q351" s="18">
        <v>12.534000000000001</v>
      </c>
      <c r="R351" s="18">
        <v>92.02</v>
      </c>
      <c r="S351" s="18">
        <v>0</v>
      </c>
      <c r="T351" s="14" t="b">
        <f t="shared" si="72"/>
        <v>1</v>
      </c>
      <c r="U351" s="14" t="b">
        <f t="shared" si="73"/>
        <v>1</v>
      </c>
      <c r="V351" s="15">
        <f>VLOOKUP(IF(J351&lt;10, 10, IF(J351&gt;50,50,J351)),'Over to underbark'!$A$3:$C$43,IF(A351="Scots pine",3,IF(A351="Sitka spruce",2, "error")),TRUE)/100</f>
        <v>0.87</v>
      </c>
      <c r="W351">
        <f t="shared" si="74"/>
        <v>72.051659999999998</v>
      </c>
      <c r="X351">
        <f t="shared" si="75"/>
        <v>0</v>
      </c>
      <c r="Y351">
        <f t="shared" si="76"/>
        <v>10.76634</v>
      </c>
      <c r="Z351">
        <f t="shared" si="77"/>
        <v>51.835786199999994</v>
      </c>
      <c r="AA351">
        <f t="shared" si="78"/>
        <v>30.9822138</v>
      </c>
      <c r="AB351">
        <f t="shared" si="79"/>
        <v>0</v>
      </c>
      <c r="AC351">
        <f>LOOKUP($A351,'Over to underbark'!$A$47:$A$48,'Over to underbark'!E$47:E$48)*Z351</f>
        <v>17.105809445999999</v>
      </c>
      <c r="AD351">
        <f>LOOKUP($A351,'Over to underbark'!$A$47:$A$48,'Over to underbark'!E$47:E$48)*AA351</f>
        <v>10.224130554</v>
      </c>
      <c r="AE351">
        <f>LOOKUP($A351,'Over to underbark'!$A$47:$A$48,'Over to underbark'!E$47:E$48)*AB351</f>
        <v>0</v>
      </c>
      <c r="AF351" t="b">
        <f t="shared" si="80"/>
        <v>1</v>
      </c>
      <c r="AG351" t="b">
        <f t="shared" si="81"/>
        <v>1</v>
      </c>
      <c r="AH351">
        <f>LOOKUP(A351,'Over to underbark'!$A$47:$A$48,'Over to underbark'!E$47:E$48)*M351</f>
        <v>30.366600000000002</v>
      </c>
      <c r="AI351" s="27">
        <f>LOOKUP(A351,'Over to underbark'!$A$47:$A$48,'Over to underbark'!$B$47:$B$48)*AH351</f>
        <v>9.7173120000000015</v>
      </c>
      <c r="AJ351" s="27">
        <f>LOOKUP(A352,'Over to underbark'!$A$47:$A$48,'Over to underbark'!C$47:C$48)*AH351</f>
        <v>14.879634000000001</v>
      </c>
      <c r="AK351" s="27">
        <f t="shared" si="82"/>
        <v>40.083912000000005</v>
      </c>
      <c r="AL351" s="33">
        <v>121.47</v>
      </c>
      <c r="AM351" s="28">
        <f t="shared" si="83"/>
        <v>80.16782400000001</v>
      </c>
      <c r="AO351">
        <f t="shared" si="84"/>
        <v>0.68181818181818177</v>
      </c>
    </row>
    <row r="352" spans="1:41" x14ac:dyDescent="0.35">
      <c r="A352" t="s">
        <v>41</v>
      </c>
      <c r="B352">
        <v>8</v>
      </c>
      <c r="C352">
        <v>2</v>
      </c>
      <c r="D352" t="s">
        <v>40</v>
      </c>
      <c r="E352">
        <v>2</v>
      </c>
      <c r="F352">
        <v>1</v>
      </c>
      <c r="G352" s="16">
        <v>29</v>
      </c>
      <c r="H352" s="16">
        <v>8.7759999999999998</v>
      </c>
      <c r="I352" s="16">
        <v>2277</v>
      </c>
      <c r="J352" s="16">
        <v>12.897</v>
      </c>
      <c r="K352" s="16">
        <v>29.745999999999999</v>
      </c>
      <c r="L352" s="16">
        <v>4.4999999999999998E-2</v>
      </c>
      <c r="M352" s="23">
        <v>101.56</v>
      </c>
      <c r="N352" s="16">
        <v>0</v>
      </c>
      <c r="O352" s="17">
        <v>3.5019999999999998</v>
      </c>
      <c r="P352" s="18">
        <v>29</v>
      </c>
      <c r="Q352" s="18">
        <v>12.897</v>
      </c>
      <c r="R352" s="18">
        <v>100.396</v>
      </c>
      <c r="S352" s="18">
        <v>1.1639999999999999</v>
      </c>
      <c r="T352" s="14" t="b">
        <f t="shared" si="72"/>
        <v>1</v>
      </c>
      <c r="U352" s="14" t="b">
        <f t="shared" si="73"/>
        <v>1</v>
      </c>
      <c r="V352" s="15">
        <f>VLOOKUP(IF(J352&lt;10, 10, IF(J352&gt;50,50,J352)),'Over to underbark'!$A$3:$C$43,IF(A352="Scots pine",3,IF(A352="Sitka spruce",2, "error")),TRUE)/100</f>
        <v>0.87</v>
      </c>
      <c r="W352">
        <f t="shared" si="74"/>
        <v>78.610068000000012</v>
      </c>
      <c r="X352">
        <f t="shared" si="75"/>
        <v>0.91141199999999989</v>
      </c>
      <c r="Y352">
        <f t="shared" si="76"/>
        <v>11.882520000000001</v>
      </c>
      <c r="Z352">
        <f t="shared" si="77"/>
        <v>56.826970560000007</v>
      </c>
      <c r="AA352">
        <f t="shared" si="78"/>
        <v>34.030182240000009</v>
      </c>
      <c r="AB352">
        <f t="shared" si="79"/>
        <v>0.54684719999999987</v>
      </c>
      <c r="AC352">
        <f>LOOKUP($A352,'Over to underbark'!$A$47:$A$48,'Over to underbark'!E$47:E$48)*Z352</f>
        <v>18.752900284800003</v>
      </c>
      <c r="AD352">
        <f>LOOKUP($A352,'Over to underbark'!$A$47:$A$48,'Over to underbark'!E$47:E$48)*AA352</f>
        <v>11.229960139200003</v>
      </c>
      <c r="AE352">
        <f>LOOKUP($A352,'Over to underbark'!$A$47:$A$48,'Over to underbark'!E$47:E$48)*AB352</f>
        <v>0.18045957599999995</v>
      </c>
      <c r="AF352" t="b">
        <f t="shared" si="80"/>
        <v>1</v>
      </c>
      <c r="AG352" t="b">
        <f t="shared" si="81"/>
        <v>1</v>
      </c>
      <c r="AH352">
        <f>LOOKUP(A352,'Over to underbark'!$A$47:$A$48,'Over to underbark'!E$47:E$48)*M352</f>
        <v>33.514800000000001</v>
      </c>
      <c r="AI352" s="27">
        <f>LOOKUP(A352,'Over to underbark'!$A$47:$A$48,'Over to underbark'!$B$47:$B$48)*AH352</f>
        <v>10.724736</v>
      </c>
      <c r="AJ352" s="27">
        <f>LOOKUP(A353,'Over to underbark'!$A$47:$A$48,'Over to underbark'!C$47:C$48)*AH352</f>
        <v>16.422252</v>
      </c>
      <c r="AK352" s="27">
        <f t="shared" si="82"/>
        <v>44.239536000000001</v>
      </c>
      <c r="AL352" s="33">
        <v>134.06</v>
      </c>
      <c r="AM352" s="28">
        <f t="shared" si="83"/>
        <v>88.479072000000002</v>
      </c>
      <c r="AO352">
        <f t="shared" si="84"/>
        <v>0.68181818181818199</v>
      </c>
    </row>
    <row r="353" spans="1:41" x14ac:dyDescent="0.35">
      <c r="A353" t="s">
        <v>41</v>
      </c>
      <c r="B353">
        <v>8</v>
      </c>
      <c r="C353">
        <v>2</v>
      </c>
      <c r="D353" t="s">
        <v>40</v>
      </c>
      <c r="E353">
        <v>2</v>
      </c>
      <c r="F353">
        <v>1</v>
      </c>
      <c r="G353" s="16">
        <v>30</v>
      </c>
      <c r="H353" s="16">
        <v>9.1999999999999993</v>
      </c>
      <c r="I353" s="16">
        <v>2268</v>
      </c>
      <c r="J353" s="16">
        <v>13.25</v>
      </c>
      <c r="K353" s="16">
        <v>31.273</v>
      </c>
      <c r="L353" s="16">
        <v>4.9000000000000002E-2</v>
      </c>
      <c r="M353" s="23">
        <v>111.1</v>
      </c>
      <c r="N353" s="16">
        <v>0</v>
      </c>
      <c r="O353" s="17">
        <v>3.7029999999999998</v>
      </c>
      <c r="P353" s="18">
        <v>30</v>
      </c>
      <c r="Q353" s="18">
        <v>13.25</v>
      </c>
      <c r="R353" s="18">
        <v>107.628</v>
      </c>
      <c r="S353" s="18">
        <v>3.472</v>
      </c>
      <c r="T353" s="14" t="b">
        <f t="shared" si="72"/>
        <v>1</v>
      </c>
      <c r="U353" s="14" t="b">
        <f t="shared" si="73"/>
        <v>1</v>
      </c>
      <c r="V353" s="15">
        <f>VLOOKUP(IF(J353&lt;10, 10, IF(J353&gt;50,50,J353)),'Over to underbark'!$A$3:$C$43,IF(A353="Scots pine",3,IF(A353="Sitka spruce",2, "error")),TRUE)/100</f>
        <v>0.89</v>
      </c>
      <c r="W353">
        <f t="shared" si="74"/>
        <v>86.210028000000008</v>
      </c>
      <c r="X353">
        <f t="shared" si="75"/>
        <v>2.781072</v>
      </c>
      <c r="Y353">
        <f t="shared" si="76"/>
        <v>10.998899999999997</v>
      </c>
      <c r="Z353">
        <f t="shared" si="77"/>
        <v>60.555776760000001</v>
      </c>
      <c r="AA353">
        <f t="shared" si="78"/>
        <v>37.765580040000003</v>
      </c>
      <c r="AB353">
        <f t="shared" si="79"/>
        <v>1.6686432</v>
      </c>
      <c r="AC353">
        <f>LOOKUP($A353,'Over to underbark'!$A$47:$A$48,'Over to underbark'!E$47:E$48)*Z353</f>
        <v>19.983406330800001</v>
      </c>
      <c r="AD353">
        <f>LOOKUP($A353,'Over to underbark'!$A$47:$A$48,'Over to underbark'!E$47:E$48)*AA353</f>
        <v>12.462641413200002</v>
      </c>
      <c r="AE353">
        <f>LOOKUP($A353,'Over to underbark'!$A$47:$A$48,'Over to underbark'!E$47:E$48)*AB353</f>
        <v>0.55065225600000001</v>
      </c>
      <c r="AF353" t="b">
        <f t="shared" si="80"/>
        <v>1</v>
      </c>
      <c r="AG353" t="b">
        <f t="shared" si="81"/>
        <v>1</v>
      </c>
      <c r="AH353">
        <f>LOOKUP(A353,'Over to underbark'!$A$47:$A$48,'Over to underbark'!E$47:E$48)*M353</f>
        <v>36.662999999999997</v>
      </c>
      <c r="AI353" s="27">
        <f>LOOKUP(A353,'Over to underbark'!$A$47:$A$48,'Over to underbark'!$B$47:$B$48)*AH353</f>
        <v>11.732159999999999</v>
      </c>
      <c r="AJ353" s="27">
        <f>LOOKUP(A354,'Over to underbark'!$A$47:$A$48,'Over to underbark'!C$47:C$48)*AH353</f>
        <v>17.964869999999998</v>
      </c>
      <c r="AK353" s="27">
        <f t="shared" si="82"/>
        <v>48.395159999999997</v>
      </c>
      <c r="AL353" s="33">
        <v>146.65</v>
      </c>
      <c r="AM353" s="28">
        <f t="shared" si="83"/>
        <v>96.790319999999994</v>
      </c>
      <c r="AO353">
        <f t="shared" si="84"/>
        <v>0.68181818181818199</v>
      </c>
    </row>
    <row r="354" spans="1:41" x14ac:dyDescent="0.35">
      <c r="A354" t="s">
        <v>41</v>
      </c>
      <c r="B354">
        <v>8</v>
      </c>
      <c r="C354">
        <v>2</v>
      </c>
      <c r="D354" t="s">
        <v>40</v>
      </c>
      <c r="E354">
        <v>2</v>
      </c>
      <c r="F354">
        <v>1</v>
      </c>
      <c r="G354" s="16">
        <v>31</v>
      </c>
      <c r="H354" s="16">
        <v>9.5960000000000001</v>
      </c>
      <c r="I354" s="16">
        <v>2252</v>
      </c>
      <c r="J354" s="16">
        <v>13.587999999999999</v>
      </c>
      <c r="K354" s="16">
        <v>32.658999999999999</v>
      </c>
      <c r="L354" s="16">
        <v>5.3999999999999999E-2</v>
      </c>
      <c r="M354" s="23">
        <v>122.64</v>
      </c>
      <c r="N354" s="16">
        <v>4.9000000000000002E-2</v>
      </c>
      <c r="O354" s="17">
        <v>3.956</v>
      </c>
      <c r="P354" s="18">
        <v>31</v>
      </c>
      <c r="Q354" s="18">
        <v>13.587999999999999</v>
      </c>
      <c r="R354" s="18">
        <v>116.434</v>
      </c>
      <c r="S354" s="18">
        <v>6.2060000000000004</v>
      </c>
      <c r="T354" s="14" t="b">
        <f t="shared" si="72"/>
        <v>1</v>
      </c>
      <c r="U354" s="14" t="b">
        <f t="shared" si="73"/>
        <v>1</v>
      </c>
      <c r="V354" s="15">
        <f>VLOOKUP(IF(J354&lt;10, 10, IF(J354&gt;50,50,J354)),'Over to underbark'!$A$3:$C$43,IF(A354="Scots pine",3,IF(A354="Sitka spruce",2, "error")),TRUE)/100</f>
        <v>0.89</v>
      </c>
      <c r="W354">
        <f t="shared" si="74"/>
        <v>93.263633999999996</v>
      </c>
      <c r="X354">
        <f t="shared" si="75"/>
        <v>4.9710060000000009</v>
      </c>
      <c r="Y354">
        <f t="shared" si="76"/>
        <v>12.141359999999999</v>
      </c>
      <c r="Z354">
        <f t="shared" si="77"/>
        <v>66.04728227999999</v>
      </c>
      <c r="AA354">
        <f t="shared" si="78"/>
        <v>41.346114119999996</v>
      </c>
      <c r="AB354">
        <f t="shared" si="79"/>
        <v>2.9826036000000005</v>
      </c>
      <c r="AC354">
        <f>LOOKUP($A354,'Over to underbark'!$A$47:$A$48,'Over to underbark'!E$47:E$48)*Z354</f>
        <v>21.795603152399998</v>
      </c>
      <c r="AD354">
        <f>LOOKUP($A354,'Over to underbark'!$A$47:$A$48,'Over to underbark'!E$47:E$48)*AA354</f>
        <v>13.644217659599999</v>
      </c>
      <c r="AE354">
        <f>LOOKUP($A354,'Over to underbark'!$A$47:$A$48,'Over to underbark'!E$47:E$48)*AB354</f>
        <v>0.98425918800000023</v>
      </c>
      <c r="AF354" t="b">
        <f t="shared" si="80"/>
        <v>1</v>
      </c>
      <c r="AG354" t="b">
        <f t="shared" si="81"/>
        <v>1</v>
      </c>
      <c r="AH354">
        <f>LOOKUP(A354,'Over to underbark'!$A$47:$A$48,'Over to underbark'!E$47:E$48)*M354</f>
        <v>40.471200000000003</v>
      </c>
      <c r="AI354" s="27">
        <f>LOOKUP(A354,'Over to underbark'!$A$47:$A$48,'Over to underbark'!$B$47:$B$48)*AH354</f>
        <v>12.950784000000001</v>
      </c>
      <c r="AJ354" s="27">
        <f>LOOKUP(A355,'Over to underbark'!$A$47:$A$48,'Over to underbark'!C$47:C$48)*AH354</f>
        <v>19.830888000000002</v>
      </c>
      <c r="AK354" s="27">
        <f t="shared" si="82"/>
        <v>53.421984000000002</v>
      </c>
      <c r="AL354" s="33">
        <v>161.88</v>
      </c>
      <c r="AM354" s="28">
        <f t="shared" si="83"/>
        <v>106.843968</v>
      </c>
      <c r="AO354">
        <f t="shared" si="84"/>
        <v>0.68181818181818177</v>
      </c>
    </row>
    <row r="355" spans="1:41" x14ac:dyDescent="0.35">
      <c r="A355" t="s">
        <v>41</v>
      </c>
      <c r="B355">
        <v>8</v>
      </c>
      <c r="C355">
        <v>2</v>
      </c>
      <c r="D355" t="s">
        <v>40</v>
      </c>
      <c r="E355">
        <v>2</v>
      </c>
      <c r="F355">
        <v>1</v>
      </c>
      <c r="G355" s="16">
        <v>32</v>
      </c>
      <c r="H355" s="16">
        <v>9.9920000000000009</v>
      </c>
      <c r="I355" s="16">
        <v>2236</v>
      </c>
      <c r="J355" s="16">
        <v>13.923</v>
      </c>
      <c r="K355" s="16">
        <v>34.045000000000002</v>
      </c>
      <c r="L355" s="16">
        <v>0.06</v>
      </c>
      <c r="M355" s="23">
        <v>134.18</v>
      </c>
      <c r="N355" s="16">
        <v>8.8999999999999996E-2</v>
      </c>
      <c r="O355" s="17">
        <v>4.1929999999999996</v>
      </c>
      <c r="P355" s="18">
        <v>32</v>
      </c>
      <c r="Q355" s="18">
        <v>13.923</v>
      </c>
      <c r="R355" s="18">
        <v>124.77200000000001</v>
      </c>
      <c r="S355" s="18">
        <v>9.4079999999999995</v>
      </c>
      <c r="T355" s="14" t="b">
        <f t="shared" si="72"/>
        <v>1</v>
      </c>
      <c r="U355" s="14" t="b">
        <f t="shared" si="73"/>
        <v>1</v>
      </c>
      <c r="V355" s="15">
        <f>VLOOKUP(IF(J355&lt;10, 10, IF(J355&gt;50,50,J355)),'Over to underbark'!$A$3:$C$43,IF(A355="Scots pine",3,IF(A355="Sitka spruce",2, "error")),TRUE)/100</f>
        <v>0.89</v>
      </c>
      <c r="W355">
        <f t="shared" si="74"/>
        <v>99.942372000000006</v>
      </c>
      <c r="X355">
        <f t="shared" si="75"/>
        <v>7.5358080000000003</v>
      </c>
      <c r="Y355">
        <f t="shared" si="76"/>
        <v>13.28382</v>
      </c>
      <c r="Z355">
        <f t="shared" si="77"/>
        <v>71.381343240000007</v>
      </c>
      <c r="AA355">
        <f t="shared" si="78"/>
        <v>44.859171960000005</v>
      </c>
      <c r="AB355">
        <f t="shared" si="79"/>
        <v>4.5214847999999996</v>
      </c>
      <c r="AC355">
        <f>LOOKUP($A355,'Over to underbark'!$A$47:$A$48,'Over to underbark'!E$47:E$48)*Z355</f>
        <v>23.555843269200004</v>
      </c>
      <c r="AD355">
        <f>LOOKUP($A355,'Over to underbark'!$A$47:$A$48,'Over to underbark'!E$47:E$48)*AA355</f>
        <v>14.803526746800003</v>
      </c>
      <c r="AE355">
        <f>LOOKUP($A355,'Over to underbark'!$A$47:$A$48,'Over to underbark'!E$47:E$48)*AB355</f>
        <v>1.4920899839999999</v>
      </c>
      <c r="AF355" t="b">
        <f t="shared" si="80"/>
        <v>1</v>
      </c>
      <c r="AG355" t="b">
        <f t="shared" si="81"/>
        <v>1</v>
      </c>
      <c r="AH355">
        <f>LOOKUP(A355,'Over to underbark'!$A$47:$A$48,'Over to underbark'!E$47:E$48)*M355</f>
        <v>44.279400000000003</v>
      </c>
      <c r="AI355" s="27">
        <f>LOOKUP(A355,'Over to underbark'!$A$47:$A$48,'Over to underbark'!$B$47:$B$48)*AH355</f>
        <v>14.169408000000001</v>
      </c>
      <c r="AJ355" s="27">
        <f>LOOKUP(A356,'Over to underbark'!$A$47:$A$48,'Over to underbark'!C$47:C$48)*AH355</f>
        <v>21.696906000000002</v>
      </c>
      <c r="AK355" s="27">
        <f t="shared" si="82"/>
        <v>58.448808</v>
      </c>
      <c r="AL355" s="33">
        <v>177.12</v>
      </c>
      <c r="AM355" s="28">
        <f t="shared" si="83"/>
        <v>116.897616</v>
      </c>
      <c r="AO355">
        <f t="shared" si="84"/>
        <v>0.68181818181818199</v>
      </c>
    </row>
    <row r="356" spans="1:41" x14ac:dyDescent="0.35">
      <c r="A356" t="s">
        <v>41</v>
      </c>
      <c r="B356">
        <v>8</v>
      </c>
      <c r="C356">
        <v>2</v>
      </c>
      <c r="D356" t="s">
        <v>40</v>
      </c>
      <c r="E356">
        <v>2</v>
      </c>
      <c r="F356">
        <v>1</v>
      </c>
      <c r="G356" s="16">
        <v>33</v>
      </c>
      <c r="H356" s="16">
        <v>10.388</v>
      </c>
      <c r="I356" s="16">
        <v>2220</v>
      </c>
      <c r="J356" s="16">
        <v>14.255000000000001</v>
      </c>
      <c r="K356" s="16">
        <v>35.430999999999997</v>
      </c>
      <c r="L356" s="16">
        <v>6.6000000000000003E-2</v>
      </c>
      <c r="M356" s="23">
        <v>145.72</v>
      </c>
      <c r="N356" s="16">
        <v>0.123</v>
      </c>
      <c r="O356" s="17">
        <v>4.4160000000000004</v>
      </c>
      <c r="P356" s="18">
        <v>33</v>
      </c>
      <c r="Q356" s="18">
        <v>14.255000000000001</v>
      </c>
      <c r="R356" s="18">
        <v>132.64400000000001</v>
      </c>
      <c r="S356" s="18">
        <v>13.076000000000001</v>
      </c>
      <c r="T356" s="14" t="b">
        <f t="shared" si="72"/>
        <v>1</v>
      </c>
      <c r="U356" s="14" t="b">
        <f t="shared" si="73"/>
        <v>1</v>
      </c>
      <c r="V356" s="15">
        <f>VLOOKUP(IF(J356&lt;10, 10, IF(J356&gt;50,50,J356)),'Over to underbark'!$A$3:$C$43,IF(A356="Scots pine",3,IF(A356="Sitka spruce",2, "error")),TRUE)/100</f>
        <v>0.9</v>
      </c>
      <c r="W356">
        <f t="shared" si="74"/>
        <v>107.44164000000001</v>
      </c>
      <c r="X356">
        <f t="shared" si="75"/>
        <v>10.591560000000001</v>
      </c>
      <c r="Y356">
        <f t="shared" si="76"/>
        <v>13.114799999999997</v>
      </c>
      <c r="Z356">
        <f t="shared" si="77"/>
        <v>75.945268799999994</v>
      </c>
      <c r="AA356">
        <f t="shared" si="78"/>
        <v>48.847795200000007</v>
      </c>
      <c r="AB356">
        <f t="shared" si="79"/>
        <v>6.3549360000000004</v>
      </c>
      <c r="AC356">
        <f>LOOKUP($A356,'Over to underbark'!$A$47:$A$48,'Over to underbark'!E$47:E$48)*Z356</f>
        <v>25.061938703999999</v>
      </c>
      <c r="AD356">
        <f>LOOKUP($A356,'Over to underbark'!$A$47:$A$48,'Over to underbark'!E$47:E$48)*AA356</f>
        <v>16.119772416000004</v>
      </c>
      <c r="AE356">
        <f>LOOKUP($A356,'Over to underbark'!$A$47:$A$48,'Over to underbark'!E$47:E$48)*AB356</f>
        <v>2.0971288800000001</v>
      </c>
      <c r="AF356" t="b">
        <f t="shared" si="80"/>
        <v>1</v>
      </c>
      <c r="AG356" t="b">
        <f t="shared" si="81"/>
        <v>1</v>
      </c>
      <c r="AH356">
        <f>LOOKUP(A356,'Over to underbark'!$A$47:$A$48,'Over to underbark'!E$47:E$48)*M356</f>
        <v>48.087600000000002</v>
      </c>
      <c r="AI356" s="27">
        <f>LOOKUP(A356,'Over to underbark'!$A$47:$A$48,'Over to underbark'!$B$47:$B$48)*AH356</f>
        <v>15.388032000000001</v>
      </c>
      <c r="AJ356" s="27">
        <f>LOOKUP(A357,'Over to underbark'!$A$47:$A$48,'Over to underbark'!C$47:C$48)*AH356</f>
        <v>23.562923999999999</v>
      </c>
      <c r="AK356" s="27">
        <f t="shared" si="82"/>
        <v>63.475632000000004</v>
      </c>
      <c r="AL356" s="33">
        <v>192.35</v>
      </c>
      <c r="AM356" s="28">
        <f t="shared" si="83"/>
        <v>126.95126400000001</v>
      </c>
      <c r="AO356">
        <f t="shared" si="84"/>
        <v>0.68181818181818177</v>
      </c>
    </row>
    <row r="357" spans="1:41" x14ac:dyDescent="0.35">
      <c r="A357" t="s">
        <v>41</v>
      </c>
      <c r="B357">
        <v>8</v>
      </c>
      <c r="C357">
        <v>2</v>
      </c>
      <c r="D357" t="s">
        <v>40</v>
      </c>
      <c r="E357">
        <v>2</v>
      </c>
      <c r="F357">
        <v>1</v>
      </c>
      <c r="G357" s="16">
        <v>34</v>
      </c>
      <c r="H357" s="16">
        <v>10.784000000000001</v>
      </c>
      <c r="I357" s="16">
        <v>2204</v>
      </c>
      <c r="J357" s="16">
        <v>14.584</v>
      </c>
      <c r="K357" s="16">
        <v>36.817</v>
      </c>
      <c r="L357" s="16">
        <v>7.0999999999999994E-2</v>
      </c>
      <c r="M357" s="23">
        <v>157.26</v>
      </c>
      <c r="N357" s="16">
        <v>0.152</v>
      </c>
      <c r="O357" s="17">
        <v>4.625</v>
      </c>
      <c r="P357" s="18">
        <v>34</v>
      </c>
      <c r="Q357" s="18">
        <v>14.584</v>
      </c>
      <c r="R357" s="18">
        <v>140.054</v>
      </c>
      <c r="S357" s="18">
        <v>17.206</v>
      </c>
      <c r="T357" s="14" t="b">
        <f t="shared" si="72"/>
        <v>1</v>
      </c>
      <c r="U357" s="14" t="b">
        <f t="shared" si="73"/>
        <v>1</v>
      </c>
      <c r="V357" s="15">
        <f>VLOOKUP(IF(J357&lt;10, 10, IF(J357&gt;50,50,J357)),'Over to underbark'!$A$3:$C$43,IF(A357="Scots pine",3,IF(A357="Sitka spruce",2, "error")),TRUE)/100</f>
        <v>0.9</v>
      </c>
      <c r="W357">
        <f t="shared" si="74"/>
        <v>113.44374000000001</v>
      </c>
      <c r="X357">
        <f t="shared" si="75"/>
        <v>13.936860000000001</v>
      </c>
      <c r="Y357">
        <f t="shared" si="76"/>
        <v>14.153399999999996</v>
      </c>
      <c r="Z357">
        <f t="shared" si="77"/>
        <v>80.90686079999999</v>
      </c>
      <c r="AA357">
        <f t="shared" si="78"/>
        <v>52.265023200000002</v>
      </c>
      <c r="AB357">
        <f t="shared" si="79"/>
        <v>8.3621160000000003</v>
      </c>
      <c r="AC357">
        <f>LOOKUP($A357,'Over to underbark'!$A$47:$A$48,'Over to underbark'!E$47:E$48)*Z357</f>
        <v>26.699264063999998</v>
      </c>
      <c r="AD357">
        <f>LOOKUP($A357,'Over to underbark'!$A$47:$A$48,'Over to underbark'!E$47:E$48)*AA357</f>
        <v>17.247457656000002</v>
      </c>
      <c r="AE357">
        <f>LOOKUP($A357,'Over to underbark'!$A$47:$A$48,'Over to underbark'!E$47:E$48)*AB357</f>
        <v>2.7594982800000003</v>
      </c>
      <c r="AF357" t="b">
        <f t="shared" si="80"/>
        <v>1</v>
      </c>
      <c r="AG357" t="b">
        <f t="shared" si="81"/>
        <v>1</v>
      </c>
      <c r="AH357">
        <f>LOOKUP(A357,'Over to underbark'!$A$47:$A$48,'Over to underbark'!E$47:E$48)*M357</f>
        <v>51.895800000000001</v>
      </c>
      <c r="AI357" s="27">
        <f>LOOKUP(A357,'Over to underbark'!$A$47:$A$48,'Over to underbark'!$B$47:$B$48)*AH357</f>
        <v>16.606656000000001</v>
      </c>
      <c r="AJ357" s="27">
        <f>LOOKUP(A358,'Over to underbark'!$A$47:$A$48,'Over to underbark'!C$47:C$48)*AH357</f>
        <v>25.428941999999999</v>
      </c>
      <c r="AK357" s="27">
        <f t="shared" si="82"/>
        <v>68.502455999999995</v>
      </c>
      <c r="AL357" s="33">
        <v>207.58</v>
      </c>
      <c r="AM357" s="28">
        <f t="shared" si="83"/>
        <v>137.00491199999999</v>
      </c>
      <c r="AO357">
        <f t="shared" si="84"/>
        <v>0.68181818181818188</v>
      </c>
    </row>
    <row r="358" spans="1:41" x14ac:dyDescent="0.35">
      <c r="A358" t="s">
        <v>41</v>
      </c>
      <c r="B358">
        <v>8</v>
      </c>
      <c r="C358">
        <v>2</v>
      </c>
      <c r="D358" t="s">
        <v>40</v>
      </c>
      <c r="E358">
        <v>2</v>
      </c>
      <c r="F358">
        <v>1</v>
      </c>
      <c r="G358" s="16">
        <v>35</v>
      </c>
      <c r="H358" s="16">
        <v>11.18</v>
      </c>
      <c r="I358" s="16">
        <v>2188</v>
      </c>
      <c r="J358" s="16">
        <v>14.91</v>
      </c>
      <c r="K358" s="16">
        <v>38.203000000000003</v>
      </c>
      <c r="L358" s="16">
        <v>7.6999999999999999E-2</v>
      </c>
      <c r="M358" s="23">
        <v>168.8</v>
      </c>
      <c r="N358" s="16">
        <v>0.17699999999999999</v>
      </c>
      <c r="O358" s="17">
        <v>4.8230000000000004</v>
      </c>
      <c r="P358" s="18">
        <v>35</v>
      </c>
      <c r="Q358" s="18">
        <v>14.91</v>
      </c>
      <c r="R358" s="18">
        <v>147.00899999999999</v>
      </c>
      <c r="S358" s="18">
        <v>21.791</v>
      </c>
      <c r="T358" s="14" t="b">
        <f t="shared" si="72"/>
        <v>1</v>
      </c>
      <c r="U358" s="14" t="b">
        <f t="shared" si="73"/>
        <v>1</v>
      </c>
      <c r="V358" s="15">
        <f>VLOOKUP(IF(J358&lt;10, 10, IF(J358&gt;50,50,J358)),'Over to underbark'!$A$3:$C$43,IF(A358="Scots pine",3,IF(A358="Sitka spruce",2, "error")),TRUE)/100</f>
        <v>0.9</v>
      </c>
      <c r="W358">
        <f t="shared" si="74"/>
        <v>119.07729</v>
      </c>
      <c r="X358">
        <f t="shared" si="75"/>
        <v>17.650710000000004</v>
      </c>
      <c r="Y358">
        <f t="shared" si="76"/>
        <v>15.191999999999995</v>
      </c>
      <c r="Z358">
        <f t="shared" si="77"/>
        <v>85.713661799999983</v>
      </c>
      <c r="AA358">
        <f t="shared" si="78"/>
        <v>55.615912200000004</v>
      </c>
      <c r="AB358">
        <f t="shared" si="79"/>
        <v>10.590426000000003</v>
      </c>
      <c r="AC358">
        <f>LOOKUP($A358,'Over to underbark'!$A$47:$A$48,'Over to underbark'!E$47:E$48)*Z358</f>
        <v>28.285508393999997</v>
      </c>
      <c r="AD358">
        <f>LOOKUP($A358,'Over to underbark'!$A$47:$A$48,'Over to underbark'!E$47:E$48)*AA358</f>
        <v>18.353251026000002</v>
      </c>
      <c r="AE358">
        <f>LOOKUP($A358,'Over to underbark'!$A$47:$A$48,'Over to underbark'!E$47:E$48)*AB358</f>
        <v>3.4948405800000009</v>
      </c>
      <c r="AF358" t="b">
        <f t="shared" si="80"/>
        <v>1</v>
      </c>
      <c r="AG358" t="b">
        <f t="shared" si="81"/>
        <v>1</v>
      </c>
      <c r="AH358">
        <f>LOOKUP(A358,'Over to underbark'!$A$47:$A$48,'Over to underbark'!E$47:E$48)*M358</f>
        <v>55.704000000000008</v>
      </c>
      <c r="AI358" s="27">
        <f>LOOKUP(A358,'Over to underbark'!$A$47:$A$48,'Over to underbark'!$B$47:$B$48)*AH358</f>
        <v>17.825280000000003</v>
      </c>
      <c r="AJ358" s="27">
        <f>LOOKUP(A359,'Over to underbark'!$A$47:$A$48,'Over to underbark'!C$47:C$48)*AH358</f>
        <v>27.294960000000003</v>
      </c>
      <c r="AK358" s="27">
        <f t="shared" si="82"/>
        <v>73.529280000000014</v>
      </c>
      <c r="AL358" s="33">
        <v>222.82</v>
      </c>
      <c r="AM358" s="28">
        <f t="shared" si="83"/>
        <v>147.05856000000003</v>
      </c>
      <c r="AO358">
        <f t="shared" si="84"/>
        <v>0.68181818181818166</v>
      </c>
    </row>
    <row r="359" spans="1:41" x14ac:dyDescent="0.35">
      <c r="A359" t="s">
        <v>41</v>
      </c>
      <c r="B359">
        <v>8</v>
      </c>
      <c r="C359">
        <v>2</v>
      </c>
      <c r="D359" t="s">
        <v>40</v>
      </c>
      <c r="E359">
        <v>2</v>
      </c>
      <c r="F359">
        <v>1</v>
      </c>
      <c r="G359" s="16">
        <v>36</v>
      </c>
      <c r="H359" s="16">
        <v>11.542</v>
      </c>
      <c r="I359" s="16">
        <v>2166</v>
      </c>
      <c r="J359" s="16">
        <v>15.221</v>
      </c>
      <c r="K359" s="16">
        <v>39.414000000000001</v>
      </c>
      <c r="L359" s="16">
        <v>8.4000000000000005E-2</v>
      </c>
      <c r="M359" s="23">
        <v>181.28</v>
      </c>
      <c r="N359" s="16">
        <v>0.31900000000000001</v>
      </c>
      <c r="O359" s="17">
        <v>5.0359999999999996</v>
      </c>
      <c r="P359" s="18">
        <v>36</v>
      </c>
      <c r="Q359" s="18">
        <v>15.221</v>
      </c>
      <c r="R359" s="18">
        <v>154.44900000000001</v>
      </c>
      <c r="S359" s="18">
        <v>26.831</v>
      </c>
      <c r="T359" s="14" t="b">
        <f t="shared" si="72"/>
        <v>1</v>
      </c>
      <c r="U359" s="14" t="b">
        <f t="shared" si="73"/>
        <v>1</v>
      </c>
      <c r="V359" s="15">
        <f>VLOOKUP(IF(J359&lt;10, 10, IF(J359&gt;50,50,J359)),'Over to underbark'!$A$3:$C$43,IF(A359="Scots pine",3,IF(A359="Sitka spruce",2, "error")),TRUE)/100</f>
        <v>0.9</v>
      </c>
      <c r="W359">
        <f t="shared" si="74"/>
        <v>125.10369000000003</v>
      </c>
      <c r="X359">
        <f t="shared" si="75"/>
        <v>21.73311</v>
      </c>
      <c r="Y359">
        <f t="shared" si="76"/>
        <v>16.315199999999997</v>
      </c>
      <c r="Z359">
        <f t="shared" si="77"/>
        <v>90.884269800000013</v>
      </c>
      <c r="AA359">
        <f t="shared" si="78"/>
        <v>59.227864200000013</v>
      </c>
      <c r="AB359">
        <f t="shared" si="79"/>
        <v>13.039866</v>
      </c>
      <c r="AC359">
        <f>LOOKUP($A359,'Over to underbark'!$A$47:$A$48,'Over to underbark'!E$47:E$48)*Z359</f>
        <v>29.991809034000006</v>
      </c>
      <c r="AD359">
        <f>LOOKUP($A359,'Over to underbark'!$A$47:$A$48,'Over to underbark'!E$47:E$48)*AA359</f>
        <v>19.545195186000004</v>
      </c>
      <c r="AE359">
        <f>LOOKUP($A359,'Over to underbark'!$A$47:$A$48,'Over to underbark'!E$47:E$48)*AB359</f>
        <v>4.30315578</v>
      </c>
      <c r="AF359" t="b">
        <f t="shared" si="80"/>
        <v>1</v>
      </c>
      <c r="AG359" t="b">
        <f t="shared" si="81"/>
        <v>1</v>
      </c>
      <c r="AH359">
        <f>LOOKUP(A359,'Over to underbark'!$A$47:$A$48,'Over to underbark'!E$47:E$48)*M359</f>
        <v>59.822400000000002</v>
      </c>
      <c r="AI359" s="27">
        <f>LOOKUP(A359,'Over to underbark'!$A$47:$A$48,'Over to underbark'!$B$47:$B$48)*AH359</f>
        <v>19.143167999999999</v>
      </c>
      <c r="AJ359" s="27">
        <f>LOOKUP(A360,'Over to underbark'!$A$47:$A$48,'Over to underbark'!C$47:C$48)*AH359</f>
        <v>29.312975999999999</v>
      </c>
      <c r="AK359" s="27">
        <f t="shared" si="82"/>
        <v>78.965568000000005</v>
      </c>
      <c r="AL359" s="33">
        <v>239.29</v>
      </c>
      <c r="AM359" s="28">
        <f t="shared" si="83"/>
        <v>157.93113600000001</v>
      </c>
      <c r="AO359">
        <f t="shared" si="84"/>
        <v>0.68181818181818188</v>
      </c>
    </row>
    <row r="360" spans="1:41" x14ac:dyDescent="0.35">
      <c r="A360" t="s">
        <v>41</v>
      </c>
      <c r="B360">
        <v>8</v>
      </c>
      <c r="C360">
        <v>2</v>
      </c>
      <c r="D360" t="s">
        <v>40</v>
      </c>
      <c r="E360">
        <v>2</v>
      </c>
      <c r="F360">
        <v>1</v>
      </c>
      <c r="G360" s="16">
        <v>37</v>
      </c>
      <c r="H360" s="16">
        <v>11.904</v>
      </c>
      <c r="I360" s="16">
        <v>2144</v>
      </c>
      <c r="J360" s="16">
        <v>15.532999999999999</v>
      </c>
      <c r="K360" s="16">
        <v>40.625999999999998</v>
      </c>
      <c r="L360" s="16">
        <v>0.09</v>
      </c>
      <c r="M360" s="23">
        <v>193.76</v>
      </c>
      <c r="N360" s="16">
        <v>0.442</v>
      </c>
      <c r="O360" s="17">
        <v>5.2370000000000001</v>
      </c>
      <c r="P360" s="18">
        <v>37</v>
      </c>
      <c r="Q360" s="18">
        <v>15.532999999999999</v>
      </c>
      <c r="R360" s="18">
        <v>161.387</v>
      </c>
      <c r="S360" s="18">
        <v>32.372999999999998</v>
      </c>
      <c r="T360" s="14" t="b">
        <f t="shared" si="72"/>
        <v>1</v>
      </c>
      <c r="U360" s="14" t="b">
        <f t="shared" si="73"/>
        <v>1</v>
      </c>
      <c r="V360" s="15">
        <f>VLOOKUP(IF(J360&lt;10, 10, IF(J360&gt;50,50,J360)),'Over to underbark'!$A$3:$C$43,IF(A360="Scots pine",3,IF(A360="Sitka spruce",2, "error")),TRUE)/100</f>
        <v>0.9</v>
      </c>
      <c r="W360">
        <f t="shared" si="74"/>
        <v>130.72346999999999</v>
      </c>
      <c r="X360">
        <f t="shared" si="75"/>
        <v>26.22213</v>
      </c>
      <c r="Y360">
        <f t="shared" si="76"/>
        <v>17.438399999999994</v>
      </c>
      <c r="Z360">
        <f t="shared" si="77"/>
        <v>95.884097399999987</v>
      </c>
      <c r="AA360">
        <f t="shared" si="78"/>
        <v>62.766624599999993</v>
      </c>
      <c r="AB360">
        <f t="shared" si="79"/>
        <v>15.733277999999999</v>
      </c>
      <c r="AC360">
        <f>LOOKUP($A360,'Over to underbark'!$A$47:$A$48,'Over to underbark'!E$47:E$48)*Z360</f>
        <v>31.641752141999998</v>
      </c>
      <c r="AD360">
        <f>LOOKUP($A360,'Over to underbark'!$A$47:$A$48,'Over to underbark'!E$47:E$48)*AA360</f>
        <v>20.712986118</v>
      </c>
      <c r="AE360">
        <f>LOOKUP($A360,'Over to underbark'!$A$47:$A$48,'Over to underbark'!E$47:E$48)*AB360</f>
        <v>5.1919817400000001</v>
      </c>
      <c r="AF360" t="b">
        <f t="shared" si="80"/>
        <v>1</v>
      </c>
      <c r="AG360" t="b">
        <f t="shared" si="81"/>
        <v>1</v>
      </c>
      <c r="AH360">
        <f>LOOKUP(A360,'Over to underbark'!$A$47:$A$48,'Over to underbark'!E$47:E$48)*M360</f>
        <v>63.940800000000003</v>
      </c>
      <c r="AI360" s="27">
        <f>LOOKUP(A360,'Over to underbark'!$A$47:$A$48,'Over to underbark'!$B$47:$B$48)*AH360</f>
        <v>20.461056000000003</v>
      </c>
      <c r="AJ360" s="27">
        <f>LOOKUP(A361,'Over to underbark'!$A$47:$A$48,'Over to underbark'!C$47:C$48)*AH360</f>
        <v>31.330992000000002</v>
      </c>
      <c r="AK360" s="27">
        <f t="shared" si="82"/>
        <v>84.401856000000009</v>
      </c>
      <c r="AL360" s="33">
        <v>255.76</v>
      </c>
      <c r="AM360" s="28">
        <f t="shared" si="83"/>
        <v>168.80371200000002</v>
      </c>
      <c r="AO360">
        <f t="shared" si="84"/>
        <v>0.68181818181818177</v>
      </c>
    </row>
    <row r="361" spans="1:41" x14ac:dyDescent="0.35">
      <c r="A361" t="s">
        <v>41</v>
      </c>
      <c r="B361">
        <v>8</v>
      </c>
      <c r="C361">
        <v>2</v>
      </c>
      <c r="D361" t="s">
        <v>40</v>
      </c>
      <c r="E361">
        <v>2</v>
      </c>
      <c r="F361">
        <v>1</v>
      </c>
      <c r="G361" s="16">
        <v>38</v>
      </c>
      <c r="H361" s="16">
        <v>12.266</v>
      </c>
      <c r="I361" s="16">
        <v>2123</v>
      </c>
      <c r="J361" s="16">
        <v>15.84</v>
      </c>
      <c r="K361" s="16">
        <v>41.837000000000003</v>
      </c>
      <c r="L361" s="16">
        <v>9.7000000000000003E-2</v>
      </c>
      <c r="M361" s="23">
        <v>206.24</v>
      </c>
      <c r="N361" s="16">
        <v>0.55000000000000004</v>
      </c>
      <c r="O361" s="17">
        <v>5.4269999999999996</v>
      </c>
      <c r="P361" s="18">
        <v>38</v>
      </c>
      <c r="Q361" s="18">
        <v>15.84</v>
      </c>
      <c r="R361" s="18">
        <v>167.9</v>
      </c>
      <c r="S361" s="18">
        <v>38.340000000000003</v>
      </c>
      <c r="T361" s="14" t="b">
        <f t="shared" ref="T361:T424" si="85">G361=P361</f>
        <v>1</v>
      </c>
      <c r="U361" s="14" t="b">
        <f t="shared" ref="U361:U424" si="86">J361=Q361</f>
        <v>1</v>
      </c>
      <c r="V361" s="15">
        <f>VLOOKUP(IF(J361&lt;10, 10, IF(J361&gt;50,50,J361)),'Over to underbark'!$A$3:$C$43,IF(A361="Scots pine",3,IF(A361="Sitka spruce",2, "error")),TRUE)/100</f>
        <v>0.9</v>
      </c>
      <c r="W361">
        <f t="shared" ref="W361:W424" si="87">R361*0.9*V361</f>
        <v>135.99900000000002</v>
      </c>
      <c r="X361">
        <f t="shared" ref="X361:X424" si="88">S361*0.9*V361</f>
        <v>31.055400000000006</v>
      </c>
      <c r="Y361">
        <f t="shared" ref="Y361:Y424" si="89">(R361+S361)*0.9*(100%-V361)</f>
        <v>18.561599999999999</v>
      </c>
      <c r="Z361">
        <f t="shared" ref="Z361:Z424" si="90">Y361+(57%*W361)+(15%*X361)</f>
        <v>100.73934</v>
      </c>
      <c r="AA361">
        <f t="shared" ref="AA361:AA424" si="91">(43%*W361)+(25%*X361)</f>
        <v>66.243420000000015</v>
      </c>
      <c r="AB361">
        <f t="shared" ref="AB361:AB424" si="92">60%*X361</f>
        <v>18.633240000000004</v>
      </c>
      <c r="AC361">
        <f>LOOKUP($A361,'Over to underbark'!$A$47:$A$48,'Over to underbark'!E$47:E$48)*Z361</f>
        <v>33.243982199999998</v>
      </c>
      <c r="AD361">
        <f>LOOKUP($A361,'Over to underbark'!$A$47:$A$48,'Over to underbark'!E$47:E$48)*AA361</f>
        <v>21.860328600000006</v>
      </c>
      <c r="AE361">
        <f>LOOKUP($A361,'Over to underbark'!$A$47:$A$48,'Over to underbark'!E$47:E$48)*AB361</f>
        <v>6.1489692000000016</v>
      </c>
      <c r="AF361" t="b">
        <f t="shared" ref="AF361:AF424" si="93">SUM(W361:Y361)=SUM(Z361:AB361)</f>
        <v>1</v>
      </c>
      <c r="AG361" t="b">
        <f t="shared" ref="AG361:AG424" si="94">SUM(R361:S361)*0.9 = SUM(W361:Y361)</f>
        <v>1</v>
      </c>
      <c r="AH361">
        <f>LOOKUP(A361,'Over to underbark'!$A$47:$A$48,'Over to underbark'!E$47:E$48)*M361</f>
        <v>68.059200000000004</v>
      </c>
      <c r="AI361" s="27">
        <f>LOOKUP(A361,'Over to underbark'!$A$47:$A$48,'Over to underbark'!$B$47:$B$48)*AH361</f>
        <v>21.778944000000003</v>
      </c>
      <c r="AJ361" s="27">
        <f>LOOKUP(A362,'Over to underbark'!$A$47:$A$48,'Over to underbark'!C$47:C$48)*AH361</f>
        <v>33.349008000000005</v>
      </c>
      <c r="AK361" s="27">
        <f t="shared" si="82"/>
        <v>89.838144</v>
      </c>
      <c r="AL361" s="33">
        <v>272.24</v>
      </c>
      <c r="AM361" s="28">
        <f t="shared" si="83"/>
        <v>179.676288</v>
      </c>
      <c r="AO361">
        <f t="shared" si="84"/>
        <v>0.68181818181818199</v>
      </c>
    </row>
    <row r="362" spans="1:41" x14ac:dyDescent="0.35">
      <c r="A362" t="s">
        <v>41</v>
      </c>
      <c r="B362">
        <v>8</v>
      </c>
      <c r="C362">
        <v>2</v>
      </c>
      <c r="D362" t="s">
        <v>40</v>
      </c>
      <c r="E362">
        <v>2</v>
      </c>
      <c r="F362">
        <v>1</v>
      </c>
      <c r="G362" s="16">
        <v>39</v>
      </c>
      <c r="H362" s="16">
        <v>12.628</v>
      </c>
      <c r="I362" s="16">
        <v>2101</v>
      </c>
      <c r="J362" s="16">
        <v>16.152000000000001</v>
      </c>
      <c r="K362" s="16">
        <v>43.048999999999999</v>
      </c>
      <c r="L362" s="16">
        <v>0.104</v>
      </c>
      <c r="M362" s="23">
        <v>218.72</v>
      </c>
      <c r="N362" s="16">
        <v>0.64500000000000002</v>
      </c>
      <c r="O362" s="17">
        <v>5.6079999999999997</v>
      </c>
      <c r="P362" s="18">
        <v>39</v>
      </c>
      <c r="Q362" s="18">
        <v>16.152000000000001</v>
      </c>
      <c r="R362" s="18">
        <v>173.87</v>
      </c>
      <c r="S362" s="18">
        <v>44.85</v>
      </c>
      <c r="T362" s="14" t="b">
        <f t="shared" si="85"/>
        <v>1</v>
      </c>
      <c r="U362" s="14" t="b">
        <f t="shared" si="86"/>
        <v>1</v>
      </c>
      <c r="V362" s="15">
        <f>VLOOKUP(IF(J362&lt;10, 10, IF(J362&gt;50,50,J362)),'Over to underbark'!$A$3:$C$43,IF(A362="Scots pine",3,IF(A362="Sitka spruce",2, "error")),TRUE)/100</f>
        <v>0.89</v>
      </c>
      <c r="W362">
        <f t="shared" si="87"/>
        <v>139.26987</v>
      </c>
      <c r="X362">
        <f t="shared" si="88"/>
        <v>35.924849999999999</v>
      </c>
      <c r="Y362">
        <f t="shared" si="89"/>
        <v>21.653279999999999</v>
      </c>
      <c r="Z362">
        <f t="shared" si="90"/>
        <v>106.42583339999999</v>
      </c>
      <c r="AA362">
        <f t="shared" si="91"/>
        <v>68.867256600000005</v>
      </c>
      <c r="AB362">
        <f t="shared" si="92"/>
        <v>21.55491</v>
      </c>
      <c r="AC362">
        <f>LOOKUP($A362,'Over to underbark'!$A$47:$A$48,'Over to underbark'!E$47:E$48)*Z362</f>
        <v>35.120525021999995</v>
      </c>
      <c r="AD362">
        <f>LOOKUP($A362,'Over to underbark'!$A$47:$A$48,'Over to underbark'!E$47:E$48)*AA362</f>
        <v>22.726194678000002</v>
      </c>
      <c r="AE362">
        <f>LOOKUP($A362,'Over to underbark'!$A$47:$A$48,'Over to underbark'!E$47:E$48)*AB362</f>
        <v>7.1131203000000003</v>
      </c>
      <c r="AF362" t="b">
        <f t="shared" si="93"/>
        <v>1</v>
      </c>
      <c r="AG362" t="b">
        <f t="shared" si="94"/>
        <v>1</v>
      </c>
      <c r="AH362">
        <f>LOOKUP(A362,'Over to underbark'!$A$47:$A$48,'Over to underbark'!E$47:E$48)*M362</f>
        <v>72.177599999999998</v>
      </c>
      <c r="AI362" s="27">
        <f>LOOKUP(A362,'Over to underbark'!$A$47:$A$48,'Over to underbark'!$B$47:$B$48)*AH362</f>
        <v>23.096831999999999</v>
      </c>
      <c r="AJ362" s="27">
        <f>LOOKUP(A363,'Over to underbark'!$A$47:$A$48,'Over to underbark'!C$47:C$48)*AH362</f>
        <v>35.367024000000001</v>
      </c>
      <c r="AK362" s="27">
        <f t="shared" si="82"/>
        <v>95.27443199999999</v>
      </c>
      <c r="AL362" s="33">
        <v>288.70999999999998</v>
      </c>
      <c r="AM362" s="28">
        <f t="shared" si="83"/>
        <v>190.54886399999998</v>
      </c>
      <c r="AO362">
        <f t="shared" si="84"/>
        <v>0.68181818181818188</v>
      </c>
    </row>
    <row r="363" spans="1:41" x14ac:dyDescent="0.35">
      <c r="A363" t="s">
        <v>41</v>
      </c>
      <c r="B363">
        <v>8</v>
      </c>
      <c r="C363">
        <v>2</v>
      </c>
      <c r="D363" t="s">
        <v>40</v>
      </c>
      <c r="E363">
        <v>2</v>
      </c>
      <c r="F363">
        <v>1</v>
      </c>
      <c r="G363" s="16">
        <v>40</v>
      </c>
      <c r="H363" s="16">
        <v>12.99</v>
      </c>
      <c r="I363" s="16">
        <v>2080</v>
      </c>
      <c r="J363" s="16">
        <v>16.46</v>
      </c>
      <c r="K363" s="16">
        <v>44.26</v>
      </c>
      <c r="L363" s="16">
        <v>0.111</v>
      </c>
      <c r="M363" s="23">
        <v>231.2</v>
      </c>
      <c r="N363" s="16">
        <v>0.73</v>
      </c>
      <c r="O363" s="17">
        <v>5.78</v>
      </c>
      <c r="P363" s="18">
        <v>40</v>
      </c>
      <c r="Q363" s="18">
        <v>16.46</v>
      </c>
      <c r="R363" s="18">
        <v>179.42099999999999</v>
      </c>
      <c r="S363" s="18">
        <v>51.779000000000003</v>
      </c>
      <c r="T363" s="14" t="b">
        <f t="shared" si="85"/>
        <v>1</v>
      </c>
      <c r="U363" s="14" t="b">
        <f t="shared" si="86"/>
        <v>1</v>
      </c>
      <c r="V363" s="15">
        <f>VLOOKUP(IF(J363&lt;10, 10, IF(J363&gt;50,50,J363)),'Over to underbark'!$A$3:$C$43,IF(A363="Scots pine",3,IF(A363="Sitka spruce",2, "error")),TRUE)/100</f>
        <v>0.89</v>
      </c>
      <c r="W363">
        <f t="shared" si="87"/>
        <v>143.71622100000002</v>
      </c>
      <c r="X363">
        <f t="shared" si="88"/>
        <v>41.474979000000005</v>
      </c>
      <c r="Y363">
        <f t="shared" si="89"/>
        <v>22.888799999999996</v>
      </c>
      <c r="Z363">
        <f t="shared" si="90"/>
        <v>111.02829281999999</v>
      </c>
      <c r="AA363">
        <f t="shared" si="91"/>
        <v>72.166719780000008</v>
      </c>
      <c r="AB363">
        <f t="shared" si="92"/>
        <v>24.884987400000004</v>
      </c>
      <c r="AC363">
        <f>LOOKUP($A363,'Over to underbark'!$A$47:$A$48,'Over to underbark'!E$47:E$48)*Z363</f>
        <v>36.639336630599999</v>
      </c>
      <c r="AD363">
        <f>LOOKUP($A363,'Over to underbark'!$A$47:$A$48,'Over to underbark'!E$47:E$48)*AA363</f>
        <v>23.815017527400006</v>
      </c>
      <c r="AE363">
        <f>LOOKUP($A363,'Over to underbark'!$A$47:$A$48,'Over to underbark'!E$47:E$48)*AB363</f>
        <v>8.212045842000002</v>
      </c>
      <c r="AF363" t="b">
        <f t="shared" si="93"/>
        <v>1</v>
      </c>
      <c r="AG363" t="b">
        <f t="shared" si="94"/>
        <v>1</v>
      </c>
      <c r="AH363">
        <f>LOOKUP(A363,'Over to underbark'!$A$47:$A$48,'Over to underbark'!E$47:E$48)*M363</f>
        <v>76.296000000000006</v>
      </c>
      <c r="AI363" s="27">
        <f>LOOKUP(A363,'Over to underbark'!$A$47:$A$48,'Over to underbark'!$B$47:$B$48)*AH363</f>
        <v>24.414720000000003</v>
      </c>
      <c r="AJ363" s="27">
        <f>LOOKUP(A364,'Over to underbark'!$A$47:$A$48,'Over to underbark'!C$47:C$48)*AH363</f>
        <v>37.385040000000004</v>
      </c>
      <c r="AK363" s="27">
        <f t="shared" si="82"/>
        <v>100.71072000000001</v>
      </c>
      <c r="AL363" s="33">
        <v>305.18</v>
      </c>
      <c r="AM363" s="28">
        <f t="shared" si="83"/>
        <v>201.42144000000002</v>
      </c>
      <c r="AO363">
        <f t="shared" si="84"/>
        <v>0.68181818181818188</v>
      </c>
    </row>
    <row r="364" spans="1:41" x14ac:dyDescent="0.35">
      <c r="A364" t="s">
        <v>41</v>
      </c>
      <c r="B364">
        <v>8</v>
      </c>
      <c r="C364">
        <v>2</v>
      </c>
      <c r="D364" t="s">
        <v>40</v>
      </c>
      <c r="E364">
        <v>2</v>
      </c>
      <c r="F364">
        <v>1</v>
      </c>
      <c r="G364" s="16">
        <v>41</v>
      </c>
      <c r="H364" s="16">
        <v>13.321999999999999</v>
      </c>
      <c r="I364" s="16">
        <v>2052</v>
      </c>
      <c r="J364" s="16">
        <v>16.742000000000001</v>
      </c>
      <c r="K364" s="16">
        <v>45.171999999999997</v>
      </c>
      <c r="L364" s="16">
        <v>0.11899999999999999</v>
      </c>
      <c r="M364" s="23">
        <v>243.6</v>
      </c>
      <c r="N364" s="16">
        <v>0.879</v>
      </c>
      <c r="O364" s="17">
        <v>5.9409999999999998</v>
      </c>
      <c r="P364" s="18">
        <v>41</v>
      </c>
      <c r="Q364" s="18">
        <v>16.742000000000001</v>
      </c>
      <c r="R364" s="18">
        <v>184.83500000000001</v>
      </c>
      <c r="S364" s="18">
        <v>58.765000000000001</v>
      </c>
      <c r="T364" s="14" t="b">
        <f t="shared" si="85"/>
        <v>1</v>
      </c>
      <c r="U364" s="14" t="b">
        <f t="shared" si="86"/>
        <v>1</v>
      </c>
      <c r="V364" s="15">
        <f>VLOOKUP(IF(J364&lt;10, 10, IF(J364&gt;50,50,J364)),'Over to underbark'!$A$3:$C$43,IF(A364="Scots pine",3,IF(A364="Sitka spruce",2, "error")),TRUE)/100</f>
        <v>0.89</v>
      </c>
      <c r="W364">
        <f t="shared" si="87"/>
        <v>148.05283500000002</v>
      </c>
      <c r="X364">
        <f t="shared" si="88"/>
        <v>47.070765000000002</v>
      </c>
      <c r="Y364">
        <f t="shared" si="89"/>
        <v>24.116400000000002</v>
      </c>
      <c r="Z364">
        <f t="shared" si="90"/>
        <v>115.56713069999999</v>
      </c>
      <c r="AA364">
        <f t="shared" si="91"/>
        <v>75.430410300000005</v>
      </c>
      <c r="AB364">
        <f t="shared" si="92"/>
        <v>28.242459</v>
      </c>
      <c r="AC364">
        <f>LOOKUP($A364,'Over to underbark'!$A$47:$A$48,'Over to underbark'!E$47:E$48)*Z364</f>
        <v>38.137153130999998</v>
      </c>
      <c r="AD364">
        <f>LOOKUP($A364,'Over to underbark'!$A$47:$A$48,'Over to underbark'!E$47:E$48)*AA364</f>
        <v>24.892035399000005</v>
      </c>
      <c r="AE364">
        <f>LOOKUP($A364,'Over to underbark'!$A$47:$A$48,'Over to underbark'!E$47:E$48)*AB364</f>
        <v>9.3200114700000007</v>
      </c>
      <c r="AF364" t="b">
        <f t="shared" si="93"/>
        <v>1</v>
      </c>
      <c r="AG364" t="b">
        <f t="shared" si="94"/>
        <v>1</v>
      </c>
      <c r="AH364">
        <f>LOOKUP(A364,'Over to underbark'!$A$47:$A$48,'Over to underbark'!E$47:E$48)*M364</f>
        <v>80.388000000000005</v>
      </c>
      <c r="AI364" s="27">
        <f>LOOKUP(A364,'Over to underbark'!$A$47:$A$48,'Over to underbark'!$B$47:$B$48)*AH364</f>
        <v>25.724160000000001</v>
      </c>
      <c r="AJ364" s="27">
        <f>LOOKUP(A365,'Over to underbark'!$A$47:$A$48,'Over to underbark'!C$47:C$48)*AH364</f>
        <v>39.390120000000003</v>
      </c>
      <c r="AK364" s="27">
        <f t="shared" si="82"/>
        <v>106.11216</v>
      </c>
      <c r="AL364" s="33">
        <v>321.55</v>
      </c>
      <c r="AM364" s="28">
        <f t="shared" si="83"/>
        <v>212.22432000000001</v>
      </c>
      <c r="AO364">
        <f t="shared" si="84"/>
        <v>0.68181818181818177</v>
      </c>
    </row>
    <row r="365" spans="1:41" x14ac:dyDescent="0.35">
      <c r="A365" t="s">
        <v>41</v>
      </c>
      <c r="B365">
        <v>8</v>
      </c>
      <c r="C365">
        <v>2</v>
      </c>
      <c r="D365" t="s">
        <v>40</v>
      </c>
      <c r="E365">
        <v>2</v>
      </c>
      <c r="F365">
        <v>1</v>
      </c>
      <c r="G365" s="16">
        <v>42</v>
      </c>
      <c r="H365" s="16">
        <v>13.654</v>
      </c>
      <c r="I365" s="16">
        <v>2024</v>
      </c>
      <c r="J365" s="16">
        <v>17.026</v>
      </c>
      <c r="K365" s="16">
        <v>46.084000000000003</v>
      </c>
      <c r="L365" s="16">
        <v>0.126</v>
      </c>
      <c r="M365" s="23">
        <v>256</v>
      </c>
      <c r="N365" s="16">
        <v>1.0129999999999999</v>
      </c>
      <c r="O365" s="17">
        <v>6.0949999999999998</v>
      </c>
      <c r="P365" s="18">
        <v>42</v>
      </c>
      <c r="Q365" s="18">
        <v>17.026</v>
      </c>
      <c r="R365" s="18">
        <v>189.804</v>
      </c>
      <c r="S365" s="18">
        <v>66.195999999999998</v>
      </c>
      <c r="T365" s="14" t="b">
        <f t="shared" si="85"/>
        <v>1</v>
      </c>
      <c r="U365" s="14" t="b">
        <f t="shared" si="86"/>
        <v>1</v>
      </c>
      <c r="V365" s="15">
        <f>VLOOKUP(IF(J365&lt;10, 10, IF(J365&gt;50,50,J365)),'Over to underbark'!$A$3:$C$43,IF(A365="Scots pine",3,IF(A365="Sitka spruce",2, "error")),TRUE)/100</f>
        <v>0.9</v>
      </c>
      <c r="W365">
        <f t="shared" si="87"/>
        <v>153.74124</v>
      </c>
      <c r="X365">
        <f t="shared" si="88"/>
        <v>53.618760000000002</v>
      </c>
      <c r="Y365">
        <f t="shared" si="89"/>
        <v>23.039999999999996</v>
      </c>
      <c r="Z365">
        <f t="shared" si="90"/>
        <v>118.7153208</v>
      </c>
      <c r="AA365">
        <f t="shared" si="91"/>
        <v>79.513423200000005</v>
      </c>
      <c r="AB365">
        <f t="shared" si="92"/>
        <v>32.171256</v>
      </c>
      <c r="AC365">
        <f>LOOKUP($A365,'Over to underbark'!$A$47:$A$48,'Over to underbark'!E$47:E$48)*Z365</f>
        <v>39.176055863999999</v>
      </c>
      <c r="AD365">
        <f>LOOKUP($A365,'Over to underbark'!$A$47:$A$48,'Over to underbark'!E$47:E$48)*AA365</f>
        <v>26.239429656000002</v>
      </c>
      <c r="AE365">
        <f>LOOKUP($A365,'Over to underbark'!$A$47:$A$48,'Over to underbark'!E$47:E$48)*AB365</f>
        <v>10.616514480000001</v>
      </c>
      <c r="AF365" t="b">
        <f t="shared" si="93"/>
        <v>1</v>
      </c>
      <c r="AG365" t="b">
        <f t="shared" si="94"/>
        <v>1</v>
      </c>
      <c r="AH365">
        <f>LOOKUP(A365,'Over to underbark'!$A$47:$A$48,'Over to underbark'!E$47:E$48)*M365</f>
        <v>84.48</v>
      </c>
      <c r="AI365" s="27">
        <f>LOOKUP(A365,'Over to underbark'!$A$47:$A$48,'Over to underbark'!$B$47:$B$48)*AH365</f>
        <v>27.033600000000003</v>
      </c>
      <c r="AJ365" s="27">
        <f>LOOKUP(A366,'Over to underbark'!$A$47:$A$48,'Over to underbark'!C$47:C$48)*AH365</f>
        <v>41.395200000000003</v>
      </c>
      <c r="AK365" s="27">
        <f t="shared" si="82"/>
        <v>111.51360000000001</v>
      </c>
      <c r="AL365" s="33">
        <v>337.92</v>
      </c>
      <c r="AM365" s="28">
        <f t="shared" si="83"/>
        <v>223.02720000000002</v>
      </c>
      <c r="AO365">
        <f t="shared" si="84"/>
        <v>0.68181818181818188</v>
      </c>
    </row>
    <row r="366" spans="1:41" x14ac:dyDescent="0.35">
      <c r="A366" t="s">
        <v>41</v>
      </c>
      <c r="B366">
        <v>8</v>
      </c>
      <c r="C366">
        <v>2</v>
      </c>
      <c r="D366" t="s">
        <v>40</v>
      </c>
      <c r="E366">
        <v>2</v>
      </c>
      <c r="F366">
        <v>1</v>
      </c>
      <c r="G366" s="16">
        <v>43</v>
      </c>
      <c r="H366" s="16">
        <v>13.986000000000001</v>
      </c>
      <c r="I366" s="16">
        <v>1996</v>
      </c>
      <c r="J366" s="16">
        <v>17.314</v>
      </c>
      <c r="K366" s="16">
        <v>46.996000000000002</v>
      </c>
      <c r="L366" s="16">
        <v>0.13400000000000001</v>
      </c>
      <c r="M366" s="23">
        <v>268.39999999999998</v>
      </c>
      <c r="N366" s="16">
        <v>1.135</v>
      </c>
      <c r="O366" s="17">
        <v>6.242</v>
      </c>
      <c r="P366" s="18">
        <v>43</v>
      </c>
      <c r="Q366" s="18">
        <v>17.314</v>
      </c>
      <c r="R366" s="18">
        <v>194.297</v>
      </c>
      <c r="S366" s="18">
        <v>74.102999999999994</v>
      </c>
      <c r="T366" s="14" t="b">
        <f t="shared" si="85"/>
        <v>1</v>
      </c>
      <c r="U366" s="14" t="b">
        <f t="shared" si="86"/>
        <v>1</v>
      </c>
      <c r="V366" s="15">
        <f>VLOOKUP(IF(J366&lt;10, 10, IF(J366&gt;50,50,J366)),'Over to underbark'!$A$3:$C$43,IF(A366="Scots pine",3,IF(A366="Sitka spruce",2, "error")),TRUE)/100</f>
        <v>0.9</v>
      </c>
      <c r="W366">
        <f t="shared" si="87"/>
        <v>157.38057000000001</v>
      </c>
      <c r="X366">
        <f t="shared" si="88"/>
        <v>60.023430000000005</v>
      </c>
      <c r="Y366">
        <f t="shared" si="89"/>
        <v>24.155999999999992</v>
      </c>
      <c r="Z366">
        <f t="shared" si="90"/>
        <v>122.86643939999998</v>
      </c>
      <c r="AA366">
        <f t="shared" si="91"/>
        <v>82.679502600000006</v>
      </c>
      <c r="AB366">
        <f t="shared" si="92"/>
        <v>36.014057999999999</v>
      </c>
      <c r="AC366">
        <f>LOOKUP($A366,'Over to underbark'!$A$47:$A$48,'Over to underbark'!E$47:E$48)*Z366</f>
        <v>40.545925001999997</v>
      </c>
      <c r="AD366">
        <f>LOOKUP($A366,'Over to underbark'!$A$47:$A$48,'Over to underbark'!E$47:E$48)*AA366</f>
        <v>27.284235858000002</v>
      </c>
      <c r="AE366">
        <f>LOOKUP($A366,'Over to underbark'!$A$47:$A$48,'Over to underbark'!E$47:E$48)*AB366</f>
        <v>11.884639140000001</v>
      </c>
      <c r="AF366" t="b">
        <f t="shared" si="93"/>
        <v>1</v>
      </c>
      <c r="AG366" t="b">
        <f t="shared" si="94"/>
        <v>1</v>
      </c>
      <c r="AH366">
        <f>LOOKUP(A366,'Over to underbark'!$A$47:$A$48,'Over to underbark'!E$47:E$48)*M366</f>
        <v>88.572000000000003</v>
      </c>
      <c r="AI366" s="27">
        <f>LOOKUP(A366,'Over to underbark'!$A$47:$A$48,'Over to underbark'!$B$47:$B$48)*AH366</f>
        <v>28.343040000000002</v>
      </c>
      <c r="AJ366" s="27">
        <f>LOOKUP(A367,'Over to underbark'!$A$47:$A$48,'Over to underbark'!C$47:C$48)*AH366</f>
        <v>43.400280000000002</v>
      </c>
      <c r="AK366" s="27">
        <f t="shared" si="82"/>
        <v>116.91504</v>
      </c>
      <c r="AL366" s="33">
        <v>354.29</v>
      </c>
      <c r="AM366" s="28">
        <f t="shared" si="83"/>
        <v>233.83008000000001</v>
      </c>
      <c r="AO366">
        <f t="shared" si="84"/>
        <v>0.68181818181818188</v>
      </c>
    </row>
    <row r="367" spans="1:41" x14ac:dyDescent="0.35">
      <c r="A367" t="s">
        <v>41</v>
      </c>
      <c r="B367">
        <v>8</v>
      </c>
      <c r="C367">
        <v>2</v>
      </c>
      <c r="D367" t="s">
        <v>40</v>
      </c>
      <c r="E367">
        <v>2</v>
      </c>
      <c r="F367">
        <v>1</v>
      </c>
      <c r="G367" s="16">
        <v>44</v>
      </c>
      <c r="H367" s="16">
        <v>14.318</v>
      </c>
      <c r="I367" s="16">
        <v>1968</v>
      </c>
      <c r="J367" s="16">
        <v>17.605</v>
      </c>
      <c r="K367" s="16">
        <v>47.908000000000001</v>
      </c>
      <c r="L367" s="16">
        <v>0.14299999999999999</v>
      </c>
      <c r="M367" s="23">
        <v>280.8</v>
      </c>
      <c r="N367" s="16">
        <v>1.2450000000000001</v>
      </c>
      <c r="O367" s="17">
        <v>6.3819999999999997</v>
      </c>
      <c r="P367" s="18">
        <v>44</v>
      </c>
      <c r="Q367" s="18">
        <v>17.605</v>
      </c>
      <c r="R367" s="18">
        <v>198.333</v>
      </c>
      <c r="S367" s="18">
        <v>82.466999999999999</v>
      </c>
      <c r="T367" s="14" t="b">
        <f t="shared" si="85"/>
        <v>1</v>
      </c>
      <c r="U367" s="14" t="b">
        <f t="shared" si="86"/>
        <v>1</v>
      </c>
      <c r="V367" s="15">
        <f>VLOOKUP(IF(J367&lt;10, 10, IF(J367&gt;50,50,J367)),'Over to underbark'!$A$3:$C$43,IF(A367="Scots pine",3,IF(A367="Sitka spruce",2, "error")),TRUE)/100</f>
        <v>0.9</v>
      </c>
      <c r="W367">
        <f t="shared" si="87"/>
        <v>160.64973000000001</v>
      </c>
      <c r="X367">
        <f t="shared" si="88"/>
        <v>66.798270000000002</v>
      </c>
      <c r="Y367">
        <f t="shared" si="89"/>
        <v>25.271999999999998</v>
      </c>
      <c r="Z367">
        <f t="shared" si="90"/>
        <v>126.86208659999998</v>
      </c>
      <c r="AA367">
        <f t="shared" si="91"/>
        <v>85.778951399999997</v>
      </c>
      <c r="AB367">
        <f t="shared" si="92"/>
        <v>40.078961999999997</v>
      </c>
      <c r="AC367">
        <f>LOOKUP($A367,'Over to underbark'!$A$47:$A$48,'Over to underbark'!E$47:E$48)*Z367</f>
        <v>41.864488578</v>
      </c>
      <c r="AD367">
        <f>LOOKUP($A367,'Over to underbark'!$A$47:$A$48,'Over to underbark'!E$47:E$48)*AA367</f>
        <v>28.307053962000001</v>
      </c>
      <c r="AE367">
        <f>LOOKUP($A367,'Over to underbark'!$A$47:$A$48,'Over to underbark'!E$47:E$48)*AB367</f>
        <v>13.22605746</v>
      </c>
      <c r="AF367" t="b">
        <f t="shared" si="93"/>
        <v>1</v>
      </c>
      <c r="AG367" t="b">
        <f t="shared" si="94"/>
        <v>1</v>
      </c>
      <c r="AH367">
        <f>LOOKUP(A367,'Over to underbark'!$A$47:$A$48,'Over to underbark'!E$47:E$48)*M367</f>
        <v>92.664000000000001</v>
      </c>
      <c r="AI367" s="27">
        <f>LOOKUP(A367,'Over to underbark'!$A$47:$A$48,'Over to underbark'!$B$47:$B$48)*AH367</f>
        <v>29.652480000000001</v>
      </c>
      <c r="AJ367" s="27">
        <f>LOOKUP(A368,'Over to underbark'!$A$47:$A$48,'Over to underbark'!C$47:C$48)*AH367</f>
        <v>45.405360000000002</v>
      </c>
      <c r="AK367" s="27">
        <f t="shared" si="82"/>
        <v>122.31648</v>
      </c>
      <c r="AL367" s="33">
        <v>370.66</v>
      </c>
      <c r="AM367" s="28">
        <f t="shared" si="83"/>
        <v>244.63296</v>
      </c>
      <c r="AO367">
        <f t="shared" si="84"/>
        <v>0.68181818181818188</v>
      </c>
    </row>
    <row r="368" spans="1:41" x14ac:dyDescent="0.35">
      <c r="A368" t="s">
        <v>41</v>
      </c>
      <c r="B368">
        <v>8</v>
      </c>
      <c r="C368">
        <v>2</v>
      </c>
      <c r="D368" t="s">
        <v>40</v>
      </c>
      <c r="E368">
        <v>2</v>
      </c>
      <c r="F368">
        <v>1</v>
      </c>
      <c r="G368" s="16">
        <v>45</v>
      </c>
      <c r="H368" s="16">
        <v>14.65</v>
      </c>
      <c r="I368" s="16">
        <v>1940</v>
      </c>
      <c r="J368" s="16">
        <v>17.899999999999999</v>
      </c>
      <c r="K368" s="16">
        <v>48.82</v>
      </c>
      <c r="L368" s="16">
        <v>0.151</v>
      </c>
      <c r="M368" s="23">
        <v>293.2</v>
      </c>
      <c r="N368" s="16">
        <v>1.3460000000000001</v>
      </c>
      <c r="O368" s="17">
        <v>6.516</v>
      </c>
      <c r="P368" s="18">
        <v>45</v>
      </c>
      <c r="Q368" s="18">
        <v>17.899999999999999</v>
      </c>
      <c r="R368" s="18">
        <v>201.899</v>
      </c>
      <c r="S368" s="18">
        <v>91.301000000000002</v>
      </c>
      <c r="T368" s="14" t="b">
        <f t="shared" si="85"/>
        <v>1</v>
      </c>
      <c r="U368" s="14" t="b">
        <f t="shared" si="86"/>
        <v>1</v>
      </c>
      <c r="V368" s="15">
        <f>VLOOKUP(IF(J368&lt;10, 10, IF(J368&gt;50,50,J368)),'Over to underbark'!$A$3:$C$43,IF(A368="Scots pine",3,IF(A368="Sitka spruce",2, "error")),TRUE)/100</f>
        <v>0.9</v>
      </c>
      <c r="W368">
        <f t="shared" si="87"/>
        <v>163.53819000000001</v>
      </c>
      <c r="X368">
        <f t="shared" si="88"/>
        <v>73.953810000000004</v>
      </c>
      <c r="Y368">
        <f t="shared" si="89"/>
        <v>26.387999999999995</v>
      </c>
      <c r="Z368">
        <f t="shared" si="90"/>
        <v>130.6978398</v>
      </c>
      <c r="AA368">
        <f t="shared" si="91"/>
        <v>88.809874199999996</v>
      </c>
      <c r="AB368">
        <f t="shared" si="92"/>
        <v>44.372286000000003</v>
      </c>
      <c r="AC368">
        <f>LOOKUP($A368,'Over to underbark'!$A$47:$A$48,'Over to underbark'!E$47:E$48)*Z368</f>
        <v>43.130287134</v>
      </c>
      <c r="AD368">
        <f>LOOKUP($A368,'Over to underbark'!$A$47:$A$48,'Over to underbark'!E$47:E$48)*AA368</f>
        <v>29.307258485999998</v>
      </c>
      <c r="AE368">
        <f>LOOKUP($A368,'Over to underbark'!$A$47:$A$48,'Over to underbark'!E$47:E$48)*AB368</f>
        <v>14.642854380000001</v>
      </c>
      <c r="AF368" t="b">
        <f t="shared" si="93"/>
        <v>1</v>
      </c>
      <c r="AG368" t="b">
        <f t="shared" si="94"/>
        <v>1</v>
      </c>
      <c r="AH368">
        <f>LOOKUP(A368,'Over to underbark'!$A$47:$A$48,'Over to underbark'!E$47:E$48)*M368</f>
        <v>96.756</v>
      </c>
      <c r="AI368" s="27">
        <f>LOOKUP(A368,'Over to underbark'!$A$47:$A$48,'Over to underbark'!$B$47:$B$48)*AH368</f>
        <v>30.961919999999999</v>
      </c>
      <c r="AJ368" s="27">
        <f>LOOKUP(A369,'Over to underbark'!$A$47:$A$48,'Over to underbark'!C$47:C$48)*AH368</f>
        <v>47.410440000000001</v>
      </c>
      <c r="AK368" s="27">
        <f t="shared" si="82"/>
        <v>127.71791999999999</v>
      </c>
      <c r="AL368" s="33">
        <v>387.02</v>
      </c>
      <c r="AM368" s="28">
        <f t="shared" si="83"/>
        <v>255.43583999999998</v>
      </c>
      <c r="AO368">
        <f t="shared" si="84"/>
        <v>0.68181818181818188</v>
      </c>
    </row>
    <row r="369" spans="1:41" x14ac:dyDescent="0.35">
      <c r="A369" t="s">
        <v>41</v>
      </c>
      <c r="B369">
        <v>8</v>
      </c>
      <c r="C369">
        <v>2</v>
      </c>
      <c r="D369" t="s">
        <v>40</v>
      </c>
      <c r="E369">
        <v>2</v>
      </c>
      <c r="F369">
        <v>1</v>
      </c>
      <c r="G369" s="16">
        <v>46</v>
      </c>
      <c r="H369" s="16">
        <v>14.952</v>
      </c>
      <c r="I369" s="16">
        <v>1912</v>
      </c>
      <c r="J369" s="16">
        <v>18.151</v>
      </c>
      <c r="K369" s="16">
        <v>49.473999999999997</v>
      </c>
      <c r="L369" s="16">
        <v>0.159</v>
      </c>
      <c r="M369" s="23">
        <v>304.64</v>
      </c>
      <c r="N369" s="16">
        <v>1.538</v>
      </c>
      <c r="O369" s="17">
        <v>6.6230000000000002</v>
      </c>
      <c r="P369" s="18">
        <v>46</v>
      </c>
      <c r="Q369" s="18">
        <v>18.151</v>
      </c>
      <c r="R369" s="18">
        <v>205.221</v>
      </c>
      <c r="S369" s="18">
        <v>99.418999999999997</v>
      </c>
      <c r="T369" s="14" t="b">
        <f t="shared" si="85"/>
        <v>1</v>
      </c>
      <c r="U369" s="14" t="b">
        <f t="shared" si="86"/>
        <v>1</v>
      </c>
      <c r="V369" s="15">
        <f>VLOOKUP(IF(J369&lt;10, 10, IF(J369&gt;50,50,J369)),'Over to underbark'!$A$3:$C$43,IF(A369="Scots pine",3,IF(A369="Sitka spruce",2, "error")),TRUE)/100</f>
        <v>0.9</v>
      </c>
      <c r="W369">
        <f t="shared" si="87"/>
        <v>166.22901000000002</v>
      </c>
      <c r="X369">
        <f t="shared" si="88"/>
        <v>80.529389999999992</v>
      </c>
      <c r="Y369">
        <f t="shared" si="89"/>
        <v>27.417599999999993</v>
      </c>
      <c r="Z369">
        <f t="shared" si="90"/>
        <v>134.24754419999999</v>
      </c>
      <c r="AA369">
        <f t="shared" si="91"/>
        <v>91.610821799999997</v>
      </c>
      <c r="AB369">
        <f t="shared" si="92"/>
        <v>48.317633999999991</v>
      </c>
      <c r="AC369">
        <f>LOOKUP($A369,'Over to underbark'!$A$47:$A$48,'Over to underbark'!E$47:E$48)*Z369</f>
        <v>44.301689586000002</v>
      </c>
      <c r="AD369">
        <f>LOOKUP($A369,'Over to underbark'!$A$47:$A$48,'Over to underbark'!E$47:E$48)*AA369</f>
        <v>30.231571194000001</v>
      </c>
      <c r="AE369">
        <f>LOOKUP($A369,'Over to underbark'!$A$47:$A$48,'Over to underbark'!E$47:E$48)*AB369</f>
        <v>15.944819219999998</v>
      </c>
      <c r="AF369" t="b">
        <f t="shared" si="93"/>
        <v>1</v>
      </c>
      <c r="AG369" t="b">
        <f t="shared" si="94"/>
        <v>1</v>
      </c>
      <c r="AH369">
        <f>LOOKUP(A369,'Over to underbark'!$A$47:$A$48,'Over to underbark'!E$47:E$48)*M369</f>
        <v>100.5312</v>
      </c>
      <c r="AI369" s="27">
        <f>LOOKUP(A369,'Over to underbark'!$A$47:$A$48,'Over to underbark'!$B$47:$B$48)*AH369</f>
        <v>32.169983999999999</v>
      </c>
      <c r="AJ369" s="27">
        <f>LOOKUP(A370,'Over to underbark'!$A$47:$A$48,'Over to underbark'!C$47:C$48)*AH369</f>
        <v>49.260287999999996</v>
      </c>
      <c r="AK369" s="27">
        <f t="shared" si="82"/>
        <v>132.70118400000001</v>
      </c>
      <c r="AL369" s="33">
        <v>402.12</v>
      </c>
      <c r="AM369" s="28">
        <f t="shared" si="83"/>
        <v>265.40236800000002</v>
      </c>
      <c r="AO369">
        <f t="shared" si="84"/>
        <v>0.68181818181818177</v>
      </c>
    </row>
    <row r="370" spans="1:41" x14ac:dyDescent="0.35">
      <c r="A370" t="s">
        <v>41</v>
      </c>
      <c r="B370">
        <v>8</v>
      </c>
      <c r="C370">
        <v>2</v>
      </c>
      <c r="D370" t="s">
        <v>40</v>
      </c>
      <c r="E370">
        <v>2</v>
      </c>
      <c r="F370">
        <v>1</v>
      </c>
      <c r="G370" s="16">
        <v>47</v>
      </c>
      <c r="H370" s="16">
        <v>15.254</v>
      </c>
      <c r="I370" s="16">
        <v>1884</v>
      </c>
      <c r="J370" s="16">
        <v>18.405999999999999</v>
      </c>
      <c r="K370" s="16">
        <v>50.128</v>
      </c>
      <c r="L370" s="16">
        <v>0.16800000000000001</v>
      </c>
      <c r="M370" s="23">
        <v>316.08</v>
      </c>
      <c r="N370" s="16">
        <v>1.716</v>
      </c>
      <c r="O370" s="17">
        <v>6.7249999999999996</v>
      </c>
      <c r="P370" s="18">
        <v>47</v>
      </c>
      <c r="Q370" s="18">
        <v>18.405999999999999</v>
      </c>
      <c r="R370" s="18">
        <v>208.16399999999999</v>
      </c>
      <c r="S370" s="18">
        <v>107.916</v>
      </c>
      <c r="T370" s="14" t="b">
        <f t="shared" si="85"/>
        <v>1</v>
      </c>
      <c r="U370" s="14" t="b">
        <f t="shared" si="86"/>
        <v>1</v>
      </c>
      <c r="V370" s="15">
        <f>VLOOKUP(IF(J370&lt;10, 10, IF(J370&gt;50,50,J370)),'Over to underbark'!$A$3:$C$43,IF(A370="Scots pine",3,IF(A370="Sitka spruce",2, "error")),TRUE)/100</f>
        <v>0.9</v>
      </c>
      <c r="W370">
        <f t="shared" si="87"/>
        <v>168.61284000000001</v>
      </c>
      <c r="X370">
        <f t="shared" si="88"/>
        <v>87.411959999999993</v>
      </c>
      <c r="Y370">
        <f t="shared" si="89"/>
        <v>28.447199999999992</v>
      </c>
      <c r="Z370">
        <f t="shared" si="90"/>
        <v>137.6683128</v>
      </c>
      <c r="AA370">
        <f t="shared" si="91"/>
        <v>94.3565112</v>
      </c>
      <c r="AB370">
        <f t="shared" si="92"/>
        <v>52.447175999999992</v>
      </c>
      <c r="AC370">
        <f>LOOKUP($A370,'Over to underbark'!$A$47:$A$48,'Over to underbark'!E$47:E$48)*Z370</f>
        <v>45.430543223999997</v>
      </c>
      <c r="AD370">
        <f>LOOKUP($A370,'Over to underbark'!$A$47:$A$48,'Over to underbark'!E$47:E$48)*AA370</f>
        <v>31.137648696000003</v>
      </c>
      <c r="AE370">
        <f>LOOKUP($A370,'Over to underbark'!$A$47:$A$48,'Over to underbark'!E$47:E$48)*AB370</f>
        <v>17.307568079999999</v>
      </c>
      <c r="AF370" t="b">
        <f t="shared" si="93"/>
        <v>1</v>
      </c>
      <c r="AG370" t="b">
        <f t="shared" si="94"/>
        <v>1</v>
      </c>
      <c r="AH370">
        <f>LOOKUP(A370,'Over to underbark'!$A$47:$A$48,'Over to underbark'!E$47:E$48)*M370</f>
        <v>104.3064</v>
      </c>
      <c r="AI370" s="27">
        <f>LOOKUP(A370,'Over to underbark'!$A$47:$A$48,'Over to underbark'!$B$47:$B$48)*AH370</f>
        <v>33.378048</v>
      </c>
      <c r="AJ370" s="27">
        <f>LOOKUP(A371,'Over to underbark'!$A$47:$A$48,'Over to underbark'!C$47:C$48)*AH370</f>
        <v>51.110135999999997</v>
      </c>
      <c r="AK370" s="27">
        <f t="shared" si="82"/>
        <v>137.684448</v>
      </c>
      <c r="AL370" s="33">
        <v>417.23</v>
      </c>
      <c r="AM370" s="28">
        <f t="shared" si="83"/>
        <v>275.36889600000001</v>
      </c>
      <c r="AO370">
        <f t="shared" si="84"/>
        <v>0.68181818181818177</v>
      </c>
    </row>
    <row r="371" spans="1:41" x14ac:dyDescent="0.35">
      <c r="A371" t="s">
        <v>41</v>
      </c>
      <c r="B371">
        <v>8</v>
      </c>
      <c r="C371">
        <v>2</v>
      </c>
      <c r="D371" t="s">
        <v>40</v>
      </c>
      <c r="E371">
        <v>2</v>
      </c>
      <c r="F371">
        <v>1</v>
      </c>
      <c r="G371" s="16">
        <v>48</v>
      </c>
      <c r="H371" s="16">
        <v>15.555999999999999</v>
      </c>
      <c r="I371" s="16">
        <v>1856</v>
      </c>
      <c r="J371" s="16">
        <v>18.664999999999999</v>
      </c>
      <c r="K371" s="16">
        <v>50.781999999999996</v>
      </c>
      <c r="L371" s="16">
        <v>0.17599999999999999</v>
      </c>
      <c r="M371" s="23">
        <v>327.52</v>
      </c>
      <c r="N371" s="16">
        <v>1.881</v>
      </c>
      <c r="O371" s="17">
        <v>6.8230000000000004</v>
      </c>
      <c r="P371" s="18">
        <v>48</v>
      </c>
      <c r="Q371" s="18">
        <v>18.664999999999999</v>
      </c>
      <c r="R371" s="18">
        <v>210.72900000000001</v>
      </c>
      <c r="S371" s="18">
        <v>116.791</v>
      </c>
      <c r="T371" s="14" t="b">
        <f t="shared" si="85"/>
        <v>1</v>
      </c>
      <c r="U371" s="14" t="b">
        <f t="shared" si="86"/>
        <v>1</v>
      </c>
      <c r="V371" s="15">
        <f>VLOOKUP(IF(J371&lt;10, 10, IF(J371&gt;50,50,J371)),'Over to underbark'!$A$3:$C$43,IF(A371="Scots pine",3,IF(A371="Sitka spruce",2, "error")),TRUE)/100</f>
        <v>0.9</v>
      </c>
      <c r="W371">
        <f t="shared" si="87"/>
        <v>170.69049000000001</v>
      </c>
      <c r="X371">
        <f t="shared" si="88"/>
        <v>94.600710000000007</v>
      </c>
      <c r="Y371">
        <f t="shared" si="89"/>
        <v>29.47679999999999</v>
      </c>
      <c r="Z371">
        <f t="shared" si="90"/>
        <v>140.96048580000001</v>
      </c>
      <c r="AA371">
        <f t="shared" si="91"/>
        <v>97.047088200000005</v>
      </c>
      <c r="AB371">
        <f t="shared" si="92"/>
        <v>56.760426000000002</v>
      </c>
      <c r="AC371">
        <f>LOOKUP($A371,'Over to underbark'!$A$47:$A$48,'Over to underbark'!E$47:E$48)*Z371</f>
        <v>46.516960314000009</v>
      </c>
      <c r="AD371">
        <f>LOOKUP($A371,'Over to underbark'!$A$47:$A$48,'Over to underbark'!E$47:E$48)*AA371</f>
        <v>32.025539106000004</v>
      </c>
      <c r="AE371">
        <f>LOOKUP($A371,'Over to underbark'!$A$47:$A$48,'Over to underbark'!E$47:E$48)*AB371</f>
        <v>18.730940580000002</v>
      </c>
      <c r="AF371" t="b">
        <f t="shared" si="93"/>
        <v>1</v>
      </c>
      <c r="AG371" t="b">
        <f t="shared" si="94"/>
        <v>1</v>
      </c>
      <c r="AH371">
        <f>LOOKUP(A371,'Over to underbark'!$A$47:$A$48,'Over to underbark'!E$47:E$48)*M371</f>
        <v>108.08159999999999</v>
      </c>
      <c r="AI371" s="27">
        <f>LOOKUP(A371,'Over to underbark'!$A$47:$A$48,'Over to underbark'!$B$47:$B$48)*AH371</f>
        <v>34.586112</v>
      </c>
      <c r="AJ371" s="27">
        <f>LOOKUP(A372,'Over to underbark'!$A$47:$A$48,'Over to underbark'!C$47:C$48)*AH371</f>
        <v>52.959983999999999</v>
      </c>
      <c r="AK371" s="27">
        <f t="shared" si="82"/>
        <v>142.66771199999999</v>
      </c>
      <c r="AL371" s="33">
        <v>432.33</v>
      </c>
      <c r="AM371" s="28">
        <f t="shared" si="83"/>
        <v>285.33542399999999</v>
      </c>
      <c r="AO371">
        <f t="shared" si="84"/>
        <v>0.68181818181818199</v>
      </c>
    </row>
    <row r="372" spans="1:41" x14ac:dyDescent="0.35">
      <c r="A372" t="s">
        <v>41</v>
      </c>
      <c r="B372">
        <v>8</v>
      </c>
      <c r="C372">
        <v>2</v>
      </c>
      <c r="D372" t="s">
        <v>40</v>
      </c>
      <c r="E372">
        <v>2</v>
      </c>
      <c r="F372">
        <v>1</v>
      </c>
      <c r="G372" s="16">
        <v>49</v>
      </c>
      <c r="H372" s="16">
        <v>15.858000000000001</v>
      </c>
      <c r="I372" s="16">
        <v>1828</v>
      </c>
      <c r="J372" s="16">
        <v>18.928000000000001</v>
      </c>
      <c r="K372" s="16">
        <v>51.436</v>
      </c>
      <c r="L372" s="16">
        <v>0.185</v>
      </c>
      <c r="M372" s="23">
        <v>338.96</v>
      </c>
      <c r="N372" s="16">
        <v>2.0350000000000001</v>
      </c>
      <c r="O372" s="17">
        <v>6.9180000000000001</v>
      </c>
      <c r="P372" s="18">
        <v>49</v>
      </c>
      <c r="Q372" s="18">
        <v>18.928000000000001</v>
      </c>
      <c r="R372" s="18">
        <v>212.91900000000001</v>
      </c>
      <c r="S372" s="18">
        <v>126.041</v>
      </c>
      <c r="T372" s="14" t="b">
        <f t="shared" si="85"/>
        <v>1</v>
      </c>
      <c r="U372" s="14" t="b">
        <f t="shared" si="86"/>
        <v>1</v>
      </c>
      <c r="V372" s="15">
        <f>VLOOKUP(IF(J372&lt;10, 10, IF(J372&gt;50,50,J372)),'Over to underbark'!$A$3:$C$43,IF(A372="Scots pine",3,IF(A372="Sitka spruce",2, "error")),TRUE)/100</f>
        <v>0.9</v>
      </c>
      <c r="W372">
        <f t="shared" si="87"/>
        <v>172.46439000000001</v>
      </c>
      <c r="X372">
        <f t="shared" si="88"/>
        <v>102.09321</v>
      </c>
      <c r="Y372">
        <f t="shared" si="89"/>
        <v>30.506399999999996</v>
      </c>
      <c r="Z372">
        <f t="shared" si="90"/>
        <v>144.1250838</v>
      </c>
      <c r="AA372">
        <f t="shared" si="91"/>
        <v>99.682990200000006</v>
      </c>
      <c r="AB372">
        <f t="shared" si="92"/>
        <v>61.255925999999995</v>
      </c>
      <c r="AC372">
        <f>LOOKUP($A372,'Over to underbark'!$A$47:$A$48,'Over to underbark'!E$47:E$48)*Z372</f>
        <v>47.561277654000001</v>
      </c>
      <c r="AD372">
        <f>LOOKUP($A372,'Over to underbark'!$A$47:$A$48,'Over to underbark'!E$47:E$48)*AA372</f>
        <v>32.895386766000001</v>
      </c>
      <c r="AE372">
        <f>LOOKUP($A372,'Over to underbark'!$A$47:$A$48,'Over to underbark'!E$47:E$48)*AB372</f>
        <v>20.214455579999999</v>
      </c>
      <c r="AF372" t="b">
        <f t="shared" si="93"/>
        <v>1</v>
      </c>
      <c r="AG372" t="b">
        <f t="shared" si="94"/>
        <v>1</v>
      </c>
      <c r="AH372">
        <f>LOOKUP(A372,'Over to underbark'!$A$47:$A$48,'Over to underbark'!E$47:E$48)*M372</f>
        <v>111.85679999999999</v>
      </c>
      <c r="AI372" s="27">
        <f>LOOKUP(A372,'Over to underbark'!$A$47:$A$48,'Over to underbark'!$B$47:$B$48)*AH372</f>
        <v>35.794176</v>
      </c>
      <c r="AJ372" s="27">
        <f>LOOKUP(A373,'Over to underbark'!$A$47:$A$48,'Over to underbark'!C$47:C$48)*AH372</f>
        <v>54.809831999999993</v>
      </c>
      <c r="AK372" s="27">
        <f t="shared" si="82"/>
        <v>147.65097599999999</v>
      </c>
      <c r="AL372" s="33">
        <v>447.43</v>
      </c>
      <c r="AM372" s="28">
        <f t="shared" si="83"/>
        <v>295.30195199999997</v>
      </c>
      <c r="AO372">
        <f t="shared" si="84"/>
        <v>0.68181818181818188</v>
      </c>
    </row>
    <row r="373" spans="1:41" x14ac:dyDescent="0.35">
      <c r="A373" t="s">
        <v>41</v>
      </c>
      <c r="B373">
        <v>8</v>
      </c>
      <c r="C373">
        <v>2</v>
      </c>
      <c r="D373" t="s">
        <v>40</v>
      </c>
      <c r="E373">
        <v>2</v>
      </c>
      <c r="F373">
        <v>1</v>
      </c>
      <c r="G373" s="16">
        <v>50</v>
      </c>
      <c r="H373" s="16">
        <v>16.16</v>
      </c>
      <c r="I373" s="16">
        <v>1801</v>
      </c>
      <c r="J373" s="16">
        <v>19.190000000000001</v>
      </c>
      <c r="K373" s="16">
        <v>52.09</v>
      </c>
      <c r="L373" s="16">
        <v>0.19500000000000001</v>
      </c>
      <c r="M373" s="23">
        <v>350.4</v>
      </c>
      <c r="N373" s="16">
        <v>2.1779999999999999</v>
      </c>
      <c r="O373" s="17">
        <v>7.008</v>
      </c>
      <c r="P373" s="18">
        <v>50</v>
      </c>
      <c r="Q373" s="18">
        <v>19.190000000000001</v>
      </c>
      <c r="R373" s="18">
        <v>214.83799999999999</v>
      </c>
      <c r="S373" s="18">
        <v>135.56200000000001</v>
      </c>
      <c r="T373" s="14" t="b">
        <f t="shared" si="85"/>
        <v>1</v>
      </c>
      <c r="U373" s="14" t="b">
        <f t="shared" si="86"/>
        <v>1</v>
      </c>
      <c r="V373" s="15">
        <f>VLOOKUP(IF(J373&lt;10, 10, IF(J373&gt;50,50,J373)),'Over to underbark'!$A$3:$C$43,IF(A373="Scots pine",3,IF(A373="Sitka spruce",2, "error")),TRUE)/100</f>
        <v>0.9</v>
      </c>
      <c r="W373">
        <f t="shared" si="87"/>
        <v>174.01877999999999</v>
      </c>
      <c r="X373">
        <f t="shared" si="88"/>
        <v>109.80522000000001</v>
      </c>
      <c r="Y373">
        <f t="shared" si="89"/>
        <v>31.535999999999994</v>
      </c>
      <c r="Z373">
        <f t="shared" si="90"/>
        <v>147.19748759999999</v>
      </c>
      <c r="AA373">
        <f t="shared" si="91"/>
        <v>102.27938039999999</v>
      </c>
      <c r="AB373">
        <f t="shared" si="92"/>
        <v>65.883132000000003</v>
      </c>
      <c r="AC373">
        <f>LOOKUP($A373,'Over to underbark'!$A$47:$A$48,'Over to underbark'!E$47:E$48)*Z373</f>
        <v>48.575170907999997</v>
      </c>
      <c r="AD373">
        <f>LOOKUP($A373,'Over to underbark'!$A$47:$A$48,'Over to underbark'!E$47:E$48)*AA373</f>
        <v>33.752195532000002</v>
      </c>
      <c r="AE373">
        <f>LOOKUP($A373,'Over to underbark'!$A$47:$A$48,'Over to underbark'!E$47:E$48)*AB373</f>
        <v>21.741433560000001</v>
      </c>
      <c r="AF373" t="b">
        <f t="shared" si="93"/>
        <v>1</v>
      </c>
      <c r="AG373" t="b">
        <f t="shared" si="94"/>
        <v>1</v>
      </c>
      <c r="AH373">
        <f>LOOKUP(A373,'Over to underbark'!$A$47:$A$48,'Over to underbark'!E$47:E$48)*M373</f>
        <v>115.63200000000001</v>
      </c>
      <c r="AI373" s="27">
        <f>LOOKUP(A373,'Over to underbark'!$A$47:$A$48,'Over to underbark'!$B$47:$B$48)*AH373</f>
        <v>37.00224</v>
      </c>
      <c r="AJ373" s="27">
        <f>LOOKUP(A374,'Over to underbark'!$A$47:$A$48,'Over to underbark'!C$47:C$48)*AH373</f>
        <v>56.659680000000002</v>
      </c>
      <c r="AK373" s="27">
        <f t="shared" si="82"/>
        <v>152.63424000000001</v>
      </c>
      <c r="AL373" s="33">
        <v>462.53</v>
      </c>
      <c r="AM373" s="28">
        <f t="shared" si="83"/>
        <v>305.26848000000001</v>
      </c>
      <c r="AO373">
        <f t="shared" si="84"/>
        <v>0.68181818181818177</v>
      </c>
    </row>
    <row r="374" spans="1:41" x14ac:dyDescent="0.35">
      <c r="A374" t="s">
        <v>41</v>
      </c>
      <c r="B374">
        <v>8</v>
      </c>
      <c r="C374">
        <v>2</v>
      </c>
      <c r="D374" t="s">
        <v>40</v>
      </c>
      <c r="E374">
        <v>2</v>
      </c>
      <c r="F374">
        <v>1</v>
      </c>
      <c r="G374" s="16">
        <v>51</v>
      </c>
      <c r="H374" s="16">
        <v>16.428000000000001</v>
      </c>
      <c r="I374" s="16">
        <v>1777</v>
      </c>
      <c r="J374" s="16">
        <v>19.411000000000001</v>
      </c>
      <c r="K374" s="16">
        <v>52.585000000000001</v>
      </c>
      <c r="L374" s="16">
        <v>0.20300000000000001</v>
      </c>
      <c r="M374" s="23">
        <v>360.48</v>
      </c>
      <c r="N374" s="16">
        <v>2.3879999999999999</v>
      </c>
      <c r="O374" s="17">
        <v>7.0679999999999996</v>
      </c>
      <c r="P374" s="18">
        <v>51</v>
      </c>
      <c r="Q374" s="18">
        <v>19.411000000000001</v>
      </c>
      <c r="R374" s="18">
        <v>216.49600000000001</v>
      </c>
      <c r="S374" s="18">
        <v>143.98400000000001</v>
      </c>
      <c r="T374" s="14" t="b">
        <f t="shared" si="85"/>
        <v>1</v>
      </c>
      <c r="U374" s="14" t="b">
        <f t="shared" si="86"/>
        <v>1</v>
      </c>
      <c r="V374" s="15">
        <f>VLOOKUP(IF(J374&lt;10, 10, IF(J374&gt;50,50,J374)),'Over to underbark'!$A$3:$C$43,IF(A374="Scots pine",3,IF(A374="Sitka spruce",2, "error")),TRUE)/100</f>
        <v>0.9</v>
      </c>
      <c r="W374">
        <f t="shared" si="87"/>
        <v>175.36176000000003</v>
      </c>
      <c r="X374">
        <f t="shared" si="88"/>
        <v>116.62704000000001</v>
      </c>
      <c r="Y374">
        <f t="shared" si="89"/>
        <v>32.443199999999997</v>
      </c>
      <c r="Z374">
        <f t="shared" si="90"/>
        <v>149.8934592</v>
      </c>
      <c r="AA374">
        <f t="shared" si="91"/>
        <v>104.56231680000002</v>
      </c>
      <c r="AB374">
        <f t="shared" si="92"/>
        <v>69.976224000000002</v>
      </c>
      <c r="AC374">
        <f>LOOKUP($A374,'Over to underbark'!$A$47:$A$48,'Over to underbark'!E$47:E$48)*Z374</f>
        <v>49.464841536000002</v>
      </c>
      <c r="AD374">
        <f>LOOKUP($A374,'Over to underbark'!$A$47:$A$48,'Over to underbark'!E$47:E$48)*AA374</f>
        <v>34.505564544000009</v>
      </c>
      <c r="AE374">
        <f>LOOKUP($A374,'Over to underbark'!$A$47:$A$48,'Over to underbark'!E$47:E$48)*AB374</f>
        <v>23.092153920000001</v>
      </c>
      <c r="AF374" t="b">
        <f t="shared" si="93"/>
        <v>1</v>
      </c>
      <c r="AG374" t="b">
        <f t="shared" si="94"/>
        <v>1</v>
      </c>
      <c r="AH374">
        <f>LOOKUP(A374,'Over to underbark'!$A$47:$A$48,'Over to underbark'!E$47:E$48)*M374</f>
        <v>118.95840000000001</v>
      </c>
      <c r="AI374" s="27">
        <f>LOOKUP(A374,'Over to underbark'!$A$47:$A$48,'Over to underbark'!$B$47:$B$48)*AH374</f>
        <v>38.066688000000006</v>
      </c>
      <c r="AJ374" s="27">
        <f>LOOKUP(A375,'Over to underbark'!$A$47:$A$48,'Over to underbark'!C$47:C$48)*AH374</f>
        <v>58.289616000000002</v>
      </c>
      <c r="AK374" s="27">
        <f t="shared" si="82"/>
        <v>157.02508800000001</v>
      </c>
      <c r="AL374" s="33">
        <v>475.83</v>
      </c>
      <c r="AM374" s="28">
        <f t="shared" si="83"/>
        <v>314.05017600000002</v>
      </c>
      <c r="AO374">
        <f t="shared" si="84"/>
        <v>0.68181818181818177</v>
      </c>
    </row>
    <row r="375" spans="1:41" x14ac:dyDescent="0.35">
      <c r="A375" t="s">
        <v>41</v>
      </c>
      <c r="B375">
        <v>8</v>
      </c>
      <c r="C375">
        <v>2</v>
      </c>
      <c r="D375" t="s">
        <v>40</v>
      </c>
      <c r="E375">
        <v>2</v>
      </c>
      <c r="F375">
        <v>1</v>
      </c>
      <c r="G375" s="16">
        <v>52</v>
      </c>
      <c r="H375" s="16">
        <v>16.696000000000002</v>
      </c>
      <c r="I375" s="16">
        <v>1753</v>
      </c>
      <c r="J375" s="16">
        <v>19.635000000000002</v>
      </c>
      <c r="K375" s="16">
        <v>53.081000000000003</v>
      </c>
      <c r="L375" s="16">
        <v>0.21099999999999999</v>
      </c>
      <c r="M375" s="23">
        <v>370.56</v>
      </c>
      <c r="N375" s="16">
        <v>2.5870000000000002</v>
      </c>
      <c r="O375" s="17">
        <v>7.1260000000000003</v>
      </c>
      <c r="P375" s="18">
        <v>52</v>
      </c>
      <c r="Q375" s="18">
        <v>19.635000000000002</v>
      </c>
      <c r="R375" s="18">
        <v>217.887</v>
      </c>
      <c r="S375" s="18">
        <v>152.673</v>
      </c>
      <c r="T375" s="14" t="b">
        <f t="shared" si="85"/>
        <v>1</v>
      </c>
      <c r="U375" s="14" t="b">
        <f t="shared" si="86"/>
        <v>1</v>
      </c>
      <c r="V375" s="15">
        <f>VLOOKUP(IF(J375&lt;10, 10, IF(J375&gt;50,50,J375)),'Over to underbark'!$A$3:$C$43,IF(A375="Scots pine",3,IF(A375="Sitka spruce",2, "error")),TRUE)/100</f>
        <v>0.9</v>
      </c>
      <c r="W375">
        <f t="shared" si="87"/>
        <v>176.48847000000001</v>
      </c>
      <c r="X375">
        <f t="shared" si="88"/>
        <v>123.66513</v>
      </c>
      <c r="Y375">
        <f t="shared" si="89"/>
        <v>33.350399999999993</v>
      </c>
      <c r="Z375">
        <f t="shared" si="90"/>
        <v>152.49859739999997</v>
      </c>
      <c r="AA375">
        <f t="shared" si="91"/>
        <v>106.80632460000001</v>
      </c>
      <c r="AB375">
        <f t="shared" si="92"/>
        <v>74.199078</v>
      </c>
      <c r="AC375">
        <f>LOOKUP($A375,'Over to underbark'!$A$47:$A$48,'Over to underbark'!E$47:E$48)*Z375</f>
        <v>50.32453714199999</v>
      </c>
      <c r="AD375">
        <f>LOOKUP($A375,'Over to underbark'!$A$47:$A$48,'Over to underbark'!E$47:E$48)*AA375</f>
        <v>35.246087118000005</v>
      </c>
      <c r="AE375">
        <f>LOOKUP($A375,'Over to underbark'!$A$47:$A$48,'Over to underbark'!E$47:E$48)*AB375</f>
        <v>24.485695740000001</v>
      </c>
      <c r="AF375" t="b">
        <f t="shared" si="93"/>
        <v>1</v>
      </c>
      <c r="AG375" t="b">
        <f t="shared" si="94"/>
        <v>1</v>
      </c>
      <c r="AH375">
        <f>LOOKUP(A375,'Over to underbark'!$A$47:$A$48,'Over to underbark'!E$47:E$48)*M375</f>
        <v>122.2848</v>
      </c>
      <c r="AI375" s="27">
        <f>LOOKUP(A375,'Over to underbark'!$A$47:$A$48,'Over to underbark'!$B$47:$B$48)*AH375</f>
        <v>39.131136000000005</v>
      </c>
      <c r="AJ375" s="27">
        <f>LOOKUP(A376,'Over to underbark'!$A$47:$A$48,'Over to underbark'!C$47:C$48)*AH375</f>
        <v>59.919552000000003</v>
      </c>
      <c r="AK375" s="27">
        <f t="shared" si="82"/>
        <v>161.41593600000002</v>
      </c>
      <c r="AL375" s="33">
        <v>489.14</v>
      </c>
      <c r="AM375" s="28">
        <f t="shared" si="83"/>
        <v>322.83187200000003</v>
      </c>
      <c r="AO375">
        <f t="shared" si="84"/>
        <v>0.68181818181818166</v>
      </c>
    </row>
    <row r="376" spans="1:41" x14ac:dyDescent="0.35">
      <c r="A376" t="s">
        <v>41</v>
      </c>
      <c r="B376">
        <v>8</v>
      </c>
      <c r="C376">
        <v>2</v>
      </c>
      <c r="D376" t="s">
        <v>40</v>
      </c>
      <c r="E376">
        <v>2</v>
      </c>
      <c r="F376">
        <v>1</v>
      </c>
      <c r="G376" s="16">
        <v>53</v>
      </c>
      <c r="H376" s="16">
        <v>16.963999999999999</v>
      </c>
      <c r="I376" s="16">
        <v>1729</v>
      </c>
      <c r="J376" s="16">
        <v>19.863</v>
      </c>
      <c r="K376" s="16">
        <v>53.576000000000001</v>
      </c>
      <c r="L376" s="16">
        <v>0.22</v>
      </c>
      <c r="M376" s="23">
        <v>380.64</v>
      </c>
      <c r="N376" s="16">
        <v>2.774</v>
      </c>
      <c r="O376" s="17">
        <v>7.1820000000000004</v>
      </c>
      <c r="P376" s="18">
        <v>53</v>
      </c>
      <c r="Q376" s="18">
        <v>19.863</v>
      </c>
      <c r="R376" s="18">
        <v>218.99199999999999</v>
      </c>
      <c r="S376" s="18">
        <v>161.648</v>
      </c>
      <c r="T376" s="14" t="b">
        <f t="shared" si="85"/>
        <v>1</v>
      </c>
      <c r="U376" s="14" t="b">
        <f t="shared" si="86"/>
        <v>1</v>
      </c>
      <c r="V376" s="15">
        <f>VLOOKUP(IF(J376&lt;10, 10, IF(J376&gt;50,50,J376)),'Over to underbark'!$A$3:$C$43,IF(A376="Scots pine",3,IF(A376="Sitka spruce",2, "error")),TRUE)/100</f>
        <v>0.9</v>
      </c>
      <c r="W376">
        <f t="shared" si="87"/>
        <v>177.38351999999998</v>
      </c>
      <c r="X376">
        <f t="shared" si="88"/>
        <v>130.93488000000002</v>
      </c>
      <c r="Y376">
        <f t="shared" si="89"/>
        <v>34.257599999999996</v>
      </c>
      <c r="Z376">
        <f t="shared" si="90"/>
        <v>155.00643839999995</v>
      </c>
      <c r="AA376">
        <f t="shared" si="91"/>
        <v>109.0086336</v>
      </c>
      <c r="AB376">
        <f t="shared" si="92"/>
        <v>78.560928000000004</v>
      </c>
      <c r="AC376">
        <f>LOOKUP($A376,'Over to underbark'!$A$47:$A$48,'Over to underbark'!E$47:E$48)*Z376</f>
        <v>51.152124671999985</v>
      </c>
      <c r="AD376">
        <f>LOOKUP($A376,'Over to underbark'!$A$47:$A$48,'Over to underbark'!E$47:E$48)*AA376</f>
        <v>35.972849088000004</v>
      </c>
      <c r="AE376">
        <f>LOOKUP($A376,'Over to underbark'!$A$47:$A$48,'Over to underbark'!E$47:E$48)*AB376</f>
        <v>25.925106240000002</v>
      </c>
      <c r="AF376" t="b">
        <f t="shared" si="93"/>
        <v>1</v>
      </c>
      <c r="AG376" t="b">
        <f t="shared" si="94"/>
        <v>1</v>
      </c>
      <c r="AH376">
        <f>LOOKUP(A376,'Over to underbark'!$A$47:$A$48,'Over to underbark'!E$47:E$48)*M376</f>
        <v>125.6112</v>
      </c>
      <c r="AI376" s="27">
        <f>LOOKUP(A376,'Over to underbark'!$A$47:$A$48,'Over to underbark'!$B$47:$B$48)*AH376</f>
        <v>40.195583999999997</v>
      </c>
      <c r="AJ376" s="27">
        <f>LOOKUP(A377,'Over to underbark'!$A$47:$A$48,'Over to underbark'!C$47:C$48)*AH376</f>
        <v>61.549487999999997</v>
      </c>
      <c r="AK376" s="27">
        <f t="shared" si="82"/>
        <v>165.80678399999999</v>
      </c>
      <c r="AL376" s="33">
        <v>502.44</v>
      </c>
      <c r="AM376" s="28">
        <f t="shared" si="83"/>
        <v>331.61356799999999</v>
      </c>
      <c r="AO376">
        <f t="shared" si="84"/>
        <v>0.68181818181818177</v>
      </c>
    </row>
    <row r="377" spans="1:41" x14ac:dyDescent="0.35">
      <c r="A377" t="s">
        <v>41</v>
      </c>
      <c r="B377">
        <v>8</v>
      </c>
      <c r="C377">
        <v>2</v>
      </c>
      <c r="D377" t="s">
        <v>40</v>
      </c>
      <c r="E377">
        <v>2</v>
      </c>
      <c r="F377">
        <v>1</v>
      </c>
      <c r="G377" s="16">
        <v>54</v>
      </c>
      <c r="H377" s="16">
        <v>17.231999999999999</v>
      </c>
      <c r="I377" s="16">
        <v>1705</v>
      </c>
      <c r="J377" s="16">
        <v>20.094999999999999</v>
      </c>
      <c r="K377" s="16">
        <v>54.072000000000003</v>
      </c>
      <c r="L377" s="16">
        <v>0.22900000000000001</v>
      </c>
      <c r="M377" s="23">
        <v>390.72</v>
      </c>
      <c r="N377" s="16">
        <v>2.9510000000000001</v>
      </c>
      <c r="O377" s="17">
        <v>7.2359999999999998</v>
      </c>
      <c r="P377" s="18">
        <v>54</v>
      </c>
      <c r="Q377" s="18">
        <v>20.094999999999999</v>
      </c>
      <c r="R377" s="18">
        <v>219.816</v>
      </c>
      <c r="S377" s="18">
        <v>170.904</v>
      </c>
      <c r="T377" s="14" t="b">
        <f t="shared" si="85"/>
        <v>1</v>
      </c>
      <c r="U377" s="14" t="b">
        <f t="shared" si="86"/>
        <v>1</v>
      </c>
      <c r="V377" s="15">
        <f>VLOOKUP(IF(J377&lt;10, 10, IF(J377&gt;50,50,J377)),'Over to underbark'!$A$3:$C$43,IF(A377="Scots pine",3,IF(A377="Sitka spruce",2, "error")),TRUE)/100</f>
        <v>0.9</v>
      </c>
      <c r="W377">
        <f t="shared" si="87"/>
        <v>178.05096000000003</v>
      </c>
      <c r="X377">
        <f t="shared" si="88"/>
        <v>138.43224000000001</v>
      </c>
      <c r="Y377">
        <f t="shared" si="89"/>
        <v>35.164799999999993</v>
      </c>
      <c r="Z377">
        <f t="shared" si="90"/>
        <v>157.4186832</v>
      </c>
      <c r="AA377">
        <f t="shared" si="91"/>
        <v>111.16997280000001</v>
      </c>
      <c r="AB377">
        <f t="shared" si="92"/>
        <v>83.059343999999996</v>
      </c>
      <c r="AC377">
        <f>LOOKUP($A377,'Over to underbark'!$A$47:$A$48,'Over to underbark'!E$47:E$48)*Z377</f>
        <v>51.948165456000005</v>
      </c>
      <c r="AD377">
        <f>LOOKUP($A377,'Over to underbark'!$A$47:$A$48,'Over to underbark'!E$47:E$48)*AA377</f>
        <v>36.686091024000007</v>
      </c>
      <c r="AE377">
        <f>LOOKUP($A377,'Over to underbark'!$A$47:$A$48,'Over to underbark'!E$47:E$48)*AB377</f>
        <v>27.409583519999998</v>
      </c>
      <c r="AF377" t="b">
        <f t="shared" si="93"/>
        <v>1</v>
      </c>
      <c r="AG377" t="b">
        <f t="shared" si="94"/>
        <v>1</v>
      </c>
      <c r="AH377">
        <f>LOOKUP(A377,'Over to underbark'!$A$47:$A$48,'Over to underbark'!E$47:E$48)*M377</f>
        <v>128.9376</v>
      </c>
      <c r="AI377" s="27">
        <f>LOOKUP(A377,'Over to underbark'!$A$47:$A$48,'Over to underbark'!$B$47:$B$48)*AH377</f>
        <v>41.260032000000002</v>
      </c>
      <c r="AJ377" s="27">
        <f>LOOKUP(A378,'Over to underbark'!$A$47:$A$48,'Over to underbark'!C$47:C$48)*AH377</f>
        <v>63.179423999999997</v>
      </c>
      <c r="AK377" s="27">
        <f t="shared" si="82"/>
        <v>170.197632</v>
      </c>
      <c r="AL377" s="33">
        <v>515.75</v>
      </c>
      <c r="AM377" s="28">
        <f t="shared" si="83"/>
        <v>340.395264</v>
      </c>
      <c r="AO377">
        <f t="shared" si="84"/>
        <v>0.68181818181818188</v>
      </c>
    </row>
    <row r="378" spans="1:41" x14ac:dyDescent="0.35">
      <c r="A378" t="s">
        <v>41</v>
      </c>
      <c r="B378">
        <v>8</v>
      </c>
      <c r="C378">
        <v>2</v>
      </c>
      <c r="D378" t="s">
        <v>40</v>
      </c>
      <c r="E378">
        <v>2</v>
      </c>
      <c r="F378">
        <v>1</v>
      </c>
      <c r="G378" s="16">
        <v>55</v>
      </c>
      <c r="H378" s="16">
        <v>17.5</v>
      </c>
      <c r="I378" s="16">
        <v>1681</v>
      </c>
      <c r="J378" s="16">
        <v>20.329999999999998</v>
      </c>
      <c r="K378" s="16">
        <v>54.567</v>
      </c>
      <c r="L378" s="16">
        <v>0.23799999999999999</v>
      </c>
      <c r="M378" s="23">
        <v>400.8</v>
      </c>
      <c r="N378" s="16">
        <v>3.1179999999999999</v>
      </c>
      <c r="O378" s="17">
        <v>7.2869999999999999</v>
      </c>
      <c r="P378" s="18">
        <v>55</v>
      </c>
      <c r="Q378" s="18">
        <v>20.329999999999998</v>
      </c>
      <c r="R378" s="18">
        <v>220.38200000000001</v>
      </c>
      <c r="S378" s="18">
        <v>180.41800000000001</v>
      </c>
      <c r="T378" s="14" t="b">
        <f t="shared" si="85"/>
        <v>1</v>
      </c>
      <c r="U378" s="14" t="b">
        <f t="shared" si="86"/>
        <v>1</v>
      </c>
      <c r="V378" s="15">
        <f>VLOOKUP(IF(J378&lt;10, 10, IF(J378&gt;50,50,J378)),'Over to underbark'!$A$3:$C$43,IF(A378="Scots pine",3,IF(A378="Sitka spruce",2, "error")),TRUE)/100</f>
        <v>0.9</v>
      </c>
      <c r="W378">
        <f t="shared" si="87"/>
        <v>178.50942000000001</v>
      </c>
      <c r="X378">
        <f t="shared" si="88"/>
        <v>146.13858000000002</v>
      </c>
      <c r="Y378">
        <f t="shared" si="89"/>
        <v>36.071999999999996</v>
      </c>
      <c r="Z378">
        <f t="shared" si="90"/>
        <v>159.74315639999998</v>
      </c>
      <c r="AA378">
        <f t="shared" si="91"/>
        <v>113.29369560000001</v>
      </c>
      <c r="AB378">
        <f t="shared" si="92"/>
        <v>87.683148000000003</v>
      </c>
      <c r="AC378">
        <f>LOOKUP($A378,'Over to underbark'!$A$47:$A$48,'Over to underbark'!E$47:E$48)*Z378</f>
        <v>52.715241611999993</v>
      </c>
      <c r="AD378">
        <f>LOOKUP($A378,'Over to underbark'!$A$47:$A$48,'Over to underbark'!E$47:E$48)*AA378</f>
        <v>37.386919548000002</v>
      </c>
      <c r="AE378">
        <f>LOOKUP($A378,'Over to underbark'!$A$47:$A$48,'Over to underbark'!E$47:E$48)*AB378</f>
        <v>28.935438840000003</v>
      </c>
      <c r="AF378" t="b">
        <f t="shared" si="93"/>
        <v>1</v>
      </c>
      <c r="AG378" t="b">
        <f t="shared" si="94"/>
        <v>1</v>
      </c>
      <c r="AH378">
        <f>LOOKUP(A378,'Over to underbark'!$A$47:$A$48,'Over to underbark'!E$47:E$48)*M378</f>
        <v>132.26400000000001</v>
      </c>
      <c r="AI378" s="27">
        <f>LOOKUP(A378,'Over to underbark'!$A$47:$A$48,'Over to underbark'!$B$47:$B$48)*AH378</f>
        <v>42.324480000000001</v>
      </c>
      <c r="AJ378" s="27">
        <f>LOOKUP(A379,'Over to underbark'!$A$47:$A$48,'Over to underbark'!C$47:C$48)*AH378</f>
        <v>64.809359999999998</v>
      </c>
      <c r="AK378" s="27">
        <f t="shared" si="82"/>
        <v>174.58848</v>
      </c>
      <c r="AL378" s="33">
        <v>529.05999999999995</v>
      </c>
      <c r="AM378" s="28">
        <f t="shared" si="83"/>
        <v>349.17696000000001</v>
      </c>
      <c r="AO378">
        <f t="shared" si="84"/>
        <v>0.68181818181818177</v>
      </c>
    </row>
    <row r="379" spans="1:41" x14ac:dyDescent="0.35">
      <c r="A379" t="s">
        <v>41</v>
      </c>
      <c r="B379">
        <v>8</v>
      </c>
      <c r="C379">
        <v>2</v>
      </c>
      <c r="D379" t="s">
        <v>40</v>
      </c>
      <c r="E379">
        <v>2</v>
      </c>
      <c r="F379">
        <v>1</v>
      </c>
      <c r="G379" s="16">
        <v>56</v>
      </c>
      <c r="H379" s="16">
        <v>17.728000000000002</v>
      </c>
      <c r="I379" s="16">
        <v>1661</v>
      </c>
      <c r="J379" s="16">
        <v>20.524000000000001</v>
      </c>
      <c r="K379" s="16">
        <v>54.953000000000003</v>
      </c>
      <c r="L379" s="16">
        <v>0.246</v>
      </c>
      <c r="M379" s="23">
        <v>409.34</v>
      </c>
      <c r="N379" s="16">
        <v>3.3479999999999999</v>
      </c>
      <c r="O379" s="17">
        <v>7.31</v>
      </c>
      <c r="P379" s="18">
        <v>56</v>
      </c>
      <c r="Q379" s="18">
        <v>20.524000000000001</v>
      </c>
      <c r="R379" s="18">
        <v>220.82499999999999</v>
      </c>
      <c r="S379" s="18">
        <v>188.51499999999999</v>
      </c>
      <c r="T379" s="14" t="b">
        <f t="shared" si="85"/>
        <v>1</v>
      </c>
      <c r="U379" s="14" t="b">
        <f t="shared" si="86"/>
        <v>1</v>
      </c>
      <c r="V379" s="15">
        <f>VLOOKUP(IF(J379&lt;10, 10, IF(J379&gt;50,50,J379)),'Over to underbark'!$A$3:$C$43,IF(A379="Scots pine",3,IF(A379="Sitka spruce",2, "error")),TRUE)/100</f>
        <v>0.9</v>
      </c>
      <c r="W379">
        <f t="shared" si="87"/>
        <v>178.86825000000002</v>
      </c>
      <c r="X379">
        <f t="shared" si="88"/>
        <v>152.69714999999999</v>
      </c>
      <c r="Y379">
        <f t="shared" si="89"/>
        <v>36.840599999999995</v>
      </c>
      <c r="Z379">
        <f t="shared" si="90"/>
        <v>161.700075</v>
      </c>
      <c r="AA379">
        <f t="shared" si="91"/>
        <v>115.08763500000001</v>
      </c>
      <c r="AB379">
        <f t="shared" si="92"/>
        <v>91.618289999999988</v>
      </c>
      <c r="AC379">
        <f>LOOKUP($A379,'Over to underbark'!$A$47:$A$48,'Over to underbark'!E$47:E$48)*Z379</f>
        <v>53.361024749999999</v>
      </c>
      <c r="AD379">
        <f>LOOKUP($A379,'Over to underbark'!$A$47:$A$48,'Over to underbark'!E$47:E$48)*AA379</f>
        <v>37.978919550000001</v>
      </c>
      <c r="AE379">
        <f>LOOKUP($A379,'Over to underbark'!$A$47:$A$48,'Over to underbark'!E$47:E$48)*AB379</f>
        <v>30.234035699999996</v>
      </c>
      <c r="AF379" t="b">
        <f t="shared" si="93"/>
        <v>1</v>
      </c>
      <c r="AG379" t="b">
        <f t="shared" si="94"/>
        <v>1</v>
      </c>
      <c r="AH379">
        <f>LOOKUP(A379,'Over to underbark'!$A$47:$A$48,'Over to underbark'!E$47:E$48)*M379</f>
        <v>135.0822</v>
      </c>
      <c r="AI379" s="27">
        <f>LOOKUP(A379,'Over to underbark'!$A$47:$A$48,'Over to underbark'!$B$47:$B$48)*AH379</f>
        <v>43.226303999999999</v>
      </c>
      <c r="AJ379" s="27">
        <f>LOOKUP(A380,'Over to underbark'!$A$47:$A$48,'Over to underbark'!C$47:C$48)*AH379</f>
        <v>66.190277999999992</v>
      </c>
      <c r="AK379" s="27">
        <f t="shared" si="82"/>
        <v>178.308504</v>
      </c>
      <c r="AL379" s="33">
        <v>540.33000000000004</v>
      </c>
      <c r="AM379" s="28">
        <f t="shared" si="83"/>
        <v>356.617008</v>
      </c>
      <c r="AO379">
        <f t="shared" si="84"/>
        <v>0.68181818181818177</v>
      </c>
    </row>
    <row r="380" spans="1:41" x14ac:dyDescent="0.35">
      <c r="A380" t="s">
        <v>41</v>
      </c>
      <c r="B380">
        <v>8</v>
      </c>
      <c r="C380">
        <v>2</v>
      </c>
      <c r="D380" t="s">
        <v>40</v>
      </c>
      <c r="E380">
        <v>2</v>
      </c>
      <c r="F380">
        <v>1</v>
      </c>
      <c r="G380" s="16">
        <v>57</v>
      </c>
      <c r="H380" s="16">
        <v>17.956</v>
      </c>
      <c r="I380" s="16">
        <v>1641</v>
      </c>
      <c r="J380" s="16">
        <v>20.721</v>
      </c>
      <c r="K380" s="16">
        <v>55.338000000000001</v>
      </c>
      <c r="L380" s="16">
        <v>0.255</v>
      </c>
      <c r="M380" s="23">
        <v>417.88</v>
      </c>
      <c r="N380" s="16">
        <v>3.5680000000000001</v>
      </c>
      <c r="O380" s="17">
        <v>7.3310000000000004</v>
      </c>
      <c r="P380" s="18">
        <v>57</v>
      </c>
      <c r="Q380" s="18">
        <v>20.721</v>
      </c>
      <c r="R380" s="18">
        <v>221.07400000000001</v>
      </c>
      <c r="S380" s="18">
        <v>196.80600000000001</v>
      </c>
      <c r="T380" s="14" t="b">
        <f t="shared" si="85"/>
        <v>1</v>
      </c>
      <c r="U380" s="14" t="b">
        <f t="shared" si="86"/>
        <v>1</v>
      </c>
      <c r="V380" s="15">
        <f>VLOOKUP(IF(J380&lt;10, 10, IF(J380&gt;50,50,J380)),'Over to underbark'!$A$3:$C$43,IF(A380="Scots pine",3,IF(A380="Sitka spruce",2, "error")),TRUE)/100</f>
        <v>0.9</v>
      </c>
      <c r="W380">
        <f t="shared" si="87"/>
        <v>179.06994000000003</v>
      </c>
      <c r="X380">
        <f t="shared" si="88"/>
        <v>159.41286000000002</v>
      </c>
      <c r="Y380">
        <f t="shared" si="89"/>
        <v>37.609199999999987</v>
      </c>
      <c r="Z380">
        <f t="shared" si="90"/>
        <v>163.5909948</v>
      </c>
      <c r="AA380">
        <f t="shared" si="91"/>
        <v>116.85328920000002</v>
      </c>
      <c r="AB380">
        <f t="shared" si="92"/>
        <v>95.647716000000017</v>
      </c>
      <c r="AC380">
        <f>LOOKUP($A380,'Over to underbark'!$A$47:$A$48,'Over to underbark'!E$47:E$48)*Z380</f>
        <v>53.985028284000002</v>
      </c>
      <c r="AD380">
        <f>LOOKUP($A380,'Over to underbark'!$A$47:$A$48,'Over to underbark'!E$47:E$48)*AA380</f>
        <v>38.561585436000009</v>
      </c>
      <c r="AE380">
        <f>LOOKUP($A380,'Over to underbark'!$A$47:$A$48,'Over to underbark'!E$47:E$48)*AB380</f>
        <v>31.563746280000007</v>
      </c>
      <c r="AF380" t="b">
        <f t="shared" si="93"/>
        <v>1</v>
      </c>
      <c r="AG380" t="b">
        <f t="shared" si="94"/>
        <v>1</v>
      </c>
      <c r="AH380">
        <f>LOOKUP(A380,'Over to underbark'!$A$47:$A$48,'Over to underbark'!E$47:E$48)*M380</f>
        <v>137.90040000000002</v>
      </c>
      <c r="AI380" s="27">
        <f>LOOKUP(A380,'Over to underbark'!$A$47:$A$48,'Over to underbark'!$B$47:$B$48)*AH380</f>
        <v>44.128128000000004</v>
      </c>
      <c r="AJ380" s="27">
        <f>LOOKUP(A381,'Over to underbark'!$A$47:$A$48,'Over to underbark'!C$47:C$48)*AH380</f>
        <v>67.571196000000015</v>
      </c>
      <c r="AK380" s="27">
        <f t="shared" si="82"/>
        <v>182.02852800000002</v>
      </c>
      <c r="AL380" s="33">
        <v>551.6</v>
      </c>
      <c r="AM380" s="28">
        <f t="shared" si="83"/>
        <v>364.05705600000005</v>
      </c>
      <c r="AO380">
        <f t="shared" si="84"/>
        <v>0.68181818181818177</v>
      </c>
    </row>
    <row r="381" spans="1:41" x14ac:dyDescent="0.35">
      <c r="A381" t="s">
        <v>41</v>
      </c>
      <c r="B381">
        <v>8</v>
      </c>
      <c r="C381">
        <v>2</v>
      </c>
      <c r="D381" t="s">
        <v>40</v>
      </c>
      <c r="E381">
        <v>2</v>
      </c>
      <c r="F381">
        <v>1</v>
      </c>
      <c r="G381" s="16">
        <v>58</v>
      </c>
      <c r="H381" s="16">
        <v>18.184000000000001</v>
      </c>
      <c r="I381" s="16">
        <v>1621</v>
      </c>
      <c r="J381" s="16">
        <v>20.920999999999999</v>
      </c>
      <c r="K381" s="16">
        <v>55.722999999999999</v>
      </c>
      <c r="L381" s="16">
        <v>0.26300000000000001</v>
      </c>
      <c r="M381" s="23">
        <v>426.42</v>
      </c>
      <c r="N381" s="16">
        <v>3.7770000000000001</v>
      </c>
      <c r="O381" s="17">
        <v>7.3520000000000003</v>
      </c>
      <c r="P381" s="18">
        <v>58</v>
      </c>
      <c r="Q381" s="18">
        <v>20.920999999999999</v>
      </c>
      <c r="R381" s="18">
        <v>221.131</v>
      </c>
      <c r="S381" s="18">
        <v>205.28899999999999</v>
      </c>
      <c r="T381" s="14" t="b">
        <f t="shared" si="85"/>
        <v>1</v>
      </c>
      <c r="U381" s="14" t="b">
        <f t="shared" si="86"/>
        <v>1</v>
      </c>
      <c r="V381" s="15">
        <f>VLOOKUP(IF(J381&lt;10, 10, IF(J381&gt;50,50,J381)),'Over to underbark'!$A$3:$C$43,IF(A381="Scots pine",3,IF(A381="Sitka spruce",2, "error")),TRUE)/100</f>
        <v>0.9</v>
      </c>
      <c r="W381">
        <f t="shared" si="87"/>
        <v>179.11610999999999</v>
      </c>
      <c r="X381">
        <f t="shared" si="88"/>
        <v>166.28408999999999</v>
      </c>
      <c r="Y381">
        <f t="shared" si="89"/>
        <v>38.377799999999986</v>
      </c>
      <c r="Z381">
        <f t="shared" si="90"/>
        <v>165.41659619999996</v>
      </c>
      <c r="AA381">
        <f t="shared" si="91"/>
        <v>118.59094979999999</v>
      </c>
      <c r="AB381">
        <f t="shared" si="92"/>
        <v>99.770453999999987</v>
      </c>
      <c r="AC381">
        <f>LOOKUP($A381,'Over to underbark'!$A$47:$A$48,'Over to underbark'!E$47:E$48)*Z381</f>
        <v>54.587476745999986</v>
      </c>
      <c r="AD381">
        <f>LOOKUP($A381,'Over to underbark'!$A$47:$A$48,'Over to underbark'!E$47:E$48)*AA381</f>
        <v>39.135013434000001</v>
      </c>
      <c r="AE381">
        <f>LOOKUP($A381,'Over to underbark'!$A$47:$A$48,'Over to underbark'!E$47:E$48)*AB381</f>
        <v>32.92424982</v>
      </c>
      <c r="AF381" t="b">
        <f t="shared" si="93"/>
        <v>1</v>
      </c>
      <c r="AG381" t="b">
        <f t="shared" si="94"/>
        <v>1</v>
      </c>
      <c r="AH381">
        <f>LOOKUP(A381,'Over to underbark'!$A$47:$A$48,'Over to underbark'!E$47:E$48)*M381</f>
        <v>140.71860000000001</v>
      </c>
      <c r="AI381" s="27">
        <f>LOOKUP(A381,'Over to underbark'!$A$47:$A$48,'Over to underbark'!$B$47:$B$48)*AH381</f>
        <v>45.029952000000002</v>
      </c>
      <c r="AJ381" s="27">
        <f>LOOKUP(A382,'Over to underbark'!$A$47:$A$48,'Over to underbark'!C$47:C$48)*AH381</f>
        <v>68.952114000000009</v>
      </c>
      <c r="AK381" s="27">
        <f t="shared" si="82"/>
        <v>185.74855200000002</v>
      </c>
      <c r="AL381" s="33">
        <v>562.87</v>
      </c>
      <c r="AM381" s="28">
        <f t="shared" si="83"/>
        <v>371.49710400000004</v>
      </c>
      <c r="AO381">
        <f t="shared" si="84"/>
        <v>0.68181818181818177</v>
      </c>
    </row>
    <row r="382" spans="1:41" x14ac:dyDescent="0.35">
      <c r="A382" t="s">
        <v>41</v>
      </c>
      <c r="B382">
        <v>8</v>
      </c>
      <c r="C382">
        <v>2</v>
      </c>
      <c r="D382" t="s">
        <v>40</v>
      </c>
      <c r="E382">
        <v>2</v>
      </c>
      <c r="F382">
        <v>1</v>
      </c>
      <c r="G382" s="16">
        <v>59</v>
      </c>
      <c r="H382" s="16">
        <v>18.411999999999999</v>
      </c>
      <c r="I382" s="16">
        <v>1601</v>
      </c>
      <c r="J382" s="16">
        <v>21.123999999999999</v>
      </c>
      <c r="K382" s="16">
        <v>56.109000000000002</v>
      </c>
      <c r="L382" s="16">
        <v>0.27200000000000002</v>
      </c>
      <c r="M382" s="23">
        <v>434.96</v>
      </c>
      <c r="N382" s="16">
        <v>3.9780000000000002</v>
      </c>
      <c r="O382" s="17">
        <v>7.3719999999999999</v>
      </c>
      <c r="P382" s="18">
        <v>59</v>
      </c>
      <c r="Q382" s="18">
        <v>21.123999999999999</v>
      </c>
      <c r="R382" s="18">
        <v>220.999</v>
      </c>
      <c r="S382" s="18">
        <v>213.96100000000001</v>
      </c>
      <c r="T382" s="14" t="b">
        <f t="shared" si="85"/>
        <v>1</v>
      </c>
      <c r="U382" s="14" t="b">
        <f t="shared" si="86"/>
        <v>1</v>
      </c>
      <c r="V382" s="15">
        <f>VLOOKUP(IF(J382&lt;10, 10, IF(J382&gt;50,50,J382)),'Over to underbark'!$A$3:$C$43,IF(A382="Scots pine",3,IF(A382="Sitka spruce",2, "error")),TRUE)/100</f>
        <v>0.9</v>
      </c>
      <c r="W382">
        <f t="shared" si="87"/>
        <v>179.00919000000002</v>
      </c>
      <c r="X382">
        <f t="shared" si="88"/>
        <v>173.30841000000004</v>
      </c>
      <c r="Y382">
        <f t="shared" si="89"/>
        <v>39.1464</v>
      </c>
      <c r="Z382">
        <f t="shared" si="90"/>
        <v>167.17789980000001</v>
      </c>
      <c r="AA382">
        <f t="shared" si="91"/>
        <v>120.30105420000001</v>
      </c>
      <c r="AB382">
        <f t="shared" si="92"/>
        <v>103.98504600000003</v>
      </c>
      <c r="AC382">
        <f>LOOKUP($A382,'Over to underbark'!$A$47:$A$48,'Over to underbark'!E$47:E$48)*Z382</f>
        <v>55.168706934000006</v>
      </c>
      <c r="AD382">
        <f>LOOKUP($A382,'Over to underbark'!$A$47:$A$48,'Over to underbark'!E$47:E$48)*AA382</f>
        <v>39.699347886000005</v>
      </c>
      <c r="AE382">
        <f>LOOKUP($A382,'Over to underbark'!$A$47:$A$48,'Over to underbark'!E$47:E$48)*AB382</f>
        <v>34.315065180000012</v>
      </c>
      <c r="AF382" t="b">
        <f t="shared" si="93"/>
        <v>1</v>
      </c>
      <c r="AG382" t="b">
        <f t="shared" si="94"/>
        <v>1</v>
      </c>
      <c r="AH382">
        <f>LOOKUP(A382,'Over to underbark'!$A$47:$A$48,'Over to underbark'!E$47:E$48)*M382</f>
        <v>143.5368</v>
      </c>
      <c r="AI382" s="27">
        <f>LOOKUP(A382,'Over to underbark'!$A$47:$A$48,'Over to underbark'!$B$47:$B$48)*AH382</f>
        <v>45.931775999999999</v>
      </c>
      <c r="AJ382" s="27">
        <f>LOOKUP(A383,'Over to underbark'!$A$47:$A$48,'Over to underbark'!C$47:C$48)*AH382</f>
        <v>70.333032000000003</v>
      </c>
      <c r="AK382" s="27">
        <f t="shared" si="82"/>
        <v>189.46857599999998</v>
      </c>
      <c r="AL382" s="33">
        <v>574.15</v>
      </c>
      <c r="AM382" s="28">
        <f t="shared" si="83"/>
        <v>378.93715199999997</v>
      </c>
      <c r="AO382">
        <f t="shared" si="84"/>
        <v>0.68181818181818199</v>
      </c>
    </row>
    <row r="383" spans="1:41" x14ac:dyDescent="0.35">
      <c r="A383" t="s">
        <v>41</v>
      </c>
      <c r="B383">
        <v>8</v>
      </c>
      <c r="C383">
        <v>2</v>
      </c>
      <c r="D383" t="s">
        <v>40</v>
      </c>
      <c r="E383">
        <v>2</v>
      </c>
      <c r="F383">
        <v>1</v>
      </c>
      <c r="G383" s="16">
        <v>60</v>
      </c>
      <c r="H383" s="16">
        <v>18.64</v>
      </c>
      <c r="I383" s="16">
        <v>1581</v>
      </c>
      <c r="J383" s="16">
        <v>21.33</v>
      </c>
      <c r="K383" s="16">
        <v>56.494</v>
      </c>
      <c r="L383" s="16">
        <v>0.28100000000000003</v>
      </c>
      <c r="M383" s="23">
        <v>443.5</v>
      </c>
      <c r="N383" s="16">
        <v>4.17</v>
      </c>
      <c r="O383" s="17">
        <v>7.3920000000000003</v>
      </c>
      <c r="P383" s="18">
        <v>60</v>
      </c>
      <c r="Q383" s="18">
        <v>21.33</v>
      </c>
      <c r="R383" s="18">
        <v>220.68</v>
      </c>
      <c r="S383" s="18">
        <v>222.82</v>
      </c>
      <c r="T383" s="14" t="b">
        <f t="shared" si="85"/>
        <v>1</v>
      </c>
      <c r="U383" s="14" t="b">
        <f t="shared" si="86"/>
        <v>1</v>
      </c>
      <c r="V383" s="15">
        <f>VLOOKUP(IF(J383&lt;10, 10, IF(J383&gt;50,50,J383)),'Over to underbark'!$A$3:$C$43,IF(A383="Scots pine",3,IF(A383="Sitka spruce",2, "error")),TRUE)/100</f>
        <v>0.9</v>
      </c>
      <c r="W383">
        <f t="shared" si="87"/>
        <v>178.75080000000003</v>
      </c>
      <c r="X383">
        <f t="shared" si="88"/>
        <v>180.48420000000002</v>
      </c>
      <c r="Y383">
        <f t="shared" si="89"/>
        <v>39.914999999999992</v>
      </c>
      <c r="Z383">
        <f t="shared" si="90"/>
        <v>168.875586</v>
      </c>
      <c r="AA383">
        <f t="shared" si="91"/>
        <v>121.98389400000002</v>
      </c>
      <c r="AB383">
        <f t="shared" si="92"/>
        <v>108.29052</v>
      </c>
      <c r="AC383">
        <f>LOOKUP($A383,'Over to underbark'!$A$47:$A$48,'Over to underbark'!E$47:E$48)*Z383</f>
        <v>55.728943380000004</v>
      </c>
      <c r="AD383">
        <f>LOOKUP($A383,'Over to underbark'!$A$47:$A$48,'Over to underbark'!E$47:E$48)*AA383</f>
        <v>40.254685020000011</v>
      </c>
      <c r="AE383">
        <f>LOOKUP($A383,'Over to underbark'!$A$47:$A$48,'Over to underbark'!E$47:E$48)*AB383</f>
        <v>35.735871600000003</v>
      </c>
      <c r="AF383" t="b">
        <f t="shared" si="93"/>
        <v>1</v>
      </c>
      <c r="AG383" t="b">
        <f t="shared" si="94"/>
        <v>1</v>
      </c>
      <c r="AH383">
        <f>LOOKUP(A383,'Over to underbark'!$A$47:$A$48,'Over to underbark'!E$47:E$48)*M383</f>
        <v>146.35500000000002</v>
      </c>
      <c r="AI383" s="27">
        <f>LOOKUP(A383,'Over to underbark'!$A$47:$A$48,'Over to underbark'!$B$47:$B$48)*AH383</f>
        <v>46.833600000000004</v>
      </c>
      <c r="AJ383" s="27">
        <f>LOOKUP(A384,'Over to underbark'!$A$47:$A$48,'Over to underbark'!C$47:C$48)*AH383</f>
        <v>71.713950000000011</v>
      </c>
      <c r="AK383" s="27">
        <f t="shared" si="82"/>
        <v>193.18860000000001</v>
      </c>
      <c r="AL383" s="33">
        <v>585.41999999999996</v>
      </c>
      <c r="AM383" s="28">
        <f t="shared" si="83"/>
        <v>386.37720000000002</v>
      </c>
      <c r="AO383">
        <f t="shared" si="84"/>
        <v>0.68181818181818188</v>
      </c>
    </row>
    <row r="384" spans="1:41" x14ac:dyDescent="0.35">
      <c r="A384" t="s">
        <v>41</v>
      </c>
      <c r="B384">
        <v>8</v>
      </c>
      <c r="C384">
        <v>2</v>
      </c>
      <c r="D384" t="s">
        <v>40</v>
      </c>
      <c r="E384">
        <v>2</v>
      </c>
      <c r="F384">
        <v>1</v>
      </c>
      <c r="G384" s="16">
        <v>61</v>
      </c>
      <c r="H384" s="16">
        <v>18.827999999999999</v>
      </c>
      <c r="I384" s="16">
        <v>1564</v>
      </c>
      <c r="J384" s="16">
        <v>21.507000000000001</v>
      </c>
      <c r="K384" s="16">
        <v>56.816000000000003</v>
      </c>
      <c r="L384" s="16">
        <v>0.28799999999999998</v>
      </c>
      <c r="M384" s="23">
        <v>450.56</v>
      </c>
      <c r="N384" s="16">
        <v>4.4050000000000002</v>
      </c>
      <c r="O384" s="17">
        <v>7.3860000000000001</v>
      </c>
      <c r="P384" s="18">
        <v>61</v>
      </c>
      <c r="Q384" s="18">
        <v>21.507000000000001</v>
      </c>
      <c r="R384" s="18">
        <v>220.178</v>
      </c>
      <c r="S384" s="18">
        <v>230.38200000000001</v>
      </c>
      <c r="T384" s="14" t="b">
        <f t="shared" si="85"/>
        <v>1</v>
      </c>
      <c r="U384" s="14" t="b">
        <f t="shared" si="86"/>
        <v>1</v>
      </c>
      <c r="V384" s="15">
        <f>VLOOKUP(IF(J384&lt;10, 10, IF(J384&gt;50,50,J384)),'Over to underbark'!$A$3:$C$43,IF(A384="Scots pine",3,IF(A384="Sitka spruce",2, "error")),TRUE)/100</f>
        <v>0.9</v>
      </c>
      <c r="W384">
        <f t="shared" si="87"/>
        <v>178.34417999999999</v>
      </c>
      <c r="X384">
        <f t="shared" si="88"/>
        <v>186.60942000000003</v>
      </c>
      <c r="Y384">
        <f t="shared" si="89"/>
        <v>40.550399999999996</v>
      </c>
      <c r="Z384">
        <f t="shared" si="90"/>
        <v>170.19799559999998</v>
      </c>
      <c r="AA384">
        <f t="shared" si="91"/>
        <v>123.3403524</v>
      </c>
      <c r="AB384">
        <f t="shared" si="92"/>
        <v>111.96565200000002</v>
      </c>
      <c r="AC384">
        <f>LOOKUP($A384,'Over to underbark'!$A$47:$A$48,'Over to underbark'!E$47:E$48)*Z384</f>
        <v>56.165338547999994</v>
      </c>
      <c r="AD384">
        <f>LOOKUP($A384,'Over to underbark'!$A$47:$A$48,'Over to underbark'!E$47:E$48)*AA384</f>
        <v>40.702316291999999</v>
      </c>
      <c r="AE384">
        <f>LOOKUP($A384,'Over to underbark'!$A$47:$A$48,'Over to underbark'!E$47:E$48)*AB384</f>
        <v>36.948665160000012</v>
      </c>
      <c r="AF384" t="b">
        <f t="shared" si="93"/>
        <v>1</v>
      </c>
      <c r="AG384" t="b">
        <f t="shared" si="94"/>
        <v>1</v>
      </c>
      <c r="AH384">
        <f>LOOKUP(A384,'Over to underbark'!$A$47:$A$48,'Over to underbark'!E$47:E$48)*M384</f>
        <v>148.6848</v>
      </c>
      <c r="AI384" s="27">
        <f>LOOKUP(A384,'Over to underbark'!$A$47:$A$48,'Over to underbark'!$B$47:$B$48)*AH384</f>
        <v>47.579135999999998</v>
      </c>
      <c r="AJ384" s="27">
        <f>LOOKUP(A385,'Over to underbark'!$A$47:$A$48,'Over to underbark'!C$47:C$48)*AH384</f>
        <v>72.855552000000003</v>
      </c>
      <c r="AK384" s="27">
        <f t="shared" si="82"/>
        <v>196.263936</v>
      </c>
      <c r="AL384" s="33">
        <v>594.74</v>
      </c>
      <c r="AM384" s="28">
        <f t="shared" si="83"/>
        <v>392.527872</v>
      </c>
      <c r="AO384">
        <f t="shared" si="84"/>
        <v>0.68181818181818188</v>
      </c>
    </row>
    <row r="385" spans="1:41" x14ac:dyDescent="0.35">
      <c r="A385" t="s">
        <v>41</v>
      </c>
      <c r="B385">
        <v>8</v>
      </c>
      <c r="C385">
        <v>2</v>
      </c>
      <c r="D385" t="s">
        <v>40</v>
      </c>
      <c r="E385">
        <v>2</v>
      </c>
      <c r="F385">
        <v>1</v>
      </c>
      <c r="G385" s="16">
        <v>62</v>
      </c>
      <c r="H385" s="16">
        <v>19.015999999999998</v>
      </c>
      <c r="I385" s="16">
        <v>1547</v>
      </c>
      <c r="J385" s="16">
        <v>21.686</v>
      </c>
      <c r="K385" s="16">
        <v>57.137</v>
      </c>
      <c r="L385" s="16">
        <v>0.29599999999999999</v>
      </c>
      <c r="M385" s="23">
        <v>457.62</v>
      </c>
      <c r="N385" s="16">
        <v>4.6310000000000002</v>
      </c>
      <c r="O385" s="17">
        <v>7.3810000000000002</v>
      </c>
      <c r="P385" s="18">
        <v>62</v>
      </c>
      <c r="Q385" s="18">
        <v>21.686</v>
      </c>
      <c r="R385" s="18">
        <v>219.554</v>
      </c>
      <c r="S385" s="18">
        <v>238.066</v>
      </c>
      <c r="T385" s="14" t="b">
        <f t="shared" si="85"/>
        <v>1</v>
      </c>
      <c r="U385" s="14" t="b">
        <f t="shared" si="86"/>
        <v>1</v>
      </c>
      <c r="V385" s="15">
        <f>VLOOKUP(IF(J385&lt;10, 10, IF(J385&gt;50,50,J385)),'Over to underbark'!$A$3:$C$43,IF(A385="Scots pine",3,IF(A385="Sitka spruce",2, "error")),TRUE)/100</f>
        <v>0.9</v>
      </c>
      <c r="W385">
        <f t="shared" si="87"/>
        <v>177.83874</v>
      </c>
      <c r="X385">
        <f t="shared" si="88"/>
        <v>192.83346</v>
      </c>
      <c r="Y385">
        <f t="shared" si="89"/>
        <v>41.185799999999993</v>
      </c>
      <c r="Z385">
        <f t="shared" si="90"/>
        <v>171.47890079999999</v>
      </c>
      <c r="AA385">
        <f t="shared" si="91"/>
        <v>124.6790232</v>
      </c>
      <c r="AB385">
        <f t="shared" si="92"/>
        <v>115.700076</v>
      </c>
      <c r="AC385">
        <f>LOOKUP($A385,'Over to underbark'!$A$47:$A$48,'Over to underbark'!E$47:E$48)*Z385</f>
        <v>56.588037264</v>
      </c>
      <c r="AD385">
        <f>LOOKUP($A385,'Over to underbark'!$A$47:$A$48,'Over to underbark'!E$47:E$48)*AA385</f>
        <v>41.144077656</v>
      </c>
      <c r="AE385">
        <f>LOOKUP($A385,'Over to underbark'!$A$47:$A$48,'Over to underbark'!E$47:E$48)*AB385</f>
        <v>38.181025079999998</v>
      </c>
      <c r="AF385" t="b">
        <f t="shared" si="93"/>
        <v>1</v>
      </c>
      <c r="AG385" t="b">
        <f t="shared" si="94"/>
        <v>1</v>
      </c>
      <c r="AH385">
        <f>LOOKUP(A385,'Over to underbark'!$A$47:$A$48,'Over to underbark'!E$47:E$48)*M385</f>
        <v>151.0146</v>
      </c>
      <c r="AI385" s="27">
        <f>LOOKUP(A385,'Over to underbark'!$A$47:$A$48,'Over to underbark'!$B$47:$B$48)*AH385</f>
        <v>48.324672</v>
      </c>
      <c r="AJ385" s="27">
        <f>LOOKUP(A386,'Over to underbark'!$A$47:$A$48,'Over to underbark'!C$47:C$48)*AH385</f>
        <v>73.997153999999995</v>
      </c>
      <c r="AK385" s="27">
        <f t="shared" si="82"/>
        <v>199.33927199999999</v>
      </c>
      <c r="AL385" s="33">
        <v>604.05999999999995</v>
      </c>
      <c r="AM385" s="28">
        <f t="shared" si="83"/>
        <v>398.67854399999999</v>
      </c>
      <c r="AO385">
        <f t="shared" si="84"/>
        <v>0.68181818181818188</v>
      </c>
    </row>
    <row r="386" spans="1:41" x14ac:dyDescent="0.35">
      <c r="A386" t="s">
        <v>41</v>
      </c>
      <c r="B386">
        <v>8</v>
      </c>
      <c r="C386">
        <v>2</v>
      </c>
      <c r="D386" t="s">
        <v>40</v>
      </c>
      <c r="E386">
        <v>2</v>
      </c>
      <c r="F386">
        <v>1</v>
      </c>
      <c r="G386" s="16">
        <v>63</v>
      </c>
      <c r="H386" s="16">
        <v>19.204000000000001</v>
      </c>
      <c r="I386" s="16">
        <v>1530</v>
      </c>
      <c r="J386" s="16">
        <v>21.867000000000001</v>
      </c>
      <c r="K386" s="16">
        <v>57.459000000000003</v>
      </c>
      <c r="L386" s="16">
        <v>0.30399999999999999</v>
      </c>
      <c r="M386" s="23">
        <v>464.68</v>
      </c>
      <c r="N386" s="16">
        <v>4.8490000000000002</v>
      </c>
      <c r="O386" s="17">
        <v>7.3760000000000003</v>
      </c>
      <c r="P386" s="18">
        <v>63</v>
      </c>
      <c r="Q386" s="18">
        <v>21.867000000000001</v>
      </c>
      <c r="R386" s="18">
        <v>218.809</v>
      </c>
      <c r="S386" s="18">
        <v>245.87100000000001</v>
      </c>
      <c r="T386" s="14" t="b">
        <f t="shared" si="85"/>
        <v>1</v>
      </c>
      <c r="U386" s="14" t="b">
        <f t="shared" si="86"/>
        <v>1</v>
      </c>
      <c r="V386" s="15">
        <f>VLOOKUP(IF(J386&lt;10, 10, IF(J386&gt;50,50,J386)),'Over to underbark'!$A$3:$C$43,IF(A386="Scots pine",3,IF(A386="Sitka spruce",2, "error")),TRUE)/100</f>
        <v>0.9</v>
      </c>
      <c r="W386">
        <f t="shared" si="87"/>
        <v>177.23528999999999</v>
      </c>
      <c r="X386">
        <f t="shared" si="88"/>
        <v>199.15551000000002</v>
      </c>
      <c r="Y386">
        <f t="shared" si="89"/>
        <v>41.82119999999999</v>
      </c>
      <c r="Z386">
        <f t="shared" si="90"/>
        <v>172.71864179999997</v>
      </c>
      <c r="AA386">
        <f t="shared" si="91"/>
        <v>126.0000522</v>
      </c>
      <c r="AB386">
        <f t="shared" si="92"/>
        <v>119.493306</v>
      </c>
      <c r="AC386">
        <f>LOOKUP($A386,'Over to underbark'!$A$47:$A$48,'Over to underbark'!E$47:E$48)*Z386</f>
        <v>56.99715179399999</v>
      </c>
      <c r="AD386">
        <f>LOOKUP($A386,'Over to underbark'!$A$47:$A$48,'Over to underbark'!E$47:E$48)*AA386</f>
        <v>41.580017226000002</v>
      </c>
      <c r="AE386">
        <f>LOOKUP($A386,'Over to underbark'!$A$47:$A$48,'Over to underbark'!E$47:E$48)*AB386</f>
        <v>39.43279098</v>
      </c>
      <c r="AF386" t="b">
        <f t="shared" si="93"/>
        <v>1</v>
      </c>
      <c r="AG386" t="b">
        <f t="shared" si="94"/>
        <v>1</v>
      </c>
      <c r="AH386">
        <f>LOOKUP(A386,'Over to underbark'!$A$47:$A$48,'Over to underbark'!E$47:E$48)*M386</f>
        <v>153.34440000000001</v>
      </c>
      <c r="AI386" s="27">
        <f>LOOKUP(A386,'Over to underbark'!$A$47:$A$48,'Over to underbark'!$B$47:$B$48)*AH386</f>
        <v>49.070208000000001</v>
      </c>
      <c r="AJ386" s="27">
        <f>LOOKUP(A387,'Over to underbark'!$A$47:$A$48,'Over to underbark'!C$47:C$48)*AH386</f>
        <v>75.138756000000001</v>
      </c>
      <c r="AK386" s="27">
        <f t="shared" si="82"/>
        <v>202.41460800000002</v>
      </c>
      <c r="AL386" s="33">
        <v>613.38</v>
      </c>
      <c r="AM386" s="28">
        <f t="shared" si="83"/>
        <v>404.82921600000003</v>
      </c>
      <c r="AO386">
        <f t="shared" si="84"/>
        <v>0.68181818181818166</v>
      </c>
    </row>
    <row r="387" spans="1:41" x14ac:dyDescent="0.35">
      <c r="A387" t="s">
        <v>41</v>
      </c>
      <c r="B387">
        <v>8</v>
      </c>
      <c r="C387">
        <v>2</v>
      </c>
      <c r="D387" t="s">
        <v>40</v>
      </c>
      <c r="E387">
        <v>2</v>
      </c>
      <c r="F387">
        <v>1</v>
      </c>
      <c r="G387" s="16">
        <v>64</v>
      </c>
      <c r="H387" s="16">
        <v>19.391999999999999</v>
      </c>
      <c r="I387" s="16">
        <v>1513</v>
      </c>
      <c r="J387" s="16">
        <v>22.050999999999998</v>
      </c>
      <c r="K387" s="16">
        <v>57.78</v>
      </c>
      <c r="L387" s="16">
        <v>0.312</v>
      </c>
      <c r="M387" s="23">
        <v>471.74</v>
      </c>
      <c r="N387" s="16">
        <v>5.0599999999999996</v>
      </c>
      <c r="O387" s="17">
        <v>7.3710000000000004</v>
      </c>
      <c r="P387" s="18">
        <v>64</v>
      </c>
      <c r="Q387" s="18">
        <v>22.050999999999998</v>
      </c>
      <c r="R387" s="18">
        <v>217.92400000000001</v>
      </c>
      <c r="S387" s="18">
        <v>253.816</v>
      </c>
      <c r="T387" s="14" t="b">
        <f t="shared" si="85"/>
        <v>1</v>
      </c>
      <c r="U387" s="14" t="b">
        <f t="shared" si="86"/>
        <v>1</v>
      </c>
      <c r="V387" s="15">
        <f>VLOOKUP(IF(J387&lt;10, 10, IF(J387&gt;50,50,J387)),'Over to underbark'!$A$3:$C$43,IF(A387="Scots pine",3,IF(A387="Sitka spruce",2, "error")),TRUE)/100</f>
        <v>0.9</v>
      </c>
      <c r="W387">
        <f t="shared" si="87"/>
        <v>176.51844000000003</v>
      </c>
      <c r="X387">
        <f t="shared" si="88"/>
        <v>205.59096000000002</v>
      </c>
      <c r="Y387">
        <f t="shared" si="89"/>
        <v>42.456599999999995</v>
      </c>
      <c r="Z387">
        <f t="shared" si="90"/>
        <v>173.91075480000001</v>
      </c>
      <c r="AA387">
        <f t="shared" si="91"/>
        <v>127.30066920000002</v>
      </c>
      <c r="AB387">
        <f t="shared" si="92"/>
        <v>123.35457600000001</v>
      </c>
      <c r="AC387">
        <f>LOOKUP($A387,'Over to underbark'!$A$47:$A$48,'Over to underbark'!E$47:E$48)*Z387</f>
        <v>57.390549084000007</v>
      </c>
      <c r="AD387">
        <f>LOOKUP($A387,'Over to underbark'!$A$47:$A$48,'Over to underbark'!E$47:E$48)*AA387</f>
        <v>42.009220836000004</v>
      </c>
      <c r="AE387">
        <f>LOOKUP($A387,'Over to underbark'!$A$47:$A$48,'Over to underbark'!E$47:E$48)*AB387</f>
        <v>40.707010080000003</v>
      </c>
      <c r="AF387" t="b">
        <f t="shared" si="93"/>
        <v>1</v>
      </c>
      <c r="AG387" t="b">
        <f t="shared" si="94"/>
        <v>1</v>
      </c>
      <c r="AH387">
        <f>LOOKUP(A387,'Over to underbark'!$A$47:$A$48,'Over to underbark'!E$47:E$48)*M387</f>
        <v>155.67420000000001</v>
      </c>
      <c r="AI387" s="27">
        <f>LOOKUP(A387,'Over to underbark'!$A$47:$A$48,'Over to underbark'!$B$47:$B$48)*AH387</f>
        <v>49.815744000000002</v>
      </c>
      <c r="AJ387" s="27">
        <f>LOOKUP(A388,'Over to underbark'!$A$47:$A$48,'Over to underbark'!C$47:C$48)*AH387</f>
        <v>76.280358000000007</v>
      </c>
      <c r="AK387" s="27">
        <f t="shared" si="82"/>
        <v>205.48994400000001</v>
      </c>
      <c r="AL387" s="33">
        <v>622.70000000000005</v>
      </c>
      <c r="AM387" s="28">
        <f t="shared" si="83"/>
        <v>410.97988800000002</v>
      </c>
      <c r="AO387">
        <f t="shared" si="84"/>
        <v>0.68181818181818188</v>
      </c>
    </row>
    <row r="388" spans="1:41" x14ac:dyDescent="0.35">
      <c r="A388" t="s">
        <v>41</v>
      </c>
      <c r="B388">
        <v>8</v>
      </c>
      <c r="C388">
        <v>2</v>
      </c>
      <c r="D388" t="s">
        <v>40</v>
      </c>
      <c r="E388">
        <v>2</v>
      </c>
      <c r="F388">
        <v>1</v>
      </c>
      <c r="G388" s="16">
        <v>65</v>
      </c>
      <c r="H388" s="16">
        <v>19.579999999999998</v>
      </c>
      <c r="I388" s="16">
        <v>1497</v>
      </c>
      <c r="J388" s="16">
        <v>22.23</v>
      </c>
      <c r="K388" s="16">
        <v>58.101999999999997</v>
      </c>
      <c r="L388" s="16">
        <v>0.32</v>
      </c>
      <c r="M388" s="23">
        <v>478.8</v>
      </c>
      <c r="N388" s="16">
        <v>5.2629999999999999</v>
      </c>
      <c r="O388" s="17">
        <v>7.3659999999999997</v>
      </c>
      <c r="P388" s="18">
        <v>65</v>
      </c>
      <c r="Q388" s="18">
        <v>22.23</v>
      </c>
      <c r="R388" s="18">
        <v>217.08199999999999</v>
      </c>
      <c r="S388" s="18">
        <v>261.71800000000002</v>
      </c>
      <c r="T388" s="14" t="b">
        <f t="shared" si="85"/>
        <v>1</v>
      </c>
      <c r="U388" s="14" t="b">
        <f t="shared" si="86"/>
        <v>1</v>
      </c>
      <c r="V388" s="15">
        <f>VLOOKUP(IF(J388&lt;10, 10, IF(J388&gt;50,50,J388)),'Over to underbark'!$A$3:$C$43,IF(A388="Scots pine",3,IF(A388="Sitka spruce",2, "error")),TRUE)/100</f>
        <v>0.9</v>
      </c>
      <c r="W388">
        <f t="shared" si="87"/>
        <v>175.83642</v>
      </c>
      <c r="X388">
        <f t="shared" si="88"/>
        <v>211.99158000000003</v>
      </c>
      <c r="Y388">
        <f t="shared" si="89"/>
        <v>43.091999999999992</v>
      </c>
      <c r="Z388">
        <f t="shared" si="90"/>
        <v>175.11749639999999</v>
      </c>
      <c r="AA388">
        <f t="shared" si="91"/>
        <v>128.60755560000001</v>
      </c>
      <c r="AB388">
        <f t="shared" si="92"/>
        <v>127.19494800000001</v>
      </c>
      <c r="AC388">
        <f>LOOKUP($A388,'Over to underbark'!$A$47:$A$48,'Over to underbark'!E$47:E$48)*Z388</f>
        <v>57.788773812000002</v>
      </c>
      <c r="AD388">
        <f>LOOKUP($A388,'Over to underbark'!$A$47:$A$48,'Over to underbark'!E$47:E$48)*AA388</f>
        <v>42.440493348000004</v>
      </c>
      <c r="AE388">
        <f>LOOKUP($A388,'Over to underbark'!$A$47:$A$48,'Over to underbark'!E$47:E$48)*AB388</f>
        <v>41.974332840000002</v>
      </c>
      <c r="AF388" t="b">
        <f t="shared" si="93"/>
        <v>1</v>
      </c>
      <c r="AG388" t="b">
        <f t="shared" si="94"/>
        <v>1</v>
      </c>
      <c r="AH388">
        <f>LOOKUP(A388,'Over to underbark'!$A$47:$A$48,'Over to underbark'!E$47:E$48)*M388</f>
        <v>158.00400000000002</v>
      </c>
      <c r="AI388" s="27">
        <f>LOOKUP(A388,'Over to underbark'!$A$47:$A$48,'Over to underbark'!$B$47:$B$48)*AH388</f>
        <v>50.561280000000011</v>
      </c>
      <c r="AJ388" s="27">
        <f>LOOKUP(A389,'Over to underbark'!$A$47:$A$48,'Over to underbark'!C$47:C$48)*AH388</f>
        <v>77.421960000000013</v>
      </c>
      <c r="AK388" s="27">
        <f t="shared" ref="AK388:AK451" si="95">AH388+AI388</f>
        <v>208.56528000000003</v>
      </c>
      <c r="AL388" s="33">
        <v>632.02</v>
      </c>
      <c r="AM388" s="28">
        <f t="shared" ref="AM388:AM451" si="96">AK388*2</f>
        <v>417.13056000000006</v>
      </c>
      <c r="AO388">
        <f t="shared" ref="AO388:AO451" si="97">(AC388+AD388+AE388)/AK388</f>
        <v>0.68181818181818166</v>
      </c>
    </row>
    <row r="389" spans="1:41" x14ac:dyDescent="0.35">
      <c r="A389" t="s">
        <v>41</v>
      </c>
      <c r="B389">
        <v>8</v>
      </c>
      <c r="C389">
        <v>2</v>
      </c>
      <c r="D389" t="s">
        <v>40</v>
      </c>
      <c r="E389">
        <v>2</v>
      </c>
      <c r="F389">
        <v>1</v>
      </c>
      <c r="G389" s="16">
        <v>66</v>
      </c>
      <c r="H389" s="16">
        <v>19.736000000000001</v>
      </c>
      <c r="I389" s="16">
        <v>1483</v>
      </c>
      <c r="J389" s="16">
        <v>22.382000000000001</v>
      </c>
      <c r="K389" s="16">
        <v>58.35</v>
      </c>
      <c r="L389" s="16">
        <v>0.32700000000000001</v>
      </c>
      <c r="M389" s="23">
        <v>484.54</v>
      </c>
      <c r="N389" s="16">
        <v>5.4960000000000004</v>
      </c>
      <c r="O389" s="17">
        <v>7.3419999999999996</v>
      </c>
      <c r="P389" s="18">
        <v>66</v>
      </c>
      <c r="Q389" s="18">
        <v>22.382000000000001</v>
      </c>
      <c r="R389" s="18">
        <v>216.202</v>
      </c>
      <c r="S389" s="18">
        <v>268.33800000000002</v>
      </c>
      <c r="T389" s="14" t="b">
        <f t="shared" si="85"/>
        <v>1</v>
      </c>
      <c r="U389" s="14" t="b">
        <f t="shared" si="86"/>
        <v>1</v>
      </c>
      <c r="V389" s="15">
        <f>VLOOKUP(IF(J389&lt;10, 10, IF(J389&gt;50,50,J389)),'Over to underbark'!$A$3:$C$43,IF(A389="Scots pine",3,IF(A389="Sitka spruce",2, "error")),TRUE)/100</f>
        <v>0.9</v>
      </c>
      <c r="W389">
        <f t="shared" si="87"/>
        <v>175.12362000000002</v>
      </c>
      <c r="X389">
        <f t="shared" si="88"/>
        <v>217.35378000000003</v>
      </c>
      <c r="Y389">
        <f t="shared" si="89"/>
        <v>43.608599999999988</v>
      </c>
      <c r="Z389">
        <f t="shared" si="90"/>
        <v>176.0321304</v>
      </c>
      <c r="AA389">
        <f t="shared" si="91"/>
        <v>129.6416016</v>
      </c>
      <c r="AB389">
        <f t="shared" si="92"/>
        <v>130.41226800000001</v>
      </c>
      <c r="AC389">
        <f>LOOKUP($A389,'Over to underbark'!$A$47:$A$48,'Over to underbark'!E$47:E$48)*Z389</f>
        <v>58.090603032000004</v>
      </c>
      <c r="AD389">
        <f>LOOKUP($A389,'Over to underbark'!$A$47:$A$48,'Over to underbark'!E$47:E$48)*AA389</f>
        <v>42.781728528000002</v>
      </c>
      <c r="AE389">
        <f>LOOKUP($A389,'Over to underbark'!$A$47:$A$48,'Over to underbark'!E$47:E$48)*AB389</f>
        <v>43.036048440000009</v>
      </c>
      <c r="AF389" t="b">
        <f t="shared" si="93"/>
        <v>1</v>
      </c>
      <c r="AG389" t="b">
        <f t="shared" si="94"/>
        <v>1</v>
      </c>
      <c r="AH389">
        <f>LOOKUP(A389,'Over to underbark'!$A$47:$A$48,'Over to underbark'!E$47:E$48)*M389</f>
        <v>159.8982</v>
      </c>
      <c r="AI389" s="27">
        <f>LOOKUP(A389,'Over to underbark'!$A$47:$A$48,'Over to underbark'!$B$47:$B$48)*AH389</f>
        <v>51.167424000000004</v>
      </c>
      <c r="AJ389" s="27">
        <f>LOOKUP(A390,'Over to underbark'!$A$47:$A$48,'Over to underbark'!C$47:C$48)*AH389</f>
        <v>78.350117999999995</v>
      </c>
      <c r="AK389" s="27">
        <f t="shared" si="95"/>
        <v>211.06562400000001</v>
      </c>
      <c r="AL389" s="33">
        <v>639.59</v>
      </c>
      <c r="AM389" s="28">
        <f t="shared" si="96"/>
        <v>422.13124800000003</v>
      </c>
      <c r="AO389">
        <f t="shared" si="97"/>
        <v>0.68181818181818188</v>
      </c>
    </row>
    <row r="390" spans="1:41" x14ac:dyDescent="0.35">
      <c r="A390" t="s">
        <v>41</v>
      </c>
      <c r="B390">
        <v>8</v>
      </c>
      <c r="C390">
        <v>2</v>
      </c>
      <c r="D390" t="s">
        <v>40</v>
      </c>
      <c r="E390">
        <v>2</v>
      </c>
      <c r="F390">
        <v>1</v>
      </c>
      <c r="G390" s="16">
        <v>67</v>
      </c>
      <c r="H390" s="16">
        <v>19.891999999999999</v>
      </c>
      <c r="I390" s="16">
        <v>1469</v>
      </c>
      <c r="J390" s="16">
        <v>22.536000000000001</v>
      </c>
      <c r="K390" s="16">
        <v>58.597000000000001</v>
      </c>
      <c r="L390" s="16">
        <v>0.33400000000000002</v>
      </c>
      <c r="M390" s="23">
        <v>490.28</v>
      </c>
      <c r="N390" s="16">
        <v>5.7229999999999999</v>
      </c>
      <c r="O390" s="17">
        <v>7.3179999999999996</v>
      </c>
      <c r="P390" s="18">
        <v>67</v>
      </c>
      <c r="Q390" s="18">
        <v>22.536000000000001</v>
      </c>
      <c r="R390" s="18">
        <v>215.233</v>
      </c>
      <c r="S390" s="18">
        <v>275.04700000000003</v>
      </c>
      <c r="T390" s="14" t="b">
        <f t="shared" si="85"/>
        <v>1</v>
      </c>
      <c r="U390" s="14" t="b">
        <f t="shared" si="86"/>
        <v>1</v>
      </c>
      <c r="V390" s="15">
        <f>VLOOKUP(IF(J390&lt;10, 10, IF(J390&gt;50,50,J390)),'Over to underbark'!$A$3:$C$43,IF(A390="Scots pine",3,IF(A390="Sitka spruce",2, "error")),TRUE)/100</f>
        <v>0.9</v>
      </c>
      <c r="W390">
        <f t="shared" si="87"/>
        <v>174.33873</v>
      </c>
      <c r="X390">
        <f t="shared" si="88"/>
        <v>222.78807000000003</v>
      </c>
      <c r="Y390">
        <f t="shared" si="89"/>
        <v>44.125199999999992</v>
      </c>
      <c r="Z390">
        <f t="shared" si="90"/>
        <v>176.91648659999998</v>
      </c>
      <c r="AA390">
        <f t="shared" si="91"/>
        <v>130.66267139999999</v>
      </c>
      <c r="AB390">
        <f t="shared" si="92"/>
        <v>133.672842</v>
      </c>
      <c r="AC390">
        <f>LOOKUP($A390,'Over to underbark'!$A$47:$A$48,'Over to underbark'!E$47:E$48)*Z390</f>
        <v>58.382440578000001</v>
      </c>
      <c r="AD390">
        <f>LOOKUP($A390,'Over to underbark'!$A$47:$A$48,'Over to underbark'!E$47:E$48)*AA390</f>
        <v>43.118681561999999</v>
      </c>
      <c r="AE390">
        <f>LOOKUP($A390,'Over to underbark'!$A$47:$A$48,'Over to underbark'!E$47:E$48)*AB390</f>
        <v>44.112037860000001</v>
      </c>
      <c r="AF390" t="b">
        <f t="shared" si="93"/>
        <v>1</v>
      </c>
      <c r="AG390" t="b">
        <f t="shared" si="94"/>
        <v>1</v>
      </c>
      <c r="AH390">
        <f>LOOKUP(A390,'Over to underbark'!$A$47:$A$48,'Over to underbark'!E$47:E$48)*M390</f>
        <v>161.79239999999999</v>
      </c>
      <c r="AI390" s="27">
        <f>LOOKUP(A390,'Over to underbark'!$A$47:$A$48,'Over to underbark'!$B$47:$B$48)*AH390</f>
        <v>51.773567999999997</v>
      </c>
      <c r="AJ390" s="27">
        <f>LOOKUP(A391,'Over to underbark'!$A$47:$A$48,'Over to underbark'!C$47:C$48)*AH390</f>
        <v>79.278275999999991</v>
      </c>
      <c r="AK390" s="27">
        <f t="shared" si="95"/>
        <v>213.565968</v>
      </c>
      <c r="AL390" s="33">
        <v>647.16999999999996</v>
      </c>
      <c r="AM390" s="28">
        <f t="shared" si="96"/>
        <v>427.131936</v>
      </c>
      <c r="AO390">
        <f t="shared" si="97"/>
        <v>0.68181818181818177</v>
      </c>
    </row>
    <row r="391" spans="1:41" x14ac:dyDescent="0.35">
      <c r="A391" t="s">
        <v>41</v>
      </c>
      <c r="B391">
        <v>8</v>
      </c>
      <c r="C391">
        <v>2</v>
      </c>
      <c r="D391" t="s">
        <v>40</v>
      </c>
      <c r="E391">
        <v>2</v>
      </c>
      <c r="F391">
        <v>1</v>
      </c>
      <c r="G391" s="16">
        <v>68</v>
      </c>
      <c r="H391" s="16">
        <v>20.047999999999998</v>
      </c>
      <c r="I391" s="16">
        <v>1455</v>
      </c>
      <c r="J391" s="16">
        <v>22.692</v>
      </c>
      <c r="K391" s="16">
        <v>58.844999999999999</v>
      </c>
      <c r="L391" s="16">
        <v>0.34100000000000003</v>
      </c>
      <c r="M391" s="23">
        <v>496.02</v>
      </c>
      <c r="N391" s="16">
        <v>5.9429999999999996</v>
      </c>
      <c r="O391" s="17">
        <v>7.2939999999999996</v>
      </c>
      <c r="P391" s="18">
        <v>68</v>
      </c>
      <c r="Q391" s="18">
        <v>22.692</v>
      </c>
      <c r="R391" s="18">
        <v>214.17699999999999</v>
      </c>
      <c r="S391" s="18">
        <v>281.84300000000002</v>
      </c>
      <c r="T391" s="14" t="b">
        <f t="shared" si="85"/>
        <v>1</v>
      </c>
      <c r="U391" s="14" t="b">
        <f t="shared" si="86"/>
        <v>1</v>
      </c>
      <c r="V391" s="15">
        <f>VLOOKUP(IF(J391&lt;10, 10, IF(J391&gt;50,50,J391)),'Over to underbark'!$A$3:$C$43,IF(A391="Scots pine",3,IF(A391="Sitka spruce",2, "error")),TRUE)/100</f>
        <v>0.9</v>
      </c>
      <c r="W391">
        <f t="shared" si="87"/>
        <v>173.48337000000001</v>
      </c>
      <c r="X391">
        <f t="shared" si="88"/>
        <v>228.29283000000001</v>
      </c>
      <c r="Y391">
        <f t="shared" si="89"/>
        <v>44.641799999999989</v>
      </c>
      <c r="Z391">
        <f t="shared" si="90"/>
        <v>177.7712454</v>
      </c>
      <c r="AA391">
        <f t="shared" si="91"/>
        <v>131.67105660000001</v>
      </c>
      <c r="AB391">
        <f t="shared" si="92"/>
        <v>136.97569799999999</v>
      </c>
      <c r="AC391">
        <f>LOOKUP($A391,'Over to underbark'!$A$47:$A$48,'Over to underbark'!E$47:E$48)*Z391</f>
        <v>58.664510982000003</v>
      </c>
      <c r="AD391">
        <f>LOOKUP($A391,'Over to underbark'!$A$47:$A$48,'Over to underbark'!E$47:E$48)*AA391</f>
        <v>43.451448678000006</v>
      </c>
      <c r="AE391">
        <f>LOOKUP($A391,'Over to underbark'!$A$47:$A$48,'Over to underbark'!E$47:E$48)*AB391</f>
        <v>45.201980339999999</v>
      </c>
      <c r="AF391" t="b">
        <f t="shared" si="93"/>
        <v>1</v>
      </c>
      <c r="AG391" t="b">
        <f t="shared" si="94"/>
        <v>1</v>
      </c>
      <c r="AH391">
        <f>LOOKUP(A391,'Over to underbark'!$A$47:$A$48,'Over to underbark'!E$47:E$48)*M391</f>
        <v>163.6866</v>
      </c>
      <c r="AI391" s="27">
        <f>LOOKUP(A391,'Over to underbark'!$A$47:$A$48,'Over to underbark'!$B$47:$B$48)*AH391</f>
        <v>52.379711999999998</v>
      </c>
      <c r="AJ391" s="27">
        <f>LOOKUP(A392,'Over to underbark'!$A$47:$A$48,'Over to underbark'!C$47:C$48)*AH391</f>
        <v>80.206434000000002</v>
      </c>
      <c r="AK391" s="27">
        <f t="shared" si="95"/>
        <v>216.06631199999998</v>
      </c>
      <c r="AL391" s="33">
        <v>654.75</v>
      </c>
      <c r="AM391" s="28">
        <f t="shared" si="96"/>
        <v>432.13262399999996</v>
      </c>
      <c r="AO391">
        <f t="shared" si="97"/>
        <v>0.68181818181818199</v>
      </c>
    </row>
    <row r="392" spans="1:41" x14ac:dyDescent="0.35">
      <c r="A392" t="s">
        <v>41</v>
      </c>
      <c r="B392">
        <v>8</v>
      </c>
      <c r="C392">
        <v>2</v>
      </c>
      <c r="D392" t="s">
        <v>40</v>
      </c>
      <c r="E392">
        <v>2</v>
      </c>
      <c r="F392">
        <v>1</v>
      </c>
      <c r="G392" s="16">
        <v>69</v>
      </c>
      <c r="H392" s="16">
        <v>20.204000000000001</v>
      </c>
      <c r="I392" s="16">
        <v>1441</v>
      </c>
      <c r="J392" s="16">
        <v>22.85</v>
      </c>
      <c r="K392" s="16">
        <v>59.091999999999999</v>
      </c>
      <c r="L392" s="16">
        <v>0.34799999999999998</v>
      </c>
      <c r="M392" s="23">
        <v>501.76</v>
      </c>
      <c r="N392" s="16">
        <v>6.157</v>
      </c>
      <c r="O392" s="17">
        <v>7.2720000000000002</v>
      </c>
      <c r="P392" s="18">
        <v>69</v>
      </c>
      <c r="Q392" s="18">
        <v>22.85</v>
      </c>
      <c r="R392" s="18">
        <v>213.036</v>
      </c>
      <c r="S392" s="18">
        <v>288.72399999999999</v>
      </c>
      <c r="T392" s="14" t="b">
        <f t="shared" si="85"/>
        <v>1</v>
      </c>
      <c r="U392" s="14" t="b">
        <f t="shared" si="86"/>
        <v>1</v>
      </c>
      <c r="V392" s="15">
        <f>VLOOKUP(IF(J392&lt;10, 10, IF(J392&gt;50,50,J392)),'Over to underbark'!$A$3:$C$43,IF(A392="Scots pine",3,IF(A392="Sitka spruce",2, "error")),TRUE)/100</f>
        <v>0.9</v>
      </c>
      <c r="W392">
        <f t="shared" si="87"/>
        <v>172.55916000000002</v>
      </c>
      <c r="X392">
        <f t="shared" si="88"/>
        <v>233.86644000000001</v>
      </c>
      <c r="Y392">
        <f t="shared" si="89"/>
        <v>45.158399999999993</v>
      </c>
      <c r="Z392">
        <f t="shared" si="90"/>
        <v>178.59708719999998</v>
      </c>
      <c r="AA392">
        <f t="shared" si="91"/>
        <v>132.6670488</v>
      </c>
      <c r="AB392">
        <f t="shared" si="92"/>
        <v>140.319864</v>
      </c>
      <c r="AC392">
        <f>LOOKUP($A392,'Over to underbark'!$A$47:$A$48,'Over to underbark'!E$47:E$48)*Z392</f>
        <v>58.937038775999994</v>
      </c>
      <c r="AD392">
        <f>LOOKUP($A392,'Over to underbark'!$A$47:$A$48,'Over to underbark'!E$47:E$48)*AA392</f>
        <v>43.780126104000004</v>
      </c>
      <c r="AE392">
        <f>LOOKUP($A392,'Over to underbark'!$A$47:$A$48,'Over to underbark'!E$47:E$48)*AB392</f>
        <v>46.305555120000001</v>
      </c>
      <c r="AF392" t="b">
        <f t="shared" si="93"/>
        <v>1</v>
      </c>
      <c r="AG392" t="b">
        <f t="shared" si="94"/>
        <v>1</v>
      </c>
      <c r="AH392">
        <f>LOOKUP(A392,'Over to underbark'!$A$47:$A$48,'Over to underbark'!E$47:E$48)*M392</f>
        <v>165.58080000000001</v>
      </c>
      <c r="AI392" s="27">
        <f>LOOKUP(A392,'Over to underbark'!$A$47:$A$48,'Over to underbark'!$B$47:$B$48)*AH392</f>
        <v>52.985856000000005</v>
      </c>
      <c r="AJ392" s="27">
        <f>LOOKUP(A393,'Over to underbark'!$A$47:$A$48,'Over to underbark'!C$47:C$48)*AH392</f>
        <v>81.134591999999998</v>
      </c>
      <c r="AK392" s="27">
        <f t="shared" si="95"/>
        <v>218.56665600000002</v>
      </c>
      <c r="AL392" s="33">
        <v>662.32</v>
      </c>
      <c r="AM392" s="28">
        <f t="shared" si="96"/>
        <v>437.13331200000005</v>
      </c>
      <c r="AO392">
        <f t="shared" si="97"/>
        <v>0.68181818181818166</v>
      </c>
    </row>
    <row r="393" spans="1:41" x14ac:dyDescent="0.35">
      <c r="A393" t="s">
        <v>41</v>
      </c>
      <c r="B393">
        <v>8</v>
      </c>
      <c r="C393">
        <v>2</v>
      </c>
      <c r="D393" t="s">
        <v>40</v>
      </c>
      <c r="E393">
        <v>2</v>
      </c>
      <c r="F393">
        <v>1</v>
      </c>
      <c r="G393" s="16">
        <v>70</v>
      </c>
      <c r="H393" s="16">
        <v>20.36</v>
      </c>
      <c r="I393" s="16">
        <v>1427</v>
      </c>
      <c r="J393" s="16">
        <v>23.01</v>
      </c>
      <c r="K393" s="16">
        <v>59.34</v>
      </c>
      <c r="L393" s="16">
        <v>0.35599999999999998</v>
      </c>
      <c r="M393" s="23">
        <v>507.5</v>
      </c>
      <c r="N393" s="16">
        <v>6.3650000000000002</v>
      </c>
      <c r="O393" s="17">
        <v>7.25</v>
      </c>
      <c r="P393" s="18">
        <v>70</v>
      </c>
      <c r="Q393" s="18">
        <v>23.01</v>
      </c>
      <c r="R393" s="18">
        <v>211.81100000000001</v>
      </c>
      <c r="S393" s="18">
        <v>295.68900000000002</v>
      </c>
      <c r="T393" s="14" t="b">
        <f t="shared" si="85"/>
        <v>1</v>
      </c>
      <c r="U393" s="14" t="b">
        <f t="shared" si="86"/>
        <v>1</v>
      </c>
      <c r="V393" s="15">
        <f>VLOOKUP(IF(J393&lt;10, 10, IF(J393&gt;50,50,J393)),'Over to underbark'!$A$3:$C$43,IF(A393="Scots pine",3,IF(A393="Sitka spruce",2, "error")),TRUE)/100</f>
        <v>0.9</v>
      </c>
      <c r="W393">
        <f t="shared" si="87"/>
        <v>171.56691000000004</v>
      </c>
      <c r="X393">
        <f t="shared" si="88"/>
        <v>239.50809000000004</v>
      </c>
      <c r="Y393">
        <f t="shared" si="89"/>
        <v>45.67499999999999</v>
      </c>
      <c r="Z393">
        <f t="shared" si="90"/>
        <v>179.39435220000001</v>
      </c>
      <c r="AA393">
        <f t="shared" si="91"/>
        <v>133.65079380000003</v>
      </c>
      <c r="AB393">
        <f t="shared" si="92"/>
        <v>143.70485400000001</v>
      </c>
      <c r="AC393">
        <f>LOOKUP($A393,'Over to underbark'!$A$47:$A$48,'Over to underbark'!E$47:E$48)*Z393</f>
        <v>59.200136226000005</v>
      </c>
      <c r="AD393">
        <f>LOOKUP($A393,'Over to underbark'!$A$47:$A$48,'Over to underbark'!E$47:E$48)*AA393</f>
        <v>44.104761954000011</v>
      </c>
      <c r="AE393">
        <f>LOOKUP($A393,'Over to underbark'!$A$47:$A$48,'Over to underbark'!E$47:E$48)*AB393</f>
        <v>47.422601820000004</v>
      </c>
      <c r="AF393" t="b">
        <f t="shared" si="93"/>
        <v>1</v>
      </c>
      <c r="AG393" t="b">
        <f t="shared" si="94"/>
        <v>1</v>
      </c>
      <c r="AH393">
        <f>LOOKUP(A393,'Over to underbark'!$A$47:$A$48,'Over to underbark'!E$47:E$48)*M393</f>
        <v>167.47499999999999</v>
      </c>
      <c r="AI393" s="27">
        <f>LOOKUP(A393,'Over to underbark'!$A$47:$A$48,'Over to underbark'!$B$47:$B$48)*AH393</f>
        <v>53.591999999999999</v>
      </c>
      <c r="AJ393" s="27">
        <f>LOOKUP(A394,'Over to underbark'!$A$47:$A$48,'Over to underbark'!C$47:C$48)*AH393</f>
        <v>82.062749999999994</v>
      </c>
      <c r="AK393" s="27">
        <f t="shared" si="95"/>
        <v>221.06700000000001</v>
      </c>
      <c r="AL393" s="33">
        <v>669.9</v>
      </c>
      <c r="AM393" s="28">
        <f t="shared" si="96"/>
        <v>442.13400000000001</v>
      </c>
      <c r="AO393">
        <f t="shared" si="97"/>
        <v>0.68181818181818188</v>
      </c>
    </row>
    <row r="394" spans="1:41" x14ac:dyDescent="0.35">
      <c r="A394" t="s">
        <v>41</v>
      </c>
      <c r="B394">
        <v>8</v>
      </c>
      <c r="C394">
        <v>2</v>
      </c>
      <c r="D394" t="s">
        <v>40</v>
      </c>
      <c r="E394">
        <v>2</v>
      </c>
      <c r="F394">
        <v>1</v>
      </c>
      <c r="G394" s="16">
        <v>71</v>
      </c>
      <c r="H394" s="16">
        <v>20.501999999999999</v>
      </c>
      <c r="I394" s="16">
        <v>1414</v>
      </c>
      <c r="J394" s="16">
        <v>23.15</v>
      </c>
      <c r="K394" s="16">
        <v>59.518999999999998</v>
      </c>
      <c r="L394" s="16">
        <v>0.36199999999999999</v>
      </c>
      <c r="M394" s="23">
        <v>512.34</v>
      </c>
      <c r="N394" s="16">
        <v>6.5960000000000001</v>
      </c>
      <c r="O394" s="17">
        <v>7.2160000000000002</v>
      </c>
      <c r="P394" s="18">
        <v>71</v>
      </c>
      <c r="Q394" s="18">
        <v>23.15</v>
      </c>
      <c r="R394" s="18">
        <v>210.63499999999999</v>
      </c>
      <c r="S394" s="18">
        <v>301.70499999999998</v>
      </c>
      <c r="T394" s="14" t="b">
        <f t="shared" si="85"/>
        <v>1</v>
      </c>
      <c r="U394" s="14" t="b">
        <f t="shared" si="86"/>
        <v>1</v>
      </c>
      <c r="V394" s="15">
        <f>VLOOKUP(IF(J394&lt;10, 10, IF(J394&gt;50,50,J394)),'Over to underbark'!$A$3:$C$43,IF(A394="Scots pine",3,IF(A394="Sitka spruce",2, "error")),TRUE)/100</f>
        <v>0.9</v>
      </c>
      <c r="W394">
        <f t="shared" si="87"/>
        <v>170.61435</v>
      </c>
      <c r="X394">
        <f t="shared" si="88"/>
        <v>244.38104999999999</v>
      </c>
      <c r="Y394">
        <f t="shared" si="89"/>
        <v>46.110599999999984</v>
      </c>
      <c r="Z394">
        <f t="shared" si="90"/>
        <v>180.01793699999996</v>
      </c>
      <c r="AA394">
        <f t="shared" si="91"/>
        <v>134.45943299999999</v>
      </c>
      <c r="AB394">
        <f t="shared" si="92"/>
        <v>146.62862999999999</v>
      </c>
      <c r="AC394">
        <f>LOOKUP($A394,'Over to underbark'!$A$47:$A$48,'Over to underbark'!E$47:E$48)*Z394</f>
        <v>59.405919209999993</v>
      </c>
      <c r="AD394">
        <f>LOOKUP($A394,'Over to underbark'!$A$47:$A$48,'Over to underbark'!E$47:E$48)*AA394</f>
        <v>44.371612890000002</v>
      </c>
      <c r="AE394">
        <f>LOOKUP($A394,'Over to underbark'!$A$47:$A$48,'Over to underbark'!E$47:E$48)*AB394</f>
        <v>48.387447899999998</v>
      </c>
      <c r="AF394" t="b">
        <f t="shared" si="93"/>
        <v>1</v>
      </c>
      <c r="AG394" t="b">
        <f t="shared" si="94"/>
        <v>1</v>
      </c>
      <c r="AH394">
        <f>LOOKUP(A394,'Over to underbark'!$A$47:$A$48,'Over to underbark'!E$47:E$48)*M394</f>
        <v>169.07220000000001</v>
      </c>
      <c r="AI394" s="27">
        <f>LOOKUP(A394,'Over to underbark'!$A$47:$A$48,'Over to underbark'!$B$47:$B$48)*AH394</f>
        <v>54.103104000000002</v>
      </c>
      <c r="AJ394" s="27">
        <f>LOOKUP(A395,'Over to underbark'!$A$47:$A$48,'Over to underbark'!C$47:C$48)*AH394</f>
        <v>82.845377999999997</v>
      </c>
      <c r="AK394" s="27">
        <f t="shared" si="95"/>
        <v>223.17530400000001</v>
      </c>
      <c r="AL394" s="33">
        <v>676.29</v>
      </c>
      <c r="AM394" s="28">
        <f t="shared" si="96"/>
        <v>446.35060800000002</v>
      </c>
      <c r="AO394">
        <f t="shared" si="97"/>
        <v>0.68181818181818188</v>
      </c>
    </row>
    <row r="395" spans="1:41" x14ac:dyDescent="0.35">
      <c r="A395" t="s">
        <v>41</v>
      </c>
      <c r="B395">
        <v>8</v>
      </c>
      <c r="C395">
        <v>2</v>
      </c>
      <c r="D395" t="s">
        <v>40</v>
      </c>
      <c r="E395">
        <v>2</v>
      </c>
      <c r="F395">
        <v>1</v>
      </c>
      <c r="G395" s="16">
        <v>72</v>
      </c>
      <c r="H395" s="16">
        <v>20.643999999999998</v>
      </c>
      <c r="I395" s="16">
        <v>1401</v>
      </c>
      <c r="J395" s="16">
        <v>23.292999999999999</v>
      </c>
      <c r="K395" s="16">
        <v>59.698999999999998</v>
      </c>
      <c r="L395" s="16">
        <v>0.36899999999999999</v>
      </c>
      <c r="M395" s="23">
        <v>517.17999999999995</v>
      </c>
      <c r="N395" s="16">
        <v>6.8209999999999997</v>
      </c>
      <c r="O395" s="17">
        <v>7.1829999999999998</v>
      </c>
      <c r="P395" s="18">
        <v>72</v>
      </c>
      <c r="Q395" s="18">
        <v>23.292999999999999</v>
      </c>
      <c r="R395" s="18">
        <v>209.36600000000001</v>
      </c>
      <c r="S395" s="18">
        <v>307.81400000000002</v>
      </c>
      <c r="T395" s="14" t="b">
        <f t="shared" si="85"/>
        <v>1</v>
      </c>
      <c r="U395" s="14" t="b">
        <f t="shared" si="86"/>
        <v>1</v>
      </c>
      <c r="V395" s="15">
        <f>VLOOKUP(IF(J395&lt;10, 10, IF(J395&gt;50,50,J395)),'Over to underbark'!$A$3:$C$43,IF(A395="Scots pine",3,IF(A395="Sitka spruce",2, "error")),TRUE)/100</f>
        <v>0.9</v>
      </c>
      <c r="W395">
        <f t="shared" si="87"/>
        <v>169.58646000000002</v>
      </c>
      <c r="X395">
        <f t="shared" si="88"/>
        <v>249.32934</v>
      </c>
      <c r="Y395">
        <f t="shared" si="89"/>
        <v>46.546199999999992</v>
      </c>
      <c r="Z395">
        <f t="shared" si="90"/>
        <v>180.60988320000001</v>
      </c>
      <c r="AA395">
        <f t="shared" si="91"/>
        <v>135.25451279999999</v>
      </c>
      <c r="AB395">
        <f t="shared" si="92"/>
        <v>149.59760399999999</v>
      </c>
      <c r="AC395">
        <f>LOOKUP($A395,'Over to underbark'!$A$47:$A$48,'Over to underbark'!E$47:E$48)*Z395</f>
        <v>59.60126145600001</v>
      </c>
      <c r="AD395">
        <f>LOOKUP($A395,'Over to underbark'!$A$47:$A$48,'Over to underbark'!E$47:E$48)*AA395</f>
        <v>44.633989223999997</v>
      </c>
      <c r="AE395">
        <f>LOOKUP($A395,'Over to underbark'!$A$47:$A$48,'Over to underbark'!E$47:E$48)*AB395</f>
        <v>49.367209320000001</v>
      </c>
      <c r="AF395" t="b">
        <f t="shared" si="93"/>
        <v>1</v>
      </c>
      <c r="AG395" t="b">
        <f t="shared" si="94"/>
        <v>1</v>
      </c>
      <c r="AH395">
        <f>LOOKUP(A395,'Over to underbark'!$A$47:$A$48,'Over to underbark'!E$47:E$48)*M395</f>
        <v>170.6694</v>
      </c>
      <c r="AI395" s="27">
        <f>LOOKUP(A395,'Over to underbark'!$A$47:$A$48,'Over to underbark'!$B$47:$B$48)*AH395</f>
        <v>54.614207999999998</v>
      </c>
      <c r="AJ395" s="27">
        <f>LOOKUP(A396,'Over to underbark'!$A$47:$A$48,'Over to underbark'!C$47:C$48)*AH395</f>
        <v>83.628005999999999</v>
      </c>
      <c r="AK395" s="27">
        <f t="shared" si="95"/>
        <v>225.28360799999999</v>
      </c>
      <c r="AL395" s="33">
        <v>682.68</v>
      </c>
      <c r="AM395" s="28">
        <f t="shared" si="96"/>
        <v>450.56721599999997</v>
      </c>
      <c r="AO395">
        <f t="shared" si="97"/>
        <v>0.68181818181818188</v>
      </c>
    </row>
    <row r="396" spans="1:41" x14ac:dyDescent="0.35">
      <c r="A396" t="s">
        <v>41</v>
      </c>
      <c r="B396">
        <v>8</v>
      </c>
      <c r="C396">
        <v>2</v>
      </c>
      <c r="D396" t="s">
        <v>40</v>
      </c>
      <c r="E396">
        <v>2</v>
      </c>
      <c r="F396">
        <v>1</v>
      </c>
      <c r="G396" s="16">
        <v>73</v>
      </c>
      <c r="H396" s="16">
        <v>20.786000000000001</v>
      </c>
      <c r="I396" s="16">
        <v>1388</v>
      </c>
      <c r="J396" s="16">
        <v>23.437000000000001</v>
      </c>
      <c r="K396" s="16">
        <v>59.878</v>
      </c>
      <c r="L396" s="16">
        <v>0.376</v>
      </c>
      <c r="M396" s="23">
        <v>522.02</v>
      </c>
      <c r="N396" s="16">
        <v>7.0410000000000004</v>
      </c>
      <c r="O396" s="17">
        <v>7.1509999999999998</v>
      </c>
      <c r="P396" s="18">
        <v>73</v>
      </c>
      <c r="Q396" s="18">
        <v>23.437000000000001</v>
      </c>
      <c r="R396" s="18">
        <v>208.05199999999999</v>
      </c>
      <c r="S396" s="18">
        <v>313.96800000000002</v>
      </c>
      <c r="T396" s="14" t="b">
        <f t="shared" si="85"/>
        <v>1</v>
      </c>
      <c r="U396" s="14" t="b">
        <f t="shared" si="86"/>
        <v>1</v>
      </c>
      <c r="V396" s="15">
        <f>VLOOKUP(IF(J396&lt;10, 10, IF(J396&gt;50,50,J396)),'Over to underbark'!$A$3:$C$43,IF(A396="Scots pine",3,IF(A396="Sitka spruce",2, "error")),TRUE)/100</f>
        <v>0.9</v>
      </c>
      <c r="W396">
        <f t="shared" si="87"/>
        <v>168.52212</v>
      </c>
      <c r="X396">
        <f t="shared" si="88"/>
        <v>254.31408000000005</v>
      </c>
      <c r="Y396">
        <f t="shared" si="89"/>
        <v>46.981799999999986</v>
      </c>
      <c r="Z396">
        <f t="shared" si="90"/>
        <v>181.18652040000001</v>
      </c>
      <c r="AA396">
        <f t="shared" si="91"/>
        <v>136.04303160000001</v>
      </c>
      <c r="AB396">
        <f t="shared" si="92"/>
        <v>152.58844800000003</v>
      </c>
      <c r="AC396">
        <f>LOOKUP($A396,'Over to underbark'!$A$47:$A$48,'Over to underbark'!E$47:E$48)*Z396</f>
        <v>59.791551732000002</v>
      </c>
      <c r="AD396">
        <f>LOOKUP($A396,'Over to underbark'!$A$47:$A$48,'Over to underbark'!E$47:E$48)*AA396</f>
        <v>44.894200428000005</v>
      </c>
      <c r="AE396">
        <f>LOOKUP($A396,'Over to underbark'!$A$47:$A$48,'Over to underbark'!E$47:E$48)*AB396</f>
        <v>50.354187840000009</v>
      </c>
      <c r="AF396" t="b">
        <f t="shared" si="93"/>
        <v>1</v>
      </c>
      <c r="AG396" t="b">
        <f t="shared" si="94"/>
        <v>1</v>
      </c>
      <c r="AH396">
        <f>LOOKUP(A396,'Over to underbark'!$A$47:$A$48,'Over to underbark'!E$47:E$48)*M396</f>
        <v>172.26660000000001</v>
      </c>
      <c r="AI396" s="27">
        <f>LOOKUP(A396,'Over to underbark'!$A$47:$A$48,'Over to underbark'!$B$47:$B$48)*AH396</f>
        <v>55.125312000000008</v>
      </c>
      <c r="AJ396" s="27">
        <f>LOOKUP(A397,'Over to underbark'!$A$47:$A$48,'Over to underbark'!C$47:C$48)*AH396</f>
        <v>84.410634000000002</v>
      </c>
      <c r="AK396" s="27">
        <f t="shared" si="95"/>
        <v>227.39191200000002</v>
      </c>
      <c r="AL396" s="33">
        <v>689.07</v>
      </c>
      <c r="AM396" s="28">
        <f t="shared" si="96"/>
        <v>454.78382400000004</v>
      </c>
      <c r="AO396">
        <f t="shared" si="97"/>
        <v>0.68181818181818177</v>
      </c>
    </row>
    <row r="397" spans="1:41" x14ac:dyDescent="0.35">
      <c r="A397" t="s">
        <v>41</v>
      </c>
      <c r="B397">
        <v>8</v>
      </c>
      <c r="C397">
        <v>2</v>
      </c>
      <c r="D397" t="s">
        <v>40</v>
      </c>
      <c r="E397">
        <v>2</v>
      </c>
      <c r="F397">
        <v>1</v>
      </c>
      <c r="G397" s="16">
        <v>74</v>
      </c>
      <c r="H397" s="16">
        <v>20.928000000000001</v>
      </c>
      <c r="I397" s="16">
        <v>1375</v>
      </c>
      <c r="J397" s="16">
        <v>23.582000000000001</v>
      </c>
      <c r="K397" s="16">
        <v>60.057000000000002</v>
      </c>
      <c r="L397" s="16">
        <v>0.38300000000000001</v>
      </c>
      <c r="M397" s="23">
        <v>526.86</v>
      </c>
      <c r="N397" s="16">
        <v>7.2560000000000002</v>
      </c>
      <c r="O397" s="17">
        <v>7.12</v>
      </c>
      <c r="P397" s="18">
        <v>74</v>
      </c>
      <c r="Q397" s="18">
        <v>23.582000000000001</v>
      </c>
      <c r="R397" s="18">
        <v>206.69300000000001</v>
      </c>
      <c r="S397" s="18">
        <v>320.16699999999997</v>
      </c>
      <c r="T397" s="14" t="b">
        <f t="shared" si="85"/>
        <v>1</v>
      </c>
      <c r="U397" s="14" t="b">
        <f t="shared" si="86"/>
        <v>1</v>
      </c>
      <c r="V397" s="15">
        <f>VLOOKUP(IF(J397&lt;10, 10, IF(J397&gt;50,50,J397)),'Over to underbark'!$A$3:$C$43,IF(A397="Scots pine",3,IF(A397="Sitka spruce",2, "error")),TRUE)/100</f>
        <v>0.9</v>
      </c>
      <c r="W397">
        <f t="shared" si="87"/>
        <v>167.42133000000001</v>
      </c>
      <c r="X397">
        <f t="shared" si="88"/>
        <v>259.33526999999998</v>
      </c>
      <c r="Y397">
        <f t="shared" si="89"/>
        <v>47.417399999999994</v>
      </c>
      <c r="Z397">
        <f t="shared" si="90"/>
        <v>181.7478486</v>
      </c>
      <c r="AA397">
        <f t="shared" si="91"/>
        <v>136.82498939999999</v>
      </c>
      <c r="AB397">
        <f t="shared" si="92"/>
        <v>155.60116199999999</v>
      </c>
      <c r="AC397">
        <f>LOOKUP($A397,'Over to underbark'!$A$47:$A$48,'Over to underbark'!E$47:E$48)*Z397</f>
        <v>59.976790038000004</v>
      </c>
      <c r="AD397">
        <f>LOOKUP($A397,'Over to underbark'!$A$47:$A$48,'Over to underbark'!E$47:E$48)*AA397</f>
        <v>45.152246501999997</v>
      </c>
      <c r="AE397">
        <f>LOOKUP($A397,'Over to underbark'!$A$47:$A$48,'Over to underbark'!E$47:E$48)*AB397</f>
        <v>51.348383460000001</v>
      </c>
      <c r="AF397" t="b">
        <f t="shared" si="93"/>
        <v>1</v>
      </c>
      <c r="AG397" t="b">
        <f t="shared" si="94"/>
        <v>1</v>
      </c>
      <c r="AH397">
        <f>LOOKUP(A397,'Over to underbark'!$A$47:$A$48,'Over to underbark'!E$47:E$48)*M397</f>
        <v>173.86380000000003</v>
      </c>
      <c r="AI397" s="27">
        <f>LOOKUP(A397,'Over to underbark'!$A$47:$A$48,'Over to underbark'!$B$47:$B$48)*AH397</f>
        <v>55.636416000000011</v>
      </c>
      <c r="AJ397" s="27">
        <f>LOOKUP(A398,'Over to underbark'!$A$47:$A$48,'Over to underbark'!C$47:C$48)*AH397</f>
        <v>85.193262000000004</v>
      </c>
      <c r="AK397" s="27">
        <f t="shared" si="95"/>
        <v>229.50021600000002</v>
      </c>
      <c r="AL397" s="33">
        <v>695.46</v>
      </c>
      <c r="AM397" s="28">
        <f t="shared" si="96"/>
        <v>459.00043200000005</v>
      </c>
      <c r="AO397">
        <f t="shared" si="97"/>
        <v>0.68181818181818177</v>
      </c>
    </row>
    <row r="398" spans="1:41" x14ac:dyDescent="0.35">
      <c r="A398" t="s">
        <v>41</v>
      </c>
      <c r="B398">
        <v>8</v>
      </c>
      <c r="C398">
        <v>2</v>
      </c>
      <c r="D398" t="s">
        <v>40</v>
      </c>
      <c r="E398">
        <v>2</v>
      </c>
      <c r="F398">
        <v>1</v>
      </c>
      <c r="G398" s="16">
        <v>75</v>
      </c>
      <c r="H398" s="16">
        <v>21.07</v>
      </c>
      <c r="I398" s="16">
        <v>1362</v>
      </c>
      <c r="J398" s="16">
        <v>23.73</v>
      </c>
      <c r="K398" s="16">
        <v>60.237000000000002</v>
      </c>
      <c r="L398" s="16">
        <v>0.39</v>
      </c>
      <c r="M398" s="23">
        <v>531.70000000000005</v>
      </c>
      <c r="N398" s="16">
        <v>7.4660000000000002</v>
      </c>
      <c r="O398" s="17">
        <v>7.0890000000000004</v>
      </c>
      <c r="P398" s="18">
        <v>75</v>
      </c>
      <c r="Q398" s="18">
        <v>23.73</v>
      </c>
      <c r="R398" s="18">
        <v>205.24700000000001</v>
      </c>
      <c r="S398" s="18">
        <v>326.45299999999997</v>
      </c>
      <c r="T398" s="14" t="b">
        <f t="shared" si="85"/>
        <v>1</v>
      </c>
      <c r="U398" s="14" t="b">
        <f t="shared" si="86"/>
        <v>1</v>
      </c>
      <c r="V398" s="15">
        <f>VLOOKUP(IF(J398&lt;10, 10, IF(J398&gt;50,50,J398)),'Over to underbark'!$A$3:$C$43,IF(A398="Scots pine",3,IF(A398="Sitka spruce",2, "error")),TRUE)/100</f>
        <v>0.9</v>
      </c>
      <c r="W398">
        <f t="shared" si="87"/>
        <v>166.25007000000002</v>
      </c>
      <c r="X398">
        <f t="shared" si="88"/>
        <v>264.42693000000003</v>
      </c>
      <c r="Y398">
        <f t="shared" si="89"/>
        <v>47.852999999999994</v>
      </c>
      <c r="Z398">
        <f t="shared" si="90"/>
        <v>182.27957939999999</v>
      </c>
      <c r="AA398">
        <f t="shared" si="91"/>
        <v>137.59426260000004</v>
      </c>
      <c r="AB398">
        <f t="shared" si="92"/>
        <v>158.656158</v>
      </c>
      <c r="AC398">
        <f>LOOKUP($A398,'Over to underbark'!$A$47:$A$48,'Over to underbark'!E$47:E$48)*Z398</f>
        <v>60.152261201999998</v>
      </c>
      <c r="AD398">
        <f>LOOKUP($A398,'Over to underbark'!$A$47:$A$48,'Over to underbark'!E$47:E$48)*AA398</f>
        <v>45.406106658000013</v>
      </c>
      <c r="AE398">
        <f>LOOKUP($A398,'Over to underbark'!$A$47:$A$48,'Over to underbark'!E$47:E$48)*AB398</f>
        <v>52.356532140000006</v>
      </c>
      <c r="AF398" t="b">
        <f t="shared" si="93"/>
        <v>1</v>
      </c>
      <c r="AG398" t="b">
        <f t="shared" si="94"/>
        <v>1</v>
      </c>
      <c r="AH398">
        <f>LOOKUP(A398,'Over to underbark'!$A$47:$A$48,'Over to underbark'!E$47:E$48)*M398</f>
        <v>175.46100000000001</v>
      </c>
      <c r="AI398" s="27">
        <f>LOOKUP(A398,'Over to underbark'!$A$47:$A$48,'Over to underbark'!$B$47:$B$48)*AH398</f>
        <v>56.147520000000007</v>
      </c>
      <c r="AJ398" s="27">
        <f>LOOKUP(A399,'Over to underbark'!$A$47:$A$48,'Over to underbark'!C$47:C$48)*AH398</f>
        <v>85.975890000000007</v>
      </c>
      <c r="AK398" s="27">
        <f t="shared" si="95"/>
        <v>231.60852000000003</v>
      </c>
      <c r="AL398" s="33">
        <v>701.84</v>
      </c>
      <c r="AM398" s="28">
        <f t="shared" si="96"/>
        <v>463.21704000000005</v>
      </c>
      <c r="AO398">
        <f t="shared" si="97"/>
        <v>0.68181818181818177</v>
      </c>
    </row>
    <row r="399" spans="1:41" x14ac:dyDescent="0.35">
      <c r="A399" t="s">
        <v>41</v>
      </c>
      <c r="B399">
        <v>8</v>
      </c>
      <c r="C399">
        <v>2</v>
      </c>
      <c r="D399" t="s">
        <v>40</v>
      </c>
      <c r="E399">
        <v>2</v>
      </c>
      <c r="F399">
        <v>1</v>
      </c>
      <c r="G399" s="16">
        <v>76</v>
      </c>
      <c r="H399" s="16">
        <v>21.19</v>
      </c>
      <c r="I399" s="16">
        <v>1351</v>
      </c>
      <c r="J399" s="16">
        <v>23.864999999999998</v>
      </c>
      <c r="K399" s="16">
        <v>60.43</v>
      </c>
      <c r="L399" s="16">
        <v>0.39600000000000002</v>
      </c>
      <c r="M399" s="23">
        <v>535.62</v>
      </c>
      <c r="N399" s="16">
        <v>7.6989999999999998</v>
      </c>
      <c r="O399" s="17">
        <v>7.048</v>
      </c>
      <c r="P399" s="18">
        <v>76</v>
      </c>
      <c r="Q399" s="18">
        <v>23.864999999999998</v>
      </c>
      <c r="R399" s="18">
        <v>203.72200000000001</v>
      </c>
      <c r="S399" s="18">
        <v>331.89800000000002</v>
      </c>
      <c r="T399" s="14" t="b">
        <f t="shared" si="85"/>
        <v>1</v>
      </c>
      <c r="U399" s="14" t="b">
        <f t="shared" si="86"/>
        <v>1</v>
      </c>
      <c r="V399" s="15">
        <f>VLOOKUP(IF(J399&lt;10, 10, IF(J399&gt;50,50,J399)),'Over to underbark'!$A$3:$C$43,IF(A399="Scots pine",3,IF(A399="Sitka spruce",2, "error")),TRUE)/100</f>
        <v>0.9</v>
      </c>
      <c r="W399">
        <f t="shared" si="87"/>
        <v>165.01482000000001</v>
      </c>
      <c r="X399">
        <f t="shared" si="88"/>
        <v>268.83738000000005</v>
      </c>
      <c r="Y399">
        <f t="shared" si="89"/>
        <v>48.205799999999989</v>
      </c>
      <c r="Z399">
        <f t="shared" si="90"/>
        <v>182.58985439999998</v>
      </c>
      <c r="AA399">
        <f t="shared" si="91"/>
        <v>138.16571760000002</v>
      </c>
      <c r="AB399">
        <f t="shared" si="92"/>
        <v>161.30242800000002</v>
      </c>
      <c r="AC399">
        <f>LOOKUP($A399,'Over to underbark'!$A$47:$A$48,'Over to underbark'!E$47:E$48)*Z399</f>
        <v>60.254651951999996</v>
      </c>
      <c r="AD399">
        <f>LOOKUP($A399,'Over to underbark'!$A$47:$A$48,'Over to underbark'!E$47:E$48)*AA399</f>
        <v>45.594686808000013</v>
      </c>
      <c r="AE399">
        <f>LOOKUP($A399,'Over to underbark'!$A$47:$A$48,'Over to underbark'!E$47:E$48)*AB399</f>
        <v>53.229801240000008</v>
      </c>
      <c r="AF399" t="b">
        <f t="shared" si="93"/>
        <v>1</v>
      </c>
      <c r="AG399" t="b">
        <f t="shared" si="94"/>
        <v>1</v>
      </c>
      <c r="AH399">
        <f>LOOKUP(A399,'Over to underbark'!$A$47:$A$48,'Over to underbark'!E$47:E$48)*M399</f>
        <v>176.75460000000001</v>
      </c>
      <c r="AI399" s="27">
        <f>LOOKUP(A399,'Over to underbark'!$A$47:$A$48,'Over to underbark'!$B$47:$B$48)*AH399</f>
        <v>56.561472000000002</v>
      </c>
      <c r="AJ399" s="27">
        <f>LOOKUP(A400,'Over to underbark'!$A$47:$A$48,'Over to underbark'!C$47:C$48)*AH399</f>
        <v>86.609754000000009</v>
      </c>
      <c r="AK399" s="27">
        <f t="shared" si="95"/>
        <v>233.31607200000002</v>
      </c>
      <c r="AL399" s="33">
        <v>707.02</v>
      </c>
      <c r="AM399" s="28">
        <f t="shared" si="96"/>
        <v>466.63214400000004</v>
      </c>
      <c r="AO399">
        <f t="shared" si="97"/>
        <v>0.68181818181818188</v>
      </c>
    </row>
    <row r="400" spans="1:41" x14ac:dyDescent="0.35">
      <c r="A400" t="s">
        <v>41</v>
      </c>
      <c r="B400">
        <v>8</v>
      </c>
      <c r="C400">
        <v>2</v>
      </c>
      <c r="D400" t="s">
        <v>40</v>
      </c>
      <c r="E400">
        <v>2</v>
      </c>
      <c r="F400">
        <v>1</v>
      </c>
      <c r="G400" s="16">
        <v>77</v>
      </c>
      <c r="H400" s="16">
        <v>21.31</v>
      </c>
      <c r="I400" s="16">
        <v>1341</v>
      </c>
      <c r="J400" s="16">
        <v>23.992000000000001</v>
      </c>
      <c r="K400" s="16">
        <v>60.624000000000002</v>
      </c>
      <c r="L400" s="16">
        <v>0.40200000000000002</v>
      </c>
      <c r="M400" s="23">
        <v>539.54</v>
      </c>
      <c r="N400" s="16">
        <v>7.9279999999999999</v>
      </c>
      <c r="O400" s="17">
        <v>7.0069999999999997</v>
      </c>
      <c r="P400" s="18">
        <v>77</v>
      </c>
      <c r="Q400" s="18">
        <v>23.992000000000001</v>
      </c>
      <c r="R400" s="18">
        <v>202.36600000000001</v>
      </c>
      <c r="S400" s="18">
        <v>337.17399999999998</v>
      </c>
      <c r="T400" s="14" t="b">
        <f t="shared" si="85"/>
        <v>1</v>
      </c>
      <c r="U400" s="14" t="b">
        <f t="shared" si="86"/>
        <v>1</v>
      </c>
      <c r="V400" s="15">
        <f>VLOOKUP(IF(J400&lt;10, 10, IF(J400&gt;50,50,J400)),'Over to underbark'!$A$3:$C$43,IF(A400="Scots pine",3,IF(A400="Sitka spruce",2, "error")),TRUE)/100</f>
        <v>0.9</v>
      </c>
      <c r="W400">
        <f t="shared" si="87"/>
        <v>163.91646</v>
      </c>
      <c r="X400">
        <f t="shared" si="88"/>
        <v>273.11093999999997</v>
      </c>
      <c r="Y400">
        <f t="shared" si="89"/>
        <v>48.558599999999984</v>
      </c>
      <c r="Z400">
        <f t="shared" si="90"/>
        <v>182.95762319999994</v>
      </c>
      <c r="AA400">
        <f t="shared" si="91"/>
        <v>138.76181279999997</v>
      </c>
      <c r="AB400">
        <f t="shared" si="92"/>
        <v>163.86656399999998</v>
      </c>
      <c r="AC400">
        <f>LOOKUP($A400,'Over to underbark'!$A$47:$A$48,'Over to underbark'!E$47:E$48)*Z400</f>
        <v>60.376015655999986</v>
      </c>
      <c r="AD400">
        <f>LOOKUP($A400,'Over to underbark'!$A$47:$A$48,'Over to underbark'!E$47:E$48)*AA400</f>
        <v>45.791398223999991</v>
      </c>
      <c r="AE400">
        <f>LOOKUP($A400,'Over to underbark'!$A$47:$A$48,'Over to underbark'!E$47:E$48)*AB400</f>
        <v>54.075966119999997</v>
      </c>
      <c r="AF400" t="b">
        <f t="shared" si="93"/>
        <v>1</v>
      </c>
      <c r="AG400" t="b">
        <f t="shared" si="94"/>
        <v>1</v>
      </c>
      <c r="AH400">
        <f>LOOKUP(A400,'Over to underbark'!$A$47:$A$48,'Over to underbark'!E$47:E$48)*M400</f>
        <v>178.04820000000001</v>
      </c>
      <c r="AI400" s="27">
        <f>LOOKUP(A400,'Over to underbark'!$A$47:$A$48,'Over to underbark'!$B$47:$B$48)*AH400</f>
        <v>56.975424000000004</v>
      </c>
      <c r="AJ400" s="27">
        <f>LOOKUP(A401,'Over to underbark'!$A$47:$A$48,'Over to underbark'!C$47:C$48)*AH400</f>
        <v>87.243617999999998</v>
      </c>
      <c r="AK400" s="27">
        <f t="shared" si="95"/>
        <v>235.02362400000001</v>
      </c>
      <c r="AL400" s="33">
        <v>712.19</v>
      </c>
      <c r="AM400" s="28">
        <f t="shared" si="96"/>
        <v>470.04724800000002</v>
      </c>
      <c r="AO400">
        <f t="shared" si="97"/>
        <v>0.68181818181818166</v>
      </c>
    </row>
    <row r="401" spans="1:41" x14ac:dyDescent="0.35">
      <c r="A401" t="s">
        <v>41</v>
      </c>
      <c r="B401">
        <v>8</v>
      </c>
      <c r="C401">
        <v>2</v>
      </c>
      <c r="D401" t="s">
        <v>40</v>
      </c>
      <c r="E401">
        <v>2</v>
      </c>
      <c r="F401">
        <v>1</v>
      </c>
      <c r="G401" s="16">
        <v>78</v>
      </c>
      <c r="H401" s="16">
        <v>21.43</v>
      </c>
      <c r="I401" s="16">
        <v>1330</v>
      </c>
      <c r="J401" s="16">
        <v>24.129000000000001</v>
      </c>
      <c r="K401" s="16">
        <v>60.817999999999998</v>
      </c>
      <c r="L401" s="16">
        <v>0.40899999999999997</v>
      </c>
      <c r="M401" s="23">
        <v>543.46</v>
      </c>
      <c r="N401" s="16">
        <v>8.1530000000000005</v>
      </c>
      <c r="O401" s="17">
        <v>6.9669999999999996</v>
      </c>
      <c r="P401" s="18">
        <v>78</v>
      </c>
      <c r="Q401" s="18">
        <v>24.129000000000001</v>
      </c>
      <c r="R401" s="18">
        <v>200.77699999999999</v>
      </c>
      <c r="S401" s="18">
        <v>342.68299999999999</v>
      </c>
      <c r="T401" s="14" t="b">
        <f t="shared" si="85"/>
        <v>1</v>
      </c>
      <c r="U401" s="14" t="b">
        <f t="shared" si="86"/>
        <v>1</v>
      </c>
      <c r="V401" s="15">
        <f>VLOOKUP(IF(J401&lt;10, 10, IF(J401&gt;50,50,J401)),'Over to underbark'!$A$3:$C$43,IF(A401="Scots pine",3,IF(A401="Sitka spruce",2, "error")),TRUE)/100</f>
        <v>0.9</v>
      </c>
      <c r="W401">
        <f t="shared" si="87"/>
        <v>162.62936999999999</v>
      </c>
      <c r="X401">
        <f t="shared" si="88"/>
        <v>277.57322999999997</v>
      </c>
      <c r="Y401">
        <f t="shared" si="89"/>
        <v>48.911399999999993</v>
      </c>
      <c r="Z401">
        <f t="shared" si="90"/>
        <v>183.24612539999998</v>
      </c>
      <c r="AA401">
        <f t="shared" si="91"/>
        <v>139.32393659999997</v>
      </c>
      <c r="AB401">
        <f t="shared" si="92"/>
        <v>166.54393799999997</v>
      </c>
      <c r="AC401">
        <f>LOOKUP($A401,'Over to underbark'!$A$47:$A$48,'Over to underbark'!E$47:E$48)*Z401</f>
        <v>60.471221381999996</v>
      </c>
      <c r="AD401">
        <f>LOOKUP($A401,'Over to underbark'!$A$47:$A$48,'Over to underbark'!E$47:E$48)*AA401</f>
        <v>45.976899077999988</v>
      </c>
      <c r="AE401">
        <f>LOOKUP($A401,'Over to underbark'!$A$47:$A$48,'Over to underbark'!E$47:E$48)*AB401</f>
        <v>54.959499539999989</v>
      </c>
      <c r="AF401" t="b">
        <f t="shared" si="93"/>
        <v>1</v>
      </c>
      <c r="AG401" t="b">
        <f t="shared" si="94"/>
        <v>1</v>
      </c>
      <c r="AH401">
        <f>LOOKUP(A401,'Over to underbark'!$A$47:$A$48,'Over to underbark'!E$47:E$48)*M401</f>
        <v>179.34180000000001</v>
      </c>
      <c r="AI401" s="27">
        <f>LOOKUP(A401,'Over to underbark'!$A$47:$A$48,'Over to underbark'!$B$47:$B$48)*AH401</f>
        <v>57.389376000000006</v>
      </c>
      <c r="AJ401" s="27">
        <f>LOOKUP(A402,'Over to underbark'!$A$47:$A$48,'Over to underbark'!C$47:C$48)*AH401</f>
        <v>87.877482000000001</v>
      </c>
      <c r="AK401" s="27">
        <f t="shared" si="95"/>
        <v>236.731176</v>
      </c>
      <c r="AL401" s="33">
        <v>717.37</v>
      </c>
      <c r="AM401" s="28">
        <f t="shared" si="96"/>
        <v>473.46235200000001</v>
      </c>
      <c r="AO401">
        <f t="shared" si="97"/>
        <v>0.68181818181818177</v>
      </c>
    </row>
    <row r="402" spans="1:41" x14ac:dyDescent="0.35">
      <c r="A402" t="s">
        <v>41</v>
      </c>
      <c r="B402">
        <v>8</v>
      </c>
      <c r="C402">
        <v>2</v>
      </c>
      <c r="D402" t="s">
        <v>40</v>
      </c>
      <c r="E402">
        <v>2</v>
      </c>
      <c r="F402">
        <v>1</v>
      </c>
      <c r="G402" s="16">
        <v>79</v>
      </c>
      <c r="H402" s="16">
        <v>21.55</v>
      </c>
      <c r="I402" s="16">
        <v>1320</v>
      </c>
      <c r="J402" s="16">
        <v>24.259</v>
      </c>
      <c r="K402" s="16">
        <v>61.011000000000003</v>
      </c>
      <c r="L402" s="16">
        <v>0.41499999999999998</v>
      </c>
      <c r="M402" s="23">
        <v>547.38</v>
      </c>
      <c r="N402" s="16">
        <v>8.3729999999999993</v>
      </c>
      <c r="O402" s="17">
        <v>6.9290000000000003</v>
      </c>
      <c r="P402" s="18">
        <v>79</v>
      </c>
      <c r="Q402" s="18">
        <v>24.259</v>
      </c>
      <c r="R402" s="18">
        <v>199.33500000000001</v>
      </c>
      <c r="S402" s="18">
        <v>348.04500000000002</v>
      </c>
      <c r="T402" s="14" t="b">
        <f t="shared" si="85"/>
        <v>1</v>
      </c>
      <c r="U402" s="14" t="b">
        <f t="shared" si="86"/>
        <v>1</v>
      </c>
      <c r="V402" s="15">
        <f>VLOOKUP(IF(J402&lt;10, 10, IF(J402&gt;50,50,J402)),'Over to underbark'!$A$3:$C$43,IF(A402="Scots pine",3,IF(A402="Sitka spruce",2, "error")),TRUE)/100</f>
        <v>0.9</v>
      </c>
      <c r="W402">
        <f t="shared" si="87"/>
        <v>161.46135000000001</v>
      </c>
      <c r="X402">
        <f t="shared" si="88"/>
        <v>281.91645</v>
      </c>
      <c r="Y402">
        <f t="shared" si="89"/>
        <v>49.264199999999988</v>
      </c>
      <c r="Z402">
        <f t="shared" si="90"/>
        <v>183.58463699999999</v>
      </c>
      <c r="AA402">
        <f t="shared" si="91"/>
        <v>139.90749299999999</v>
      </c>
      <c r="AB402">
        <f t="shared" si="92"/>
        <v>169.14986999999999</v>
      </c>
      <c r="AC402">
        <f>LOOKUP($A402,'Over to underbark'!$A$47:$A$48,'Over to underbark'!E$47:E$48)*Z402</f>
        <v>60.582930210000001</v>
      </c>
      <c r="AD402">
        <f>LOOKUP($A402,'Over to underbark'!$A$47:$A$48,'Over to underbark'!E$47:E$48)*AA402</f>
        <v>46.169472689999999</v>
      </c>
      <c r="AE402">
        <f>LOOKUP($A402,'Over to underbark'!$A$47:$A$48,'Over to underbark'!E$47:E$48)*AB402</f>
        <v>55.819457100000001</v>
      </c>
      <c r="AF402" t="b">
        <f t="shared" si="93"/>
        <v>1</v>
      </c>
      <c r="AG402" t="b">
        <f t="shared" si="94"/>
        <v>1</v>
      </c>
      <c r="AH402">
        <f>LOOKUP(A402,'Over to underbark'!$A$47:$A$48,'Over to underbark'!E$47:E$48)*M402</f>
        <v>180.6354</v>
      </c>
      <c r="AI402" s="27">
        <f>LOOKUP(A402,'Over to underbark'!$A$47:$A$48,'Over to underbark'!$B$47:$B$48)*AH402</f>
        <v>57.803328</v>
      </c>
      <c r="AJ402" s="27">
        <f>LOOKUP(A403,'Over to underbark'!$A$47:$A$48,'Over to underbark'!C$47:C$48)*AH402</f>
        <v>88.511346000000003</v>
      </c>
      <c r="AK402" s="27">
        <f t="shared" si="95"/>
        <v>238.438728</v>
      </c>
      <c r="AL402" s="33">
        <v>722.54</v>
      </c>
      <c r="AM402" s="28">
        <f t="shared" si="96"/>
        <v>476.877456</v>
      </c>
      <c r="AO402">
        <f t="shared" si="97"/>
        <v>0.68181818181818177</v>
      </c>
    </row>
    <row r="403" spans="1:41" x14ac:dyDescent="0.35">
      <c r="A403" t="s">
        <v>41</v>
      </c>
      <c r="B403">
        <v>8</v>
      </c>
      <c r="C403">
        <v>2</v>
      </c>
      <c r="D403" t="s">
        <v>40</v>
      </c>
      <c r="E403">
        <v>2</v>
      </c>
      <c r="F403">
        <v>1</v>
      </c>
      <c r="G403" s="16">
        <v>80</v>
      </c>
      <c r="H403" s="16">
        <v>21.67</v>
      </c>
      <c r="I403" s="16">
        <v>1310</v>
      </c>
      <c r="J403" s="16">
        <v>24.39</v>
      </c>
      <c r="K403" s="16">
        <v>61.204999999999998</v>
      </c>
      <c r="L403" s="16">
        <v>0.42099999999999999</v>
      </c>
      <c r="M403" s="23">
        <v>551.29999999999995</v>
      </c>
      <c r="N403" s="16">
        <v>8.5890000000000004</v>
      </c>
      <c r="O403" s="17">
        <v>6.891</v>
      </c>
      <c r="P403" s="18">
        <v>80</v>
      </c>
      <c r="Q403" s="18">
        <v>24.39</v>
      </c>
      <c r="R403" s="18">
        <v>197.863</v>
      </c>
      <c r="S403" s="18">
        <v>353.43700000000001</v>
      </c>
      <c r="T403" s="14" t="b">
        <f t="shared" si="85"/>
        <v>1</v>
      </c>
      <c r="U403" s="14" t="b">
        <f t="shared" si="86"/>
        <v>1</v>
      </c>
      <c r="V403" s="15">
        <f>VLOOKUP(IF(J403&lt;10, 10, IF(J403&gt;50,50,J403)),'Over to underbark'!$A$3:$C$43,IF(A403="Scots pine",3,IF(A403="Sitka spruce",2, "error")),TRUE)/100</f>
        <v>0.9</v>
      </c>
      <c r="W403">
        <f t="shared" si="87"/>
        <v>160.26903000000001</v>
      </c>
      <c r="X403">
        <f t="shared" si="88"/>
        <v>286.28397000000001</v>
      </c>
      <c r="Y403">
        <f t="shared" si="89"/>
        <v>49.616999999999983</v>
      </c>
      <c r="Z403">
        <f t="shared" si="90"/>
        <v>183.91294260000001</v>
      </c>
      <c r="AA403">
        <f t="shared" si="91"/>
        <v>140.48667540000002</v>
      </c>
      <c r="AB403">
        <f t="shared" si="92"/>
        <v>171.77038200000001</v>
      </c>
      <c r="AC403">
        <f>LOOKUP($A403,'Over to underbark'!$A$47:$A$48,'Over to underbark'!E$47:E$48)*Z403</f>
        <v>60.691271058000005</v>
      </c>
      <c r="AD403">
        <f>LOOKUP($A403,'Over to underbark'!$A$47:$A$48,'Over to underbark'!E$47:E$48)*AA403</f>
        <v>46.360602882000009</v>
      </c>
      <c r="AE403">
        <f>LOOKUP($A403,'Over to underbark'!$A$47:$A$48,'Over to underbark'!E$47:E$48)*AB403</f>
        <v>56.684226060000007</v>
      </c>
      <c r="AF403" t="b">
        <f t="shared" si="93"/>
        <v>1</v>
      </c>
      <c r="AG403" t="b">
        <f t="shared" si="94"/>
        <v>1</v>
      </c>
      <c r="AH403">
        <f>LOOKUP(A403,'Over to underbark'!$A$47:$A$48,'Over to underbark'!E$47:E$48)*M403</f>
        <v>181.929</v>
      </c>
      <c r="AI403" s="27">
        <f>LOOKUP(A403,'Over to underbark'!$A$47:$A$48,'Over to underbark'!$B$47:$B$48)*AH403</f>
        <v>58.217280000000002</v>
      </c>
      <c r="AJ403" s="27">
        <f>LOOKUP(A404,'Over to underbark'!$A$47:$A$48,'Over to underbark'!C$47:C$48)*AH403</f>
        <v>89.145210000000006</v>
      </c>
      <c r="AK403" s="27">
        <f t="shared" si="95"/>
        <v>240.14627999999999</v>
      </c>
      <c r="AL403" s="33">
        <v>727.72</v>
      </c>
      <c r="AM403" s="28">
        <f t="shared" si="96"/>
        <v>480.29255999999998</v>
      </c>
      <c r="AO403">
        <f t="shared" si="97"/>
        <v>0.68181818181818199</v>
      </c>
    </row>
    <row r="404" spans="1:41" x14ac:dyDescent="0.35">
      <c r="A404" t="s">
        <v>41</v>
      </c>
      <c r="B404">
        <v>10</v>
      </c>
      <c r="C404">
        <v>2</v>
      </c>
      <c r="D404" t="s">
        <v>40</v>
      </c>
      <c r="E404">
        <v>2</v>
      </c>
      <c r="F404">
        <v>1</v>
      </c>
      <c r="G404" s="16">
        <v>22</v>
      </c>
      <c r="H404" s="16">
        <v>7.1</v>
      </c>
      <c r="I404" s="16">
        <v>2315</v>
      </c>
      <c r="J404" s="16">
        <v>11.15</v>
      </c>
      <c r="K404" s="16">
        <v>22.603999999999999</v>
      </c>
      <c r="L404" s="16">
        <v>2.5999999999999999E-2</v>
      </c>
      <c r="M404" s="23">
        <v>60.8</v>
      </c>
      <c r="N404" s="16">
        <v>0</v>
      </c>
      <c r="O404" s="17">
        <v>2.7639999999999998</v>
      </c>
      <c r="P404" s="18">
        <v>22</v>
      </c>
      <c r="Q404" s="18">
        <v>11.15</v>
      </c>
      <c r="R404" s="18">
        <v>60.8</v>
      </c>
      <c r="S404" s="18">
        <v>0</v>
      </c>
      <c r="T404" s="14" t="b">
        <f t="shared" si="85"/>
        <v>1</v>
      </c>
      <c r="U404" s="14" t="b">
        <f t="shared" si="86"/>
        <v>1</v>
      </c>
      <c r="V404" s="15">
        <f>VLOOKUP(IF(J404&lt;10, 10, IF(J404&gt;50,50,J404)),'Over to underbark'!$A$3:$C$43,IF(A404="Scots pine",3,IF(A404="Sitka spruce",2, "error")),TRUE)/100</f>
        <v>0.82</v>
      </c>
      <c r="W404">
        <f t="shared" si="87"/>
        <v>44.870399999999997</v>
      </c>
      <c r="X404">
        <f t="shared" si="88"/>
        <v>0</v>
      </c>
      <c r="Y404">
        <f t="shared" si="89"/>
        <v>9.8496000000000024</v>
      </c>
      <c r="Z404">
        <f t="shared" si="90"/>
        <v>35.425727999999999</v>
      </c>
      <c r="AA404">
        <f t="shared" si="91"/>
        <v>19.294271999999999</v>
      </c>
      <c r="AB404">
        <f t="shared" si="92"/>
        <v>0</v>
      </c>
      <c r="AC404">
        <f>LOOKUP($A404,'Over to underbark'!$A$47:$A$48,'Over to underbark'!E$47:E$48)*Z404</f>
        <v>11.690490240000001</v>
      </c>
      <c r="AD404">
        <f>LOOKUP($A404,'Over to underbark'!$A$47:$A$48,'Over to underbark'!E$47:E$48)*AA404</f>
        <v>6.36710976</v>
      </c>
      <c r="AE404">
        <f>LOOKUP($A404,'Over to underbark'!$A$47:$A$48,'Over to underbark'!E$47:E$48)*AB404</f>
        <v>0</v>
      </c>
      <c r="AF404" t="b">
        <f t="shared" si="93"/>
        <v>1</v>
      </c>
      <c r="AG404" t="b">
        <f t="shared" si="94"/>
        <v>1</v>
      </c>
      <c r="AH404">
        <f>LOOKUP(A404,'Over to underbark'!$A$47:$A$48,'Over to underbark'!E$47:E$48)*M404</f>
        <v>20.064</v>
      </c>
      <c r="AI404" s="27">
        <f>LOOKUP(A404,'Over to underbark'!$A$47:$A$48,'Over to underbark'!$B$47:$B$48)*AH404</f>
        <v>6.4204800000000004</v>
      </c>
      <c r="AJ404" s="27">
        <f>LOOKUP(A405,'Over to underbark'!$A$47:$A$48,'Over to underbark'!C$47:C$48)*AH404</f>
        <v>9.8313600000000001</v>
      </c>
      <c r="AK404" s="27">
        <f t="shared" si="95"/>
        <v>26.484480000000001</v>
      </c>
      <c r="AL404" s="33">
        <v>80.260000000000005</v>
      </c>
      <c r="AM404" s="28">
        <f t="shared" si="96"/>
        <v>52.968960000000003</v>
      </c>
      <c r="AO404">
        <f t="shared" si="97"/>
        <v>0.68181818181818177</v>
      </c>
    </row>
    <row r="405" spans="1:41" x14ac:dyDescent="0.35">
      <c r="A405" t="s">
        <v>41</v>
      </c>
      <c r="B405">
        <v>10</v>
      </c>
      <c r="C405">
        <v>2</v>
      </c>
      <c r="D405" t="s">
        <v>40</v>
      </c>
      <c r="E405">
        <v>2</v>
      </c>
      <c r="F405">
        <v>1</v>
      </c>
      <c r="G405" s="16">
        <v>23</v>
      </c>
      <c r="H405" s="16">
        <v>7.5819999999999999</v>
      </c>
      <c r="I405" s="16">
        <v>2304</v>
      </c>
      <c r="J405" s="16">
        <v>11.661</v>
      </c>
      <c r="K405" s="16">
        <v>24.603999999999999</v>
      </c>
      <c r="L405" s="16">
        <v>3.2000000000000001E-2</v>
      </c>
      <c r="M405" s="23">
        <v>72.599999999999994</v>
      </c>
      <c r="N405" s="16">
        <v>0</v>
      </c>
      <c r="O405" s="17">
        <v>3.157</v>
      </c>
      <c r="P405" s="18">
        <v>23</v>
      </c>
      <c r="Q405" s="18">
        <v>11.661</v>
      </c>
      <c r="R405" s="18">
        <v>72.599999999999994</v>
      </c>
      <c r="S405" s="18">
        <v>0</v>
      </c>
      <c r="T405" s="14" t="b">
        <f t="shared" si="85"/>
        <v>1</v>
      </c>
      <c r="U405" s="14" t="b">
        <f t="shared" si="86"/>
        <v>1</v>
      </c>
      <c r="V405" s="15">
        <f>VLOOKUP(IF(J405&lt;10, 10, IF(J405&gt;50,50,J405)),'Over to underbark'!$A$3:$C$43,IF(A405="Scots pine",3,IF(A405="Sitka spruce",2, "error")),TRUE)/100</f>
        <v>0.82</v>
      </c>
      <c r="W405">
        <f t="shared" si="87"/>
        <v>53.578800000000001</v>
      </c>
      <c r="X405">
        <f t="shared" si="88"/>
        <v>0</v>
      </c>
      <c r="Y405">
        <f t="shared" si="89"/>
        <v>11.761200000000004</v>
      </c>
      <c r="Z405">
        <f t="shared" si="90"/>
        <v>42.301116</v>
      </c>
      <c r="AA405">
        <f t="shared" si="91"/>
        <v>23.038883999999999</v>
      </c>
      <c r="AB405">
        <f t="shared" si="92"/>
        <v>0</v>
      </c>
      <c r="AC405">
        <f>LOOKUP($A405,'Over to underbark'!$A$47:$A$48,'Over to underbark'!E$47:E$48)*Z405</f>
        <v>13.959368280000001</v>
      </c>
      <c r="AD405">
        <f>LOOKUP($A405,'Over to underbark'!$A$47:$A$48,'Over to underbark'!E$47:E$48)*AA405</f>
        <v>7.6028317200000002</v>
      </c>
      <c r="AE405">
        <f>LOOKUP($A405,'Over to underbark'!$A$47:$A$48,'Over to underbark'!E$47:E$48)*AB405</f>
        <v>0</v>
      </c>
      <c r="AF405" t="b">
        <f t="shared" si="93"/>
        <v>1</v>
      </c>
      <c r="AG405" t="b">
        <f t="shared" si="94"/>
        <v>1</v>
      </c>
      <c r="AH405">
        <f>LOOKUP(A405,'Over to underbark'!$A$47:$A$48,'Over to underbark'!E$47:E$48)*M405</f>
        <v>23.957999999999998</v>
      </c>
      <c r="AI405" s="27">
        <f>LOOKUP(A405,'Over to underbark'!$A$47:$A$48,'Over to underbark'!$B$47:$B$48)*AH405</f>
        <v>7.6665599999999996</v>
      </c>
      <c r="AJ405" s="27">
        <f>LOOKUP(A406,'Over to underbark'!$A$47:$A$48,'Over to underbark'!C$47:C$48)*AH405</f>
        <v>11.739419999999999</v>
      </c>
      <c r="AK405" s="27">
        <f t="shared" si="95"/>
        <v>31.624559999999999</v>
      </c>
      <c r="AL405" s="33">
        <v>95.83</v>
      </c>
      <c r="AM405" s="28">
        <f t="shared" si="96"/>
        <v>63.249119999999998</v>
      </c>
      <c r="AO405">
        <f t="shared" si="97"/>
        <v>0.68181818181818188</v>
      </c>
    </row>
    <row r="406" spans="1:41" x14ac:dyDescent="0.35">
      <c r="A406" t="s">
        <v>41</v>
      </c>
      <c r="B406">
        <v>10</v>
      </c>
      <c r="C406">
        <v>2</v>
      </c>
      <c r="D406" t="s">
        <v>40</v>
      </c>
      <c r="E406">
        <v>2</v>
      </c>
      <c r="F406">
        <v>1</v>
      </c>
      <c r="G406" s="16">
        <v>24</v>
      </c>
      <c r="H406" s="16">
        <v>8.0640000000000001</v>
      </c>
      <c r="I406" s="16">
        <v>2293</v>
      </c>
      <c r="J406" s="16">
        <v>12.154</v>
      </c>
      <c r="K406" s="16">
        <v>26.603999999999999</v>
      </c>
      <c r="L406" s="16">
        <v>3.6999999999999998E-2</v>
      </c>
      <c r="M406" s="23">
        <v>84.4</v>
      </c>
      <c r="N406" s="16">
        <v>0</v>
      </c>
      <c r="O406" s="17">
        <v>3.5169999999999999</v>
      </c>
      <c r="P406" s="18">
        <v>24</v>
      </c>
      <c r="Q406" s="18">
        <v>12.154</v>
      </c>
      <c r="R406" s="18">
        <v>84.4</v>
      </c>
      <c r="S406" s="18">
        <v>0</v>
      </c>
      <c r="T406" s="14" t="b">
        <f t="shared" si="85"/>
        <v>1</v>
      </c>
      <c r="U406" s="14" t="b">
        <f t="shared" si="86"/>
        <v>1</v>
      </c>
      <c r="V406" s="15">
        <f>VLOOKUP(IF(J406&lt;10, 10, IF(J406&gt;50,50,J406)),'Over to underbark'!$A$3:$C$43,IF(A406="Scots pine",3,IF(A406="Sitka spruce",2, "error")),TRUE)/100</f>
        <v>0.87</v>
      </c>
      <c r="W406">
        <f t="shared" si="87"/>
        <v>66.0852</v>
      </c>
      <c r="X406">
        <f t="shared" si="88"/>
        <v>0</v>
      </c>
      <c r="Y406">
        <f t="shared" si="89"/>
        <v>9.8748000000000022</v>
      </c>
      <c r="Z406">
        <f t="shared" si="90"/>
        <v>47.543363999999997</v>
      </c>
      <c r="AA406">
        <f t="shared" si="91"/>
        <v>28.416636</v>
      </c>
      <c r="AB406">
        <f t="shared" si="92"/>
        <v>0</v>
      </c>
      <c r="AC406">
        <f>LOOKUP($A406,'Over to underbark'!$A$47:$A$48,'Over to underbark'!E$47:E$48)*Z406</f>
        <v>15.68931012</v>
      </c>
      <c r="AD406">
        <f>LOOKUP($A406,'Over to underbark'!$A$47:$A$48,'Over to underbark'!E$47:E$48)*AA406</f>
        <v>9.3774898800000006</v>
      </c>
      <c r="AE406">
        <f>LOOKUP($A406,'Over to underbark'!$A$47:$A$48,'Over to underbark'!E$47:E$48)*AB406</f>
        <v>0</v>
      </c>
      <c r="AF406" t="b">
        <f t="shared" si="93"/>
        <v>1</v>
      </c>
      <c r="AG406" t="b">
        <f t="shared" si="94"/>
        <v>1</v>
      </c>
      <c r="AH406">
        <f>LOOKUP(A406,'Over to underbark'!$A$47:$A$48,'Over to underbark'!E$47:E$48)*M406</f>
        <v>27.852000000000004</v>
      </c>
      <c r="AI406" s="27">
        <f>LOOKUP(A406,'Over to underbark'!$A$47:$A$48,'Over to underbark'!$B$47:$B$48)*AH406</f>
        <v>8.9126400000000015</v>
      </c>
      <c r="AJ406" s="27">
        <f>LOOKUP(A407,'Over to underbark'!$A$47:$A$48,'Over to underbark'!C$47:C$48)*AH406</f>
        <v>13.647480000000002</v>
      </c>
      <c r="AK406" s="27">
        <f t="shared" si="95"/>
        <v>36.764640000000007</v>
      </c>
      <c r="AL406" s="33">
        <v>111.41</v>
      </c>
      <c r="AM406" s="28">
        <f t="shared" si="96"/>
        <v>73.529280000000014</v>
      </c>
      <c r="AO406">
        <f t="shared" si="97"/>
        <v>0.68181818181818166</v>
      </c>
    </row>
    <row r="407" spans="1:41" x14ac:dyDescent="0.35">
      <c r="A407" t="s">
        <v>41</v>
      </c>
      <c r="B407">
        <v>10</v>
      </c>
      <c r="C407">
        <v>2</v>
      </c>
      <c r="D407" t="s">
        <v>40</v>
      </c>
      <c r="E407">
        <v>2</v>
      </c>
      <c r="F407">
        <v>1</v>
      </c>
      <c r="G407" s="16">
        <v>25</v>
      </c>
      <c r="H407" s="16">
        <v>8.5459999999999994</v>
      </c>
      <c r="I407" s="16">
        <v>2282</v>
      </c>
      <c r="J407" s="16">
        <v>12.632999999999999</v>
      </c>
      <c r="K407" s="16">
        <v>28.603999999999999</v>
      </c>
      <c r="L407" s="16">
        <v>4.2000000000000003E-2</v>
      </c>
      <c r="M407" s="23">
        <v>96.2</v>
      </c>
      <c r="N407" s="16">
        <v>0</v>
      </c>
      <c r="O407" s="17">
        <v>3.8479999999999999</v>
      </c>
      <c r="P407" s="18">
        <v>25</v>
      </c>
      <c r="Q407" s="18">
        <v>12.632999999999999</v>
      </c>
      <c r="R407" s="18">
        <v>96.2</v>
      </c>
      <c r="S407" s="18">
        <v>0</v>
      </c>
      <c r="T407" s="14" t="b">
        <f t="shared" si="85"/>
        <v>1</v>
      </c>
      <c r="U407" s="14" t="b">
        <f t="shared" si="86"/>
        <v>1</v>
      </c>
      <c r="V407" s="15">
        <f>VLOOKUP(IF(J407&lt;10, 10, IF(J407&gt;50,50,J407)),'Over to underbark'!$A$3:$C$43,IF(A407="Scots pine",3,IF(A407="Sitka spruce",2, "error")),TRUE)/100</f>
        <v>0.87</v>
      </c>
      <c r="W407">
        <f t="shared" si="87"/>
        <v>75.324600000000004</v>
      </c>
      <c r="X407">
        <f t="shared" si="88"/>
        <v>0</v>
      </c>
      <c r="Y407">
        <f t="shared" si="89"/>
        <v>11.2554</v>
      </c>
      <c r="Z407">
        <f t="shared" si="90"/>
        <v>54.190421999999998</v>
      </c>
      <c r="AA407">
        <f t="shared" si="91"/>
        <v>32.389578</v>
      </c>
      <c r="AB407">
        <f t="shared" si="92"/>
        <v>0</v>
      </c>
      <c r="AC407">
        <f>LOOKUP($A407,'Over to underbark'!$A$47:$A$48,'Over to underbark'!E$47:E$48)*Z407</f>
        <v>17.882839260000001</v>
      </c>
      <c r="AD407">
        <f>LOOKUP($A407,'Over to underbark'!$A$47:$A$48,'Over to underbark'!E$47:E$48)*AA407</f>
        <v>10.68856074</v>
      </c>
      <c r="AE407">
        <f>LOOKUP($A407,'Over to underbark'!$A$47:$A$48,'Over to underbark'!E$47:E$48)*AB407</f>
        <v>0</v>
      </c>
      <c r="AF407" t="b">
        <f t="shared" si="93"/>
        <v>1</v>
      </c>
      <c r="AG407" t="b">
        <f t="shared" si="94"/>
        <v>1</v>
      </c>
      <c r="AH407">
        <f>LOOKUP(A407,'Over to underbark'!$A$47:$A$48,'Over to underbark'!E$47:E$48)*M407</f>
        <v>31.746000000000002</v>
      </c>
      <c r="AI407" s="27">
        <f>LOOKUP(A407,'Over to underbark'!$A$47:$A$48,'Over to underbark'!$B$47:$B$48)*AH407</f>
        <v>10.158720000000001</v>
      </c>
      <c r="AJ407" s="27">
        <f>LOOKUP(A408,'Over to underbark'!$A$47:$A$48,'Over to underbark'!C$47:C$48)*AH407</f>
        <v>15.555540000000001</v>
      </c>
      <c r="AK407" s="27">
        <f t="shared" si="95"/>
        <v>41.904720000000005</v>
      </c>
      <c r="AL407" s="33">
        <v>126.98</v>
      </c>
      <c r="AM407" s="28">
        <f t="shared" si="96"/>
        <v>83.809440000000009</v>
      </c>
      <c r="AO407">
        <f t="shared" si="97"/>
        <v>0.68181818181818177</v>
      </c>
    </row>
    <row r="408" spans="1:41" x14ac:dyDescent="0.35">
      <c r="A408" t="s">
        <v>41</v>
      </c>
      <c r="B408">
        <v>10</v>
      </c>
      <c r="C408">
        <v>2</v>
      </c>
      <c r="D408" t="s">
        <v>40</v>
      </c>
      <c r="E408">
        <v>2</v>
      </c>
      <c r="F408">
        <v>1</v>
      </c>
      <c r="G408" s="16">
        <v>26</v>
      </c>
      <c r="H408" s="16">
        <v>9.0280000000000005</v>
      </c>
      <c r="I408" s="16">
        <v>2271</v>
      </c>
      <c r="J408" s="16">
        <v>13.099</v>
      </c>
      <c r="K408" s="16">
        <v>30.603999999999999</v>
      </c>
      <c r="L408" s="16">
        <v>4.8000000000000001E-2</v>
      </c>
      <c r="M408" s="23">
        <v>108</v>
      </c>
      <c r="N408" s="16">
        <v>0</v>
      </c>
      <c r="O408" s="17">
        <v>4.1539999999999999</v>
      </c>
      <c r="P408" s="18">
        <v>26</v>
      </c>
      <c r="Q408" s="18">
        <v>13.099</v>
      </c>
      <c r="R408" s="18">
        <v>105.545</v>
      </c>
      <c r="S408" s="18">
        <v>2.4550000000000001</v>
      </c>
      <c r="T408" s="14" t="b">
        <f t="shared" si="85"/>
        <v>1</v>
      </c>
      <c r="U408" s="14" t="b">
        <f t="shared" si="86"/>
        <v>1</v>
      </c>
      <c r="V408" s="15">
        <f>VLOOKUP(IF(J408&lt;10, 10, IF(J408&gt;50,50,J408)),'Over to underbark'!$A$3:$C$43,IF(A408="Scots pine",3,IF(A408="Sitka spruce",2, "error")),TRUE)/100</f>
        <v>0.89</v>
      </c>
      <c r="W408">
        <f t="shared" si="87"/>
        <v>84.541544999999999</v>
      </c>
      <c r="X408">
        <f t="shared" si="88"/>
        <v>1.9664550000000003</v>
      </c>
      <c r="Y408">
        <f t="shared" si="89"/>
        <v>10.691999999999998</v>
      </c>
      <c r="Z408">
        <f t="shared" si="90"/>
        <v>59.175648899999992</v>
      </c>
      <c r="AA408">
        <f t="shared" si="91"/>
        <v>36.844478099999996</v>
      </c>
      <c r="AB408">
        <f t="shared" si="92"/>
        <v>1.1798730000000002</v>
      </c>
      <c r="AC408">
        <f>LOOKUP($A408,'Over to underbark'!$A$47:$A$48,'Over to underbark'!E$47:E$48)*Z408</f>
        <v>19.527964136999998</v>
      </c>
      <c r="AD408">
        <f>LOOKUP($A408,'Over to underbark'!$A$47:$A$48,'Over to underbark'!E$47:E$48)*AA408</f>
        <v>12.158677772999999</v>
      </c>
      <c r="AE408">
        <f>LOOKUP($A408,'Over to underbark'!$A$47:$A$48,'Over to underbark'!E$47:E$48)*AB408</f>
        <v>0.3893580900000001</v>
      </c>
      <c r="AF408" t="b">
        <f t="shared" si="93"/>
        <v>1</v>
      </c>
      <c r="AG408" t="b">
        <f t="shared" si="94"/>
        <v>1</v>
      </c>
      <c r="AH408">
        <f>LOOKUP(A408,'Over to underbark'!$A$47:$A$48,'Over to underbark'!E$47:E$48)*M408</f>
        <v>35.64</v>
      </c>
      <c r="AI408" s="27">
        <f>LOOKUP(A408,'Over to underbark'!$A$47:$A$48,'Over to underbark'!$B$47:$B$48)*AH408</f>
        <v>11.4048</v>
      </c>
      <c r="AJ408" s="27">
        <f>LOOKUP(A409,'Over to underbark'!$A$47:$A$48,'Over to underbark'!C$47:C$48)*AH408</f>
        <v>17.4636</v>
      </c>
      <c r="AK408" s="27">
        <f t="shared" si="95"/>
        <v>47.044800000000002</v>
      </c>
      <c r="AL408" s="33">
        <v>142.56</v>
      </c>
      <c r="AM408" s="28">
        <f t="shared" si="96"/>
        <v>94.089600000000004</v>
      </c>
      <c r="AO408">
        <f t="shared" si="97"/>
        <v>0.68181818181818177</v>
      </c>
    </row>
    <row r="409" spans="1:41" x14ac:dyDescent="0.35">
      <c r="A409" t="s">
        <v>41</v>
      </c>
      <c r="B409">
        <v>10</v>
      </c>
      <c r="C409">
        <v>2</v>
      </c>
      <c r="D409" t="s">
        <v>40</v>
      </c>
      <c r="E409">
        <v>2</v>
      </c>
      <c r="F409">
        <v>1</v>
      </c>
      <c r="G409" s="16">
        <v>27</v>
      </c>
      <c r="H409" s="16">
        <v>9.51</v>
      </c>
      <c r="I409" s="16">
        <v>2261</v>
      </c>
      <c r="J409" s="16">
        <v>13.55</v>
      </c>
      <c r="K409" s="16">
        <v>32.603999999999999</v>
      </c>
      <c r="L409" s="16">
        <v>5.2999999999999999E-2</v>
      </c>
      <c r="M409" s="23">
        <v>119.8</v>
      </c>
      <c r="N409" s="16">
        <v>0</v>
      </c>
      <c r="O409" s="17">
        <v>4.4370000000000003</v>
      </c>
      <c r="P409" s="18">
        <v>27</v>
      </c>
      <c r="Q409" s="18">
        <v>13.55</v>
      </c>
      <c r="R409" s="18">
        <v>114.001</v>
      </c>
      <c r="S409" s="18">
        <v>5.7990000000000004</v>
      </c>
      <c r="T409" s="14" t="b">
        <f t="shared" si="85"/>
        <v>1</v>
      </c>
      <c r="U409" s="14" t="b">
        <f t="shared" si="86"/>
        <v>1</v>
      </c>
      <c r="V409" s="15">
        <f>VLOOKUP(IF(J409&lt;10, 10, IF(J409&gt;50,50,J409)),'Over to underbark'!$A$3:$C$43,IF(A409="Scots pine",3,IF(A409="Sitka spruce",2, "error")),TRUE)/100</f>
        <v>0.89</v>
      </c>
      <c r="W409">
        <f t="shared" si="87"/>
        <v>91.314801000000017</v>
      </c>
      <c r="X409">
        <f t="shared" si="88"/>
        <v>4.6449990000000003</v>
      </c>
      <c r="Y409">
        <f t="shared" si="89"/>
        <v>11.860199999999999</v>
      </c>
      <c r="Z409">
        <f t="shared" si="90"/>
        <v>64.606386420000007</v>
      </c>
      <c r="AA409">
        <f t="shared" si="91"/>
        <v>40.426614180000009</v>
      </c>
      <c r="AB409">
        <f t="shared" si="92"/>
        <v>2.7869994</v>
      </c>
      <c r="AC409">
        <f>LOOKUP($A409,'Over to underbark'!$A$47:$A$48,'Over to underbark'!E$47:E$48)*Z409</f>
        <v>21.320107518600004</v>
      </c>
      <c r="AD409">
        <f>LOOKUP($A409,'Over to underbark'!$A$47:$A$48,'Over to underbark'!E$47:E$48)*AA409</f>
        <v>13.340782679400004</v>
      </c>
      <c r="AE409">
        <f>LOOKUP($A409,'Over to underbark'!$A$47:$A$48,'Over to underbark'!E$47:E$48)*AB409</f>
        <v>0.91970980200000008</v>
      </c>
      <c r="AF409" t="b">
        <f t="shared" si="93"/>
        <v>1</v>
      </c>
      <c r="AG409" t="b">
        <f t="shared" si="94"/>
        <v>1</v>
      </c>
      <c r="AH409">
        <f>LOOKUP(A409,'Over to underbark'!$A$47:$A$48,'Over to underbark'!E$47:E$48)*M409</f>
        <v>39.533999999999999</v>
      </c>
      <c r="AI409" s="27">
        <f>LOOKUP(A409,'Over to underbark'!$A$47:$A$48,'Over to underbark'!$B$47:$B$48)*AH409</f>
        <v>12.650880000000001</v>
      </c>
      <c r="AJ409" s="27">
        <f>LOOKUP(A410,'Over to underbark'!$A$47:$A$48,'Over to underbark'!C$47:C$48)*AH409</f>
        <v>19.371659999999999</v>
      </c>
      <c r="AK409" s="27">
        <f t="shared" si="95"/>
        <v>52.18488</v>
      </c>
      <c r="AL409" s="33">
        <v>158.13999999999999</v>
      </c>
      <c r="AM409" s="28">
        <f t="shared" si="96"/>
        <v>104.36976</v>
      </c>
      <c r="AO409">
        <f t="shared" si="97"/>
        <v>0.68181818181818188</v>
      </c>
    </row>
    <row r="410" spans="1:41" x14ac:dyDescent="0.35">
      <c r="A410" t="s">
        <v>41</v>
      </c>
      <c r="B410">
        <v>10</v>
      </c>
      <c r="C410">
        <v>2</v>
      </c>
      <c r="D410" t="s">
        <v>40</v>
      </c>
      <c r="E410">
        <v>2</v>
      </c>
      <c r="F410">
        <v>1</v>
      </c>
      <c r="G410" s="16">
        <v>28</v>
      </c>
      <c r="H410" s="16">
        <v>9.968</v>
      </c>
      <c r="I410" s="16">
        <v>2243</v>
      </c>
      <c r="J410" s="16">
        <v>13.941000000000001</v>
      </c>
      <c r="K410" s="16">
        <v>34.238</v>
      </c>
      <c r="L410" s="16">
        <v>0.06</v>
      </c>
      <c r="M410" s="23">
        <v>133.80000000000001</v>
      </c>
      <c r="N410" s="16">
        <v>0.13400000000000001</v>
      </c>
      <c r="O410" s="17">
        <v>4.7789999999999999</v>
      </c>
      <c r="P410" s="18">
        <v>28</v>
      </c>
      <c r="Q410" s="18">
        <v>13.941000000000001</v>
      </c>
      <c r="R410" s="18">
        <v>124.27800000000001</v>
      </c>
      <c r="S410" s="18">
        <v>9.5220000000000002</v>
      </c>
      <c r="T410" s="14" t="b">
        <f t="shared" si="85"/>
        <v>1</v>
      </c>
      <c r="U410" s="14" t="b">
        <f t="shared" si="86"/>
        <v>1</v>
      </c>
      <c r="V410" s="15">
        <f>VLOOKUP(IF(J410&lt;10, 10, IF(J410&gt;50,50,J410)),'Over to underbark'!$A$3:$C$43,IF(A410="Scots pine",3,IF(A410="Sitka spruce",2, "error")),TRUE)/100</f>
        <v>0.89</v>
      </c>
      <c r="W410">
        <f t="shared" si="87"/>
        <v>99.546678</v>
      </c>
      <c r="X410">
        <f t="shared" si="88"/>
        <v>7.6271220000000008</v>
      </c>
      <c r="Y410">
        <f t="shared" si="89"/>
        <v>13.2462</v>
      </c>
      <c r="Z410">
        <f t="shared" si="90"/>
        <v>71.131874759999988</v>
      </c>
      <c r="AA410">
        <f t="shared" si="91"/>
        <v>44.711852040000004</v>
      </c>
      <c r="AB410">
        <f t="shared" si="92"/>
        <v>4.5762732000000002</v>
      </c>
      <c r="AC410">
        <f>LOOKUP($A410,'Over to underbark'!$A$47:$A$48,'Over to underbark'!E$47:E$48)*Z410</f>
        <v>23.473518670799997</v>
      </c>
      <c r="AD410">
        <f>LOOKUP($A410,'Over to underbark'!$A$47:$A$48,'Over to underbark'!E$47:E$48)*AA410</f>
        <v>14.754911173200002</v>
      </c>
      <c r="AE410">
        <f>LOOKUP($A410,'Over to underbark'!$A$47:$A$48,'Over to underbark'!E$47:E$48)*AB410</f>
        <v>1.510170156</v>
      </c>
      <c r="AF410" t="b">
        <f t="shared" si="93"/>
        <v>1</v>
      </c>
      <c r="AG410" t="b">
        <f t="shared" si="94"/>
        <v>1</v>
      </c>
      <c r="AH410">
        <f>LOOKUP(A410,'Over to underbark'!$A$47:$A$48,'Over to underbark'!E$47:E$48)*M410</f>
        <v>44.154000000000003</v>
      </c>
      <c r="AI410" s="27">
        <f>LOOKUP(A410,'Over to underbark'!$A$47:$A$48,'Over to underbark'!$B$47:$B$48)*AH410</f>
        <v>14.129280000000001</v>
      </c>
      <c r="AJ410" s="27">
        <f>LOOKUP(A411,'Over to underbark'!$A$47:$A$48,'Over to underbark'!C$47:C$48)*AH410</f>
        <v>21.635460000000002</v>
      </c>
      <c r="AK410" s="27">
        <f t="shared" si="95"/>
        <v>58.283280000000005</v>
      </c>
      <c r="AL410" s="33">
        <v>176.62</v>
      </c>
      <c r="AM410" s="28">
        <f t="shared" si="96"/>
        <v>116.56656000000001</v>
      </c>
      <c r="AO410">
        <f t="shared" si="97"/>
        <v>0.68181818181818177</v>
      </c>
    </row>
    <row r="411" spans="1:41" x14ac:dyDescent="0.35">
      <c r="A411" t="s">
        <v>41</v>
      </c>
      <c r="B411">
        <v>10</v>
      </c>
      <c r="C411">
        <v>2</v>
      </c>
      <c r="D411" t="s">
        <v>40</v>
      </c>
      <c r="E411">
        <v>2</v>
      </c>
      <c r="F411">
        <v>1</v>
      </c>
      <c r="G411" s="16">
        <v>29</v>
      </c>
      <c r="H411" s="16">
        <v>10.426</v>
      </c>
      <c r="I411" s="16">
        <v>2226</v>
      </c>
      <c r="J411" s="16">
        <v>14.324</v>
      </c>
      <c r="K411" s="16">
        <v>35.872999999999998</v>
      </c>
      <c r="L411" s="16">
        <v>6.6000000000000003E-2</v>
      </c>
      <c r="M411" s="23">
        <v>147.80000000000001</v>
      </c>
      <c r="N411" s="16">
        <v>0.24299999999999999</v>
      </c>
      <c r="O411" s="17">
        <v>5.0970000000000004</v>
      </c>
      <c r="P411" s="18">
        <v>29</v>
      </c>
      <c r="Q411" s="18">
        <v>14.324</v>
      </c>
      <c r="R411" s="18">
        <v>133.93</v>
      </c>
      <c r="S411" s="18">
        <v>13.87</v>
      </c>
      <c r="T411" s="14" t="b">
        <f t="shared" si="85"/>
        <v>1</v>
      </c>
      <c r="U411" s="14" t="b">
        <f t="shared" si="86"/>
        <v>1</v>
      </c>
      <c r="V411" s="15">
        <f>VLOOKUP(IF(J411&lt;10, 10, IF(J411&gt;50,50,J411)),'Over to underbark'!$A$3:$C$43,IF(A411="Scots pine",3,IF(A411="Sitka spruce",2, "error")),TRUE)/100</f>
        <v>0.9</v>
      </c>
      <c r="W411">
        <f t="shared" si="87"/>
        <v>108.48330000000001</v>
      </c>
      <c r="X411">
        <f t="shared" si="88"/>
        <v>11.234699999999998</v>
      </c>
      <c r="Y411">
        <f t="shared" si="89"/>
        <v>13.301999999999998</v>
      </c>
      <c r="Z411">
        <f t="shared" si="90"/>
        <v>76.82268599999999</v>
      </c>
      <c r="AA411">
        <f t="shared" si="91"/>
        <v>49.456494000000006</v>
      </c>
      <c r="AB411">
        <f t="shared" si="92"/>
        <v>6.7408199999999985</v>
      </c>
      <c r="AC411">
        <f>LOOKUP($A411,'Over to underbark'!$A$47:$A$48,'Over to underbark'!E$47:E$48)*Z411</f>
        <v>25.351486379999997</v>
      </c>
      <c r="AD411">
        <f>LOOKUP($A411,'Over to underbark'!$A$47:$A$48,'Over to underbark'!E$47:E$48)*AA411</f>
        <v>16.320643020000002</v>
      </c>
      <c r="AE411">
        <f>LOOKUP($A411,'Over to underbark'!$A$47:$A$48,'Over to underbark'!E$47:E$48)*AB411</f>
        <v>2.2244705999999996</v>
      </c>
      <c r="AF411" t="b">
        <f t="shared" si="93"/>
        <v>1</v>
      </c>
      <c r="AG411" t="b">
        <f t="shared" si="94"/>
        <v>1</v>
      </c>
      <c r="AH411">
        <f>LOOKUP(A411,'Over to underbark'!$A$47:$A$48,'Over to underbark'!E$47:E$48)*M411</f>
        <v>48.774000000000008</v>
      </c>
      <c r="AI411" s="27">
        <f>LOOKUP(A411,'Over to underbark'!$A$47:$A$48,'Over to underbark'!$B$47:$B$48)*AH411</f>
        <v>15.607680000000004</v>
      </c>
      <c r="AJ411" s="27">
        <f>LOOKUP(A412,'Over to underbark'!$A$47:$A$48,'Over to underbark'!C$47:C$48)*AH411</f>
        <v>23.899260000000002</v>
      </c>
      <c r="AK411" s="27">
        <f t="shared" si="95"/>
        <v>64.381680000000017</v>
      </c>
      <c r="AL411" s="33">
        <v>195.1</v>
      </c>
      <c r="AM411" s="28">
        <f t="shared" si="96"/>
        <v>128.76336000000003</v>
      </c>
      <c r="AO411">
        <f t="shared" si="97"/>
        <v>0.68181818181818166</v>
      </c>
    </row>
    <row r="412" spans="1:41" x14ac:dyDescent="0.35">
      <c r="A412" t="s">
        <v>41</v>
      </c>
      <c r="B412">
        <v>10</v>
      </c>
      <c r="C412">
        <v>2</v>
      </c>
      <c r="D412" t="s">
        <v>40</v>
      </c>
      <c r="E412">
        <v>2</v>
      </c>
      <c r="F412">
        <v>1</v>
      </c>
      <c r="G412" s="16">
        <v>30</v>
      </c>
      <c r="H412" s="16">
        <v>10.884</v>
      </c>
      <c r="I412" s="16">
        <v>2209</v>
      </c>
      <c r="J412" s="16">
        <v>14.702999999999999</v>
      </c>
      <c r="K412" s="16">
        <v>37.506999999999998</v>
      </c>
      <c r="L412" s="16">
        <v>7.2999999999999995E-2</v>
      </c>
      <c r="M412" s="23">
        <v>161.80000000000001</v>
      </c>
      <c r="N412" s="16">
        <v>0.33300000000000002</v>
      </c>
      <c r="O412" s="17">
        <v>5.3929999999999998</v>
      </c>
      <c r="P412" s="18">
        <v>30</v>
      </c>
      <c r="Q412" s="18">
        <v>14.702999999999999</v>
      </c>
      <c r="R412" s="18">
        <v>142.93799999999999</v>
      </c>
      <c r="S412" s="18">
        <v>18.861999999999998</v>
      </c>
      <c r="T412" s="14" t="b">
        <f t="shared" si="85"/>
        <v>1</v>
      </c>
      <c r="U412" s="14" t="b">
        <f t="shared" si="86"/>
        <v>1</v>
      </c>
      <c r="V412" s="15">
        <f>VLOOKUP(IF(J412&lt;10, 10, IF(J412&gt;50,50,J412)),'Over to underbark'!$A$3:$C$43,IF(A412="Scots pine",3,IF(A412="Sitka spruce",2, "error")),TRUE)/100</f>
        <v>0.9</v>
      </c>
      <c r="W412">
        <f t="shared" si="87"/>
        <v>115.77977999999999</v>
      </c>
      <c r="X412">
        <f t="shared" si="88"/>
        <v>15.278219999999999</v>
      </c>
      <c r="Y412">
        <f t="shared" si="89"/>
        <v>14.561999999999994</v>
      </c>
      <c r="Z412">
        <f t="shared" si="90"/>
        <v>82.848207599999981</v>
      </c>
      <c r="AA412">
        <f t="shared" si="91"/>
        <v>53.604860399999993</v>
      </c>
      <c r="AB412">
        <f t="shared" si="92"/>
        <v>9.1669319999999992</v>
      </c>
      <c r="AC412">
        <f>LOOKUP($A412,'Over to underbark'!$A$47:$A$48,'Over to underbark'!E$47:E$48)*Z412</f>
        <v>27.339908507999994</v>
      </c>
      <c r="AD412">
        <f>LOOKUP($A412,'Over to underbark'!$A$47:$A$48,'Over to underbark'!E$47:E$48)*AA412</f>
        <v>17.689603931999997</v>
      </c>
      <c r="AE412">
        <f>LOOKUP($A412,'Over to underbark'!$A$47:$A$48,'Over to underbark'!E$47:E$48)*AB412</f>
        <v>3.0250875599999998</v>
      </c>
      <c r="AF412" t="b">
        <f t="shared" si="93"/>
        <v>1</v>
      </c>
      <c r="AG412" t="b">
        <f t="shared" si="94"/>
        <v>1</v>
      </c>
      <c r="AH412">
        <f>LOOKUP(A412,'Over to underbark'!$A$47:$A$48,'Over to underbark'!E$47:E$48)*M412</f>
        <v>53.394000000000005</v>
      </c>
      <c r="AI412" s="27">
        <f>LOOKUP(A412,'Over to underbark'!$A$47:$A$48,'Over to underbark'!$B$47:$B$48)*AH412</f>
        <v>17.086080000000003</v>
      </c>
      <c r="AJ412" s="27">
        <f>LOOKUP(A413,'Over to underbark'!$A$47:$A$48,'Over to underbark'!C$47:C$48)*AH412</f>
        <v>26.163060000000002</v>
      </c>
      <c r="AK412" s="27">
        <f t="shared" si="95"/>
        <v>70.480080000000015</v>
      </c>
      <c r="AL412" s="33">
        <v>213.58</v>
      </c>
      <c r="AM412" s="28">
        <f t="shared" si="96"/>
        <v>140.96016000000003</v>
      </c>
      <c r="AO412">
        <f t="shared" si="97"/>
        <v>0.68181818181818155</v>
      </c>
    </row>
    <row r="413" spans="1:41" x14ac:dyDescent="0.35">
      <c r="A413" t="s">
        <v>41</v>
      </c>
      <c r="B413">
        <v>10</v>
      </c>
      <c r="C413">
        <v>2</v>
      </c>
      <c r="D413" t="s">
        <v>40</v>
      </c>
      <c r="E413">
        <v>2</v>
      </c>
      <c r="F413">
        <v>1</v>
      </c>
      <c r="G413" s="16">
        <v>31</v>
      </c>
      <c r="H413" s="16">
        <v>11.342000000000001</v>
      </c>
      <c r="I413" s="16">
        <v>2192</v>
      </c>
      <c r="J413" s="16">
        <v>15.077999999999999</v>
      </c>
      <c r="K413" s="16">
        <v>39.142000000000003</v>
      </c>
      <c r="L413" s="16">
        <v>0.08</v>
      </c>
      <c r="M413" s="23">
        <v>175.8</v>
      </c>
      <c r="N413" s="16">
        <v>0.40799999999999997</v>
      </c>
      <c r="O413" s="17">
        <v>5.6710000000000003</v>
      </c>
      <c r="P413" s="18">
        <v>31</v>
      </c>
      <c r="Q413" s="18">
        <v>15.077999999999999</v>
      </c>
      <c r="R413" s="18">
        <v>151.31100000000001</v>
      </c>
      <c r="S413" s="18">
        <v>24.489000000000001</v>
      </c>
      <c r="T413" s="14" t="b">
        <f t="shared" si="85"/>
        <v>1</v>
      </c>
      <c r="U413" s="14" t="b">
        <f t="shared" si="86"/>
        <v>1</v>
      </c>
      <c r="V413" s="15">
        <f>VLOOKUP(IF(J413&lt;10, 10, IF(J413&gt;50,50,J413)),'Over to underbark'!$A$3:$C$43,IF(A413="Scots pine",3,IF(A413="Sitka spruce",2, "error")),TRUE)/100</f>
        <v>0.9</v>
      </c>
      <c r="W413">
        <f t="shared" si="87"/>
        <v>122.56191000000001</v>
      </c>
      <c r="X413">
        <f t="shared" si="88"/>
        <v>19.836090000000002</v>
      </c>
      <c r="Y413">
        <f t="shared" si="89"/>
        <v>15.821999999999999</v>
      </c>
      <c r="Z413">
        <f t="shared" si="90"/>
        <v>88.657702200000003</v>
      </c>
      <c r="AA413">
        <f t="shared" si="91"/>
        <v>57.66064380000001</v>
      </c>
      <c r="AB413">
        <f t="shared" si="92"/>
        <v>11.901654000000001</v>
      </c>
      <c r="AC413">
        <f>LOOKUP($A413,'Over to underbark'!$A$47:$A$48,'Over to underbark'!E$47:E$48)*Z413</f>
        <v>29.257041726000001</v>
      </c>
      <c r="AD413">
        <f>LOOKUP($A413,'Over to underbark'!$A$47:$A$48,'Over to underbark'!E$47:E$48)*AA413</f>
        <v>19.028012454000002</v>
      </c>
      <c r="AE413">
        <f>LOOKUP($A413,'Over to underbark'!$A$47:$A$48,'Over to underbark'!E$47:E$48)*AB413</f>
        <v>3.9275458200000002</v>
      </c>
      <c r="AF413" t="b">
        <f t="shared" si="93"/>
        <v>1</v>
      </c>
      <c r="AG413" t="b">
        <f t="shared" si="94"/>
        <v>1</v>
      </c>
      <c r="AH413">
        <f>LOOKUP(A413,'Over to underbark'!$A$47:$A$48,'Over to underbark'!E$47:E$48)*M413</f>
        <v>58.01400000000001</v>
      </c>
      <c r="AI413" s="27">
        <f>LOOKUP(A413,'Over to underbark'!$A$47:$A$48,'Over to underbark'!$B$47:$B$48)*AH413</f>
        <v>18.564480000000003</v>
      </c>
      <c r="AJ413" s="27">
        <f>LOOKUP(A414,'Over to underbark'!$A$47:$A$48,'Over to underbark'!C$47:C$48)*AH413</f>
        <v>28.426860000000005</v>
      </c>
      <c r="AK413" s="27">
        <f t="shared" si="95"/>
        <v>76.578480000000013</v>
      </c>
      <c r="AL413" s="33">
        <v>232.06</v>
      </c>
      <c r="AM413" s="28">
        <f t="shared" si="96"/>
        <v>153.15696000000003</v>
      </c>
      <c r="AO413">
        <f t="shared" si="97"/>
        <v>0.68181818181818177</v>
      </c>
    </row>
    <row r="414" spans="1:41" x14ac:dyDescent="0.35">
      <c r="A414" t="s">
        <v>41</v>
      </c>
      <c r="B414">
        <v>10</v>
      </c>
      <c r="C414">
        <v>2</v>
      </c>
      <c r="D414" t="s">
        <v>40</v>
      </c>
      <c r="E414">
        <v>2</v>
      </c>
      <c r="F414">
        <v>1</v>
      </c>
      <c r="G414" s="16">
        <v>32</v>
      </c>
      <c r="H414" s="16">
        <v>11.8</v>
      </c>
      <c r="I414" s="16">
        <v>2175</v>
      </c>
      <c r="J414" s="16">
        <v>15.45</v>
      </c>
      <c r="K414" s="16">
        <v>40.776000000000003</v>
      </c>
      <c r="L414" s="16">
        <v>8.6999999999999994E-2</v>
      </c>
      <c r="M414" s="23">
        <v>189.8</v>
      </c>
      <c r="N414" s="16">
        <v>0.47199999999999998</v>
      </c>
      <c r="O414" s="17">
        <v>5.931</v>
      </c>
      <c r="P414" s="18">
        <v>32</v>
      </c>
      <c r="Q414" s="18">
        <v>15.45</v>
      </c>
      <c r="R414" s="18">
        <v>159.053</v>
      </c>
      <c r="S414" s="18">
        <v>30.747</v>
      </c>
      <c r="T414" s="14" t="b">
        <f t="shared" si="85"/>
        <v>1</v>
      </c>
      <c r="U414" s="14" t="b">
        <f t="shared" si="86"/>
        <v>1</v>
      </c>
      <c r="V414" s="15">
        <f>VLOOKUP(IF(J414&lt;10, 10, IF(J414&gt;50,50,J414)),'Over to underbark'!$A$3:$C$43,IF(A414="Scots pine",3,IF(A414="Sitka spruce",2, "error")),TRUE)/100</f>
        <v>0.9</v>
      </c>
      <c r="W414">
        <f t="shared" si="87"/>
        <v>128.83293</v>
      </c>
      <c r="X414">
        <f t="shared" si="88"/>
        <v>24.905070000000002</v>
      </c>
      <c r="Y414">
        <f t="shared" si="89"/>
        <v>17.081999999999997</v>
      </c>
      <c r="Z414">
        <f t="shared" si="90"/>
        <v>94.252530599999986</v>
      </c>
      <c r="AA414">
        <f t="shared" si="91"/>
        <v>61.624427400000002</v>
      </c>
      <c r="AB414">
        <f t="shared" si="92"/>
        <v>14.943042</v>
      </c>
      <c r="AC414">
        <f>LOOKUP($A414,'Over to underbark'!$A$47:$A$48,'Over to underbark'!E$47:E$48)*Z414</f>
        <v>31.103335097999995</v>
      </c>
      <c r="AD414">
        <f>LOOKUP($A414,'Over to underbark'!$A$47:$A$48,'Over to underbark'!E$47:E$48)*AA414</f>
        <v>20.336061042000001</v>
      </c>
      <c r="AE414">
        <f>LOOKUP($A414,'Over to underbark'!$A$47:$A$48,'Over to underbark'!E$47:E$48)*AB414</f>
        <v>4.9312038600000001</v>
      </c>
      <c r="AF414" t="b">
        <f t="shared" si="93"/>
        <v>1</v>
      </c>
      <c r="AG414" t="b">
        <f t="shared" si="94"/>
        <v>1</v>
      </c>
      <c r="AH414">
        <f>LOOKUP(A414,'Over to underbark'!$A$47:$A$48,'Over to underbark'!E$47:E$48)*M414</f>
        <v>62.634000000000007</v>
      </c>
      <c r="AI414" s="27">
        <f>LOOKUP(A414,'Over to underbark'!$A$47:$A$48,'Over to underbark'!$B$47:$B$48)*AH414</f>
        <v>20.042880000000004</v>
      </c>
      <c r="AJ414" s="27">
        <f>LOOKUP(A415,'Over to underbark'!$A$47:$A$48,'Over to underbark'!C$47:C$48)*AH414</f>
        <v>30.690660000000005</v>
      </c>
      <c r="AK414" s="27">
        <f t="shared" si="95"/>
        <v>82.676880000000011</v>
      </c>
      <c r="AL414" s="33">
        <v>250.54</v>
      </c>
      <c r="AM414" s="28">
        <f t="shared" si="96"/>
        <v>165.35376000000002</v>
      </c>
      <c r="AO414">
        <f t="shared" si="97"/>
        <v>0.68181818181818166</v>
      </c>
    </row>
    <row r="415" spans="1:41" x14ac:dyDescent="0.35">
      <c r="A415" t="s">
        <v>41</v>
      </c>
      <c r="B415">
        <v>10</v>
      </c>
      <c r="C415">
        <v>2</v>
      </c>
      <c r="D415" t="s">
        <v>40</v>
      </c>
      <c r="E415">
        <v>2</v>
      </c>
      <c r="F415">
        <v>1</v>
      </c>
      <c r="G415" s="16">
        <v>33</v>
      </c>
      <c r="H415" s="16">
        <v>12.224</v>
      </c>
      <c r="I415" s="16">
        <v>2142</v>
      </c>
      <c r="J415" s="16">
        <v>15.803000000000001</v>
      </c>
      <c r="K415" s="16">
        <v>42.012999999999998</v>
      </c>
      <c r="L415" s="16">
        <v>9.6000000000000002E-2</v>
      </c>
      <c r="M415" s="23">
        <v>204.74</v>
      </c>
      <c r="N415" s="16">
        <v>0.66</v>
      </c>
      <c r="O415" s="17">
        <v>6.2039999999999997</v>
      </c>
      <c r="P415" s="18">
        <v>33</v>
      </c>
      <c r="Q415" s="18">
        <v>15.803000000000001</v>
      </c>
      <c r="R415" s="18">
        <v>167.14400000000001</v>
      </c>
      <c r="S415" s="18">
        <v>37.595999999999997</v>
      </c>
      <c r="T415" s="14" t="b">
        <f t="shared" si="85"/>
        <v>1</v>
      </c>
      <c r="U415" s="14" t="b">
        <f t="shared" si="86"/>
        <v>1</v>
      </c>
      <c r="V415" s="15">
        <f>VLOOKUP(IF(J415&lt;10, 10, IF(J415&gt;50,50,J415)),'Over to underbark'!$A$3:$C$43,IF(A415="Scots pine",3,IF(A415="Sitka spruce",2, "error")),TRUE)/100</f>
        <v>0.9</v>
      </c>
      <c r="W415">
        <f t="shared" si="87"/>
        <v>135.38664000000003</v>
      </c>
      <c r="X415">
        <f t="shared" si="88"/>
        <v>30.452759999999998</v>
      </c>
      <c r="Y415">
        <f t="shared" si="89"/>
        <v>18.426599999999997</v>
      </c>
      <c r="Z415">
        <f t="shared" si="90"/>
        <v>100.1648988</v>
      </c>
      <c r="AA415">
        <f t="shared" si="91"/>
        <v>65.829445200000009</v>
      </c>
      <c r="AB415">
        <f t="shared" si="92"/>
        <v>18.271655999999997</v>
      </c>
      <c r="AC415">
        <f>LOOKUP($A415,'Over to underbark'!$A$47:$A$48,'Over to underbark'!E$47:E$48)*Z415</f>
        <v>33.054416604000004</v>
      </c>
      <c r="AD415">
        <f>LOOKUP($A415,'Over to underbark'!$A$47:$A$48,'Over to underbark'!E$47:E$48)*AA415</f>
        <v>21.723716916000004</v>
      </c>
      <c r="AE415">
        <f>LOOKUP($A415,'Over to underbark'!$A$47:$A$48,'Over to underbark'!E$47:E$48)*AB415</f>
        <v>6.0296464799999994</v>
      </c>
      <c r="AF415" t="b">
        <f t="shared" si="93"/>
        <v>1</v>
      </c>
      <c r="AG415" t="b">
        <f t="shared" si="94"/>
        <v>1</v>
      </c>
      <c r="AH415">
        <f>LOOKUP(A415,'Over to underbark'!$A$47:$A$48,'Over to underbark'!E$47:E$48)*M415</f>
        <v>67.5642</v>
      </c>
      <c r="AI415" s="27">
        <f>LOOKUP(A415,'Over to underbark'!$A$47:$A$48,'Over to underbark'!$B$47:$B$48)*AH415</f>
        <v>21.620543999999999</v>
      </c>
      <c r="AJ415" s="27">
        <f>LOOKUP(A416,'Over to underbark'!$A$47:$A$48,'Over to underbark'!C$47:C$48)*AH415</f>
        <v>33.106457999999996</v>
      </c>
      <c r="AK415" s="27">
        <f t="shared" si="95"/>
        <v>89.184743999999995</v>
      </c>
      <c r="AL415" s="33">
        <v>270.26</v>
      </c>
      <c r="AM415" s="28">
        <f t="shared" si="96"/>
        <v>178.36948799999999</v>
      </c>
      <c r="AO415">
        <f t="shared" si="97"/>
        <v>0.68181818181818199</v>
      </c>
    </row>
    <row r="416" spans="1:41" x14ac:dyDescent="0.35">
      <c r="A416" t="s">
        <v>41</v>
      </c>
      <c r="B416">
        <v>10</v>
      </c>
      <c r="C416">
        <v>2</v>
      </c>
      <c r="D416" t="s">
        <v>40</v>
      </c>
      <c r="E416">
        <v>2</v>
      </c>
      <c r="F416">
        <v>1</v>
      </c>
      <c r="G416" s="16">
        <v>34</v>
      </c>
      <c r="H416" s="16">
        <v>12.648</v>
      </c>
      <c r="I416" s="16">
        <v>2110</v>
      </c>
      <c r="J416" s="16">
        <v>16.155000000000001</v>
      </c>
      <c r="K416" s="16">
        <v>43.249000000000002</v>
      </c>
      <c r="L416" s="16">
        <v>0.104</v>
      </c>
      <c r="M416" s="23">
        <v>219.68</v>
      </c>
      <c r="N416" s="16">
        <v>0.82199999999999995</v>
      </c>
      <c r="O416" s="17">
        <v>6.4610000000000003</v>
      </c>
      <c r="P416" s="18">
        <v>34</v>
      </c>
      <c r="Q416" s="18">
        <v>16.155000000000001</v>
      </c>
      <c r="R416" s="18">
        <v>174.59299999999999</v>
      </c>
      <c r="S416" s="18">
        <v>45.087000000000003</v>
      </c>
      <c r="T416" s="14" t="b">
        <f t="shared" si="85"/>
        <v>1</v>
      </c>
      <c r="U416" s="14" t="b">
        <f t="shared" si="86"/>
        <v>1</v>
      </c>
      <c r="V416" s="15">
        <f>VLOOKUP(IF(J416&lt;10, 10, IF(J416&gt;50,50,J416)),'Over to underbark'!$A$3:$C$43,IF(A416="Scots pine",3,IF(A416="Sitka spruce",2, "error")),TRUE)/100</f>
        <v>0.89</v>
      </c>
      <c r="W416">
        <f t="shared" si="87"/>
        <v>139.84899300000001</v>
      </c>
      <c r="X416">
        <f t="shared" si="88"/>
        <v>36.114687000000004</v>
      </c>
      <c r="Y416">
        <f t="shared" si="89"/>
        <v>21.74832</v>
      </c>
      <c r="Z416">
        <f t="shared" si="90"/>
        <v>106.87944906</v>
      </c>
      <c r="AA416">
        <f t="shared" si="91"/>
        <v>69.163738740000014</v>
      </c>
      <c r="AB416">
        <f t="shared" si="92"/>
        <v>21.668812200000001</v>
      </c>
      <c r="AC416">
        <f>LOOKUP($A416,'Over to underbark'!$A$47:$A$48,'Over to underbark'!E$47:E$48)*Z416</f>
        <v>35.270218189799998</v>
      </c>
      <c r="AD416">
        <f>LOOKUP($A416,'Over to underbark'!$A$47:$A$48,'Over to underbark'!E$47:E$48)*AA416</f>
        <v>22.824033784200005</v>
      </c>
      <c r="AE416">
        <f>LOOKUP($A416,'Over to underbark'!$A$47:$A$48,'Over to underbark'!E$47:E$48)*AB416</f>
        <v>7.1507080260000011</v>
      </c>
      <c r="AF416" t="b">
        <f t="shared" si="93"/>
        <v>1</v>
      </c>
      <c r="AG416" t="b">
        <f t="shared" si="94"/>
        <v>1</v>
      </c>
      <c r="AH416">
        <f>LOOKUP(A416,'Over to underbark'!$A$47:$A$48,'Over to underbark'!E$47:E$48)*M416</f>
        <v>72.494399999999999</v>
      </c>
      <c r="AI416" s="27">
        <f>LOOKUP(A416,'Over to underbark'!$A$47:$A$48,'Over to underbark'!$B$47:$B$48)*AH416</f>
        <v>23.198208000000001</v>
      </c>
      <c r="AJ416" s="27">
        <f>LOOKUP(A417,'Over to underbark'!$A$47:$A$48,'Over to underbark'!C$47:C$48)*AH416</f>
        <v>35.522255999999999</v>
      </c>
      <c r="AK416" s="27">
        <f t="shared" si="95"/>
        <v>95.692608000000007</v>
      </c>
      <c r="AL416" s="33">
        <v>289.98</v>
      </c>
      <c r="AM416" s="28">
        <f t="shared" si="96"/>
        <v>191.38521600000001</v>
      </c>
      <c r="AO416">
        <f t="shared" si="97"/>
        <v>0.68181818181818188</v>
      </c>
    </row>
    <row r="417" spans="1:41" x14ac:dyDescent="0.35">
      <c r="A417" t="s">
        <v>41</v>
      </c>
      <c r="B417">
        <v>10</v>
      </c>
      <c r="C417">
        <v>2</v>
      </c>
      <c r="D417" t="s">
        <v>40</v>
      </c>
      <c r="E417">
        <v>2</v>
      </c>
      <c r="F417">
        <v>1</v>
      </c>
      <c r="G417" s="16">
        <v>35</v>
      </c>
      <c r="H417" s="16">
        <v>13.071999999999999</v>
      </c>
      <c r="I417" s="16">
        <v>2078</v>
      </c>
      <c r="J417" s="16">
        <v>16.510000000000002</v>
      </c>
      <c r="K417" s="16">
        <v>44.485999999999997</v>
      </c>
      <c r="L417" s="16">
        <v>0.113</v>
      </c>
      <c r="M417" s="23">
        <v>234.62</v>
      </c>
      <c r="N417" s="16">
        <v>0.96199999999999997</v>
      </c>
      <c r="O417" s="17">
        <v>6.7030000000000003</v>
      </c>
      <c r="P417" s="18">
        <v>35</v>
      </c>
      <c r="Q417" s="18">
        <v>16.510000000000002</v>
      </c>
      <c r="R417" s="18">
        <v>181.35499999999999</v>
      </c>
      <c r="S417" s="18">
        <v>53.265000000000001</v>
      </c>
      <c r="T417" s="14" t="b">
        <f t="shared" si="85"/>
        <v>1</v>
      </c>
      <c r="U417" s="14" t="b">
        <f t="shared" si="86"/>
        <v>1</v>
      </c>
      <c r="V417" s="15">
        <f>VLOOKUP(IF(J417&lt;10, 10, IF(J417&gt;50,50,J417)),'Over to underbark'!$A$3:$C$43,IF(A417="Scots pine",3,IF(A417="Sitka spruce",2, "error")),TRUE)/100</f>
        <v>0.89</v>
      </c>
      <c r="W417">
        <f t="shared" si="87"/>
        <v>145.265355</v>
      </c>
      <c r="X417">
        <f t="shared" si="88"/>
        <v>42.665265000000005</v>
      </c>
      <c r="Y417">
        <f t="shared" si="89"/>
        <v>23.22738</v>
      </c>
      <c r="Z417">
        <f t="shared" si="90"/>
        <v>112.42842209999999</v>
      </c>
      <c r="AA417">
        <f t="shared" si="91"/>
        <v>73.130418899999995</v>
      </c>
      <c r="AB417">
        <f t="shared" si="92"/>
        <v>25.599159000000004</v>
      </c>
      <c r="AC417">
        <f>LOOKUP($A417,'Over to underbark'!$A$47:$A$48,'Over to underbark'!E$47:E$48)*Z417</f>
        <v>37.101379293000001</v>
      </c>
      <c r="AD417">
        <f>LOOKUP($A417,'Over to underbark'!$A$47:$A$48,'Over to underbark'!E$47:E$48)*AA417</f>
        <v>24.133038237000001</v>
      </c>
      <c r="AE417">
        <f>LOOKUP($A417,'Over to underbark'!$A$47:$A$48,'Over to underbark'!E$47:E$48)*AB417</f>
        <v>8.4477224700000022</v>
      </c>
      <c r="AF417" t="b">
        <f t="shared" si="93"/>
        <v>1</v>
      </c>
      <c r="AG417" t="b">
        <f t="shared" si="94"/>
        <v>1</v>
      </c>
      <c r="AH417">
        <f>LOOKUP(A417,'Over to underbark'!$A$47:$A$48,'Over to underbark'!E$47:E$48)*M417</f>
        <v>77.424599999999998</v>
      </c>
      <c r="AI417" s="27">
        <f>LOOKUP(A417,'Over to underbark'!$A$47:$A$48,'Over to underbark'!$B$47:$B$48)*AH417</f>
        <v>24.775872</v>
      </c>
      <c r="AJ417" s="27">
        <f>LOOKUP(A418,'Over to underbark'!$A$47:$A$48,'Over to underbark'!C$47:C$48)*AH417</f>
        <v>37.938054000000001</v>
      </c>
      <c r="AK417" s="27">
        <f t="shared" si="95"/>
        <v>102.20047199999999</v>
      </c>
      <c r="AL417" s="33">
        <v>309.7</v>
      </c>
      <c r="AM417" s="28">
        <f t="shared" si="96"/>
        <v>204.40094399999998</v>
      </c>
      <c r="AO417">
        <f t="shared" si="97"/>
        <v>0.68181818181818188</v>
      </c>
    </row>
    <row r="418" spans="1:41" x14ac:dyDescent="0.35">
      <c r="A418" t="s">
        <v>41</v>
      </c>
      <c r="B418">
        <v>10</v>
      </c>
      <c r="C418">
        <v>2</v>
      </c>
      <c r="D418" t="s">
        <v>40</v>
      </c>
      <c r="E418">
        <v>2</v>
      </c>
      <c r="F418">
        <v>1</v>
      </c>
      <c r="G418" s="16">
        <v>36</v>
      </c>
      <c r="H418" s="16">
        <v>13.496</v>
      </c>
      <c r="I418" s="16">
        <v>2046</v>
      </c>
      <c r="J418" s="16">
        <v>16.867999999999999</v>
      </c>
      <c r="K418" s="16">
        <v>45.722999999999999</v>
      </c>
      <c r="L418" s="16">
        <v>0.122</v>
      </c>
      <c r="M418" s="23">
        <v>249.56</v>
      </c>
      <c r="N418" s="16">
        <v>1.0860000000000001</v>
      </c>
      <c r="O418" s="17">
        <v>6.9320000000000004</v>
      </c>
      <c r="P418" s="18">
        <v>36</v>
      </c>
      <c r="Q418" s="18">
        <v>16.867999999999999</v>
      </c>
      <c r="R418" s="18">
        <v>187.435</v>
      </c>
      <c r="S418" s="18">
        <v>62.125</v>
      </c>
      <c r="T418" s="14" t="b">
        <f t="shared" si="85"/>
        <v>1</v>
      </c>
      <c r="U418" s="14" t="b">
        <f t="shared" si="86"/>
        <v>1</v>
      </c>
      <c r="V418" s="15">
        <f>VLOOKUP(IF(J418&lt;10, 10, IF(J418&gt;50,50,J418)),'Over to underbark'!$A$3:$C$43,IF(A418="Scots pine",3,IF(A418="Sitka spruce",2, "error")),TRUE)/100</f>
        <v>0.89</v>
      </c>
      <c r="W418">
        <f t="shared" si="87"/>
        <v>150.13543500000003</v>
      </c>
      <c r="X418">
        <f t="shared" si="88"/>
        <v>49.762125000000005</v>
      </c>
      <c r="Y418">
        <f t="shared" si="89"/>
        <v>24.706439999999997</v>
      </c>
      <c r="Z418">
        <f t="shared" si="90"/>
        <v>117.74795670000002</v>
      </c>
      <c r="AA418">
        <f t="shared" si="91"/>
        <v>76.998768300000023</v>
      </c>
      <c r="AB418">
        <f t="shared" si="92"/>
        <v>29.857275000000001</v>
      </c>
      <c r="AC418">
        <f>LOOKUP($A418,'Over to underbark'!$A$47:$A$48,'Over to underbark'!E$47:E$48)*Z418</f>
        <v>38.856825711000006</v>
      </c>
      <c r="AD418">
        <f>LOOKUP($A418,'Over to underbark'!$A$47:$A$48,'Over to underbark'!E$47:E$48)*AA418</f>
        <v>25.40959353900001</v>
      </c>
      <c r="AE418">
        <f>LOOKUP($A418,'Over to underbark'!$A$47:$A$48,'Over to underbark'!E$47:E$48)*AB418</f>
        <v>9.8529007500000017</v>
      </c>
      <c r="AF418" t="b">
        <f t="shared" si="93"/>
        <v>1</v>
      </c>
      <c r="AG418" t="b">
        <f t="shared" si="94"/>
        <v>1</v>
      </c>
      <c r="AH418">
        <f>LOOKUP(A418,'Over to underbark'!$A$47:$A$48,'Over to underbark'!E$47:E$48)*M418</f>
        <v>82.354800000000012</v>
      </c>
      <c r="AI418" s="27">
        <f>LOOKUP(A418,'Over to underbark'!$A$47:$A$48,'Over to underbark'!$B$47:$B$48)*AH418</f>
        <v>26.353536000000005</v>
      </c>
      <c r="AJ418" s="27">
        <f>LOOKUP(A419,'Over to underbark'!$A$47:$A$48,'Over to underbark'!C$47:C$48)*AH418</f>
        <v>40.353852000000003</v>
      </c>
      <c r="AK418" s="27">
        <f t="shared" si="95"/>
        <v>108.70833600000002</v>
      </c>
      <c r="AL418" s="33">
        <v>329.42</v>
      </c>
      <c r="AM418" s="28">
        <f t="shared" si="96"/>
        <v>217.41667200000003</v>
      </c>
      <c r="AO418">
        <f t="shared" si="97"/>
        <v>0.68181818181818188</v>
      </c>
    </row>
    <row r="419" spans="1:41" x14ac:dyDescent="0.35">
      <c r="A419" t="s">
        <v>41</v>
      </c>
      <c r="B419">
        <v>10</v>
      </c>
      <c r="C419">
        <v>2</v>
      </c>
      <c r="D419" t="s">
        <v>40</v>
      </c>
      <c r="E419">
        <v>2</v>
      </c>
      <c r="F419">
        <v>1</v>
      </c>
      <c r="G419" s="16">
        <v>37</v>
      </c>
      <c r="H419" s="16">
        <v>13.92</v>
      </c>
      <c r="I419" s="16">
        <v>2014</v>
      </c>
      <c r="J419" s="16">
        <v>17.23</v>
      </c>
      <c r="K419" s="16">
        <v>46.959000000000003</v>
      </c>
      <c r="L419" s="16">
        <v>0.13100000000000001</v>
      </c>
      <c r="M419" s="23">
        <v>264.5</v>
      </c>
      <c r="N419" s="16">
        <v>1.1950000000000001</v>
      </c>
      <c r="O419" s="17">
        <v>7.149</v>
      </c>
      <c r="P419" s="18">
        <v>37</v>
      </c>
      <c r="Q419" s="18">
        <v>17.23</v>
      </c>
      <c r="R419" s="18">
        <v>192.822</v>
      </c>
      <c r="S419" s="18">
        <v>71.677999999999997</v>
      </c>
      <c r="T419" s="14" t="b">
        <f t="shared" si="85"/>
        <v>1</v>
      </c>
      <c r="U419" s="14" t="b">
        <f t="shared" si="86"/>
        <v>1</v>
      </c>
      <c r="V419" s="15">
        <f>VLOOKUP(IF(J419&lt;10, 10, IF(J419&gt;50,50,J419)),'Over to underbark'!$A$3:$C$43,IF(A419="Scots pine",3,IF(A419="Sitka spruce",2, "error")),TRUE)/100</f>
        <v>0.9</v>
      </c>
      <c r="W419">
        <f t="shared" si="87"/>
        <v>156.18582000000001</v>
      </c>
      <c r="X419">
        <f t="shared" si="88"/>
        <v>58.059179999999998</v>
      </c>
      <c r="Y419">
        <f t="shared" si="89"/>
        <v>23.804999999999996</v>
      </c>
      <c r="Z419">
        <f t="shared" si="90"/>
        <v>121.53979439999999</v>
      </c>
      <c r="AA419">
        <f t="shared" si="91"/>
        <v>81.674697600000002</v>
      </c>
      <c r="AB419">
        <f t="shared" si="92"/>
        <v>34.835507999999997</v>
      </c>
      <c r="AC419">
        <f>LOOKUP($A419,'Over to underbark'!$A$47:$A$48,'Over to underbark'!E$47:E$48)*Z419</f>
        <v>40.108132151999996</v>
      </c>
      <c r="AD419">
        <f>LOOKUP($A419,'Over to underbark'!$A$47:$A$48,'Over to underbark'!E$47:E$48)*AA419</f>
        <v>26.952650208000001</v>
      </c>
      <c r="AE419">
        <f>LOOKUP($A419,'Over to underbark'!$A$47:$A$48,'Over to underbark'!E$47:E$48)*AB419</f>
        <v>11.495717640000001</v>
      </c>
      <c r="AF419" t="b">
        <f t="shared" si="93"/>
        <v>1</v>
      </c>
      <c r="AG419" t="b">
        <f t="shared" si="94"/>
        <v>1</v>
      </c>
      <c r="AH419">
        <f>LOOKUP(A419,'Over to underbark'!$A$47:$A$48,'Over to underbark'!E$47:E$48)*M419</f>
        <v>87.285000000000011</v>
      </c>
      <c r="AI419" s="27">
        <f>LOOKUP(A419,'Over to underbark'!$A$47:$A$48,'Over to underbark'!$B$47:$B$48)*AH419</f>
        <v>27.931200000000004</v>
      </c>
      <c r="AJ419" s="27">
        <f>LOOKUP(A420,'Over to underbark'!$A$47:$A$48,'Over to underbark'!C$47:C$48)*AH419</f>
        <v>42.769650000000006</v>
      </c>
      <c r="AK419" s="27">
        <f t="shared" si="95"/>
        <v>115.21620000000001</v>
      </c>
      <c r="AL419" s="33">
        <v>349.14</v>
      </c>
      <c r="AM419" s="28">
        <f t="shared" si="96"/>
        <v>230.43240000000003</v>
      </c>
      <c r="AO419">
        <f t="shared" si="97"/>
        <v>0.68181818181818166</v>
      </c>
    </row>
    <row r="420" spans="1:41" x14ac:dyDescent="0.35">
      <c r="A420" t="s">
        <v>41</v>
      </c>
      <c r="B420">
        <v>10</v>
      </c>
      <c r="C420">
        <v>2</v>
      </c>
      <c r="D420" t="s">
        <v>40</v>
      </c>
      <c r="E420">
        <v>2</v>
      </c>
      <c r="F420">
        <v>1</v>
      </c>
      <c r="G420" s="16">
        <v>38</v>
      </c>
      <c r="H420" s="16">
        <v>14.308</v>
      </c>
      <c r="I420" s="16">
        <v>1979</v>
      </c>
      <c r="J420" s="16">
        <v>17.555</v>
      </c>
      <c r="K420" s="16">
        <v>47.902999999999999</v>
      </c>
      <c r="L420" s="16">
        <v>0.14099999999999999</v>
      </c>
      <c r="M420" s="23">
        <v>279.32</v>
      </c>
      <c r="N420" s="16">
        <v>1.4330000000000001</v>
      </c>
      <c r="O420" s="17">
        <v>7.351</v>
      </c>
      <c r="P420" s="18">
        <v>38</v>
      </c>
      <c r="Q420" s="18">
        <v>17.555</v>
      </c>
      <c r="R420" s="18">
        <v>198.13</v>
      </c>
      <c r="S420" s="18">
        <v>81.19</v>
      </c>
      <c r="T420" s="14" t="b">
        <f t="shared" si="85"/>
        <v>1</v>
      </c>
      <c r="U420" s="14" t="b">
        <f t="shared" si="86"/>
        <v>1</v>
      </c>
      <c r="V420" s="15">
        <f>VLOOKUP(IF(J420&lt;10, 10, IF(J420&gt;50,50,J420)),'Over to underbark'!$A$3:$C$43,IF(A420="Scots pine",3,IF(A420="Sitka spruce",2, "error")),TRUE)/100</f>
        <v>0.9</v>
      </c>
      <c r="W420">
        <f t="shared" si="87"/>
        <v>160.48530000000002</v>
      </c>
      <c r="X420">
        <f t="shared" si="88"/>
        <v>65.763900000000007</v>
      </c>
      <c r="Y420">
        <f t="shared" si="89"/>
        <v>25.138799999999996</v>
      </c>
      <c r="Z420">
        <f t="shared" si="90"/>
        <v>126.480006</v>
      </c>
      <c r="AA420">
        <f t="shared" si="91"/>
        <v>85.44965400000001</v>
      </c>
      <c r="AB420">
        <f t="shared" si="92"/>
        <v>39.45834</v>
      </c>
      <c r="AC420">
        <f>LOOKUP($A420,'Over to underbark'!$A$47:$A$48,'Over to underbark'!E$47:E$48)*Z420</f>
        <v>41.738401980000006</v>
      </c>
      <c r="AD420">
        <f>LOOKUP($A420,'Over to underbark'!$A$47:$A$48,'Over to underbark'!E$47:E$48)*AA420</f>
        <v>28.198385820000006</v>
      </c>
      <c r="AE420">
        <f>LOOKUP($A420,'Over to underbark'!$A$47:$A$48,'Over to underbark'!E$47:E$48)*AB420</f>
        <v>13.021252200000001</v>
      </c>
      <c r="AF420" t="b">
        <f t="shared" si="93"/>
        <v>1</v>
      </c>
      <c r="AG420" t="b">
        <f t="shared" si="94"/>
        <v>1</v>
      </c>
      <c r="AH420">
        <f>LOOKUP(A420,'Over to underbark'!$A$47:$A$48,'Over to underbark'!E$47:E$48)*M420</f>
        <v>92.175600000000003</v>
      </c>
      <c r="AI420" s="27">
        <f>LOOKUP(A420,'Over to underbark'!$A$47:$A$48,'Over to underbark'!$B$47:$B$48)*AH420</f>
        <v>29.496192000000001</v>
      </c>
      <c r="AJ420" s="27">
        <f>LOOKUP(A421,'Over to underbark'!$A$47:$A$48,'Over to underbark'!C$47:C$48)*AH420</f>
        <v>45.166043999999999</v>
      </c>
      <c r="AK420" s="27">
        <f t="shared" si="95"/>
        <v>121.67179200000001</v>
      </c>
      <c r="AL420" s="33">
        <v>368.7</v>
      </c>
      <c r="AM420" s="28">
        <f t="shared" si="96"/>
        <v>243.34358400000002</v>
      </c>
      <c r="AO420">
        <f t="shared" si="97"/>
        <v>0.68181818181818199</v>
      </c>
    </row>
    <row r="421" spans="1:41" x14ac:dyDescent="0.35">
      <c r="A421" t="s">
        <v>41</v>
      </c>
      <c r="B421">
        <v>10</v>
      </c>
      <c r="C421">
        <v>2</v>
      </c>
      <c r="D421" t="s">
        <v>40</v>
      </c>
      <c r="E421">
        <v>2</v>
      </c>
      <c r="F421">
        <v>1</v>
      </c>
      <c r="G421" s="16">
        <v>39</v>
      </c>
      <c r="H421" s="16">
        <v>14.696</v>
      </c>
      <c r="I421" s="16">
        <v>1944</v>
      </c>
      <c r="J421" s="16">
        <v>17.885999999999999</v>
      </c>
      <c r="K421" s="16">
        <v>48.845999999999997</v>
      </c>
      <c r="L421" s="16">
        <v>0.151</v>
      </c>
      <c r="M421" s="23">
        <v>294.14</v>
      </c>
      <c r="N421" s="16">
        <v>1.645</v>
      </c>
      <c r="O421" s="17">
        <v>7.5419999999999998</v>
      </c>
      <c r="P421" s="18">
        <v>39</v>
      </c>
      <c r="Q421" s="18">
        <v>17.885999999999999</v>
      </c>
      <c r="R421" s="18">
        <v>202.79300000000001</v>
      </c>
      <c r="S421" s="18">
        <v>91.346999999999994</v>
      </c>
      <c r="T421" s="14" t="b">
        <f t="shared" si="85"/>
        <v>1</v>
      </c>
      <c r="U421" s="14" t="b">
        <f t="shared" si="86"/>
        <v>1</v>
      </c>
      <c r="V421" s="15">
        <f>VLOOKUP(IF(J421&lt;10, 10, IF(J421&gt;50,50,J421)),'Over to underbark'!$A$3:$C$43,IF(A421="Scots pine",3,IF(A421="Sitka spruce",2, "error")),TRUE)/100</f>
        <v>0.9</v>
      </c>
      <c r="W421">
        <f t="shared" si="87"/>
        <v>164.26232999999999</v>
      </c>
      <c r="X421">
        <f t="shared" si="88"/>
        <v>73.991070000000008</v>
      </c>
      <c r="Y421">
        <f t="shared" si="89"/>
        <v>26.472599999999993</v>
      </c>
      <c r="Z421">
        <f t="shared" si="90"/>
        <v>131.20078859999998</v>
      </c>
      <c r="AA421">
        <f t="shared" si="91"/>
        <v>89.130569399999985</v>
      </c>
      <c r="AB421">
        <f t="shared" si="92"/>
        <v>44.394642000000005</v>
      </c>
      <c r="AC421">
        <f>LOOKUP($A421,'Over to underbark'!$A$47:$A$48,'Over to underbark'!E$47:E$48)*Z421</f>
        <v>43.296260237999995</v>
      </c>
      <c r="AD421">
        <f>LOOKUP($A421,'Over to underbark'!$A$47:$A$48,'Over to underbark'!E$47:E$48)*AA421</f>
        <v>29.413087901999997</v>
      </c>
      <c r="AE421">
        <f>LOOKUP($A421,'Over to underbark'!$A$47:$A$48,'Over to underbark'!E$47:E$48)*AB421</f>
        <v>14.650231860000002</v>
      </c>
      <c r="AF421" t="b">
        <f t="shared" si="93"/>
        <v>1</v>
      </c>
      <c r="AG421" t="b">
        <f t="shared" si="94"/>
        <v>1</v>
      </c>
      <c r="AH421">
        <f>LOOKUP(A421,'Over to underbark'!$A$47:$A$48,'Over to underbark'!E$47:E$48)*M421</f>
        <v>97.066199999999995</v>
      </c>
      <c r="AI421" s="27">
        <f>LOOKUP(A421,'Over to underbark'!$A$47:$A$48,'Over to underbark'!$B$47:$B$48)*AH421</f>
        <v>31.061184000000001</v>
      </c>
      <c r="AJ421" s="27">
        <f>LOOKUP(A422,'Over to underbark'!$A$47:$A$48,'Over to underbark'!C$47:C$48)*AH421</f>
        <v>47.562437999999993</v>
      </c>
      <c r="AK421" s="27">
        <f t="shared" si="95"/>
        <v>128.12738400000001</v>
      </c>
      <c r="AL421" s="33">
        <v>388.26</v>
      </c>
      <c r="AM421" s="28">
        <f t="shared" si="96"/>
        <v>256.25476800000001</v>
      </c>
      <c r="AO421">
        <f t="shared" si="97"/>
        <v>0.68181818181818177</v>
      </c>
    </row>
    <row r="422" spans="1:41" x14ac:dyDescent="0.35">
      <c r="A422" t="s">
        <v>41</v>
      </c>
      <c r="B422">
        <v>10</v>
      </c>
      <c r="C422">
        <v>2</v>
      </c>
      <c r="D422" t="s">
        <v>40</v>
      </c>
      <c r="E422">
        <v>2</v>
      </c>
      <c r="F422">
        <v>1</v>
      </c>
      <c r="G422" s="16">
        <v>40</v>
      </c>
      <c r="H422" s="16">
        <v>15.084</v>
      </c>
      <c r="I422" s="16">
        <v>1909</v>
      </c>
      <c r="J422" s="16">
        <v>18.222999999999999</v>
      </c>
      <c r="K422" s="16">
        <v>49.789000000000001</v>
      </c>
      <c r="L422" s="16">
        <v>0.16200000000000001</v>
      </c>
      <c r="M422" s="23">
        <v>308.95999999999998</v>
      </c>
      <c r="N422" s="16">
        <v>1.8360000000000001</v>
      </c>
      <c r="O422" s="17">
        <v>7.7240000000000002</v>
      </c>
      <c r="P422" s="18">
        <v>40</v>
      </c>
      <c r="Q422" s="18">
        <v>18.222999999999999</v>
      </c>
      <c r="R422" s="18">
        <v>206.81200000000001</v>
      </c>
      <c r="S422" s="18">
        <v>102.148</v>
      </c>
      <c r="T422" s="14" t="b">
        <f t="shared" si="85"/>
        <v>1</v>
      </c>
      <c r="U422" s="14" t="b">
        <f t="shared" si="86"/>
        <v>1</v>
      </c>
      <c r="V422" s="15">
        <f>VLOOKUP(IF(J422&lt;10, 10, IF(J422&gt;50,50,J422)),'Over to underbark'!$A$3:$C$43,IF(A422="Scots pine",3,IF(A422="Sitka spruce",2, "error")),TRUE)/100</f>
        <v>0.9</v>
      </c>
      <c r="W422">
        <f t="shared" si="87"/>
        <v>167.51772000000003</v>
      </c>
      <c r="X422">
        <f t="shared" si="88"/>
        <v>82.739879999999999</v>
      </c>
      <c r="Y422">
        <f t="shared" si="89"/>
        <v>27.806399999999996</v>
      </c>
      <c r="Z422">
        <f t="shared" si="90"/>
        <v>135.70248240000001</v>
      </c>
      <c r="AA422">
        <f t="shared" si="91"/>
        <v>92.717589599999997</v>
      </c>
      <c r="AB422">
        <f t="shared" si="92"/>
        <v>49.643927999999995</v>
      </c>
      <c r="AC422">
        <f>LOOKUP($A422,'Over to underbark'!$A$47:$A$48,'Over to underbark'!E$47:E$48)*Z422</f>
        <v>44.781819192000007</v>
      </c>
      <c r="AD422">
        <f>LOOKUP($A422,'Over to underbark'!$A$47:$A$48,'Over to underbark'!E$47:E$48)*AA422</f>
        <v>30.596804568</v>
      </c>
      <c r="AE422">
        <f>LOOKUP($A422,'Over to underbark'!$A$47:$A$48,'Over to underbark'!E$47:E$48)*AB422</f>
        <v>16.382496239999998</v>
      </c>
      <c r="AF422" t="b">
        <f t="shared" si="93"/>
        <v>1</v>
      </c>
      <c r="AG422" t="b">
        <f t="shared" si="94"/>
        <v>1</v>
      </c>
      <c r="AH422">
        <f>LOOKUP(A422,'Over to underbark'!$A$47:$A$48,'Over to underbark'!E$47:E$48)*M422</f>
        <v>101.9568</v>
      </c>
      <c r="AI422" s="27">
        <f>LOOKUP(A422,'Over to underbark'!$A$47:$A$48,'Over to underbark'!$B$47:$B$48)*AH422</f>
        <v>32.626176000000001</v>
      </c>
      <c r="AJ422" s="27">
        <f>LOOKUP(A423,'Over to underbark'!$A$47:$A$48,'Over to underbark'!C$47:C$48)*AH422</f>
        <v>49.958832000000001</v>
      </c>
      <c r="AK422" s="27">
        <f t="shared" si="95"/>
        <v>134.582976</v>
      </c>
      <c r="AL422" s="33">
        <v>407.83</v>
      </c>
      <c r="AM422" s="28">
        <f t="shared" si="96"/>
        <v>269.165952</v>
      </c>
      <c r="AO422">
        <f t="shared" si="97"/>
        <v>0.68181818181818188</v>
      </c>
    </row>
    <row r="423" spans="1:41" x14ac:dyDescent="0.35">
      <c r="A423" t="s">
        <v>41</v>
      </c>
      <c r="B423">
        <v>10</v>
      </c>
      <c r="C423">
        <v>2</v>
      </c>
      <c r="D423" t="s">
        <v>40</v>
      </c>
      <c r="E423">
        <v>2</v>
      </c>
      <c r="F423">
        <v>1</v>
      </c>
      <c r="G423" s="16">
        <v>41</v>
      </c>
      <c r="H423" s="16">
        <v>15.472</v>
      </c>
      <c r="I423" s="16">
        <v>1874</v>
      </c>
      <c r="J423" s="16">
        <v>18.565999999999999</v>
      </c>
      <c r="K423" s="16">
        <v>50.732999999999997</v>
      </c>
      <c r="L423" s="16">
        <v>0.17299999999999999</v>
      </c>
      <c r="M423" s="23">
        <v>323.77999999999997</v>
      </c>
      <c r="N423" s="16">
        <v>2.0099999999999998</v>
      </c>
      <c r="O423" s="17">
        <v>7.8970000000000002</v>
      </c>
      <c r="P423" s="18">
        <v>41</v>
      </c>
      <c r="Q423" s="18">
        <v>18.565999999999999</v>
      </c>
      <c r="R423" s="18">
        <v>210.19499999999999</v>
      </c>
      <c r="S423" s="18">
        <v>113.58499999999999</v>
      </c>
      <c r="T423" s="14" t="b">
        <f t="shared" si="85"/>
        <v>1</v>
      </c>
      <c r="U423" s="14" t="b">
        <f t="shared" si="86"/>
        <v>1</v>
      </c>
      <c r="V423" s="15">
        <f>VLOOKUP(IF(J423&lt;10, 10, IF(J423&gt;50,50,J423)),'Over to underbark'!$A$3:$C$43,IF(A423="Scots pine",3,IF(A423="Sitka spruce",2, "error")),TRUE)/100</f>
        <v>0.9</v>
      </c>
      <c r="W423">
        <f t="shared" si="87"/>
        <v>170.25794999999999</v>
      </c>
      <c r="X423">
        <f t="shared" si="88"/>
        <v>92.00385</v>
      </c>
      <c r="Y423">
        <f t="shared" si="89"/>
        <v>29.140199999999993</v>
      </c>
      <c r="Z423">
        <f t="shared" si="90"/>
        <v>139.98780899999997</v>
      </c>
      <c r="AA423">
        <f t="shared" si="91"/>
        <v>96.211880999999991</v>
      </c>
      <c r="AB423">
        <f t="shared" si="92"/>
        <v>55.202309999999997</v>
      </c>
      <c r="AC423">
        <f>LOOKUP($A423,'Over to underbark'!$A$47:$A$48,'Over to underbark'!E$47:E$48)*Z423</f>
        <v>46.19597696999999</v>
      </c>
      <c r="AD423">
        <f>LOOKUP($A423,'Over to underbark'!$A$47:$A$48,'Over to underbark'!E$47:E$48)*AA423</f>
        <v>31.749920729999999</v>
      </c>
      <c r="AE423">
        <f>LOOKUP($A423,'Over to underbark'!$A$47:$A$48,'Over to underbark'!E$47:E$48)*AB423</f>
        <v>18.216762299999999</v>
      </c>
      <c r="AF423" t="b">
        <f t="shared" si="93"/>
        <v>1</v>
      </c>
      <c r="AG423" t="b">
        <f t="shared" si="94"/>
        <v>1</v>
      </c>
      <c r="AH423">
        <f>LOOKUP(A423,'Over to underbark'!$A$47:$A$48,'Over to underbark'!E$47:E$48)*M423</f>
        <v>106.84739999999999</v>
      </c>
      <c r="AI423" s="27">
        <f>LOOKUP(A423,'Over to underbark'!$A$47:$A$48,'Over to underbark'!$B$47:$B$48)*AH423</f>
        <v>34.191167999999998</v>
      </c>
      <c r="AJ423" s="27">
        <f>LOOKUP(A424,'Over to underbark'!$A$47:$A$48,'Over to underbark'!C$47:C$48)*AH423</f>
        <v>52.355225999999995</v>
      </c>
      <c r="AK423" s="27">
        <f t="shared" si="95"/>
        <v>141.038568</v>
      </c>
      <c r="AL423" s="33">
        <v>427.39</v>
      </c>
      <c r="AM423" s="28">
        <f t="shared" si="96"/>
        <v>282.077136</v>
      </c>
      <c r="AO423">
        <f t="shared" si="97"/>
        <v>0.68181818181818177</v>
      </c>
    </row>
    <row r="424" spans="1:41" x14ac:dyDescent="0.35">
      <c r="A424" t="s">
        <v>41</v>
      </c>
      <c r="B424">
        <v>10</v>
      </c>
      <c r="C424">
        <v>2</v>
      </c>
      <c r="D424" t="s">
        <v>40</v>
      </c>
      <c r="E424">
        <v>2</v>
      </c>
      <c r="F424">
        <v>1</v>
      </c>
      <c r="G424" s="16">
        <v>42</v>
      </c>
      <c r="H424" s="16">
        <v>15.86</v>
      </c>
      <c r="I424" s="16">
        <v>1840</v>
      </c>
      <c r="J424" s="16">
        <v>18.91</v>
      </c>
      <c r="K424" s="16">
        <v>51.676000000000002</v>
      </c>
      <c r="L424" s="16">
        <v>0.184</v>
      </c>
      <c r="M424" s="23">
        <v>338.6</v>
      </c>
      <c r="N424" s="16">
        <v>2.1669999999999998</v>
      </c>
      <c r="O424" s="17">
        <v>8.0619999999999994</v>
      </c>
      <c r="P424" s="18">
        <v>42</v>
      </c>
      <c r="Q424" s="18">
        <v>18.91</v>
      </c>
      <c r="R424" s="18">
        <v>213.04400000000001</v>
      </c>
      <c r="S424" s="18">
        <v>125.556</v>
      </c>
      <c r="T424" s="14" t="b">
        <f t="shared" si="85"/>
        <v>1</v>
      </c>
      <c r="U424" s="14" t="b">
        <f t="shared" si="86"/>
        <v>1</v>
      </c>
      <c r="V424" s="15">
        <f>VLOOKUP(IF(J424&lt;10, 10, IF(J424&gt;50,50,J424)),'Over to underbark'!$A$3:$C$43,IF(A424="Scots pine",3,IF(A424="Sitka spruce",2, "error")),TRUE)/100</f>
        <v>0.9</v>
      </c>
      <c r="W424">
        <f t="shared" si="87"/>
        <v>172.56564000000003</v>
      </c>
      <c r="X424">
        <f t="shared" si="88"/>
        <v>101.70036</v>
      </c>
      <c r="Y424">
        <f t="shared" si="89"/>
        <v>30.473999999999993</v>
      </c>
      <c r="Z424">
        <f t="shared" si="90"/>
        <v>144.0914688</v>
      </c>
      <c r="AA424">
        <f t="shared" si="91"/>
        <v>99.628315200000003</v>
      </c>
      <c r="AB424">
        <f t="shared" si="92"/>
        <v>61.020215999999998</v>
      </c>
      <c r="AC424">
        <f>LOOKUP($A424,'Over to underbark'!$A$47:$A$48,'Over to underbark'!E$47:E$48)*Z424</f>
        <v>47.550184704000003</v>
      </c>
      <c r="AD424">
        <f>LOOKUP($A424,'Over to underbark'!$A$47:$A$48,'Over to underbark'!E$47:E$48)*AA424</f>
        <v>32.877344016000002</v>
      </c>
      <c r="AE424">
        <f>LOOKUP($A424,'Over to underbark'!$A$47:$A$48,'Over to underbark'!E$47:E$48)*AB424</f>
        <v>20.136671280000002</v>
      </c>
      <c r="AF424" t="b">
        <f t="shared" si="93"/>
        <v>1</v>
      </c>
      <c r="AG424" t="b">
        <f t="shared" si="94"/>
        <v>1</v>
      </c>
      <c r="AH424">
        <f>LOOKUP(A424,'Over to underbark'!$A$47:$A$48,'Over to underbark'!E$47:E$48)*M424</f>
        <v>111.73800000000001</v>
      </c>
      <c r="AI424" s="27">
        <f>LOOKUP(A424,'Over to underbark'!$A$47:$A$48,'Over to underbark'!$B$47:$B$48)*AH424</f>
        <v>35.756160000000008</v>
      </c>
      <c r="AJ424" s="27">
        <f>LOOKUP(A425,'Over to underbark'!$A$47:$A$48,'Over to underbark'!C$47:C$48)*AH424</f>
        <v>54.751620000000003</v>
      </c>
      <c r="AK424" s="27">
        <f t="shared" si="95"/>
        <v>147.49416000000002</v>
      </c>
      <c r="AL424" s="33">
        <v>446.95</v>
      </c>
      <c r="AM424" s="28">
        <f t="shared" si="96"/>
        <v>294.98832000000004</v>
      </c>
      <c r="AO424">
        <f t="shared" si="97"/>
        <v>0.68181818181818177</v>
      </c>
    </row>
    <row r="425" spans="1:41" x14ac:dyDescent="0.35">
      <c r="A425" t="s">
        <v>41</v>
      </c>
      <c r="B425">
        <v>10</v>
      </c>
      <c r="C425">
        <v>2</v>
      </c>
      <c r="D425" t="s">
        <v>40</v>
      </c>
      <c r="E425">
        <v>2</v>
      </c>
      <c r="F425">
        <v>1</v>
      </c>
      <c r="G425" s="16">
        <v>43</v>
      </c>
      <c r="H425" s="16">
        <v>16.213999999999999</v>
      </c>
      <c r="I425" s="16">
        <v>1809</v>
      </c>
      <c r="J425" s="16">
        <v>19.207000000000001</v>
      </c>
      <c r="K425" s="16">
        <v>52.411999999999999</v>
      </c>
      <c r="L425" s="16">
        <v>0.19500000000000001</v>
      </c>
      <c r="M425" s="23">
        <v>352.38</v>
      </c>
      <c r="N425" s="16">
        <v>2.4470000000000001</v>
      </c>
      <c r="O425" s="17">
        <v>8.1950000000000003</v>
      </c>
      <c r="P425" s="18">
        <v>43</v>
      </c>
      <c r="Q425" s="18">
        <v>19.207000000000001</v>
      </c>
      <c r="R425" s="18">
        <v>215.71</v>
      </c>
      <c r="S425" s="18">
        <v>136.66999999999999</v>
      </c>
      <c r="T425" s="14" t="b">
        <f t="shared" ref="T425:T459" si="98">G425=P425</f>
        <v>1</v>
      </c>
      <c r="U425" s="14" t="b">
        <f t="shared" ref="U425:U459" si="99">J425=Q425</f>
        <v>1</v>
      </c>
      <c r="V425" s="15">
        <f>VLOOKUP(IF(J425&lt;10, 10, IF(J425&gt;50,50,J425)),'Over to underbark'!$A$3:$C$43,IF(A425="Scots pine",3,IF(A425="Sitka spruce",2, "error")),TRUE)/100</f>
        <v>0.9</v>
      </c>
      <c r="W425">
        <f t="shared" ref="W425:W459" si="100">R425*0.9*V425</f>
        <v>174.72510000000003</v>
      </c>
      <c r="X425">
        <f t="shared" ref="X425:X459" si="101">S425*0.9*V425</f>
        <v>110.70269999999999</v>
      </c>
      <c r="Y425">
        <f t="shared" ref="Y425:Y459" si="102">(R425+S425)*0.9*(100%-V425)</f>
        <v>31.714199999999991</v>
      </c>
      <c r="Z425">
        <f t="shared" ref="Z425:Z459" si="103">Y425+(57%*W425)+(15%*X425)</f>
        <v>147.91291199999998</v>
      </c>
      <c r="AA425">
        <f t="shared" ref="AA425:AA459" si="104">(43%*W425)+(25%*X425)</f>
        <v>102.80746800000001</v>
      </c>
      <c r="AB425">
        <f t="shared" ref="AB425:AB459" si="105">60%*X425</f>
        <v>66.42161999999999</v>
      </c>
      <c r="AC425">
        <f>LOOKUP($A425,'Over to underbark'!$A$47:$A$48,'Over to underbark'!E$47:E$48)*Z425</f>
        <v>48.811260959999991</v>
      </c>
      <c r="AD425">
        <f>LOOKUP($A425,'Over to underbark'!$A$47:$A$48,'Over to underbark'!E$47:E$48)*AA425</f>
        <v>33.926464440000004</v>
      </c>
      <c r="AE425">
        <f>LOOKUP($A425,'Over to underbark'!$A$47:$A$48,'Over to underbark'!E$47:E$48)*AB425</f>
        <v>21.919134599999996</v>
      </c>
      <c r="AF425" t="b">
        <f t="shared" ref="AF425:AF459" si="106">SUM(W425:Y425)=SUM(Z425:AB425)</f>
        <v>1</v>
      </c>
      <c r="AG425" t="b">
        <f t="shared" ref="AG425:AG459" si="107">SUM(R425:S425)*0.9 = SUM(W425:Y425)</f>
        <v>1</v>
      </c>
      <c r="AH425">
        <f>LOOKUP(A425,'Over to underbark'!$A$47:$A$48,'Over to underbark'!E$47:E$48)*M425</f>
        <v>116.28540000000001</v>
      </c>
      <c r="AI425" s="27">
        <f>LOOKUP(A425,'Over to underbark'!$A$47:$A$48,'Over to underbark'!$B$47:$B$48)*AH425</f>
        <v>37.211328000000002</v>
      </c>
      <c r="AJ425" s="27">
        <f>LOOKUP(A426,'Over to underbark'!$A$47:$A$48,'Over to underbark'!C$47:C$48)*AH425</f>
        <v>56.979846000000002</v>
      </c>
      <c r="AK425" s="27">
        <f t="shared" si="95"/>
        <v>153.49672800000002</v>
      </c>
      <c r="AL425" s="33">
        <v>465.14</v>
      </c>
      <c r="AM425" s="28">
        <f t="shared" si="96"/>
        <v>306.99345600000004</v>
      </c>
      <c r="AO425">
        <f t="shared" si="97"/>
        <v>0.68181818181818166</v>
      </c>
    </row>
    <row r="426" spans="1:41" x14ac:dyDescent="0.35">
      <c r="A426" t="s">
        <v>41</v>
      </c>
      <c r="B426">
        <v>10</v>
      </c>
      <c r="C426">
        <v>2</v>
      </c>
      <c r="D426" t="s">
        <v>40</v>
      </c>
      <c r="E426">
        <v>2</v>
      </c>
      <c r="F426">
        <v>1</v>
      </c>
      <c r="G426" s="16">
        <v>44</v>
      </c>
      <c r="H426" s="16">
        <v>16.568000000000001</v>
      </c>
      <c r="I426" s="16">
        <v>1778</v>
      </c>
      <c r="J426" s="16">
        <v>19.509</v>
      </c>
      <c r="K426" s="16">
        <v>53.148000000000003</v>
      </c>
      <c r="L426" s="16">
        <v>0.20599999999999999</v>
      </c>
      <c r="M426" s="23">
        <v>366.16</v>
      </c>
      <c r="N426" s="16">
        <v>2.7050000000000001</v>
      </c>
      <c r="O426" s="17">
        <v>8.3219999999999992</v>
      </c>
      <c r="P426" s="18">
        <v>44</v>
      </c>
      <c r="Q426" s="18">
        <v>19.509</v>
      </c>
      <c r="R426" s="18">
        <v>217.88499999999999</v>
      </c>
      <c r="S426" s="18">
        <v>148.27500000000001</v>
      </c>
      <c r="T426" s="14" t="b">
        <f t="shared" si="98"/>
        <v>1</v>
      </c>
      <c r="U426" s="14" t="b">
        <f t="shared" si="99"/>
        <v>1</v>
      </c>
      <c r="V426" s="15">
        <f>VLOOKUP(IF(J426&lt;10, 10, IF(J426&gt;50,50,J426)),'Over to underbark'!$A$3:$C$43,IF(A426="Scots pine",3,IF(A426="Sitka spruce",2, "error")),TRUE)/100</f>
        <v>0.9</v>
      </c>
      <c r="W426">
        <f t="shared" si="100"/>
        <v>176.48685</v>
      </c>
      <c r="X426">
        <f t="shared" si="101"/>
        <v>120.10275000000001</v>
      </c>
      <c r="Y426">
        <f t="shared" si="102"/>
        <v>32.954399999999993</v>
      </c>
      <c r="Z426">
        <f t="shared" si="103"/>
        <v>151.56731699999997</v>
      </c>
      <c r="AA426">
        <f t="shared" si="104"/>
        <v>105.91503300000001</v>
      </c>
      <c r="AB426">
        <f t="shared" si="105"/>
        <v>72.06165</v>
      </c>
      <c r="AC426">
        <f>LOOKUP($A426,'Over to underbark'!$A$47:$A$48,'Over to underbark'!E$47:E$48)*Z426</f>
        <v>50.017214609999996</v>
      </c>
      <c r="AD426">
        <f>LOOKUP($A426,'Over to underbark'!$A$47:$A$48,'Over to underbark'!E$47:E$48)*AA426</f>
        <v>34.951960890000002</v>
      </c>
      <c r="AE426">
        <f>LOOKUP($A426,'Over to underbark'!$A$47:$A$48,'Over to underbark'!E$47:E$48)*AB426</f>
        <v>23.780344500000002</v>
      </c>
      <c r="AF426" t="b">
        <f t="shared" si="106"/>
        <v>1</v>
      </c>
      <c r="AG426" t="b">
        <f t="shared" si="107"/>
        <v>1</v>
      </c>
      <c r="AH426">
        <f>LOOKUP(A426,'Over to underbark'!$A$47:$A$48,'Over to underbark'!E$47:E$48)*M426</f>
        <v>120.83280000000002</v>
      </c>
      <c r="AI426" s="27">
        <f>LOOKUP(A426,'Over to underbark'!$A$47:$A$48,'Over to underbark'!$B$47:$B$48)*AH426</f>
        <v>38.666496000000009</v>
      </c>
      <c r="AJ426" s="27">
        <f>LOOKUP(A427,'Over to underbark'!$A$47:$A$48,'Over to underbark'!C$47:C$48)*AH426</f>
        <v>59.208072000000008</v>
      </c>
      <c r="AK426" s="27">
        <f t="shared" si="95"/>
        <v>159.49929600000002</v>
      </c>
      <c r="AL426" s="33">
        <v>483.33</v>
      </c>
      <c r="AM426" s="28">
        <f t="shared" si="96"/>
        <v>318.99859200000003</v>
      </c>
      <c r="AO426">
        <f t="shared" si="97"/>
        <v>0.68181818181818177</v>
      </c>
    </row>
    <row r="427" spans="1:41" x14ac:dyDescent="0.35">
      <c r="A427" t="s">
        <v>41</v>
      </c>
      <c r="B427">
        <v>10</v>
      </c>
      <c r="C427">
        <v>2</v>
      </c>
      <c r="D427" t="s">
        <v>40</v>
      </c>
      <c r="E427">
        <v>2</v>
      </c>
      <c r="F427">
        <v>1</v>
      </c>
      <c r="G427" s="16">
        <v>45</v>
      </c>
      <c r="H427" s="16">
        <v>16.922000000000001</v>
      </c>
      <c r="I427" s="16">
        <v>1748</v>
      </c>
      <c r="J427" s="16">
        <v>19.811</v>
      </c>
      <c r="K427" s="16">
        <v>53.884</v>
      </c>
      <c r="L427" s="16">
        <v>0.217</v>
      </c>
      <c r="M427" s="23">
        <v>379.94</v>
      </c>
      <c r="N427" s="16">
        <v>2.9430000000000001</v>
      </c>
      <c r="O427" s="17">
        <v>8.4429999999999996</v>
      </c>
      <c r="P427" s="18">
        <v>45</v>
      </c>
      <c r="Q427" s="18">
        <v>19.811</v>
      </c>
      <c r="R427" s="18">
        <v>219.68199999999999</v>
      </c>
      <c r="S427" s="18">
        <v>160.25800000000001</v>
      </c>
      <c r="T427" s="14" t="b">
        <f t="shared" si="98"/>
        <v>1</v>
      </c>
      <c r="U427" s="14" t="b">
        <f t="shared" si="99"/>
        <v>1</v>
      </c>
      <c r="V427" s="15">
        <f>VLOOKUP(IF(J427&lt;10, 10, IF(J427&gt;50,50,J427)),'Over to underbark'!$A$3:$C$43,IF(A427="Scots pine",3,IF(A427="Sitka spruce",2, "error")),TRUE)/100</f>
        <v>0.9</v>
      </c>
      <c r="W427">
        <f t="shared" si="100"/>
        <v>177.94242</v>
      </c>
      <c r="X427">
        <f t="shared" si="101"/>
        <v>129.80898000000002</v>
      </c>
      <c r="Y427">
        <f t="shared" si="102"/>
        <v>34.194599999999994</v>
      </c>
      <c r="Z427">
        <f t="shared" si="103"/>
        <v>155.09312639999999</v>
      </c>
      <c r="AA427">
        <f t="shared" si="104"/>
        <v>108.9674856</v>
      </c>
      <c r="AB427">
        <f t="shared" si="105"/>
        <v>77.885388000000006</v>
      </c>
      <c r="AC427">
        <f>LOOKUP($A427,'Over to underbark'!$A$47:$A$48,'Over to underbark'!E$47:E$48)*Z427</f>
        <v>51.180731711999996</v>
      </c>
      <c r="AD427">
        <f>LOOKUP($A427,'Over to underbark'!$A$47:$A$48,'Over to underbark'!E$47:E$48)*AA427</f>
        <v>35.959270248000003</v>
      </c>
      <c r="AE427">
        <f>LOOKUP($A427,'Over to underbark'!$A$47:$A$48,'Over to underbark'!E$47:E$48)*AB427</f>
        <v>25.702178040000003</v>
      </c>
      <c r="AF427" t="b">
        <f t="shared" si="106"/>
        <v>1</v>
      </c>
      <c r="AG427" t="b">
        <f t="shared" si="107"/>
        <v>1</v>
      </c>
      <c r="AH427">
        <f>LOOKUP(A427,'Over to underbark'!$A$47:$A$48,'Over to underbark'!E$47:E$48)*M427</f>
        <v>125.3802</v>
      </c>
      <c r="AI427" s="27">
        <f>LOOKUP(A427,'Over to underbark'!$A$47:$A$48,'Over to underbark'!$B$47:$B$48)*AH427</f>
        <v>40.121664000000003</v>
      </c>
      <c r="AJ427" s="27">
        <f>LOOKUP(A428,'Over to underbark'!$A$47:$A$48,'Over to underbark'!C$47:C$48)*AH427</f>
        <v>61.436298000000001</v>
      </c>
      <c r="AK427" s="27">
        <f t="shared" si="95"/>
        <v>165.50186400000001</v>
      </c>
      <c r="AL427" s="33">
        <v>501.52</v>
      </c>
      <c r="AM427" s="28">
        <f t="shared" si="96"/>
        <v>331.00372800000002</v>
      </c>
      <c r="AO427">
        <f t="shared" si="97"/>
        <v>0.68181818181818188</v>
      </c>
    </row>
    <row r="428" spans="1:41" x14ac:dyDescent="0.35">
      <c r="A428" t="s">
        <v>41</v>
      </c>
      <c r="B428">
        <v>10</v>
      </c>
      <c r="C428">
        <v>2</v>
      </c>
      <c r="D428" t="s">
        <v>40</v>
      </c>
      <c r="E428">
        <v>2</v>
      </c>
      <c r="F428">
        <v>1</v>
      </c>
      <c r="G428" s="16">
        <v>46</v>
      </c>
      <c r="H428" s="16">
        <v>17.276</v>
      </c>
      <c r="I428" s="16">
        <v>1717</v>
      </c>
      <c r="J428" s="16">
        <v>20.126000000000001</v>
      </c>
      <c r="K428" s="16">
        <v>54.62</v>
      </c>
      <c r="L428" s="16">
        <v>0.22900000000000001</v>
      </c>
      <c r="M428" s="23">
        <v>393.72</v>
      </c>
      <c r="N428" s="16">
        <v>3.1629999999999998</v>
      </c>
      <c r="O428" s="17">
        <v>8.5589999999999993</v>
      </c>
      <c r="P428" s="18">
        <v>46</v>
      </c>
      <c r="Q428" s="18">
        <v>20.126000000000001</v>
      </c>
      <c r="R428" s="18">
        <v>220.83799999999999</v>
      </c>
      <c r="S428" s="18">
        <v>172.88200000000001</v>
      </c>
      <c r="T428" s="14" t="b">
        <f t="shared" si="98"/>
        <v>1</v>
      </c>
      <c r="U428" s="14" t="b">
        <f t="shared" si="99"/>
        <v>1</v>
      </c>
      <c r="V428" s="15">
        <f>VLOOKUP(IF(J428&lt;10, 10, IF(J428&gt;50,50,J428)),'Over to underbark'!$A$3:$C$43,IF(A428="Scots pine",3,IF(A428="Sitka spruce",2, "error")),TRUE)/100</f>
        <v>0.9</v>
      </c>
      <c r="W428">
        <f t="shared" si="100"/>
        <v>178.87878000000001</v>
      </c>
      <c r="X428">
        <f t="shared" si="101"/>
        <v>140.03442000000001</v>
      </c>
      <c r="Y428">
        <f t="shared" si="102"/>
        <v>35.434799999999996</v>
      </c>
      <c r="Z428">
        <f t="shared" si="103"/>
        <v>158.4008676</v>
      </c>
      <c r="AA428">
        <f t="shared" si="104"/>
        <v>111.9264804</v>
      </c>
      <c r="AB428">
        <f t="shared" si="105"/>
        <v>84.020651999999998</v>
      </c>
      <c r="AC428">
        <f>LOOKUP($A428,'Over to underbark'!$A$47:$A$48,'Over to underbark'!E$47:E$48)*Z428</f>
        <v>52.272286308000005</v>
      </c>
      <c r="AD428">
        <f>LOOKUP($A428,'Over to underbark'!$A$47:$A$48,'Over to underbark'!E$47:E$48)*AA428</f>
        <v>36.935738532000002</v>
      </c>
      <c r="AE428">
        <f>LOOKUP($A428,'Over to underbark'!$A$47:$A$48,'Over to underbark'!E$47:E$48)*AB428</f>
        <v>27.726815160000001</v>
      </c>
      <c r="AF428" t="b">
        <f t="shared" si="106"/>
        <v>1</v>
      </c>
      <c r="AG428" t="b">
        <f t="shared" si="107"/>
        <v>1</v>
      </c>
      <c r="AH428">
        <f>LOOKUP(A428,'Over to underbark'!$A$47:$A$48,'Over to underbark'!E$47:E$48)*M428</f>
        <v>129.92760000000001</v>
      </c>
      <c r="AI428" s="27">
        <f>LOOKUP(A428,'Over to underbark'!$A$47:$A$48,'Over to underbark'!$B$47:$B$48)*AH428</f>
        <v>41.576832000000003</v>
      </c>
      <c r="AJ428" s="27">
        <f>LOOKUP(A429,'Over to underbark'!$A$47:$A$48,'Over to underbark'!C$47:C$48)*AH428</f>
        <v>63.664524000000007</v>
      </c>
      <c r="AK428" s="27">
        <f t="shared" si="95"/>
        <v>171.50443200000001</v>
      </c>
      <c r="AL428" s="33">
        <v>519.71</v>
      </c>
      <c r="AM428" s="28">
        <f t="shared" si="96"/>
        <v>343.00886400000002</v>
      </c>
      <c r="AO428">
        <f t="shared" si="97"/>
        <v>0.68181818181818188</v>
      </c>
    </row>
    <row r="429" spans="1:41" x14ac:dyDescent="0.35">
      <c r="A429" t="s">
        <v>41</v>
      </c>
      <c r="B429">
        <v>10</v>
      </c>
      <c r="C429">
        <v>2</v>
      </c>
      <c r="D429" t="s">
        <v>40</v>
      </c>
      <c r="E429">
        <v>2</v>
      </c>
      <c r="F429">
        <v>1</v>
      </c>
      <c r="G429" s="16">
        <v>47</v>
      </c>
      <c r="H429" s="16">
        <v>17.63</v>
      </c>
      <c r="I429" s="16">
        <v>1687</v>
      </c>
      <c r="J429" s="16">
        <v>20.440000000000001</v>
      </c>
      <c r="K429" s="16">
        <v>55.356000000000002</v>
      </c>
      <c r="L429" s="16">
        <v>0.24199999999999999</v>
      </c>
      <c r="M429" s="23">
        <v>407.5</v>
      </c>
      <c r="N429" s="16">
        <v>3.367</v>
      </c>
      <c r="O429" s="17">
        <v>8.67</v>
      </c>
      <c r="P429" s="18">
        <v>47</v>
      </c>
      <c r="Q429" s="18">
        <v>20.440000000000001</v>
      </c>
      <c r="R429" s="18">
        <v>221.66</v>
      </c>
      <c r="S429" s="18">
        <v>185.84</v>
      </c>
      <c r="T429" s="14" t="b">
        <f t="shared" si="98"/>
        <v>1</v>
      </c>
      <c r="U429" s="14" t="b">
        <f t="shared" si="99"/>
        <v>1</v>
      </c>
      <c r="V429" s="15">
        <f>VLOOKUP(IF(J429&lt;10, 10, IF(J429&gt;50,50,J429)),'Over to underbark'!$A$3:$C$43,IF(A429="Scots pine",3,IF(A429="Sitka spruce",2, "error")),TRUE)/100</f>
        <v>0.9</v>
      </c>
      <c r="W429">
        <f t="shared" si="100"/>
        <v>179.5446</v>
      </c>
      <c r="X429">
        <f t="shared" si="101"/>
        <v>150.53040000000001</v>
      </c>
      <c r="Y429">
        <f t="shared" si="102"/>
        <v>36.67499999999999</v>
      </c>
      <c r="Z429">
        <f t="shared" si="103"/>
        <v>161.59498199999996</v>
      </c>
      <c r="AA429">
        <f t="shared" si="104"/>
        <v>114.83677800000001</v>
      </c>
      <c r="AB429">
        <f t="shared" si="105"/>
        <v>90.318240000000003</v>
      </c>
      <c r="AC429">
        <f>LOOKUP($A429,'Over to underbark'!$A$47:$A$48,'Over to underbark'!E$47:E$48)*Z429</f>
        <v>53.32634405999999</v>
      </c>
      <c r="AD429">
        <f>LOOKUP($A429,'Over to underbark'!$A$47:$A$48,'Over to underbark'!E$47:E$48)*AA429</f>
        <v>37.896136740000003</v>
      </c>
      <c r="AE429">
        <f>LOOKUP($A429,'Over to underbark'!$A$47:$A$48,'Over to underbark'!E$47:E$48)*AB429</f>
        <v>29.805019200000004</v>
      </c>
      <c r="AF429" t="b">
        <f t="shared" si="106"/>
        <v>1</v>
      </c>
      <c r="AG429" t="b">
        <f t="shared" si="107"/>
        <v>1</v>
      </c>
      <c r="AH429">
        <f>LOOKUP(A429,'Over to underbark'!$A$47:$A$48,'Over to underbark'!E$47:E$48)*M429</f>
        <v>134.47499999999999</v>
      </c>
      <c r="AI429" s="27">
        <f>LOOKUP(A429,'Over to underbark'!$A$47:$A$48,'Over to underbark'!$B$47:$B$48)*AH429</f>
        <v>43.031999999999996</v>
      </c>
      <c r="AJ429" s="27">
        <f>LOOKUP(A430,'Over to underbark'!$A$47:$A$48,'Over to underbark'!C$47:C$48)*AH429</f>
        <v>65.892749999999992</v>
      </c>
      <c r="AK429" s="27">
        <f t="shared" si="95"/>
        <v>177.50700000000001</v>
      </c>
      <c r="AL429" s="33">
        <v>537.9</v>
      </c>
      <c r="AM429" s="28">
        <f t="shared" si="96"/>
        <v>355.01400000000001</v>
      </c>
      <c r="AO429">
        <f t="shared" si="97"/>
        <v>0.68181818181818177</v>
      </c>
    </row>
    <row r="430" spans="1:41" x14ac:dyDescent="0.35">
      <c r="A430" t="s">
        <v>41</v>
      </c>
      <c r="B430">
        <v>10</v>
      </c>
      <c r="C430">
        <v>2</v>
      </c>
      <c r="D430" t="s">
        <v>40</v>
      </c>
      <c r="E430">
        <v>2</v>
      </c>
      <c r="F430">
        <v>1</v>
      </c>
      <c r="G430" s="16">
        <v>48</v>
      </c>
      <c r="H430" s="16">
        <v>17.948</v>
      </c>
      <c r="I430" s="16">
        <v>1659</v>
      </c>
      <c r="J430" s="16">
        <v>20.712</v>
      </c>
      <c r="K430" s="16">
        <v>55.895000000000003</v>
      </c>
      <c r="L430" s="16">
        <v>0.253</v>
      </c>
      <c r="M430" s="23">
        <v>419.6</v>
      </c>
      <c r="N430" s="16">
        <v>3.66</v>
      </c>
      <c r="O430" s="17">
        <v>8.7420000000000009</v>
      </c>
      <c r="P430" s="18">
        <v>48</v>
      </c>
      <c r="Q430" s="18">
        <v>20.712</v>
      </c>
      <c r="R430" s="18">
        <v>222.18299999999999</v>
      </c>
      <c r="S430" s="18">
        <v>197.417</v>
      </c>
      <c r="T430" s="14" t="b">
        <f t="shared" si="98"/>
        <v>1</v>
      </c>
      <c r="U430" s="14" t="b">
        <f t="shared" si="99"/>
        <v>1</v>
      </c>
      <c r="V430" s="15">
        <f>VLOOKUP(IF(J430&lt;10, 10, IF(J430&gt;50,50,J430)),'Over to underbark'!$A$3:$C$43,IF(A430="Scots pine",3,IF(A430="Sitka spruce",2, "error")),TRUE)/100</f>
        <v>0.9</v>
      </c>
      <c r="W430">
        <f t="shared" si="100"/>
        <v>179.96823000000001</v>
      </c>
      <c r="X430">
        <f t="shared" si="101"/>
        <v>159.90777</v>
      </c>
      <c r="Y430">
        <f t="shared" si="102"/>
        <v>37.763999999999996</v>
      </c>
      <c r="Z430">
        <f t="shared" si="103"/>
        <v>164.33205659999999</v>
      </c>
      <c r="AA430">
        <f t="shared" si="104"/>
        <v>117.36328140000001</v>
      </c>
      <c r="AB430">
        <f t="shared" si="105"/>
        <v>95.944661999999994</v>
      </c>
      <c r="AC430">
        <f>LOOKUP($A430,'Over to underbark'!$A$47:$A$48,'Over to underbark'!E$47:E$48)*Z430</f>
        <v>54.229578677999996</v>
      </c>
      <c r="AD430">
        <f>LOOKUP($A430,'Over to underbark'!$A$47:$A$48,'Over to underbark'!E$47:E$48)*AA430</f>
        <v>38.729882862000004</v>
      </c>
      <c r="AE430">
        <f>LOOKUP($A430,'Over to underbark'!$A$47:$A$48,'Over to underbark'!E$47:E$48)*AB430</f>
        <v>31.661738459999999</v>
      </c>
      <c r="AF430" t="b">
        <f t="shared" si="106"/>
        <v>1</v>
      </c>
      <c r="AG430" t="b">
        <f t="shared" si="107"/>
        <v>1</v>
      </c>
      <c r="AH430">
        <f>LOOKUP(A430,'Over to underbark'!$A$47:$A$48,'Over to underbark'!E$47:E$48)*M430</f>
        <v>138.46800000000002</v>
      </c>
      <c r="AI430" s="27">
        <f>LOOKUP(A430,'Over to underbark'!$A$47:$A$48,'Over to underbark'!$B$47:$B$48)*AH430</f>
        <v>44.309760000000004</v>
      </c>
      <c r="AJ430" s="27">
        <f>LOOKUP(A431,'Over to underbark'!$A$47:$A$48,'Over to underbark'!C$47:C$48)*AH430</f>
        <v>67.849320000000006</v>
      </c>
      <c r="AK430" s="27">
        <f t="shared" si="95"/>
        <v>182.77776000000003</v>
      </c>
      <c r="AL430" s="33">
        <v>553.87</v>
      </c>
      <c r="AM430" s="28">
        <f t="shared" si="96"/>
        <v>365.55552000000006</v>
      </c>
      <c r="AO430">
        <f t="shared" si="97"/>
        <v>0.68181818181818177</v>
      </c>
    </row>
    <row r="431" spans="1:41" x14ac:dyDescent="0.35">
      <c r="A431" t="s">
        <v>41</v>
      </c>
      <c r="B431">
        <v>10</v>
      </c>
      <c r="C431">
        <v>2</v>
      </c>
      <c r="D431" t="s">
        <v>40</v>
      </c>
      <c r="E431">
        <v>2</v>
      </c>
      <c r="F431">
        <v>1</v>
      </c>
      <c r="G431" s="16">
        <v>49</v>
      </c>
      <c r="H431" s="16">
        <v>18.265999999999998</v>
      </c>
      <c r="I431" s="16">
        <v>1632</v>
      </c>
      <c r="J431" s="16">
        <v>20.983000000000001</v>
      </c>
      <c r="K431" s="16">
        <v>56.433999999999997</v>
      </c>
      <c r="L431" s="16">
        <v>0.26500000000000001</v>
      </c>
      <c r="M431" s="23">
        <v>431.7</v>
      </c>
      <c r="N431" s="16">
        <v>3.9340000000000002</v>
      </c>
      <c r="O431" s="17">
        <v>8.81</v>
      </c>
      <c r="P431" s="18">
        <v>49</v>
      </c>
      <c r="Q431" s="18">
        <v>20.983000000000001</v>
      </c>
      <c r="R431" s="18">
        <v>222.48</v>
      </c>
      <c r="S431" s="18">
        <v>209.22</v>
      </c>
      <c r="T431" s="14" t="b">
        <f t="shared" si="98"/>
        <v>1</v>
      </c>
      <c r="U431" s="14" t="b">
        <f t="shared" si="99"/>
        <v>1</v>
      </c>
      <c r="V431" s="15">
        <f>VLOOKUP(IF(J431&lt;10, 10, IF(J431&gt;50,50,J431)),'Over to underbark'!$A$3:$C$43,IF(A431="Scots pine",3,IF(A431="Sitka spruce",2, "error")),TRUE)/100</f>
        <v>0.9</v>
      </c>
      <c r="W431">
        <f t="shared" si="100"/>
        <v>180.2088</v>
      </c>
      <c r="X431">
        <f t="shared" si="101"/>
        <v>169.4682</v>
      </c>
      <c r="Y431">
        <f t="shared" si="102"/>
        <v>38.852999999999987</v>
      </c>
      <c r="Z431">
        <f t="shared" si="103"/>
        <v>166.99224599999999</v>
      </c>
      <c r="AA431">
        <f t="shared" si="104"/>
        <v>119.85683399999999</v>
      </c>
      <c r="AB431">
        <f t="shared" si="105"/>
        <v>101.68092</v>
      </c>
      <c r="AC431">
        <f>LOOKUP($A431,'Over to underbark'!$A$47:$A$48,'Over to underbark'!E$47:E$48)*Z431</f>
        <v>55.107441180000002</v>
      </c>
      <c r="AD431">
        <f>LOOKUP($A431,'Over to underbark'!$A$47:$A$48,'Over to underbark'!E$47:E$48)*AA431</f>
        <v>39.552755220000002</v>
      </c>
      <c r="AE431">
        <f>LOOKUP($A431,'Over to underbark'!$A$47:$A$48,'Over to underbark'!E$47:E$48)*AB431</f>
        <v>33.554703600000003</v>
      </c>
      <c r="AF431" t="b">
        <f t="shared" si="106"/>
        <v>1</v>
      </c>
      <c r="AG431" t="b">
        <f t="shared" si="107"/>
        <v>1</v>
      </c>
      <c r="AH431">
        <f>LOOKUP(A431,'Over to underbark'!$A$47:$A$48,'Over to underbark'!E$47:E$48)*M431</f>
        <v>142.46100000000001</v>
      </c>
      <c r="AI431" s="27">
        <f>LOOKUP(A431,'Over to underbark'!$A$47:$A$48,'Over to underbark'!$B$47:$B$48)*AH431</f>
        <v>45.587520000000005</v>
      </c>
      <c r="AJ431" s="27">
        <f>LOOKUP(A432,'Over to underbark'!$A$47:$A$48,'Over to underbark'!C$47:C$48)*AH431</f>
        <v>69.805890000000005</v>
      </c>
      <c r="AK431" s="27">
        <f t="shared" si="95"/>
        <v>188.04852000000002</v>
      </c>
      <c r="AL431" s="33">
        <v>569.84</v>
      </c>
      <c r="AM431" s="28">
        <f t="shared" si="96"/>
        <v>376.09704000000005</v>
      </c>
      <c r="AO431">
        <f t="shared" si="97"/>
        <v>0.68181818181818177</v>
      </c>
    </row>
    <row r="432" spans="1:41" x14ac:dyDescent="0.35">
      <c r="A432" t="s">
        <v>41</v>
      </c>
      <c r="B432">
        <v>10</v>
      </c>
      <c r="C432">
        <v>2</v>
      </c>
      <c r="D432" t="s">
        <v>40</v>
      </c>
      <c r="E432">
        <v>2</v>
      </c>
      <c r="F432">
        <v>1</v>
      </c>
      <c r="G432" s="16">
        <v>50</v>
      </c>
      <c r="H432" s="16">
        <v>18.584</v>
      </c>
      <c r="I432" s="16">
        <v>1605</v>
      </c>
      <c r="J432" s="16">
        <v>21.259</v>
      </c>
      <c r="K432" s="16">
        <v>56.972999999999999</v>
      </c>
      <c r="L432" s="16">
        <v>0.27700000000000002</v>
      </c>
      <c r="M432" s="23">
        <v>443.8</v>
      </c>
      <c r="N432" s="16">
        <v>4.1920000000000002</v>
      </c>
      <c r="O432" s="17">
        <v>8.8759999999999994</v>
      </c>
      <c r="P432" s="18">
        <v>50</v>
      </c>
      <c r="Q432" s="18">
        <v>21.259</v>
      </c>
      <c r="R432" s="18">
        <v>222.429</v>
      </c>
      <c r="S432" s="18">
        <v>221.37100000000001</v>
      </c>
      <c r="T432" s="14" t="b">
        <f t="shared" si="98"/>
        <v>1</v>
      </c>
      <c r="U432" s="14" t="b">
        <f t="shared" si="99"/>
        <v>1</v>
      </c>
      <c r="V432" s="15">
        <f>VLOOKUP(IF(J432&lt;10, 10, IF(J432&gt;50,50,J432)),'Over to underbark'!$A$3:$C$43,IF(A432="Scots pine",3,IF(A432="Sitka spruce",2, "error")),TRUE)/100</f>
        <v>0.9</v>
      </c>
      <c r="W432">
        <f t="shared" si="100"/>
        <v>180.16749000000002</v>
      </c>
      <c r="X432">
        <f t="shared" si="101"/>
        <v>179.31051000000002</v>
      </c>
      <c r="Y432">
        <f t="shared" si="102"/>
        <v>39.941999999999993</v>
      </c>
      <c r="Z432">
        <f t="shared" si="103"/>
        <v>169.5340458</v>
      </c>
      <c r="AA432">
        <f t="shared" si="104"/>
        <v>122.29964820000001</v>
      </c>
      <c r="AB432">
        <f t="shared" si="105"/>
        <v>107.58630600000001</v>
      </c>
      <c r="AC432">
        <f>LOOKUP($A432,'Over to underbark'!$A$47:$A$48,'Over to underbark'!E$47:E$48)*Z432</f>
        <v>55.946235114000004</v>
      </c>
      <c r="AD432">
        <f>LOOKUP($A432,'Over to underbark'!$A$47:$A$48,'Over to underbark'!E$47:E$48)*AA432</f>
        <v>40.358883906000003</v>
      </c>
      <c r="AE432">
        <f>LOOKUP($A432,'Over to underbark'!$A$47:$A$48,'Over to underbark'!E$47:E$48)*AB432</f>
        <v>35.503480980000006</v>
      </c>
      <c r="AF432" t="b">
        <f t="shared" si="106"/>
        <v>1</v>
      </c>
      <c r="AG432" t="b">
        <f t="shared" si="107"/>
        <v>1</v>
      </c>
      <c r="AH432">
        <f>LOOKUP(A432,'Over to underbark'!$A$47:$A$48,'Over to underbark'!E$47:E$48)*M432</f>
        <v>146.45400000000001</v>
      </c>
      <c r="AI432" s="27">
        <f>LOOKUP(A432,'Over to underbark'!$A$47:$A$48,'Over to underbark'!$B$47:$B$48)*AH432</f>
        <v>46.865280000000006</v>
      </c>
      <c r="AJ432" s="27">
        <f>LOOKUP(A433,'Over to underbark'!$A$47:$A$48,'Over to underbark'!C$47:C$48)*AH432</f>
        <v>71.762460000000004</v>
      </c>
      <c r="AK432" s="27">
        <f t="shared" si="95"/>
        <v>193.31928000000002</v>
      </c>
      <c r="AL432" s="33">
        <v>585.82000000000005</v>
      </c>
      <c r="AM432" s="28">
        <f t="shared" si="96"/>
        <v>386.63856000000004</v>
      </c>
      <c r="AO432">
        <f t="shared" si="97"/>
        <v>0.68181818181818177</v>
      </c>
    </row>
    <row r="433" spans="1:41" x14ac:dyDescent="0.35">
      <c r="A433" t="s">
        <v>41</v>
      </c>
      <c r="B433">
        <v>10</v>
      </c>
      <c r="C433">
        <v>2</v>
      </c>
      <c r="D433" t="s">
        <v>40</v>
      </c>
      <c r="E433">
        <v>2</v>
      </c>
      <c r="F433">
        <v>1</v>
      </c>
      <c r="G433" s="16">
        <v>51</v>
      </c>
      <c r="H433" s="16">
        <v>18.902000000000001</v>
      </c>
      <c r="I433" s="16">
        <v>1578</v>
      </c>
      <c r="J433" s="16">
        <v>21.542000000000002</v>
      </c>
      <c r="K433" s="16">
        <v>57.512</v>
      </c>
      <c r="L433" s="16">
        <v>0.28899999999999998</v>
      </c>
      <c r="M433" s="23">
        <v>455.9</v>
      </c>
      <c r="N433" s="16">
        <v>4.4359999999999999</v>
      </c>
      <c r="O433" s="17">
        <v>8.9390000000000001</v>
      </c>
      <c r="P433" s="18">
        <v>51</v>
      </c>
      <c r="Q433" s="18">
        <v>21.542000000000002</v>
      </c>
      <c r="R433" s="18">
        <v>221.99</v>
      </c>
      <c r="S433" s="18">
        <v>233.91</v>
      </c>
      <c r="T433" s="14" t="b">
        <f t="shared" si="98"/>
        <v>1</v>
      </c>
      <c r="U433" s="14" t="b">
        <f t="shared" si="99"/>
        <v>1</v>
      </c>
      <c r="V433" s="15">
        <f>VLOOKUP(IF(J433&lt;10, 10, IF(J433&gt;50,50,J433)),'Over to underbark'!$A$3:$C$43,IF(A433="Scots pine",3,IF(A433="Sitka spruce",2, "error")),TRUE)/100</f>
        <v>0.9</v>
      </c>
      <c r="W433">
        <f t="shared" si="100"/>
        <v>179.81190000000004</v>
      </c>
      <c r="X433">
        <f t="shared" si="101"/>
        <v>189.46710000000002</v>
      </c>
      <c r="Y433">
        <f t="shared" si="102"/>
        <v>41.030999999999992</v>
      </c>
      <c r="Z433">
        <f t="shared" si="103"/>
        <v>171.943848</v>
      </c>
      <c r="AA433">
        <f t="shared" si="104"/>
        <v>124.68589200000002</v>
      </c>
      <c r="AB433">
        <f t="shared" si="105"/>
        <v>113.68026</v>
      </c>
      <c r="AC433">
        <f>LOOKUP($A433,'Over to underbark'!$A$47:$A$48,'Over to underbark'!E$47:E$48)*Z433</f>
        <v>56.741469840000001</v>
      </c>
      <c r="AD433">
        <f>LOOKUP($A433,'Over to underbark'!$A$47:$A$48,'Over to underbark'!E$47:E$48)*AA433</f>
        <v>41.146344360000008</v>
      </c>
      <c r="AE433">
        <f>LOOKUP($A433,'Over to underbark'!$A$47:$A$48,'Over to underbark'!E$47:E$48)*AB433</f>
        <v>37.514485800000003</v>
      </c>
      <c r="AF433" t="b">
        <f t="shared" si="106"/>
        <v>1</v>
      </c>
      <c r="AG433" t="b">
        <f t="shared" si="107"/>
        <v>1</v>
      </c>
      <c r="AH433">
        <f>LOOKUP(A433,'Over to underbark'!$A$47:$A$48,'Over to underbark'!E$47:E$48)*M433</f>
        <v>150.447</v>
      </c>
      <c r="AI433" s="27">
        <f>LOOKUP(A433,'Over to underbark'!$A$47:$A$48,'Over to underbark'!$B$47:$B$48)*AH433</f>
        <v>48.143039999999999</v>
      </c>
      <c r="AJ433" s="27">
        <f>LOOKUP(A434,'Over to underbark'!$A$47:$A$48,'Over to underbark'!C$47:C$48)*AH433</f>
        <v>73.719030000000004</v>
      </c>
      <c r="AK433" s="27">
        <f t="shared" si="95"/>
        <v>198.59003999999999</v>
      </c>
      <c r="AL433" s="33">
        <v>601.79</v>
      </c>
      <c r="AM433" s="28">
        <f t="shared" si="96"/>
        <v>397.18007999999998</v>
      </c>
      <c r="AO433">
        <f t="shared" si="97"/>
        <v>0.68181818181818199</v>
      </c>
    </row>
    <row r="434" spans="1:41" x14ac:dyDescent="0.35">
      <c r="A434" t="s">
        <v>41</v>
      </c>
      <c r="B434">
        <v>10</v>
      </c>
      <c r="C434">
        <v>2</v>
      </c>
      <c r="D434" t="s">
        <v>40</v>
      </c>
      <c r="E434">
        <v>2</v>
      </c>
      <c r="F434">
        <v>1</v>
      </c>
      <c r="G434" s="16">
        <v>52</v>
      </c>
      <c r="H434" s="16">
        <v>19.22</v>
      </c>
      <c r="I434" s="16">
        <v>1551</v>
      </c>
      <c r="J434" s="16">
        <v>21.83</v>
      </c>
      <c r="K434" s="16">
        <v>58.051000000000002</v>
      </c>
      <c r="L434" s="16">
        <v>0.30199999999999999</v>
      </c>
      <c r="M434" s="23">
        <v>468</v>
      </c>
      <c r="N434" s="16">
        <v>4.665</v>
      </c>
      <c r="O434" s="17">
        <v>9</v>
      </c>
      <c r="P434" s="18">
        <v>52</v>
      </c>
      <c r="Q434" s="18">
        <v>21.83</v>
      </c>
      <c r="R434" s="18">
        <v>221.21899999999999</v>
      </c>
      <c r="S434" s="18">
        <v>246.78100000000001</v>
      </c>
      <c r="T434" s="14" t="b">
        <f t="shared" si="98"/>
        <v>1</v>
      </c>
      <c r="U434" s="14" t="b">
        <f t="shared" si="99"/>
        <v>1</v>
      </c>
      <c r="V434" s="15">
        <f>VLOOKUP(IF(J434&lt;10, 10, IF(J434&gt;50,50,J434)),'Over to underbark'!$A$3:$C$43,IF(A434="Scots pine",3,IF(A434="Sitka spruce",2, "error")),TRUE)/100</f>
        <v>0.9</v>
      </c>
      <c r="W434">
        <f t="shared" si="100"/>
        <v>179.18739000000002</v>
      </c>
      <c r="X434">
        <f t="shared" si="101"/>
        <v>199.89261000000002</v>
      </c>
      <c r="Y434">
        <f t="shared" si="102"/>
        <v>42.11999999999999</v>
      </c>
      <c r="Z434">
        <f t="shared" si="103"/>
        <v>174.24070379999998</v>
      </c>
      <c r="AA434">
        <f t="shared" si="104"/>
        <v>127.02373020000002</v>
      </c>
      <c r="AB434">
        <f t="shared" si="105"/>
        <v>119.93556600000001</v>
      </c>
      <c r="AC434">
        <f>LOOKUP($A434,'Over to underbark'!$A$47:$A$48,'Over to underbark'!E$47:E$48)*Z434</f>
        <v>57.499432253999998</v>
      </c>
      <c r="AD434">
        <f>LOOKUP($A434,'Over to underbark'!$A$47:$A$48,'Over to underbark'!E$47:E$48)*AA434</f>
        <v>41.917830966000011</v>
      </c>
      <c r="AE434">
        <f>LOOKUP($A434,'Over to underbark'!$A$47:$A$48,'Over to underbark'!E$47:E$48)*AB434</f>
        <v>39.578736780000007</v>
      </c>
      <c r="AF434" t="b">
        <f t="shared" si="106"/>
        <v>1</v>
      </c>
      <c r="AG434" t="b">
        <f t="shared" si="107"/>
        <v>1</v>
      </c>
      <c r="AH434">
        <f>LOOKUP(A434,'Over to underbark'!$A$47:$A$48,'Over to underbark'!E$47:E$48)*M434</f>
        <v>154.44</v>
      </c>
      <c r="AI434" s="27">
        <f>LOOKUP(A434,'Over to underbark'!$A$47:$A$48,'Over to underbark'!$B$47:$B$48)*AH434</f>
        <v>49.4208</v>
      </c>
      <c r="AJ434" s="27">
        <f>LOOKUP(A435,'Over to underbark'!$A$47:$A$48,'Over to underbark'!C$47:C$48)*AH434</f>
        <v>75.675600000000003</v>
      </c>
      <c r="AK434" s="27">
        <f t="shared" si="95"/>
        <v>203.86079999999998</v>
      </c>
      <c r="AL434" s="33">
        <v>617.76</v>
      </c>
      <c r="AM434" s="28">
        <f t="shared" si="96"/>
        <v>407.72159999999997</v>
      </c>
      <c r="AO434">
        <f t="shared" si="97"/>
        <v>0.68181818181818188</v>
      </c>
    </row>
    <row r="435" spans="1:41" x14ac:dyDescent="0.35">
      <c r="A435" t="s">
        <v>41</v>
      </c>
      <c r="B435">
        <v>10</v>
      </c>
      <c r="C435">
        <v>2</v>
      </c>
      <c r="D435" t="s">
        <v>40</v>
      </c>
      <c r="E435">
        <v>2</v>
      </c>
      <c r="F435">
        <v>1</v>
      </c>
      <c r="G435" s="16">
        <v>53</v>
      </c>
      <c r="H435" s="16">
        <v>19.492000000000001</v>
      </c>
      <c r="I435" s="16">
        <v>1528</v>
      </c>
      <c r="J435" s="16">
        <v>22.068000000000001</v>
      </c>
      <c r="K435" s="16">
        <v>58.445999999999998</v>
      </c>
      <c r="L435" s="16">
        <v>0.313</v>
      </c>
      <c r="M435" s="23">
        <v>478.2</v>
      </c>
      <c r="N435" s="16">
        <v>4.9489999999999998</v>
      </c>
      <c r="O435" s="17">
        <v>9.0229999999999997</v>
      </c>
      <c r="P435" s="18">
        <v>53</v>
      </c>
      <c r="Q435" s="18">
        <v>22.068000000000001</v>
      </c>
      <c r="R435" s="18">
        <v>220.51599999999999</v>
      </c>
      <c r="S435" s="18">
        <v>257.68400000000003</v>
      </c>
      <c r="T435" s="14" t="b">
        <f t="shared" si="98"/>
        <v>1</v>
      </c>
      <c r="U435" s="14" t="b">
        <f t="shared" si="99"/>
        <v>1</v>
      </c>
      <c r="V435" s="15">
        <f>VLOOKUP(IF(J435&lt;10, 10, IF(J435&gt;50,50,J435)),'Over to underbark'!$A$3:$C$43,IF(A435="Scots pine",3,IF(A435="Sitka spruce",2, "error")),TRUE)/100</f>
        <v>0.9</v>
      </c>
      <c r="W435">
        <f t="shared" si="100"/>
        <v>178.61795999999998</v>
      </c>
      <c r="X435">
        <f t="shared" si="101"/>
        <v>208.72404000000003</v>
      </c>
      <c r="Y435">
        <f t="shared" si="102"/>
        <v>43.037999999999997</v>
      </c>
      <c r="Z435">
        <f t="shared" si="103"/>
        <v>176.15884319999998</v>
      </c>
      <c r="AA435">
        <f t="shared" si="104"/>
        <v>128.9867328</v>
      </c>
      <c r="AB435">
        <f t="shared" si="105"/>
        <v>125.23442400000002</v>
      </c>
      <c r="AC435">
        <f>LOOKUP($A435,'Over to underbark'!$A$47:$A$48,'Over to underbark'!E$47:E$48)*Z435</f>
        <v>58.132418255999994</v>
      </c>
      <c r="AD435">
        <f>LOOKUP($A435,'Over to underbark'!$A$47:$A$48,'Over to underbark'!E$47:E$48)*AA435</f>
        <v>42.565621824000004</v>
      </c>
      <c r="AE435">
        <f>LOOKUP($A435,'Over to underbark'!$A$47:$A$48,'Over to underbark'!E$47:E$48)*AB435</f>
        <v>41.327359920000006</v>
      </c>
      <c r="AF435" t="b">
        <f t="shared" si="106"/>
        <v>1</v>
      </c>
      <c r="AG435" t="b">
        <f t="shared" si="107"/>
        <v>1</v>
      </c>
      <c r="AH435">
        <f>LOOKUP(A435,'Over to underbark'!$A$47:$A$48,'Over to underbark'!E$47:E$48)*M435</f>
        <v>157.80600000000001</v>
      </c>
      <c r="AI435" s="27">
        <f>LOOKUP(A435,'Over to underbark'!$A$47:$A$48,'Over to underbark'!$B$47:$B$48)*AH435</f>
        <v>50.497920000000008</v>
      </c>
      <c r="AJ435" s="27">
        <f>LOOKUP(A436,'Over to underbark'!$A$47:$A$48,'Over to underbark'!C$47:C$48)*AH435</f>
        <v>77.324939999999998</v>
      </c>
      <c r="AK435" s="27">
        <f t="shared" si="95"/>
        <v>208.30392000000001</v>
      </c>
      <c r="AL435" s="33">
        <v>631.22</v>
      </c>
      <c r="AM435" s="28">
        <f t="shared" si="96"/>
        <v>416.60784000000001</v>
      </c>
      <c r="AO435">
        <f t="shared" si="97"/>
        <v>0.68181818181818177</v>
      </c>
    </row>
    <row r="436" spans="1:41" x14ac:dyDescent="0.35">
      <c r="A436" t="s">
        <v>41</v>
      </c>
      <c r="B436">
        <v>10</v>
      </c>
      <c r="C436">
        <v>2</v>
      </c>
      <c r="D436" t="s">
        <v>40</v>
      </c>
      <c r="E436">
        <v>2</v>
      </c>
      <c r="F436">
        <v>1</v>
      </c>
      <c r="G436" s="16">
        <v>54</v>
      </c>
      <c r="H436" s="16">
        <v>19.763999999999999</v>
      </c>
      <c r="I436" s="16">
        <v>1505</v>
      </c>
      <c r="J436" s="16">
        <v>22.311</v>
      </c>
      <c r="K436" s="16">
        <v>58.841000000000001</v>
      </c>
      <c r="L436" s="16">
        <v>0.32500000000000001</v>
      </c>
      <c r="M436" s="23">
        <v>488.4</v>
      </c>
      <c r="N436" s="16">
        <v>5.22</v>
      </c>
      <c r="O436" s="17">
        <v>9.0440000000000005</v>
      </c>
      <c r="P436" s="18">
        <v>54</v>
      </c>
      <c r="Q436" s="18">
        <v>22.311</v>
      </c>
      <c r="R436" s="18">
        <v>219.559</v>
      </c>
      <c r="S436" s="18">
        <v>268.84100000000001</v>
      </c>
      <c r="T436" s="14" t="b">
        <f t="shared" si="98"/>
        <v>1</v>
      </c>
      <c r="U436" s="14" t="b">
        <f t="shared" si="99"/>
        <v>1</v>
      </c>
      <c r="V436" s="15">
        <f>VLOOKUP(IF(J436&lt;10, 10, IF(J436&gt;50,50,J436)),'Over to underbark'!$A$3:$C$43,IF(A436="Scots pine",3,IF(A436="Sitka spruce",2, "error")),TRUE)/100</f>
        <v>0.9</v>
      </c>
      <c r="W436">
        <f t="shared" si="100"/>
        <v>177.84279000000001</v>
      </c>
      <c r="X436">
        <f t="shared" si="101"/>
        <v>217.76121000000003</v>
      </c>
      <c r="Y436">
        <f t="shared" si="102"/>
        <v>43.955999999999989</v>
      </c>
      <c r="Z436">
        <f t="shared" si="103"/>
        <v>177.9905718</v>
      </c>
      <c r="AA436">
        <f t="shared" si="104"/>
        <v>130.91270220000001</v>
      </c>
      <c r="AB436">
        <f t="shared" si="105"/>
        <v>130.65672600000002</v>
      </c>
      <c r="AC436">
        <f>LOOKUP($A436,'Over to underbark'!$A$47:$A$48,'Over to underbark'!E$47:E$48)*Z436</f>
        <v>58.736888694000001</v>
      </c>
      <c r="AD436">
        <f>LOOKUP($A436,'Over to underbark'!$A$47:$A$48,'Over to underbark'!E$47:E$48)*AA436</f>
        <v>43.201191726000005</v>
      </c>
      <c r="AE436">
        <f>LOOKUP($A436,'Over to underbark'!$A$47:$A$48,'Over to underbark'!E$47:E$48)*AB436</f>
        <v>43.116719580000009</v>
      </c>
      <c r="AF436" t="b">
        <f t="shared" si="106"/>
        <v>1</v>
      </c>
      <c r="AG436" t="b">
        <f t="shared" si="107"/>
        <v>1</v>
      </c>
      <c r="AH436">
        <f>LOOKUP(A436,'Over to underbark'!$A$47:$A$48,'Over to underbark'!E$47:E$48)*M436</f>
        <v>161.172</v>
      </c>
      <c r="AI436" s="27">
        <f>LOOKUP(A436,'Over to underbark'!$A$47:$A$48,'Over to underbark'!$B$47:$B$48)*AH436</f>
        <v>51.575040000000001</v>
      </c>
      <c r="AJ436" s="27">
        <f>LOOKUP(A437,'Over to underbark'!$A$47:$A$48,'Over to underbark'!C$47:C$48)*AH436</f>
        <v>78.974279999999993</v>
      </c>
      <c r="AK436" s="27">
        <f t="shared" si="95"/>
        <v>212.74704</v>
      </c>
      <c r="AL436" s="33">
        <v>644.69000000000005</v>
      </c>
      <c r="AM436" s="28">
        <f t="shared" si="96"/>
        <v>425.49408</v>
      </c>
      <c r="AO436">
        <f t="shared" si="97"/>
        <v>0.68181818181818188</v>
      </c>
    </row>
    <row r="437" spans="1:41" x14ac:dyDescent="0.35">
      <c r="A437" t="s">
        <v>41</v>
      </c>
      <c r="B437">
        <v>10</v>
      </c>
      <c r="C437">
        <v>2</v>
      </c>
      <c r="D437" t="s">
        <v>40</v>
      </c>
      <c r="E437">
        <v>2</v>
      </c>
      <c r="F437">
        <v>1</v>
      </c>
      <c r="G437" s="16">
        <v>55</v>
      </c>
      <c r="H437" s="16">
        <v>20.036000000000001</v>
      </c>
      <c r="I437" s="16">
        <v>1482</v>
      </c>
      <c r="J437" s="16">
        <v>22.559000000000001</v>
      </c>
      <c r="K437" s="16">
        <v>59.235999999999997</v>
      </c>
      <c r="L437" s="16">
        <v>0.33600000000000002</v>
      </c>
      <c r="M437" s="23">
        <v>498.6</v>
      </c>
      <c r="N437" s="16">
        <v>5.4790000000000001</v>
      </c>
      <c r="O437" s="17">
        <v>9.0649999999999995</v>
      </c>
      <c r="P437" s="18">
        <v>55</v>
      </c>
      <c r="Q437" s="18">
        <v>22.559000000000001</v>
      </c>
      <c r="R437" s="18">
        <v>218.35300000000001</v>
      </c>
      <c r="S437" s="18">
        <v>280.24700000000001</v>
      </c>
      <c r="T437" s="14" t="b">
        <f t="shared" si="98"/>
        <v>1</v>
      </c>
      <c r="U437" s="14" t="b">
        <f t="shared" si="99"/>
        <v>1</v>
      </c>
      <c r="V437" s="15">
        <f>VLOOKUP(IF(J437&lt;10, 10, IF(J437&gt;50,50,J437)),'Over to underbark'!$A$3:$C$43,IF(A437="Scots pine",3,IF(A437="Sitka spruce",2, "error")),TRUE)/100</f>
        <v>0.9</v>
      </c>
      <c r="W437">
        <f t="shared" si="100"/>
        <v>176.86593000000002</v>
      </c>
      <c r="X437">
        <f t="shared" si="101"/>
        <v>227.00007000000002</v>
      </c>
      <c r="Y437">
        <f t="shared" si="102"/>
        <v>44.873999999999988</v>
      </c>
      <c r="Z437">
        <f t="shared" si="103"/>
        <v>179.73759059999998</v>
      </c>
      <c r="AA437">
        <f t="shared" si="104"/>
        <v>132.80236740000001</v>
      </c>
      <c r="AB437">
        <f t="shared" si="105"/>
        <v>136.200042</v>
      </c>
      <c r="AC437">
        <f>LOOKUP($A437,'Over to underbark'!$A$47:$A$48,'Over to underbark'!E$47:E$48)*Z437</f>
        <v>59.313404897999995</v>
      </c>
      <c r="AD437">
        <f>LOOKUP($A437,'Over to underbark'!$A$47:$A$48,'Over to underbark'!E$47:E$48)*AA437</f>
        <v>43.824781242000007</v>
      </c>
      <c r="AE437">
        <f>LOOKUP($A437,'Over to underbark'!$A$47:$A$48,'Over to underbark'!E$47:E$48)*AB437</f>
        <v>44.946013860000001</v>
      </c>
      <c r="AF437" t="b">
        <f t="shared" si="106"/>
        <v>1</v>
      </c>
      <c r="AG437" t="b">
        <f t="shared" si="107"/>
        <v>1</v>
      </c>
      <c r="AH437">
        <f>LOOKUP(A437,'Over to underbark'!$A$47:$A$48,'Over to underbark'!E$47:E$48)*M437</f>
        <v>164.53800000000001</v>
      </c>
      <c r="AI437" s="27">
        <f>LOOKUP(A437,'Over to underbark'!$A$47:$A$48,'Over to underbark'!$B$47:$B$48)*AH437</f>
        <v>52.652160000000002</v>
      </c>
      <c r="AJ437" s="27">
        <f>LOOKUP(A438,'Over to underbark'!$A$47:$A$48,'Over to underbark'!C$47:C$48)*AH437</f>
        <v>80.623620000000003</v>
      </c>
      <c r="AK437" s="27">
        <f t="shared" si="95"/>
        <v>217.19016000000002</v>
      </c>
      <c r="AL437" s="33">
        <v>658.15</v>
      </c>
      <c r="AM437" s="28">
        <f t="shared" si="96"/>
        <v>434.38032000000004</v>
      </c>
      <c r="AO437">
        <f t="shared" si="97"/>
        <v>0.68181818181818177</v>
      </c>
    </row>
    <row r="438" spans="1:41" x14ac:dyDescent="0.35">
      <c r="A438" t="s">
        <v>41</v>
      </c>
      <c r="B438">
        <v>10</v>
      </c>
      <c r="C438">
        <v>2</v>
      </c>
      <c r="D438" t="s">
        <v>40</v>
      </c>
      <c r="E438">
        <v>2</v>
      </c>
      <c r="F438">
        <v>1</v>
      </c>
      <c r="G438" s="16">
        <v>56</v>
      </c>
      <c r="H438" s="16">
        <v>20.308</v>
      </c>
      <c r="I438" s="16">
        <v>1459</v>
      </c>
      <c r="J438" s="16">
        <v>22.812000000000001</v>
      </c>
      <c r="K438" s="16">
        <v>59.631</v>
      </c>
      <c r="L438" s="16">
        <v>0.34899999999999998</v>
      </c>
      <c r="M438" s="23">
        <v>508.8</v>
      </c>
      <c r="N438" s="16">
        <v>5.7249999999999996</v>
      </c>
      <c r="O438" s="17">
        <v>9.0860000000000003</v>
      </c>
      <c r="P438" s="18">
        <v>56</v>
      </c>
      <c r="Q438" s="18">
        <v>22.812000000000001</v>
      </c>
      <c r="R438" s="18">
        <v>216.904</v>
      </c>
      <c r="S438" s="18">
        <v>291.89600000000002</v>
      </c>
      <c r="T438" s="14" t="b">
        <f t="shared" si="98"/>
        <v>1</v>
      </c>
      <c r="U438" s="14" t="b">
        <f t="shared" si="99"/>
        <v>1</v>
      </c>
      <c r="V438" s="15">
        <f>VLOOKUP(IF(J438&lt;10, 10, IF(J438&gt;50,50,J438)),'Over to underbark'!$A$3:$C$43,IF(A438="Scots pine",3,IF(A438="Sitka spruce",2, "error")),TRUE)/100</f>
        <v>0.9</v>
      </c>
      <c r="W438">
        <f t="shared" si="100"/>
        <v>175.69224000000003</v>
      </c>
      <c r="X438">
        <f t="shared" si="101"/>
        <v>236.43576000000004</v>
      </c>
      <c r="Y438">
        <f t="shared" si="102"/>
        <v>45.791999999999994</v>
      </c>
      <c r="Z438">
        <f t="shared" si="103"/>
        <v>181.40194080000003</v>
      </c>
      <c r="AA438">
        <f t="shared" si="104"/>
        <v>134.65660320000003</v>
      </c>
      <c r="AB438">
        <f t="shared" si="105"/>
        <v>141.86145600000003</v>
      </c>
      <c r="AC438">
        <f>LOOKUP($A438,'Over to underbark'!$A$47:$A$48,'Over to underbark'!E$47:E$48)*Z438</f>
        <v>59.862640464000016</v>
      </c>
      <c r="AD438">
        <f>LOOKUP($A438,'Over to underbark'!$A$47:$A$48,'Over to underbark'!E$47:E$48)*AA438</f>
        <v>44.436679056000017</v>
      </c>
      <c r="AE438">
        <f>LOOKUP($A438,'Over to underbark'!$A$47:$A$48,'Over to underbark'!E$47:E$48)*AB438</f>
        <v>46.814280480000015</v>
      </c>
      <c r="AF438" t="b">
        <f t="shared" si="106"/>
        <v>1</v>
      </c>
      <c r="AG438" t="b">
        <f t="shared" si="107"/>
        <v>1</v>
      </c>
      <c r="AH438">
        <f>LOOKUP(A438,'Over to underbark'!$A$47:$A$48,'Over to underbark'!E$47:E$48)*M438</f>
        <v>167.90400000000002</v>
      </c>
      <c r="AI438" s="27">
        <f>LOOKUP(A438,'Over to underbark'!$A$47:$A$48,'Over to underbark'!$B$47:$B$48)*AH438</f>
        <v>53.72928000000001</v>
      </c>
      <c r="AJ438" s="27">
        <f>LOOKUP(A439,'Over to underbark'!$A$47:$A$48,'Over to underbark'!C$47:C$48)*AH438</f>
        <v>82.272960000000012</v>
      </c>
      <c r="AK438" s="27">
        <f t="shared" si="95"/>
        <v>221.63328000000004</v>
      </c>
      <c r="AL438" s="33">
        <v>671.62</v>
      </c>
      <c r="AM438" s="28">
        <f t="shared" si="96"/>
        <v>443.26656000000008</v>
      </c>
      <c r="AO438">
        <f t="shared" si="97"/>
        <v>0.68181818181818188</v>
      </c>
    </row>
    <row r="439" spans="1:41" x14ac:dyDescent="0.35">
      <c r="A439" t="s">
        <v>41</v>
      </c>
      <c r="B439">
        <v>10</v>
      </c>
      <c r="C439">
        <v>2</v>
      </c>
      <c r="D439" t="s">
        <v>40</v>
      </c>
      <c r="E439">
        <v>2</v>
      </c>
      <c r="F439">
        <v>1</v>
      </c>
      <c r="G439" s="16">
        <v>57</v>
      </c>
      <c r="H439" s="16">
        <v>20.58</v>
      </c>
      <c r="I439" s="16">
        <v>1436</v>
      </c>
      <c r="J439" s="16">
        <v>23.07</v>
      </c>
      <c r="K439" s="16">
        <v>60.026000000000003</v>
      </c>
      <c r="L439" s="16">
        <v>0.36099999999999999</v>
      </c>
      <c r="M439" s="23">
        <v>519</v>
      </c>
      <c r="N439" s="16">
        <v>5.9610000000000003</v>
      </c>
      <c r="O439" s="17">
        <v>9.1050000000000004</v>
      </c>
      <c r="P439" s="18">
        <v>57</v>
      </c>
      <c r="Q439" s="18">
        <v>23.07</v>
      </c>
      <c r="R439" s="18">
        <v>215.21899999999999</v>
      </c>
      <c r="S439" s="18">
        <v>303.78100000000001</v>
      </c>
      <c r="T439" s="14" t="b">
        <f t="shared" si="98"/>
        <v>1</v>
      </c>
      <c r="U439" s="14" t="b">
        <f t="shared" si="99"/>
        <v>1</v>
      </c>
      <c r="V439" s="15">
        <f>VLOOKUP(IF(J439&lt;10, 10, IF(J439&gt;50,50,J439)),'Over to underbark'!$A$3:$C$43,IF(A439="Scots pine",3,IF(A439="Sitka spruce",2, "error")),TRUE)/100</f>
        <v>0.9</v>
      </c>
      <c r="W439">
        <f t="shared" si="100"/>
        <v>174.32739000000001</v>
      </c>
      <c r="X439">
        <f t="shared" si="101"/>
        <v>246.06261000000001</v>
      </c>
      <c r="Y439">
        <f t="shared" si="102"/>
        <v>46.709999999999994</v>
      </c>
      <c r="Z439">
        <f t="shared" si="103"/>
        <v>182.98600379999999</v>
      </c>
      <c r="AA439">
        <f t="shared" si="104"/>
        <v>136.47643020000001</v>
      </c>
      <c r="AB439">
        <f t="shared" si="105"/>
        <v>147.63756599999999</v>
      </c>
      <c r="AC439">
        <f>LOOKUP($A439,'Over to underbark'!$A$47:$A$48,'Over to underbark'!E$47:E$48)*Z439</f>
        <v>60.385381254000002</v>
      </c>
      <c r="AD439">
        <f>LOOKUP($A439,'Over to underbark'!$A$47:$A$48,'Over to underbark'!E$47:E$48)*AA439</f>
        <v>45.037221966000004</v>
      </c>
      <c r="AE439">
        <f>LOOKUP($A439,'Over to underbark'!$A$47:$A$48,'Over to underbark'!E$47:E$48)*AB439</f>
        <v>48.720396780000002</v>
      </c>
      <c r="AF439" t="b">
        <f t="shared" si="106"/>
        <v>1</v>
      </c>
      <c r="AG439" t="b">
        <f t="shared" si="107"/>
        <v>1</v>
      </c>
      <c r="AH439">
        <f>LOOKUP(A439,'Over to underbark'!$A$47:$A$48,'Over to underbark'!E$47:E$48)*M439</f>
        <v>171.27</v>
      </c>
      <c r="AI439" s="27">
        <f>LOOKUP(A439,'Over to underbark'!$A$47:$A$48,'Over to underbark'!$B$47:$B$48)*AH439</f>
        <v>54.806400000000004</v>
      </c>
      <c r="AJ439" s="27">
        <f>LOOKUP(A440,'Over to underbark'!$A$47:$A$48,'Over to underbark'!C$47:C$48)*AH439</f>
        <v>83.922300000000007</v>
      </c>
      <c r="AK439" s="27">
        <f t="shared" si="95"/>
        <v>226.07640000000001</v>
      </c>
      <c r="AL439" s="33">
        <v>685.08</v>
      </c>
      <c r="AM439" s="28">
        <f t="shared" si="96"/>
        <v>452.15280000000001</v>
      </c>
      <c r="AO439">
        <f t="shared" si="97"/>
        <v>0.68181818181818188</v>
      </c>
    </row>
    <row r="440" spans="1:41" x14ac:dyDescent="0.35">
      <c r="A440" t="s">
        <v>41</v>
      </c>
      <c r="B440">
        <v>10</v>
      </c>
      <c r="C440">
        <v>2</v>
      </c>
      <c r="D440" t="s">
        <v>40</v>
      </c>
      <c r="E440">
        <v>2</v>
      </c>
      <c r="F440">
        <v>1</v>
      </c>
      <c r="G440" s="16">
        <v>58</v>
      </c>
      <c r="H440" s="16">
        <v>20.803999999999998</v>
      </c>
      <c r="I440" s="16">
        <v>1418</v>
      </c>
      <c r="J440" s="16">
        <v>23.280999999999999</v>
      </c>
      <c r="K440" s="16">
        <v>60.362000000000002</v>
      </c>
      <c r="L440" s="16">
        <v>0.372</v>
      </c>
      <c r="M440" s="23">
        <v>527.36</v>
      </c>
      <c r="N440" s="16">
        <v>6.2370000000000001</v>
      </c>
      <c r="O440" s="17">
        <v>9.0920000000000005</v>
      </c>
      <c r="P440" s="18">
        <v>58</v>
      </c>
      <c r="Q440" s="18">
        <v>23.280999999999999</v>
      </c>
      <c r="R440" s="18">
        <v>213.76499999999999</v>
      </c>
      <c r="S440" s="18">
        <v>313.59500000000003</v>
      </c>
      <c r="T440" s="14" t="b">
        <f t="shared" si="98"/>
        <v>1</v>
      </c>
      <c r="U440" s="14" t="b">
        <f t="shared" si="99"/>
        <v>1</v>
      </c>
      <c r="V440" s="15">
        <f>VLOOKUP(IF(J440&lt;10, 10, IF(J440&gt;50,50,J440)),'Over to underbark'!$A$3:$C$43,IF(A440="Scots pine",3,IF(A440="Sitka spruce",2, "error")),TRUE)/100</f>
        <v>0.9</v>
      </c>
      <c r="W440">
        <f t="shared" si="100"/>
        <v>173.14965000000001</v>
      </c>
      <c r="X440">
        <f t="shared" si="101"/>
        <v>254.01195000000007</v>
      </c>
      <c r="Y440">
        <f t="shared" si="102"/>
        <v>47.462399999999995</v>
      </c>
      <c r="Z440">
        <f t="shared" si="103"/>
        <v>184.25949300000002</v>
      </c>
      <c r="AA440">
        <f t="shared" si="104"/>
        <v>137.95733700000002</v>
      </c>
      <c r="AB440">
        <f t="shared" si="105"/>
        <v>152.40717000000004</v>
      </c>
      <c r="AC440">
        <f>LOOKUP($A440,'Over to underbark'!$A$47:$A$48,'Over to underbark'!E$47:E$48)*Z440</f>
        <v>60.80563269000001</v>
      </c>
      <c r="AD440">
        <f>LOOKUP($A440,'Over to underbark'!$A$47:$A$48,'Over to underbark'!E$47:E$48)*AA440</f>
        <v>45.525921210000007</v>
      </c>
      <c r="AE440">
        <f>LOOKUP($A440,'Over to underbark'!$A$47:$A$48,'Over to underbark'!E$47:E$48)*AB440</f>
        <v>50.294366100000012</v>
      </c>
      <c r="AF440" t="b">
        <f t="shared" si="106"/>
        <v>1</v>
      </c>
      <c r="AG440" t="b">
        <f t="shared" si="107"/>
        <v>1</v>
      </c>
      <c r="AH440">
        <f>LOOKUP(A440,'Over to underbark'!$A$47:$A$48,'Over to underbark'!E$47:E$48)*M440</f>
        <v>174.02880000000002</v>
      </c>
      <c r="AI440" s="27">
        <f>LOOKUP(A440,'Over to underbark'!$A$47:$A$48,'Over to underbark'!$B$47:$B$48)*AH440</f>
        <v>55.689216000000009</v>
      </c>
      <c r="AJ440" s="27">
        <f>LOOKUP(A441,'Over to underbark'!$A$47:$A$48,'Over to underbark'!C$47:C$48)*AH440</f>
        <v>85.274112000000002</v>
      </c>
      <c r="AK440" s="27">
        <f t="shared" si="95"/>
        <v>229.71801600000003</v>
      </c>
      <c r="AL440" s="33">
        <v>696.12</v>
      </c>
      <c r="AM440" s="28">
        <f t="shared" si="96"/>
        <v>459.43603200000007</v>
      </c>
      <c r="AO440">
        <f t="shared" si="97"/>
        <v>0.68181818181818188</v>
      </c>
    </row>
    <row r="441" spans="1:41" x14ac:dyDescent="0.35">
      <c r="A441" t="s">
        <v>41</v>
      </c>
      <c r="B441">
        <v>10</v>
      </c>
      <c r="C441">
        <v>2</v>
      </c>
      <c r="D441" t="s">
        <v>40</v>
      </c>
      <c r="E441">
        <v>2</v>
      </c>
      <c r="F441">
        <v>1</v>
      </c>
      <c r="G441" s="16">
        <v>59</v>
      </c>
      <c r="H441" s="16">
        <v>21.027999999999999</v>
      </c>
      <c r="I441" s="16">
        <v>1400</v>
      </c>
      <c r="J441" s="16">
        <v>23.495000000000001</v>
      </c>
      <c r="K441" s="16">
        <v>60.698</v>
      </c>
      <c r="L441" s="16">
        <v>0.38300000000000001</v>
      </c>
      <c r="M441" s="23">
        <v>535.72</v>
      </c>
      <c r="N441" s="16">
        <v>6.5030000000000001</v>
      </c>
      <c r="O441" s="17">
        <v>9.08</v>
      </c>
      <c r="P441" s="18">
        <v>59</v>
      </c>
      <c r="Q441" s="18">
        <v>23.495000000000001</v>
      </c>
      <c r="R441" s="18">
        <v>212.17</v>
      </c>
      <c r="S441" s="18">
        <v>323.55</v>
      </c>
      <c r="T441" s="14" t="b">
        <f t="shared" si="98"/>
        <v>1</v>
      </c>
      <c r="U441" s="14" t="b">
        <f t="shared" si="99"/>
        <v>1</v>
      </c>
      <c r="V441" s="15">
        <f>VLOOKUP(IF(J441&lt;10, 10, IF(J441&gt;50,50,J441)),'Over to underbark'!$A$3:$C$43,IF(A441="Scots pine",3,IF(A441="Sitka spruce",2, "error")),TRUE)/100</f>
        <v>0.9</v>
      </c>
      <c r="W441">
        <f t="shared" si="100"/>
        <v>171.85769999999999</v>
      </c>
      <c r="X441">
        <f t="shared" si="101"/>
        <v>262.07549999999998</v>
      </c>
      <c r="Y441">
        <f t="shared" si="102"/>
        <v>48.21479999999999</v>
      </c>
      <c r="Z441">
        <f t="shared" si="103"/>
        <v>185.48501399999998</v>
      </c>
      <c r="AA441">
        <f t="shared" si="104"/>
        <v>139.417686</v>
      </c>
      <c r="AB441">
        <f t="shared" si="105"/>
        <v>157.24529999999999</v>
      </c>
      <c r="AC441">
        <f>LOOKUP($A441,'Over to underbark'!$A$47:$A$48,'Over to underbark'!E$47:E$48)*Z441</f>
        <v>61.210054619999994</v>
      </c>
      <c r="AD441">
        <f>LOOKUP($A441,'Over to underbark'!$A$47:$A$48,'Over to underbark'!E$47:E$48)*AA441</f>
        <v>46.007836380000001</v>
      </c>
      <c r="AE441">
        <f>LOOKUP($A441,'Over to underbark'!$A$47:$A$48,'Over to underbark'!E$47:E$48)*AB441</f>
        <v>51.890948999999999</v>
      </c>
      <c r="AF441" t="b">
        <f t="shared" si="106"/>
        <v>1</v>
      </c>
      <c r="AG441" t="b">
        <f t="shared" si="107"/>
        <v>1</v>
      </c>
      <c r="AH441">
        <f>LOOKUP(A441,'Over to underbark'!$A$47:$A$48,'Over to underbark'!E$47:E$48)*M441</f>
        <v>176.78760000000003</v>
      </c>
      <c r="AI441" s="27">
        <f>LOOKUP(A441,'Over to underbark'!$A$47:$A$48,'Over to underbark'!$B$47:$B$48)*AH441</f>
        <v>56.572032000000007</v>
      </c>
      <c r="AJ441" s="27">
        <f>LOOKUP(A442,'Over to underbark'!$A$47:$A$48,'Over to underbark'!C$47:C$48)*AH441</f>
        <v>86.625924000000012</v>
      </c>
      <c r="AK441" s="27">
        <f t="shared" si="95"/>
        <v>233.35963200000003</v>
      </c>
      <c r="AL441" s="33">
        <v>707.15</v>
      </c>
      <c r="AM441" s="28">
        <f t="shared" si="96"/>
        <v>466.71926400000007</v>
      </c>
      <c r="AO441">
        <f t="shared" si="97"/>
        <v>0.68181818181818166</v>
      </c>
    </row>
    <row r="442" spans="1:41" x14ac:dyDescent="0.35">
      <c r="A442" t="s">
        <v>41</v>
      </c>
      <c r="B442">
        <v>10</v>
      </c>
      <c r="C442">
        <v>2</v>
      </c>
      <c r="D442" t="s">
        <v>40</v>
      </c>
      <c r="E442">
        <v>2</v>
      </c>
      <c r="F442">
        <v>1</v>
      </c>
      <c r="G442" s="16">
        <v>60</v>
      </c>
      <c r="H442" s="16">
        <v>21.251999999999999</v>
      </c>
      <c r="I442" s="16">
        <v>1382</v>
      </c>
      <c r="J442" s="16">
        <v>23.713000000000001</v>
      </c>
      <c r="K442" s="16">
        <v>61.033999999999999</v>
      </c>
      <c r="L442" s="16">
        <v>0.39400000000000002</v>
      </c>
      <c r="M442" s="23">
        <v>544.08000000000004</v>
      </c>
      <c r="N442" s="16">
        <v>6.7590000000000003</v>
      </c>
      <c r="O442" s="17">
        <v>9.0679999999999996</v>
      </c>
      <c r="P442" s="18">
        <v>60</v>
      </c>
      <c r="Q442" s="18">
        <v>23.713000000000001</v>
      </c>
      <c r="R442" s="18">
        <v>210.417</v>
      </c>
      <c r="S442" s="18">
        <v>333.66300000000001</v>
      </c>
      <c r="T442" s="14" t="b">
        <f t="shared" si="98"/>
        <v>1</v>
      </c>
      <c r="U442" s="14" t="b">
        <f t="shared" si="99"/>
        <v>1</v>
      </c>
      <c r="V442" s="15">
        <f>VLOOKUP(IF(J442&lt;10, 10, IF(J442&gt;50,50,J442)),'Over to underbark'!$A$3:$C$43,IF(A442="Scots pine",3,IF(A442="Sitka spruce",2, "error")),TRUE)/100</f>
        <v>0.9</v>
      </c>
      <c r="W442">
        <f t="shared" si="100"/>
        <v>170.43777</v>
      </c>
      <c r="X442">
        <f t="shared" si="101"/>
        <v>270.26703000000003</v>
      </c>
      <c r="Y442">
        <f t="shared" si="102"/>
        <v>48.967199999999991</v>
      </c>
      <c r="Z442">
        <f t="shared" si="103"/>
        <v>186.65678339999999</v>
      </c>
      <c r="AA442">
        <f t="shared" si="104"/>
        <v>140.85499859999999</v>
      </c>
      <c r="AB442">
        <f t="shared" si="105"/>
        <v>162.16021800000001</v>
      </c>
      <c r="AC442">
        <f>LOOKUP($A442,'Over to underbark'!$A$47:$A$48,'Over to underbark'!E$47:E$48)*Z442</f>
        <v>61.596738522000003</v>
      </c>
      <c r="AD442">
        <f>LOOKUP($A442,'Over to underbark'!$A$47:$A$48,'Over to underbark'!E$47:E$48)*AA442</f>
        <v>46.482149538000002</v>
      </c>
      <c r="AE442">
        <f>LOOKUP($A442,'Over to underbark'!$A$47:$A$48,'Over to underbark'!E$47:E$48)*AB442</f>
        <v>53.512871940000011</v>
      </c>
      <c r="AF442" t="b">
        <f t="shared" si="106"/>
        <v>1</v>
      </c>
      <c r="AG442" t="b">
        <f t="shared" si="107"/>
        <v>1</v>
      </c>
      <c r="AH442">
        <f>LOOKUP(A442,'Over to underbark'!$A$47:$A$48,'Over to underbark'!E$47:E$48)*M442</f>
        <v>179.54640000000003</v>
      </c>
      <c r="AI442" s="27">
        <f>LOOKUP(A442,'Over to underbark'!$A$47:$A$48,'Over to underbark'!$B$47:$B$48)*AH442</f>
        <v>57.454848000000013</v>
      </c>
      <c r="AJ442" s="27">
        <f>LOOKUP(A443,'Over to underbark'!$A$47:$A$48,'Over to underbark'!C$47:C$48)*AH442</f>
        <v>87.977736000000021</v>
      </c>
      <c r="AK442" s="27">
        <f t="shared" si="95"/>
        <v>237.00124800000003</v>
      </c>
      <c r="AL442" s="33">
        <v>718.19</v>
      </c>
      <c r="AM442" s="28">
        <f t="shared" si="96"/>
        <v>474.00249600000006</v>
      </c>
      <c r="AO442">
        <f t="shared" si="97"/>
        <v>0.68181818181818177</v>
      </c>
    </row>
    <row r="443" spans="1:41" x14ac:dyDescent="0.35">
      <c r="A443" t="s">
        <v>41</v>
      </c>
      <c r="B443">
        <v>10</v>
      </c>
      <c r="C443">
        <v>2</v>
      </c>
      <c r="D443" t="s">
        <v>40</v>
      </c>
      <c r="E443">
        <v>2</v>
      </c>
      <c r="F443">
        <v>1</v>
      </c>
      <c r="G443" s="16">
        <v>61</v>
      </c>
      <c r="H443" s="16">
        <v>21.475999999999999</v>
      </c>
      <c r="I443" s="16">
        <v>1364</v>
      </c>
      <c r="J443" s="16">
        <v>23.934999999999999</v>
      </c>
      <c r="K443" s="16">
        <v>61.37</v>
      </c>
      <c r="L443" s="16">
        <v>0.40500000000000003</v>
      </c>
      <c r="M443" s="23">
        <v>552.44000000000005</v>
      </c>
      <c r="N443" s="16">
        <v>7.0060000000000002</v>
      </c>
      <c r="O443" s="17">
        <v>9.0559999999999992</v>
      </c>
      <c r="P443" s="18">
        <v>61</v>
      </c>
      <c r="Q443" s="18">
        <v>23.934999999999999</v>
      </c>
      <c r="R443" s="18">
        <v>208.50800000000001</v>
      </c>
      <c r="S443" s="18">
        <v>343.93200000000002</v>
      </c>
      <c r="T443" s="14" t="b">
        <f t="shared" si="98"/>
        <v>1</v>
      </c>
      <c r="U443" s="14" t="b">
        <f t="shared" si="99"/>
        <v>1</v>
      </c>
      <c r="V443" s="15">
        <f>VLOOKUP(IF(J443&lt;10, 10, IF(J443&gt;50,50,J443)),'Over to underbark'!$A$3:$C$43,IF(A443="Scots pine",3,IF(A443="Sitka spruce",2, "error")),TRUE)/100</f>
        <v>0.9</v>
      </c>
      <c r="W443">
        <f t="shared" si="100"/>
        <v>168.89148000000003</v>
      </c>
      <c r="X443">
        <f t="shared" si="101"/>
        <v>278.58492000000007</v>
      </c>
      <c r="Y443">
        <f t="shared" si="102"/>
        <v>49.7196</v>
      </c>
      <c r="Z443">
        <f t="shared" si="103"/>
        <v>187.77548160000001</v>
      </c>
      <c r="AA443">
        <f t="shared" si="104"/>
        <v>142.26956640000003</v>
      </c>
      <c r="AB443">
        <f t="shared" si="105"/>
        <v>167.15095200000005</v>
      </c>
      <c r="AC443">
        <f>LOOKUP($A443,'Over to underbark'!$A$47:$A$48,'Over to underbark'!E$47:E$48)*Z443</f>
        <v>61.965908928000005</v>
      </c>
      <c r="AD443">
        <f>LOOKUP($A443,'Over to underbark'!$A$47:$A$48,'Over to underbark'!E$47:E$48)*AA443</f>
        <v>46.948956912000014</v>
      </c>
      <c r="AE443">
        <f>LOOKUP($A443,'Over to underbark'!$A$47:$A$48,'Over to underbark'!E$47:E$48)*AB443</f>
        <v>55.159814160000018</v>
      </c>
      <c r="AF443" t="b">
        <f t="shared" si="106"/>
        <v>1</v>
      </c>
      <c r="AG443" t="b">
        <f t="shared" si="107"/>
        <v>1</v>
      </c>
      <c r="AH443">
        <f>LOOKUP(A443,'Over to underbark'!$A$47:$A$48,'Over to underbark'!E$47:E$48)*M443</f>
        <v>182.30520000000001</v>
      </c>
      <c r="AI443" s="27">
        <f>LOOKUP(A443,'Over to underbark'!$A$47:$A$48,'Over to underbark'!$B$47:$B$48)*AH443</f>
        <v>58.337664000000004</v>
      </c>
      <c r="AJ443" s="27">
        <f>LOOKUP(A444,'Over to underbark'!$A$47:$A$48,'Over to underbark'!C$47:C$48)*AH443</f>
        <v>89.329548000000003</v>
      </c>
      <c r="AK443" s="27">
        <f t="shared" si="95"/>
        <v>240.64286400000003</v>
      </c>
      <c r="AL443" s="33">
        <v>729.22</v>
      </c>
      <c r="AM443" s="28">
        <f t="shared" si="96"/>
        <v>481.28572800000006</v>
      </c>
      <c r="AO443">
        <f t="shared" si="97"/>
        <v>0.68181818181818188</v>
      </c>
    </row>
    <row r="444" spans="1:41" x14ac:dyDescent="0.35">
      <c r="A444" t="s">
        <v>41</v>
      </c>
      <c r="B444">
        <v>10</v>
      </c>
      <c r="C444">
        <v>2</v>
      </c>
      <c r="D444" t="s">
        <v>40</v>
      </c>
      <c r="E444">
        <v>2</v>
      </c>
      <c r="F444">
        <v>1</v>
      </c>
      <c r="G444" s="16">
        <v>62</v>
      </c>
      <c r="H444" s="16">
        <v>21.7</v>
      </c>
      <c r="I444" s="16">
        <v>1346</v>
      </c>
      <c r="J444" s="16">
        <v>24.16</v>
      </c>
      <c r="K444" s="16">
        <v>61.706000000000003</v>
      </c>
      <c r="L444" s="16">
        <v>0.41699999999999998</v>
      </c>
      <c r="M444" s="23">
        <v>560.79999999999995</v>
      </c>
      <c r="N444" s="16">
        <v>7.2439999999999998</v>
      </c>
      <c r="O444" s="17">
        <v>9.0449999999999999</v>
      </c>
      <c r="P444" s="18">
        <v>62</v>
      </c>
      <c r="Q444" s="18">
        <v>24.16</v>
      </c>
      <c r="R444" s="18">
        <v>206.47399999999999</v>
      </c>
      <c r="S444" s="18">
        <v>354.32600000000002</v>
      </c>
      <c r="T444" s="14" t="b">
        <f t="shared" si="98"/>
        <v>1</v>
      </c>
      <c r="U444" s="14" t="b">
        <f t="shared" si="99"/>
        <v>1</v>
      </c>
      <c r="V444" s="15">
        <f>VLOOKUP(IF(J444&lt;10, 10, IF(J444&gt;50,50,J444)),'Over to underbark'!$A$3:$C$43,IF(A444="Scots pine",3,IF(A444="Sitka spruce",2, "error")),TRUE)/100</f>
        <v>0.9</v>
      </c>
      <c r="W444">
        <f t="shared" si="100"/>
        <v>167.24393999999998</v>
      </c>
      <c r="X444">
        <f t="shared" si="101"/>
        <v>287.00406000000004</v>
      </c>
      <c r="Y444">
        <f t="shared" si="102"/>
        <v>50.471999999999987</v>
      </c>
      <c r="Z444">
        <f t="shared" si="103"/>
        <v>188.85165479999998</v>
      </c>
      <c r="AA444">
        <f t="shared" si="104"/>
        <v>143.66590919999999</v>
      </c>
      <c r="AB444">
        <f t="shared" si="105"/>
        <v>172.20243600000001</v>
      </c>
      <c r="AC444">
        <f>LOOKUP($A444,'Over to underbark'!$A$47:$A$48,'Over to underbark'!E$47:E$48)*Z444</f>
        <v>62.321046083999995</v>
      </c>
      <c r="AD444">
        <f>LOOKUP($A444,'Over to underbark'!$A$47:$A$48,'Over to underbark'!E$47:E$48)*AA444</f>
        <v>47.409750035999998</v>
      </c>
      <c r="AE444">
        <f>LOOKUP($A444,'Over to underbark'!$A$47:$A$48,'Over to underbark'!E$47:E$48)*AB444</f>
        <v>56.826803880000007</v>
      </c>
      <c r="AF444" t="b">
        <f t="shared" si="106"/>
        <v>1</v>
      </c>
      <c r="AG444" t="b">
        <f t="shared" si="107"/>
        <v>1</v>
      </c>
      <c r="AH444">
        <f>LOOKUP(A444,'Over to underbark'!$A$47:$A$48,'Over to underbark'!E$47:E$48)*M444</f>
        <v>185.06399999999999</v>
      </c>
      <c r="AI444" s="27">
        <f>LOOKUP(A444,'Over to underbark'!$A$47:$A$48,'Over to underbark'!$B$47:$B$48)*AH444</f>
        <v>59.220480000000002</v>
      </c>
      <c r="AJ444" s="27">
        <f>LOOKUP(A445,'Over to underbark'!$A$47:$A$48,'Over to underbark'!C$47:C$48)*AH444</f>
        <v>90.681359999999998</v>
      </c>
      <c r="AK444" s="27">
        <f t="shared" si="95"/>
        <v>244.28448</v>
      </c>
      <c r="AL444" s="33">
        <v>740.26</v>
      </c>
      <c r="AM444" s="28">
        <f t="shared" si="96"/>
        <v>488.56896</v>
      </c>
      <c r="AO444">
        <f t="shared" si="97"/>
        <v>0.68181818181818188</v>
      </c>
    </row>
    <row r="445" spans="1:41" x14ac:dyDescent="0.35">
      <c r="A445" t="s">
        <v>41</v>
      </c>
      <c r="B445">
        <v>10</v>
      </c>
      <c r="C445">
        <v>2</v>
      </c>
      <c r="D445" t="s">
        <v>40</v>
      </c>
      <c r="E445">
        <v>2</v>
      </c>
      <c r="F445">
        <v>1</v>
      </c>
      <c r="G445" s="16">
        <v>63</v>
      </c>
      <c r="H445" s="16">
        <v>21.884</v>
      </c>
      <c r="I445" s="16">
        <v>1331</v>
      </c>
      <c r="J445" s="16">
        <v>24.353999999999999</v>
      </c>
      <c r="K445" s="16">
        <v>62.003</v>
      </c>
      <c r="L445" s="16">
        <v>0.42699999999999999</v>
      </c>
      <c r="M445" s="23">
        <v>567.76</v>
      </c>
      <c r="N445" s="16">
        <v>7.5010000000000003</v>
      </c>
      <c r="O445" s="17">
        <v>9.0120000000000005</v>
      </c>
      <c r="P445" s="18">
        <v>63</v>
      </c>
      <c r="Q445" s="18">
        <v>24.353999999999999</v>
      </c>
      <c r="R445" s="18">
        <v>204.58799999999999</v>
      </c>
      <c r="S445" s="18">
        <v>363.17200000000003</v>
      </c>
      <c r="T445" s="14" t="b">
        <f t="shared" si="98"/>
        <v>1</v>
      </c>
      <c r="U445" s="14" t="b">
        <f t="shared" si="99"/>
        <v>1</v>
      </c>
      <c r="V445" s="15">
        <f>VLOOKUP(IF(J445&lt;10, 10, IF(J445&gt;50,50,J445)),'Over to underbark'!$A$3:$C$43,IF(A445="Scots pine",3,IF(A445="Sitka spruce",2, "error")),TRUE)/100</f>
        <v>0.9</v>
      </c>
      <c r="W445">
        <f t="shared" si="100"/>
        <v>165.71628000000001</v>
      </c>
      <c r="X445">
        <f t="shared" si="101"/>
        <v>294.16932000000003</v>
      </c>
      <c r="Y445">
        <f t="shared" si="102"/>
        <v>51.098399999999984</v>
      </c>
      <c r="Z445">
        <f t="shared" si="103"/>
        <v>189.68207760000001</v>
      </c>
      <c r="AA445">
        <f t="shared" si="104"/>
        <v>144.80033040000001</v>
      </c>
      <c r="AB445">
        <f t="shared" si="105"/>
        <v>176.50159200000002</v>
      </c>
      <c r="AC445">
        <f>LOOKUP($A445,'Over to underbark'!$A$47:$A$48,'Over to underbark'!E$47:E$48)*Z445</f>
        <v>62.595085608000005</v>
      </c>
      <c r="AD445">
        <f>LOOKUP($A445,'Over to underbark'!$A$47:$A$48,'Over to underbark'!E$47:E$48)*AA445</f>
        <v>47.784109032000003</v>
      </c>
      <c r="AE445">
        <f>LOOKUP($A445,'Over to underbark'!$A$47:$A$48,'Over to underbark'!E$47:E$48)*AB445</f>
        <v>58.245525360000009</v>
      </c>
      <c r="AF445" t="b">
        <f t="shared" si="106"/>
        <v>1</v>
      </c>
      <c r="AG445" t="b">
        <f t="shared" si="107"/>
        <v>1</v>
      </c>
      <c r="AH445">
        <f>LOOKUP(A445,'Over to underbark'!$A$47:$A$48,'Over to underbark'!E$47:E$48)*M445</f>
        <v>187.36080000000001</v>
      </c>
      <c r="AI445" s="27">
        <f>LOOKUP(A445,'Over to underbark'!$A$47:$A$48,'Over to underbark'!$B$47:$B$48)*AH445</f>
        <v>59.955456000000005</v>
      </c>
      <c r="AJ445" s="27">
        <f>LOOKUP(A446,'Over to underbark'!$A$47:$A$48,'Over to underbark'!C$47:C$48)*AH445</f>
        <v>91.806792000000002</v>
      </c>
      <c r="AK445" s="27">
        <f t="shared" si="95"/>
        <v>247.31625600000001</v>
      </c>
      <c r="AL445" s="33">
        <v>749.44</v>
      </c>
      <c r="AM445" s="28">
        <f t="shared" si="96"/>
        <v>494.63251200000002</v>
      </c>
      <c r="AO445">
        <f t="shared" si="97"/>
        <v>0.68181818181818188</v>
      </c>
    </row>
    <row r="446" spans="1:41" x14ac:dyDescent="0.35">
      <c r="A446" t="s">
        <v>41</v>
      </c>
      <c r="B446">
        <v>10</v>
      </c>
      <c r="C446">
        <v>2</v>
      </c>
      <c r="D446" t="s">
        <v>40</v>
      </c>
      <c r="E446">
        <v>2</v>
      </c>
      <c r="F446">
        <v>1</v>
      </c>
      <c r="G446" s="16">
        <v>64</v>
      </c>
      <c r="H446" s="16">
        <v>22.068000000000001</v>
      </c>
      <c r="I446" s="16">
        <v>1317</v>
      </c>
      <c r="J446" s="16">
        <v>24.542000000000002</v>
      </c>
      <c r="K446" s="16">
        <v>62.298999999999999</v>
      </c>
      <c r="L446" s="16">
        <v>0.436</v>
      </c>
      <c r="M446" s="23">
        <v>574.72</v>
      </c>
      <c r="N446" s="16">
        <v>7.75</v>
      </c>
      <c r="O446" s="17">
        <v>8.98</v>
      </c>
      <c r="P446" s="18">
        <v>64</v>
      </c>
      <c r="Q446" s="18">
        <v>24.542000000000002</v>
      </c>
      <c r="R446" s="18">
        <v>202.804</v>
      </c>
      <c r="S446" s="18">
        <v>371.916</v>
      </c>
      <c r="T446" s="14" t="b">
        <f t="shared" si="98"/>
        <v>1</v>
      </c>
      <c r="U446" s="14" t="b">
        <f t="shared" si="99"/>
        <v>1</v>
      </c>
      <c r="V446" s="15">
        <f>VLOOKUP(IF(J446&lt;10, 10, IF(J446&gt;50,50,J446)),'Over to underbark'!$A$3:$C$43,IF(A446="Scots pine",3,IF(A446="Sitka spruce",2, "error")),TRUE)/100</f>
        <v>0.9</v>
      </c>
      <c r="W446">
        <f t="shared" si="100"/>
        <v>164.27124000000001</v>
      </c>
      <c r="X446">
        <f t="shared" si="101"/>
        <v>301.25196</v>
      </c>
      <c r="Y446">
        <f t="shared" si="102"/>
        <v>51.724799999999995</v>
      </c>
      <c r="Z446">
        <f t="shared" si="103"/>
        <v>190.54720079999998</v>
      </c>
      <c r="AA446">
        <f t="shared" si="104"/>
        <v>145.94962320000002</v>
      </c>
      <c r="AB446">
        <f t="shared" si="105"/>
        <v>180.75117599999999</v>
      </c>
      <c r="AC446">
        <f>LOOKUP($A446,'Over to underbark'!$A$47:$A$48,'Over to underbark'!E$47:E$48)*Z446</f>
        <v>62.880576263999998</v>
      </c>
      <c r="AD446">
        <f>LOOKUP($A446,'Over to underbark'!$A$47:$A$48,'Over to underbark'!E$47:E$48)*AA446</f>
        <v>48.163375656000007</v>
      </c>
      <c r="AE446">
        <f>LOOKUP($A446,'Over to underbark'!$A$47:$A$48,'Over to underbark'!E$47:E$48)*AB446</f>
        <v>59.647888080000001</v>
      </c>
      <c r="AF446" t="b">
        <f t="shared" si="106"/>
        <v>1</v>
      </c>
      <c r="AG446" t="b">
        <f t="shared" si="107"/>
        <v>1</v>
      </c>
      <c r="AH446">
        <f>LOOKUP(A446,'Over to underbark'!$A$47:$A$48,'Over to underbark'!E$47:E$48)*M446</f>
        <v>189.65760000000003</v>
      </c>
      <c r="AI446" s="27">
        <f>LOOKUP(A446,'Over to underbark'!$A$47:$A$48,'Over to underbark'!$B$47:$B$48)*AH446</f>
        <v>60.690432000000008</v>
      </c>
      <c r="AJ446" s="27">
        <f>LOOKUP(A447,'Over to underbark'!$A$47:$A$48,'Over to underbark'!C$47:C$48)*AH446</f>
        <v>92.932224000000019</v>
      </c>
      <c r="AK446" s="27">
        <f t="shared" si="95"/>
        <v>250.34803200000005</v>
      </c>
      <c r="AL446" s="33">
        <v>758.63</v>
      </c>
      <c r="AM446" s="28">
        <f t="shared" si="96"/>
        <v>500.69606400000009</v>
      </c>
      <c r="AO446">
        <f t="shared" si="97"/>
        <v>0.68181818181818177</v>
      </c>
    </row>
    <row r="447" spans="1:41" x14ac:dyDescent="0.35">
      <c r="A447" t="s">
        <v>41</v>
      </c>
      <c r="B447">
        <v>10</v>
      </c>
      <c r="C447">
        <v>2</v>
      </c>
      <c r="D447" t="s">
        <v>40</v>
      </c>
      <c r="E447">
        <v>2</v>
      </c>
      <c r="F447">
        <v>1</v>
      </c>
      <c r="G447" s="16">
        <v>65</v>
      </c>
      <c r="H447" s="16">
        <v>22.251999999999999</v>
      </c>
      <c r="I447" s="16">
        <v>1303</v>
      </c>
      <c r="J447" s="16">
        <v>24.731999999999999</v>
      </c>
      <c r="K447" s="16">
        <v>62.595999999999997</v>
      </c>
      <c r="L447" s="16">
        <v>0.44600000000000001</v>
      </c>
      <c r="M447" s="23">
        <v>581.67999999999995</v>
      </c>
      <c r="N447" s="16">
        <v>7.9909999999999997</v>
      </c>
      <c r="O447" s="17">
        <v>8.9489999999999998</v>
      </c>
      <c r="P447" s="18">
        <v>65</v>
      </c>
      <c r="Q447" s="18">
        <v>24.731999999999999</v>
      </c>
      <c r="R447" s="18">
        <v>200.94300000000001</v>
      </c>
      <c r="S447" s="18">
        <v>380.73700000000002</v>
      </c>
      <c r="T447" s="14" t="b">
        <f t="shared" si="98"/>
        <v>1</v>
      </c>
      <c r="U447" s="14" t="b">
        <f t="shared" si="99"/>
        <v>1</v>
      </c>
      <c r="V447" s="15">
        <f>VLOOKUP(IF(J447&lt;10, 10, IF(J447&gt;50,50,J447)),'Over to underbark'!$A$3:$C$43,IF(A447="Scots pine",3,IF(A447="Sitka spruce",2, "error")),TRUE)/100</f>
        <v>0.9</v>
      </c>
      <c r="W447">
        <f t="shared" si="100"/>
        <v>162.76383000000001</v>
      </c>
      <c r="X447">
        <f t="shared" si="101"/>
        <v>308.39697000000007</v>
      </c>
      <c r="Y447">
        <f t="shared" si="102"/>
        <v>52.351199999999992</v>
      </c>
      <c r="Z447">
        <f t="shared" si="103"/>
        <v>191.38612860000001</v>
      </c>
      <c r="AA447">
        <f t="shared" si="104"/>
        <v>147.08768940000002</v>
      </c>
      <c r="AB447">
        <f t="shared" si="105"/>
        <v>185.03818200000003</v>
      </c>
      <c r="AC447">
        <f>LOOKUP($A447,'Over to underbark'!$A$47:$A$48,'Over to underbark'!E$47:E$48)*Z447</f>
        <v>63.157422438000005</v>
      </c>
      <c r="AD447">
        <f>LOOKUP($A447,'Over to underbark'!$A$47:$A$48,'Over to underbark'!E$47:E$48)*AA447</f>
        <v>48.53893750200001</v>
      </c>
      <c r="AE447">
        <f>LOOKUP($A447,'Over to underbark'!$A$47:$A$48,'Over to underbark'!E$47:E$48)*AB447</f>
        <v>61.062600060000015</v>
      </c>
      <c r="AF447" t="b">
        <f t="shared" si="106"/>
        <v>1</v>
      </c>
      <c r="AG447" t="b">
        <f t="shared" si="107"/>
        <v>1</v>
      </c>
      <c r="AH447">
        <f>LOOKUP(A447,'Over to underbark'!$A$47:$A$48,'Over to underbark'!E$47:E$48)*M447</f>
        <v>191.95439999999999</v>
      </c>
      <c r="AI447" s="27">
        <f>LOOKUP(A447,'Over to underbark'!$A$47:$A$48,'Over to underbark'!$B$47:$B$48)*AH447</f>
        <v>61.425407999999997</v>
      </c>
      <c r="AJ447" s="27">
        <f>LOOKUP(A448,'Over to underbark'!$A$47:$A$48,'Over to underbark'!C$47:C$48)*AH447</f>
        <v>94.057655999999994</v>
      </c>
      <c r="AK447" s="27">
        <f t="shared" si="95"/>
        <v>253.379808</v>
      </c>
      <c r="AL447" s="33">
        <v>767.82</v>
      </c>
      <c r="AM447" s="28">
        <f t="shared" si="96"/>
        <v>506.75961599999999</v>
      </c>
      <c r="AO447">
        <f t="shared" si="97"/>
        <v>0.68181818181818199</v>
      </c>
    </row>
    <row r="448" spans="1:41" x14ac:dyDescent="0.35">
      <c r="A448" t="s">
        <v>41</v>
      </c>
      <c r="B448">
        <v>10</v>
      </c>
      <c r="C448">
        <v>2</v>
      </c>
      <c r="D448" t="s">
        <v>40</v>
      </c>
      <c r="E448">
        <v>2</v>
      </c>
      <c r="F448">
        <v>1</v>
      </c>
      <c r="G448" s="16">
        <v>66</v>
      </c>
      <c r="H448" s="16">
        <v>22.436</v>
      </c>
      <c r="I448" s="16">
        <v>1289</v>
      </c>
      <c r="J448" s="16">
        <v>24.925000000000001</v>
      </c>
      <c r="K448" s="16">
        <v>62.892000000000003</v>
      </c>
      <c r="L448" s="16">
        <v>0.45700000000000002</v>
      </c>
      <c r="M448" s="23">
        <v>588.64</v>
      </c>
      <c r="N448" s="16">
        <v>8.2260000000000009</v>
      </c>
      <c r="O448" s="17">
        <v>8.9190000000000005</v>
      </c>
      <c r="P448" s="18">
        <v>66</v>
      </c>
      <c r="Q448" s="18">
        <v>24.925000000000001</v>
      </c>
      <c r="R448" s="18">
        <v>198.98599999999999</v>
      </c>
      <c r="S448" s="18">
        <v>389.654</v>
      </c>
      <c r="T448" s="14" t="b">
        <f t="shared" si="98"/>
        <v>1</v>
      </c>
      <c r="U448" s="14" t="b">
        <f t="shared" si="99"/>
        <v>1</v>
      </c>
      <c r="V448" s="15">
        <f>VLOOKUP(IF(J448&lt;10, 10, IF(J448&gt;50,50,J448)),'Over to underbark'!$A$3:$C$43,IF(A448="Scots pine",3,IF(A448="Sitka spruce",2, "error")),TRUE)/100</f>
        <v>0.9</v>
      </c>
      <c r="W448">
        <f t="shared" si="100"/>
        <v>161.17866000000001</v>
      </c>
      <c r="X448">
        <f t="shared" si="101"/>
        <v>315.61974000000004</v>
      </c>
      <c r="Y448">
        <f t="shared" si="102"/>
        <v>52.977599999999981</v>
      </c>
      <c r="Z448">
        <f t="shared" si="103"/>
        <v>192.19239719999996</v>
      </c>
      <c r="AA448">
        <f t="shared" si="104"/>
        <v>148.21175880000001</v>
      </c>
      <c r="AB448">
        <f t="shared" si="105"/>
        <v>189.37184400000001</v>
      </c>
      <c r="AC448">
        <f>LOOKUP($A448,'Over to underbark'!$A$47:$A$48,'Over to underbark'!E$47:E$48)*Z448</f>
        <v>63.423491075999991</v>
      </c>
      <c r="AD448">
        <f>LOOKUP($A448,'Over to underbark'!$A$47:$A$48,'Over to underbark'!E$47:E$48)*AA448</f>
        <v>48.909880404000006</v>
      </c>
      <c r="AE448">
        <f>LOOKUP($A448,'Over to underbark'!$A$47:$A$48,'Over to underbark'!E$47:E$48)*AB448</f>
        <v>62.492708520000008</v>
      </c>
      <c r="AF448" t="b">
        <f t="shared" si="106"/>
        <v>1</v>
      </c>
      <c r="AG448" t="b">
        <f t="shared" si="107"/>
        <v>1</v>
      </c>
      <c r="AH448">
        <f>LOOKUP(A448,'Over to underbark'!$A$47:$A$48,'Over to underbark'!E$47:E$48)*M448</f>
        <v>194.25120000000001</v>
      </c>
      <c r="AI448" s="27">
        <f>LOOKUP(A448,'Over to underbark'!$A$47:$A$48,'Over to underbark'!$B$47:$B$48)*AH448</f>
        <v>62.160384000000008</v>
      </c>
      <c r="AJ448" s="27">
        <f>LOOKUP(A449,'Over to underbark'!$A$47:$A$48,'Over to underbark'!C$47:C$48)*AH448</f>
        <v>95.183087999999998</v>
      </c>
      <c r="AK448" s="27">
        <f t="shared" si="95"/>
        <v>256.411584</v>
      </c>
      <c r="AL448" s="33">
        <v>777</v>
      </c>
      <c r="AM448" s="28">
        <f t="shared" si="96"/>
        <v>512.82316800000001</v>
      </c>
      <c r="AO448">
        <f t="shared" si="97"/>
        <v>0.68181818181818177</v>
      </c>
    </row>
    <row r="449" spans="1:41" x14ac:dyDescent="0.35">
      <c r="A449" t="s">
        <v>41</v>
      </c>
      <c r="B449">
        <v>10</v>
      </c>
      <c r="C449">
        <v>2</v>
      </c>
      <c r="D449" t="s">
        <v>40</v>
      </c>
      <c r="E449">
        <v>2</v>
      </c>
      <c r="F449">
        <v>1</v>
      </c>
      <c r="G449" s="16">
        <v>67</v>
      </c>
      <c r="H449" s="16">
        <v>22.62</v>
      </c>
      <c r="I449" s="16">
        <v>1275</v>
      </c>
      <c r="J449" s="16">
        <v>25.12</v>
      </c>
      <c r="K449" s="16">
        <v>63.189</v>
      </c>
      <c r="L449" s="16">
        <v>0.46700000000000003</v>
      </c>
      <c r="M449" s="23">
        <v>595.6</v>
      </c>
      <c r="N449" s="16">
        <v>8.4540000000000006</v>
      </c>
      <c r="O449" s="17">
        <v>8.89</v>
      </c>
      <c r="P449" s="18">
        <v>67</v>
      </c>
      <c r="Q449" s="18">
        <v>25.12</v>
      </c>
      <c r="R449" s="18">
        <v>196.958</v>
      </c>
      <c r="S449" s="18">
        <v>398.642</v>
      </c>
      <c r="T449" s="14" t="b">
        <f t="shared" si="98"/>
        <v>1</v>
      </c>
      <c r="U449" s="14" t="b">
        <f t="shared" si="99"/>
        <v>1</v>
      </c>
      <c r="V449" s="15">
        <f>VLOOKUP(IF(J449&lt;10, 10, IF(J449&gt;50,50,J449)),'Over to underbark'!$A$3:$C$43,IF(A449="Scots pine",3,IF(A449="Sitka spruce",2, "error")),TRUE)/100</f>
        <v>0.9</v>
      </c>
      <c r="W449">
        <f t="shared" si="100"/>
        <v>159.53598000000002</v>
      </c>
      <c r="X449">
        <f t="shared" si="101"/>
        <v>322.90002000000004</v>
      </c>
      <c r="Y449">
        <f t="shared" si="102"/>
        <v>53.603999999999999</v>
      </c>
      <c r="Z449">
        <f t="shared" si="103"/>
        <v>192.9745116</v>
      </c>
      <c r="AA449">
        <f t="shared" si="104"/>
        <v>149.32547640000001</v>
      </c>
      <c r="AB449">
        <f t="shared" si="105"/>
        <v>193.74001200000001</v>
      </c>
      <c r="AC449">
        <f>LOOKUP($A449,'Over to underbark'!$A$47:$A$48,'Over to underbark'!E$47:E$48)*Z449</f>
        <v>63.681588828000002</v>
      </c>
      <c r="AD449">
        <f>LOOKUP($A449,'Over to underbark'!$A$47:$A$48,'Over to underbark'!E$47:E$48)*AA449</f>
        <v>49.277407212000007</v>
      </c>
      <c r="AE449">
        <f>LOOKUP($A449,'Over to underbark'!$A$47:$A$48,'Over to underbark'!E$47:E$48)*AB449</f>
        <v>63.934203960000005</v>
      </c>
      <c r="AF449" t="b">
        <f t="shared" si="106"/>
        <v>1</v>
      </c>
      <c r="AG449" t="b">
        <f t="shared" si="107"/>
        <v>1</v>
      </c>
      <c r="AH449">
        <f>LOOKUP(A449,'Over to underbark'!$A$47:$A$48,'Over to underbark'!E$47:E$48)*M449</f>
        <v>196.54800000000003</v>
      </c>
      <c r="AI449" s="27">
        <f>LOOKUP(A449,'Over to underbark'!$A$47:$A$48,'Over to underbark'!$B$47:$B$48)*AH449</f>
        <v>62.895360000000011</v>
      </c>
      <c r="AJ449" s="27">
        <f>LOOKUP(A450,'Over to underbark'!$A$47:$A$48,'Over to underbark'!C$47:C$48)*AH449</f>
        <v>96.308520000000016</v>
      </c>
      <c r="AK449" s="27">
        <f t="shared" si="95"/>
        <v>259.44336000000004</v>
      </c>
      <c r="AL449" s="33">
        <v>786.19</v>
      </c>
      <c r="AM449" s="28">
        <f t="shared" si="96"/>
        <v>518.88672000000008</v>
      </c>
      <c r="AO449">
        <f t="shared" si="97"/>
        <v>0.68181818181818188</v>
      </c>
    </row>
    <row r="450" spans="1:41" x14ac:dyDescent="0.35">
      <c r="A450" t="s">
        <v>41</v>
      </c>
      <c r="B450">
        <v>10</v>
      </c>
      <c r="C450">
        <v>2</v>
      </c>
      <c r="D450" t="s">
        <v>40</v>
      </c>
      <c r="E450">
        <v>2</v>
      </c>
      <c r="F450">
        <v>1</v>
      </c>
      <c r="G450" s="16">
        <v>68</v>
      </c>
      <c r="H450" s="16">
        <v>22.782</v>
      </c>
      <c r="I450" s="16">
        <v>1262</v>
      </c>
      <c r="J450" s="16">
        <v>25.3</v>
      </c>
      <c r="K450" s="16">
        <v>63.442</v>
      </c>
      <c r="L450" s="16">
        <v>0.47699999999999998</v>
      </c>
      <c r="M450" s="23">
        <v>601.52</v>
      </c>
      <c r="N450" s="16">
        <v>8.6890000000000001</v>
      </c>
      <c r="O450" s="17">
        <v>8.8460000000000001</v>
      </c>
      <c r="P450" s="18">
        <v>68</v>
      </c>
      <c r="Q450" s="18">
        <v>25.3</v>
      </c>
      <c r="R450" s="18">
        <v>194.90100000000001</v>
      </c>
      <c r="S450" s="18">
        <v>406.61900000000003</v>
      </c>
      <c r="T450" s="14" t="b">
        <f t="shared" si="98"/>
        <v>1</v>
      </c>
      <c r="U450" s="14" t="b">
        <f t="shared" si="99"/>
        <v>1</v>
      </c>
      <c r="V450" s="15">
        <f>VLOOKUP(IF(J450&lt;10, 10, IF(J450&gt;50,50,J450)),'Over to underbark'!$A$3:$C$43,IF(A450="Scots pine",3,IF(A450="Sitka spruce",2, "error")),TRUE)/100</f>
        <v>0.9</v>
      </c>
      <c r="W450">
        <f t="shared" si="100"/>
        <v>157.86981000000003</v>
      </c>
      <c r="X450">
        <f t="shared" si="101"/>
        <v>329.36139000000003</v>
      </c>
      <c r="Y450">
        <f t="shared" si="102"/>
        <v>54.136799999999994</v>
      </c>
      <c r="Z450">
        <f t="shared" si="103"/>
        <v>193.5268002</v>
      </c>
      <c r="AA450">
        <f t="shared" si="104"/>
        <v>150.22436580000002</v>
      </c>
      <c r="AB450">
        <f t="shared" si="105"/>
        <v>197.61683400000001</v>
      </c>
      <c r="AC450">
        <f>LOOKUP($A450,'Over to underbark'!$A$47:$A$48,'Over to underbark'!E$47:E$48)*Z450</f>
        <v>63.863844065999999</v>
      </c>
      <c r="AD450">
        <f>LOOKUP($A450,'Over to underbark'!$A$47:$A$48,'Over to underbark'!E$47:E$48)*AA450</f>
        <v>49.574040714000006</v>
      </c>
      <c r="AE450">
        <f>LOOKUP($A450,'Over to underbark'!$A$47:$A$48,'Over to underbark'!E$47:E$48)*AB450</f>
        <v>65.213555220000003</v>
      </c>
      <c r="AF450" t="b">
        <f t="shared" si="106"/>
        <v>1</v>
      </c>
      <c r="AG450" t="b">
        <f t="shared" si="107"/>
        <v>1</v>
      </c>
      <c r="AH450">
        <f>LOOKUP(A450,'Over to underbark'!$A$47:$A$48,'Over to underbark'!E$47:E$48)*M450</f>
        <v>198.5016</v>
      </c>
      <c r="AI450" s="27">
        <f>LOOKUP(A450,'Over to underbark'!$A$47:$A$48,'Over to underbark'!$B$47:$B$48)*AH450</f>
        <v>63.520512000000004</v>
      </c>
      <c r="AJ450" s="27">
        <f>LOOKUP(A451,'Over to underbark'!$A$47:$A$48,'Over to underbark'!C$47:C$48)*AH450</f>
        <v>97.265783999999996</v>
      </c>
      <c r="AK450" s="27">
        <f t="shared" si="95"/>
        <v>262.02211199999999</v>
      </c>
      <c r="AL450" s="33">
        <v>794.01</v>
      </c>
      <c r="AM450" s="28">
        <f t="shared" si="96"/>
        <v>524.04422399999999</v>
      </c>
      <c r="AO450">
        <f t="shared" si="97"/>
        <v>0.68181818181818188</v>
      </c>
    </row>
    <row r="451" spans="1:41" x14ac:dyDescent="0.35">
      <c r="A451" t="s">
        <v>41</v>
      </c>
      <c r="B451">
        <v>10</v>
      </c>
      <c r="C451">
        <v>2</v>
      </c>
      <c r="D451" t="s">
        <v>40</v>
      </c>
      <c r="E451">
        <v>2</v>
      </c>
      <c r="F451">
        <v>1</v>
      </c>
      <c r="G451" s="16">
        <v>69</v>
      </c>
      <c r="H451" s="16">
        <v>22.943999999999999</v>
      </c>
      <c r="I451" s="16">
        <v>1250</v>
      </c>
      <c r="J451" s="16">
        <v>25.471</v>
      </c>
      <c r="K451" s="16">
        <v>63.695</v>
      </c>
      <c r="L451" s="16">
        <v>0.48599999999999999</v>
      </c>
      <c r="M451" s="23">
        <v>607.44000000000005</v>
      </c>
      <c r="N451" s="16">
        <v>8.9190000000000005</v>
      </c>
      <c r="O451" s="17">
        <v>8.8030000000000008</v>
      </c>
      <c r="P451" s="18">
        <v>69</v>
      </c>
      <c r="Q451" s="18">
        <v>25.471</v>
      </c>
      <c r="R451" s="18">
        <v>193.03100000000001</v>
      </c>
      <c r="S451" s="18">
        <v>414.40899999999999</v>
      </c>
      <c r="T451" s="14" t="b">
        <f t="shared" si="98"/>
        <v>1</v>
      </c>
      <c r="U451" s="14" t="b">
        <f t="shared" si="99"/>
        <v>1</v>
      </c>
      <c r="V451" s="15">
        <f>VLOOKUP(IF(J451&lt;10, 10, IF(J451&gt;50,50,J451)),'Over to underbark'!$A$3:$C$43,IF(A451="Scots pine",3,IF(A451="Sitka spruce",2, "error")),TRUE)/100</f>
        <v>0.9</v>
      </c>
      <c r="W451">
        <f t="shared" si="100"/>
        <v>156.35511</v>
      </c>
      <c r="X451">
        <f t="shared" si="101"/>
        <v>335.67129</v>
      </c>
      <c r="Y451">
        <f t="shared" si="102"/>
        <v>54.669599999999988</v>
      </c>
      <c r="Z451">
        <f t="shared" si="103"/>
        <v>194.14270619999999</v>
      </c>
      <c r="AA451">
        <f t="shared" si="104"/>
        <v>151.15051979999998</v>
      </c>
      <c r="AB451">
        <f t="shared" si="105"/>
        <v>201.40277399999999</v>
      </c>
      <c r="AC451">
        <f>LOOKUP($A451,'Over to underbark'!$A$47:$A$48,'Over to underbark'!E$47:E$48)*Z451</f>
        <v>64.067093045999997</v>
      </c>
      <c r="AD451">
        <f>LOOKUP($A451,'Over to underbark'!$A$47:$A$48,'Over to underbark'!E$47:E$48)*AA451</f>
        <v>49.879671533999996</v>
      </c>
      <c r="AE451">
        <f>LOOKUP($A451,'Over to underbark'!$A$47:$A$48,'Over to underbark'!E$47:E$48)*AB451</f>
        <v>66.462915420000002</v>
      </c>
      <c r="AF451" t="b">
        <f t="shared" si="106"/>
        <v>1</v>
      </c>
      <c r="AG451" t="b">
        <f t="shared" si="107"/>
        <v>1</v>
      </c>
      <c r="AH451">
        <f>LOOKUP(A451,'Over to underbark'!$A$47:$A$48,'Over to underbark'!E$47:E$48)*M451</f>
        <v>200.45520000000002</v>
      </c>
      <c r="AI451" s="27">
        <f>LOOKUP(A451,'Over to underbark'!$A$47:$A$48,'Over to underbark'!$B$47:$B$48)*AH451</f>
        <v>64.145664000000011</v>
      </c>
      <c r="AJ451" s="27">
        <f>LOOKUP(A452,'Over to underbark'!$A$47:$A$48,'Over to underbark'!C$47:C$48)*AH451</f>
        <v>98.223048000000006</v>
      </c>
      <c r="AK451" s="27">
        <f t="shared" si="95"/>
        <v>264.600864</v>
      </c>
      <c r="AL451" s="33">
        <v>801.82</v>
      </c>
      <c r="AM451" s="28">
        <f t="shared" si="96"/>
        <v>529.201728</v>
      </c>
      <c r="AO451">
        <f t="shared" si="97"/>
        <v>0.68181818181818177</v>
      </c>
    </row>
    <row r="452" spans="1:41" x14ac:dyDescent="0.35">
      <c r="A452" t="s">
        <v>41</v>
      </c>
      <c r="B452">
        <v>10</v>
      </c>
      <c r="C452">
        <v>2</v>
      </c>
      <c r="D452" t="s">
        <v>40</v>
      </c>
      <c r="E452">
        <v>2</v>
      </c>
      <c r="F452">
        <v>1</v>
      </c>
      <c r="G452" s="16">
        <v>70</v>
      </c>
      <c r="H452" s="16">
        <v>23.106000000000002</v>
      </c>
      <c r="I452" s="16">
        <v>1238</v>
      </c>
      <c r="J452" s="16">
        <v>25.645</v>
      </c>
      <c r="K452" s="16">
        <v>63.948</v>
      </c>
      <c r="L452" s="16">
        <v>0.495</v>
      </c>
      <c r="M452" s="23">
        <v>613.36</v>
      </c>
      <c r="N452" s="16">
        <v>9.1430000000000007</v>
      </c>
      <c r="O452" s="17">
        <v>8.7620000000000005</v>
      </c>
      <c r="P452" s="18">
        <v>70</v>
      </c>
      <c r="Q452" s="18">
        <v>25.645</v>
      </c>
      <c r="R452" s="18">
        <v>191.08199999999999</v>
      </c>
      <c r="S452" s="18">
        <v>422.27800000000002</v>
      </c>
      <c r="T452" s="14" t="b">
        <f t="shared" si="98"/>
        <v>1</v>
      </c>
      <c r="U452" s="14" t="b">
        <f t="shared" si="99"/>
        <v>1</v>
      </c>
      <c r="V452" s="15">
        <f>VLOOKUP(IF(J452&lt;10, 10, IF(J452&gt;50,50,J452)),'Over to underbark'!$A$3:$C$43,IF(A452="Scots pine",3,IF(A452="Sitka spruce",2, "error")),TRUE)/100</f>
        <v>0.9</v>
      </c>
      <c r="W452">
        <f t="shared" si="100"/>
        <v>154.77642</v>
      </c>
      <c r="X452">
        <f t="shared" si="101"/>
        <v>342.04518000000002</v>
      </c>
      <c r="Y452">
        <f t="shared" si="102"/>
        <v>55.20239999999999</v>
      </c>
      <c r="Z452">
        <f t="shared" si="103"/>
        <v>194.73173639999999</v>
      </c>
      <c r="AA452">
        <f t="shared" si="104"/>
        <v>152.0651556</v>
      </c>
      <c r="AB452">
        <f t="shared" si="105"/>
        <v>205.22710800000002</v>
      </c>
      <c r="AC452">
        <f>LOOKUP($A452,'Over to underbark'!$A$47:$A$48,'Over to underbark'!E$47:E$48)*Z452</f>
        <v>64.261473011999996</v>
      </c>
      <c r="AD452">
        <f>LOOKUP($A452,'Over to underbark'!$A$47:$A$48,'Over to underbark'!E$47:E$48)*AA452</f>
        <v>50.181501348000005</v>
      </c>
      <c r="AE452">
        <f>LOOKUP($A452,'Over to underbark'!$A$47:$A$48,'Over to underbark'!E$47:E$48)*AB452</f>
        <v>67.724945640000001</v>
      </c>
      <c r="AF452" t="b">
        <f t="shared" si="106"/>
        <v>1</v>
      </c>
      <c r="AG452" t="b">
        <f t="shared" si="107"/>
        <v>1</v>
      </c>
      <c r="AH452">
        <f>LOOKUP(A452,'Over to underbark'!$A$47:$A$48,'Over to underbark'!E$47:E$48)*M452</f>
        <v>202.40880000000001</v>
      </c>
      <c r="AI452" s="27">
        <f>LOOKUP(A452,'Over to underbark'!$A$47:$A$48,'Over to underbark'!$B$47:$B$48)*AH452</f>
        <v>64.770816000000011</v>
      </c>
      <c r="AJ452" s="27">
        <f>LOOKUP(A453,'Over to underbark'!$A$47:$A$48,'Over to underbark'!C$47:C$48)*AH452</f>
        <v>99.180312000000001</v>
      </c>
      <c r="AK452" s="27">
        <f t="shared" ref="AK452:AK459" si="108">AH452+AI452</f>
        <v>267.17961600000001</v>
      </c>
      <c r="AL452" s="33">
        <v>809.64</v>
      </c>
      <c r="AM452" s="28">
        <f t="shared" ref="AM452:AM459" si="109">AK452*2</f>
        <v>534.35923200000002</v>
      </c>
      <c r="AO452">
        <f t="shared" ref="AO452:AO459" si="110">(AC452+AD452+AE452)/AK452</f>
        <v>0.68181818181818177</v>
      </c>
    </row>
    <row r="453" spans="1:41" x14ac:dyDescent="0.35">
      <c r="A453" t="s">
        <v>41</v>
      </c>
      <c r="B453">
        <v>10</v>
      </c>
      <c r="C453">
        <v>2</v>
      </c>
      <c r="D453" t="s">
        <v>40</v>
      </c>
      <c r="E453">
        <v>2</v>
      </c>
      <c r="F453">
        <v>1</v>
      </c>
      <c r="G453" s="16">
        <v>71</v>
      </c>
      <c r="H453" s="16">
        <v>23.268000000000001</v>
      </c>
      <c r="I453" s="16">
        <v>1226</v>
      </c>
      <c r="J453" s="16">
        <v>25.821999999999999</v>
      </c>
      <c r="K453" s="16">
        <v>64.201999999999998</v>
      </c>
      <c r="L453" s="16">
        <v>0.505</v>
      </c>
      <c r="M453" s="23">
        <v>619.28</v>
      </c>
      <c r="N453" s="16">
        <v>9.3610000000000007</v>
      </c>
      <c r="O453" s="17">
        <v>8.7219999999999995</v>
      </c>
      <c r="P453" s="18">
        <v>71</v>
      </c>
      <c r="Q453" s="18">
        <v>25.821999999999999</v>
      </c>
      <c r="R453" s="18">
        <v>189.05699999999999</v>
      </c>
      <c r="S453" s="18">
        <v>430.22300000000001</v>
      </c>
      <c r="T453" s="14" t="b">
        <f t="shared" si="98"/>
        <v>1</v>
      </c>
      <c r="U453" s="14" t="b">
        <f t="shared" si="99"/>
        <v>1</v>
      </c>
      <c r="V453" s="15">
        <f>VLOOKUP(IF(J453&lt;10, 10, IF(J453&gt;50,50,J453)),'Over to underbark'!$A$3:$C$43,IF(A453="Scots pine",3,IF(A453="Sitka spruce",2, "error")),TRUE)/100</f>
        <v>0.9</v>
      </c>
      <c r="W453">
        <f t="shared" si="100"/>
        <v>153.13616999999999</v>
      </c>
      <c r="X453">
        <f t="shared" si="101"/>
        <v>348.48063000000002</v>
      </c>
      <c r="Y453">
        <f t="shared" si="102"/>
        <v>55.735199999999985</v>
      </c>
      <c r="Z453">
        <f t="shared" si="103"/>
        <v>195.29491139999999</v>
      </c>
      <c r="AA453">
        <f t="shared" si="104"/>
        <v>152.96871060000001</v>
      </c>
      <c r="AB453">
        <f t="shared" si="105"/>
        <v>209.08837800000001</v>
      </c>
      <c r="AC453">
        <f>LOOKUP($A453,'Over to underbark'!$A$47:$A$48,'Over to underbark'!E$47:E$48)*Z453</f>
        <v>64.447320762000004</v>
      </c>
      <c r="AD453">
        <f>LOOKUP($A453,'Over to underbark'!$A$47:$A$48,'Over to underbark'!E$47:E$48)*AA453</f>
        <v>50.479674498000008</v>
      </c>
      <c r="AE453">
        <f>LOOKUP($A453,'Over to underbark'!$A$47:$A$48,'Over to underbark'!E$47:E$48)*AB453</f>
        <v>68.999164740000012</v>
      </c>
      <c r="AF453" t="b">
        <f t="shared" si="106"/>
        <v>1</v>
      </c>
      <c r="AG453" t="b">
        <f t="shared" si="107"/>
        <v>1</v>
      </c>
      <c r="AH453">
        <f>LOOKUP(A453,'Over to underbark'!$A$47:$A$48,'Over to underbark'!E$47:E$48)*M453</f>
        <v>204.36240000000001</v>
      </c>
      <c r="AI453" s="27">
        <f>LOOKUP(A453,'Over to underbark'!$A$47:$A$48,'Over to underbark'!$B$47:$B$48)*AH453</f>
        <v>65.395968000000011</v>
      </c>
      <c r="AJ453" s="27">
        <f>LOOKUP(A454,'Over to underbark'!$A$47:$A$48,'Over to underbark'!C$47:C$48)*AH453</f>
        <v>100.137576</v>
      </c>
      <c r="AK453" s="27">
        <f t="shared" si="108"/>
        <v>269.75836800000002</v>
      </c>
      <c r="AL453" s="33">
        <v>817.45</v>
      </c>
      <c r="AM453" s="28">
        <f t="shared" si="109"/>
        <v>539.51673600000004</v>
      </c>
      <c r="AO453">
        <f t="shared" si="110"/>
        <v>0.68181818181818188</v>
      </c>
    </row>
    <row r="454" spans="1:41" x14ac:dyDescent="0.35">
      <c r="A454" t="s">
        <v>41</v>
      </c>
      <c r="B454">
        <v>10</v>
      </c>
      <c r="C454">
        <v>2</v>
      </c>
      <c r="D454" t="s">
        <v>40</v>
      </c>
      <c r="E454">
        <v>2</v>
      </c>
      <c r="F454">
        <v>1</v>
      </c>
      <c r="G454" s="16">
        <v>72</v>
      </c>
      <c r="H454" s="16">
        <v>23.43</v>
      </c>
      <c r="I454" s="16">
        <v>1214</v>
      </c>
      <c r="J454" s="16">
        <v>26</v>
      </c>
      <c r="K454" s="16">
        <v>64.454999999999998</v>
      </c>
      <c r="L454" s="16">
        <v>0.51500000000000001</v>
      </c>
      <c r="M454" s="23">
        <v>625.20000000000005</v>
      </c>
      <c r="N454" s="16">
        <v>9.5749999999999993</v>
      </c>
      <c r="O454" s="17">
        <v>8.6829999999999998</v>
      </c>
      <c r="P454" s="18">
        <v>72</v>
      </c>
      <c r="Q454" s="18">
        <v>26</v>
      </c>
      <c r="R454" s="18">
        <v>187.00200000000001</v>
      </c>
      <c r="S454" s="18">
        <v>438.19799999999998</v>
      </c>
      <c r="T454" s="14" t="b">
        <f t="shared" si="98"/>
        <v>1</v>
      </c>
      <c r="U454" s="14" t="b">
        <f t="shared" si="99"/>
        <v>1</v>
      </c>
      <c r="V454" s="15">
        <f>VLOOKUP(IF(J454&lt;10, 10, IF(J454&gt;50,50,J454)),'Over to underbark'!$A$3:$C$43,IF(A454="Scots pine",3,IF(A454="Sitka spruce",2, "error")),TRUE)/100</f>
        <v>0.9</v>
      </c>
      <c r="W454">
        <f t="shared" si="100"/>
        <v>151.47162000000003</v>
      </c>
      <c r="X454">
        <f t="shared" si="101"/>
        <v>354.94038</v>
      </c>
      <c r="Y454">
        <f t="shared" si="102"/>
        <v>56.267999999999994</v>
      </c>
      <c r="Z454">
        <f t="shared" si="103"/>
        <v>195.84788040000001</v>
      </c>
      <c r="AA454">
        <f t="shared" si="104"/>
        <v>153.86789160000001</v>
      </c>
      <c r="AB454">
        <f t="shared" si="105"/>
        <v>212.96422799999999</v>
      </c>
      <c r="AC454">
        <f>LOOKUP($A454,'Over to underbark'!$A$47:$A$48,'Over to underbark'!E$47:E$48)*Z454</f>
        <v>64.629800532000004</v>
      </c>
      <c r="AD454">
        <f>LOOKUP($A454,'Over to underbark'!$A$47:$A$48,'Over to underbark'!E$47:E$48)*AA454</f>
        <v>50.776404228000004</v>
      </c>
      <c r="AE454">
        <f>LOOKUP($A454,'Over to underbark'!$A$47:$A$48,'Over to underbark'!E$47:E$48)*AB454</f>
        <v>70.278195240000002</v>
      </c>
      <c r="AF454" t="b">
        <f t="shared" si="106"/>
        <v>1</v>
      </c>
      <c r="AG454" t="b">
        <f t="shared" si="107"/>
        <v>1</v>
      </c>
      <c r="AH454">
        <f>LOOKUP(A454,'Over to underbark'!$A$47:$A$48,'Over to underbark'!E$47:E$48)*M454</f>
        <v>206.31600000000003</v>
      </c>
      <c r="AI454" s="27">
        <f>LOOKUP(A454,'Over to underbark'!$A$47:$A$48,'Over to underbark'!$B$47:$B$48)*AH454</f>
        <v>66.02112000000001</v>
      </c>
      <c r="AJ454" s="27">
        <f>LOOKUP(A455,'Over to underbark'!$A$47:$A$48,'Over to underbark'!C$47:C$48)*AH454</f>
        <v>101.09484000000002</v>
      </c>
      <c r="AK454" s="27">
        <f t="shared" si="108"/>
        <v>272.33712000000003</v>
      </c>
      <c r="AL454" s="33">
        <v>825.26</v>
      </c>
      <c r="AM454" s="28">
        <f t="shared" si="109"/>
        <v>544.67424000000005</v>
      </c>
      <c r="AO454">
        <f t="shared" si="110"/>
        <v>0.68181818181818177</v>
      </c>
    </row>
    <row r="455" spans="1:41" x14ac:dyDescent="0.35">
      <c r="A455" t="s">
        <v>41</v>
      </c>
      <c r="B455">
        <v>10</v>
      </c>
      <c r="C455">
        <v>2</v>
      </c>
      <c r="D455" t="s">
        <v>40</v>
      </c>
      <c r="E455">
        <v>2</v>
      </c>
      <c r="F455">
        <v>1</v>
      </c>
      <c r="G455" s="16">
        <v>73</v>
      </c>
      <c r="H455" s="16">
        <v>23.58</v>
      </c>
      <c r="I455" s="16">
        <v>1203</v>
      </c>
      <c r="J455" s="16">
        <v>26.15</v>
      </c>
      <c r="K455" s="16">
        <v>64.611000000000004</v>
      </c>
      <c r="L455" s="16">
        <v>0.52400000000000002</v>
      </c>
      <c r="M455" s="23">
        <v>630.16</v>
      </c>
      <c r="N455" s="16">
        <v>9.7919999999999998</v>
      </c>
      <c r="O455" s="17">
        <v>8.6319999999999997</v>
      </c>
      <c r="P455" s="18">
        <v>73</v>
      </c>
      <c r="Q455" s="18">
        <v>26.15</v>
      </c>
      <c r="R455" s="18">
        <v>185.25700000000001</v>
      </c>
      <c r="S455" s="18">
        <v>444.90300000000002</v>
      </c>
      <c r="T455" s="14" t="b">
        <f t="shared" si="98"/>
        <v>1</v>
      </c>
      <c r="U455" s="14" t="b">
        <f t="shared" si="99"/>
        <v>1</v>
      </c>
      <c r="V455" s="15">
        <f>VLOOKUP(IF(J455&lt;10, 10, IF(J455&gt;50,50,J455)),'Over to underbark'!$A$3:$C$43,IF(A455="Scots pine",3,IF(A455="Sitka spruce",2, "error")),TRUE)/100</f>
        <v>0.9</v>
      </c>
      <c r="W455">
        <f t="shared" si="100"/>
        <v>150.05817000000002</v>
      </c>
      <c r="X455">
        <f t="shared" si="101"/>
        <v>360.37143000000003</v>
      </c>
      <c r="Y455">
        <f t="shared" si="102"/>
        <v>56.714399999999998</v>
      </c>
      <c r="Z455">
        <f t="shared" si="103"/>
        <v>196.3032714</v>
      </c>
      <c r="AA455">
        <f t="shared" si="104"/>
        <v>154.6178706</v>
      </c>
      <c r="AB455">
        <f t="shared" si="105"/>
        <v>216.222858</v>
      </c>
      <c r="AC455">
        <f>LOOKUP($A455,'Over to underbark'!$A$47:$A$48,'Over to underbark'!E$47:E$48)*Z455</f>
        <v>64.780079561999997</v>
      </c>
      <c r="AD455">
        <f>LOOKUP($A455,'Over to underbark'!$A$47:$A$48,'Over to underbark'!E$47:E$48)*AA455</f>
        <v>51.023897298000001</v>
      </c>
      <c r="AE455">
        <f>LOOKUP($A455,'Over to underbark'!$A$47:$A$48,'Over to underbark'!E$47:E$48)*AB455</f>
        <v>71.353543139999999</v>
      </c>
      <c r="AF455" t="b">
        <f t="shared" si="106"/>
        <v>1</v>
      </c>
      <c r="AG455" t="b">
        <f t="shared" si="107"/>
        <v>1</v>
      </c>
      <c r="AH455">
        <f>LOOKUP(A455,'Over to underbark'!$A$47:$A$48,'Over to underbark'!E$47:E$48)*M455</f>
        <v>207.9528</v>
      </c>
      <c r="AI455" s="27">
        <f>LOOKUP(A455,'Over to underbark'!$A$47:$A$48,'Over to underbark'!$B$47:$B$48)*AH455</f>
        <v>66.544895999999994</v>
      </c>
      <c r="AJ455" s="27">
        <f>LOOKUP(A456,'Over to underbark'!$A$47:$A$48,'Over to underbark'!C$47:C$48)*AH455</f>
        <v>101.896872</v>
      </c>
      <c r="AK455" s="27">
        <f t="shared" si="108"/>
        <v>274.49769600000002</v>
      </c>
      <c r="AL455" s="33">
        <v>831.81</v>
      </c>
      <c r="AM455" s="28">
        <f t="shared" si="109"/>
        <v>548.99539200000004</v>
      </c>
      <c r="AO455">
        <f t="shared" si="110"/>
        <v>0.68181818181818177</v>
      </c>
    </row>
    <row r="456" spans="1:41" x14ac:dyDescent="0.35">
      <c r="A456" t="s">
        <v>41</v>
      </c>
      <c r="B456">
        <v>10</v>
      </c>
      <c r="C456">
        <v>2</v>
      </c>
      <c r="D456" t="s">
        <v>40</v>
      </c>
      <c r="E456">
        <v>2</v>
      </c>
      <c r="F456">
        <v>1</v>
      </c>
      <c r="G456" s="16">
        <v>74</v>
      </c>
      <c r="H456" s="16">
        <v>23.73</v>
      </c>
      <c r="I456" s="16">
        <v>1192</v>
      </c>
      <c r="J456" s="16">
        <v>26.302</v>
      </c>
      <c r="K456" s="16">
        <v>64.766000000000005</v>
      </c>
      <c r="L456" s="16">
        <v>0.53300000000000003</v>
      </c>
      <c r="M456" s="23">
        <v>635.12</v>
      </c>
      <c r="N456" s="16">
        <v>10.004</v>
      </c>
      <c r="O456" s="17">
        <v>8.5830000000000002</v>
      </c>
      <c r="P456" s="18">
        <v>74</v>
      </c>
      <c r="Q456" s="18">
        <v>26.302</v>
      </c>
      <c r="R456" s="18">
        <v>183.465</v>
      </c>
      <c r="S456" s="18">
        <v>451.65499999999997</v>
      </c>
      <c r="T456" s="14" t="b">
        <f t="shared" si="98"/>
        <v>1</v>
      </c>
      <c r="U456" s="14" t="b">
        <f t="shared" si="99"/>
        <v>1</v>
      </c>
      <c r="V456" s="15">
        <f>VLOOKUP(IF(J456&lt;10, 10, IF(J456&gt;50,50,J456)),'Over to underbark'!$A$3:$C$43,IF(A456="Scots pine",3,IF(A456="Sitka spruce",2, "error")),TRUE)/100</f>
        <v>0.9</v>
      </c>
      <c r="W456">
        <f t="shared" si="100"/>
        <v>148.60665</v>
      </c>
      <c r="X456">
        <f t="shared" si="101"/>
        <v>365.84054999999995</v>
      </c>
      <c r="Y456">
        <f t="shared" si="102"/>
        <v>57.160799999999995</v>
      </c>
      <c r="Z456">
        <f t="shared" si="103"/>
        <v>196.74267299999997</v>
      </c>
      <c r="AA456">
        <f t="shared" si="104"/>
        <v>155.360997</v>
      </c>
      <c r="AB456">
        <f t="shared" si="105"/>
        <v>219.50432999999995</v>
      </c>
      <c r="AC456">
        <f>LOOKUP($A456,'Over to underbark'!$A$47:$A$48,'Over to underbark'!E$47:E$48)*Z456</f>
        <v>64.925082089999989</v>
      </c>
      <c r="AD456">
        <f>LOOKUP($A456,'Over to underbark'!$A$47:$A$48,'Over to underbark'!E$47:E$48)*AA456</f>
        <v>51.26912901</v>
      </c>
      <c r="AE456">
        <f>LOOKUP($A456,'Over to underbark'!$A$47:$A$48,'Over to underbark'!E$47:E$48)*AB456</f>
        <v>72.436428899999981</v>
      </c>
      <c r="AF456" t="b">
        <f t="shared" si="106"/>
        <v>1</v>
      </c>
      <c r="AG456" t="b">
        <f t="shared" si="107"/>
        <v>1</v>
      </c>
      <c r="AH456">
        <f>LOOKUP(A456,'Over to underbark'!$A$47:$A$48,'Over to underbark'!E$47:E$48)*M456</f>
        <v>209.58960000000002</v>
      </c>
      <c r="AI456" s="27">
        <f>LOOKUP(A456,'Over to underbark'!$A$47:$A$48,'Over to underbark'!$B$47:$B$48)*AH456</f>
        <v>67.068672000000007</v>
      </c>
      <c r="AJ456" s="27">
        <f>LOOKUP(A457,'Over to underbark'!$A$47:$A$48,'Over to underbark'!C$47:C$48)*AH456</f>
        <v>102.69890400000001</v>
      </c>
      <c r="AK456" s="27">
        <f t="shared" si="108"/>
        <v>276.65827200000001</v>
      </c>
      <c r="AL456" s="33">
        <v>838.36</v>
      </c>
      <c r="AM456" s="28">
        <f t="shared" si="109"/>
        <v>553.31654400000002</v>
      </c>
      <c r="AO456">
        <f t="shared" si="110"/>
        <v>0.68181818181818166</v>
      </c>
    </row>
    <row r="457" spans="1:41" x14ac:dyDescent="0.35">
      <c r="A457" t="s">
        <v>41</v>
      </c>
      <c r="B457">
        <v>10</v>
      </c>
      <c r="C457">
        <v>2</v>
      </c>
      <c r="D457" t="s">
        <v>40</v>
      </c>
      <c r="E457">
        <v>2</v>
      </c>
      <c r="F457">
        <v>1</v>
      </c>
      <c r="G457" s="16">
        <v>75</v>
      </c>
      <c r="H457" s="16">
        <v>23.88</v>
      </c>
      <c r="I457" s="16">
        <v>1181</v>
      </c>
      <c r="J457" s="16">
        <v>26.456</v>
      </c>
      <c r="K457" s="16">
        <v>64.921999999999997</v>
      </c>
      <c r="L457" s="16">
        <v>0.54200000000000004</v>
      </c>
      <c r="M457" s="23">
        <v>640.08000000000004</v>
      </c>
      <c r="N457" s="16">
        <v>10.212</v>
      </c>
      <c r="O457" s="17">
        <v>8.5340000000000007</v>
      </c>
      <c r="P457" s="18">
        <v>75</v>
      </c>
      <c r="Q457" s="18">
        <v>26.456</v>
      </c>
      <c r="R457" s="18">
        <v>181.62899999999999</v>
      </c>
      <c r="S457" s="18">
        <v>458.45100000000002</v>
      </c>
      <c r="T457" s="14" t="b">
        <f t="shared" si="98"/>
        <v>1</v>
      </c>
      <c r="U457" s="14" t="b">
        <f t="shared" si="99"/>
        <v>1</v>
      </c>
      <c r="V457" s="15">
        <f>VLOOKUP(IF(J457&lt;10, 10, IF(J457&gt;50,50,J457)),'Over to underbark'!$A$3:$C$43,IF(A457="Scots pine",3,IF(A457="Sitka spruce",2, "error")),TRUE)/100</f>
        <v>0.9</v>
      </c>
      <c r="W457">
        <f t="shared" si="100"/>
        <v>147.11948999999998</v>
      </c>
      <c r="X457">
        <f t="shared" si="101"/>
        <v>371.34531000000004</v>
      </c>
      <c r="Y457">
        <f t="shared" si="102"/>
        <v>57.607199999999985</v>
      </c>
      <c r="Z457">
        <f t="shared" si="103"/>
        <v>197.16710579999997</v>
      </c>
      <c r="AA457">
        <f t="shared" si="104"/>
        <v>156.0977082</v>
      </c>
      <c r="AB457">
        <f t="shared" si="105"/>
        <v>222.80718600000003</v>
      </c>
      <c r="AC457">
        <f>LOOKUP($A457,'Over to underbark'!$A$47:$A$48,'Over to underbark'!E$47:E$48)*Z457</f>
        <v>65.065144914000001</v>
      </c>
      <c r="AD457">
        <f>LOOKUP($A457,'Over to underbark'!$A$47:$A$48,'Over to underbark'!E$47:E$48)*AA457</f>
        <v>51.512243706</v>
      </c>
      <c r="AE457">
        <f>LOOKUP($A457,'Over to underbark'!$A$47:$A$48,'Over to underbark'!E$47:E$48)*AB457</f>
        <v>73.526371380000015</v>
      </c>
      <c r="AF457" t="b">
        <f t="shared" si="106"/>
        <v>1</v>
      </c>
      <c r="AG457" t="b">
        <f t="shared" si="107"/>
        <v>1</v>
      </c>
      <c r="AH457">
        <f>LOOKUP(A457,'Over to underbark'!$A$47:$A$48,'Over to underbark'!E$47:E$48)*M457</f>
        <v>211.22640000000001</v>
      </c>
      <c r="AI457" s="27">
        <f>LOOKUP(A457,'Over to underbark'!$A$47:$A$48,'Over to underbark'!$B$47:$B$48)*AH457</f>
        <v>67.592448000000005</v>
      </c>
      <c r="AJ457" s="27">
        <f>LOOKUP(A458,'Over to underbark'!$A$47:$A$48,'Over to underbark'!C$47:C$48)*AH457</f>
        <v>103.50093600000001</v>
      </c>
      <c r="AK457" s="27">
        <f t="shared" si="108"/>
        <v>278.818848</v>
      </c>
      <c r="AL457" s="33">
        <v>844.91</v>
      </c>
      <c r="AM457" s="28">
        <f t="shared" si="109"/>
        <v>557.63769600000001</v>
      </c>
      <c r="AO457">
        <f t="shared" si="110"/>
        <v>0.68181818181818188</v>
      </c>
    </row>
    <row r="458" spans="1:41" x14ac:dyDescent="0.35">
      <c r="A458" t="s">
        <v>41</v>
      </c>
      <c r="B458">
        <v>10</v>
      </c>
      <c r="C458">
        <v>2</v>
      </c>
      <c r="D458" t="s">
        <v>40</v>
      </c>
      <c r="E458">
        <v>2</v>
      </c>
      <c r="F458">
        <v>1</v>
      </c>
      <c r="G458" s="16">
        <v>76</v>
      </c>
      <c r="H458" s="16">
        <v>24.03</v>
      </c>
      <c r="I458" s="16">
        <v>1170</v>
      </c>
      <c r="J458" s="16">
        <v>26.611999999999998</v>
      </c>
      <c r="K458" s="16">
        <v>65.078000000000003</v>
      </c>
      <c r="L458" s="16">
        <v>0.55100000000000005</v>
      </c>
      <c r="M458" s="23">
        <v>645.04</v>
      </c>
      <c r="N458" s="16">
        <v>10.416</v>
      </c>
      <c r="O458" s="17">
        <v>8.4870000000000001</v>
      </c>
      <c r="P458" s="18">
        <v>76</v>
      </c>
      <c r="Q458" s="18">
        <v>26.611999999999998</v>
      </c>
      <c r="R458" s="18">
        <v>179.75</v>
      </c>
      <c r="S458" s="18">
        <v>465.29</v>
      </c>
      <c r="T458" s="14" t="b">
        <f t="shared" si="98"/>
        <v>1</v>
      </c>
      <c r="U458" s="14" t="b">
        <f t="shared" si="99"/>
        <v>1</v>
      </c>
      <c r="V458" s="15">
        <f>VLOOKUP(IF(J458&lt;10, 10, IF(J458&gt;50,50,J458)),'Over to underbark'!$A$3:$C$43,IF(A458="Scots pine",3,IF(A458="Sitka spruce",2, "error")),TRUE)/100</f>
        <v>0.9</v>
      </c>
      <c r="W458">
        <f t="shared" si="100"/>
        <v>145.5975</v>
      </c>
      <c r="X458">
        <f t="shared" si="101"/>
        <v>376.88490000000002</v>
      </c>
      <c r="Y458">
        <f t="shared" si="102"/>
        <v>58.053599999999982</v>
      </c>
      <c r="Z458">
        <f t="shared" si="103"/>
        <v>197.57690999999997</v>
      </c>
      <c r="AA458">
        <f t="shared" si="104"/>
        <v>156.82814999999999</v>
      </c>
      <c r="AB458">
        <f t="shared" si="105"/>
        <v>226.13094000000001</v>
      </c>
      <c r="AC458">
        <f>LOOKUP($A458,'Over to underbark'!$A$47:$A$48,'Over to underbark'!E$47:E$48)*Z458</f>
        <v>65.200380299999992</v>
      </c>
      <c r="AD458">
        <f>LOOKUP($A458,'Over to underbark'!$A$47:$A$48,'Over to underbark'!E$47:E$48)*AA458</f>
        <v>51.753289500000001</v>
      </c>
      <c r="AE458">
        <f>LOOKUP($A458,'Over to underbark'!$A$47:$A$48,'Over to underbark'!E$47:E$48)*AB458</f>
        <v>74.623210200000003</v>
      </c>
      <c r="AF458" t="b">
        <f t="shared" si="106"/>
        <v>1</v>
      </c>
      <c r="AG458" t="b">
        <f t="shared" si="107"/>
        <v>1</v>
      </c>
      <c r="AH458">
        <f>LOOKUP(A458,'Over to underbark'!$A$47:$A$48,'Over to underbark'!E$47:E$48)*M458</f>
        <v>212.86320000000001</v>
      </c>
      <c r="AI458" s="27">
        <f>LOOKUP(A458,'Over to underbark'!$A$47:$A$48,'Over to underbark'!$B$47:$B$48)*AH458</f>
        <v>68.116224000000003</v>
      </c>
      <c r="AJ458" s="27">
        <f>LOOKUP(A459,'Over to underbark'!$A$47:$A$48,'Over to underbark'!C$47:C$48)*AH458</f>
        <v>104.30296800000001</v>
      </c>
      <c r="AK458" s="27">
        <f t="shared" si="108"/>
        <v>280.97942399999999</v>
      </c>
      <c r="AL458" s="33">
        <v>851.45</v>
      </c>
      <c r="AM458" s="28">
        <f t="shared" si="109"/>
        <v>561.95884799999999</v>
      </c>
      <c r="AO458">
        <f t="shared" si="110"/>
        <v>0.68181818181818188</v>
      </c>
    </row>
    <row r="459" spans="1:41" x14ac:dyDescent="0.35">
      <c r="A459" t="s">
        <v>41</v>
      </c>
      <c r="B459">
        <v>10</v>
      </c>
      <c r="C459">
        <v>2</v>
      </c>
      <c r="D459" t="s">
        <v>40</v>
      </c>
      <c r="E459">
        <v>2</v>
      </c>
      <c r="F459">
        <v>1</v>
      </c>
      <c r="G459" s="16">
        <v>77</v>
      </c>
      <c r="H459" s="16">
        <v>24.18</v>
      </c>
      <c r="I459" s="16">
        <v>1159</v>
      </c>
      <c r="J459" s="16">
        <v>26.77</v>
      </c>
      <c r="K459" s="16">
        <v>65.233000000000004</v>
      </c>
      <c r="L459" s="16">
        <v>0.56100000000000005</v>
      </c>
      <c r="M459" s="23">
        <v>650</v>
      </c>
      <c r="N459" s="16">
        <v>10.616</v>
      </c>
      <c r="O459" s="17">
        <v>8.4420000000000002</v>
      </c>
      <c r="P459" s="18">
        <v>77</v>
      </c>
      <c r="Q459" s="18">
        <v>26.77</v>
      </c>
      <c r="R459" s="18">
        <v>177.82900000000001</v>
      </c>
      <c r="S459" s="18">
        <v>472.17099999999999</v>
      </c>
      <c r="T459" s="14" t="b">
        <f t="shared" si="98"/>
        <v>1</v>
      </c>
      <c r="U459" s="14" t="b">
        <f t="shared" si="99"/>
        <v>1</v>
      </c>
      <c r="V459" s="15">
        <f>VLOOKUP(IF(J459&lt;10, 10, IF(J459&gt;50,50,J459)),'Over to underbark'!$A$3:$C$43,IF(A459="Scots pine",3,IF(A459="Sitka spruce",2, "error")),TRUE)/100</f>
        <v>0.9</v>
      </c>
      <c r="W459">
        <f t="shared" si="100"/>
        <v>144.04149000000004</v>
      </c>
      <c r="X459">
        <f t="shared" si="101"/>
        <v>382.45850999999999</v>
      </c>
      <c r="Y459">
        <f t="shared" si="102"/>
        <v>58.499999999999986</v>
      </c>
      <c r="Z459">
        <f t="shared" si="103"/>
        <v>197.9724258</v>
      </c>
      <c r="AA459">
        <f t="shared" si="104"/>
        <v>157.55246820000002</v>
      </c>
      <c r="AB459">
        <f t="shared" si="105"/>
        <v>229.47510599999998</v>
      </c>
      <c r="AC459">
        <f>LOOKUP($A459,'Over to underbark'!$A$47:$A$48,'Over to underbark'!E$47:E$48)*Z459</f>
        <v>65.330900514000007</v>
      </c>
      <c r="AD459">
        <f>LOOKUP($A459,'Over to underbark'!$A$47:$A$48,'Over to underbark'!E$47:E$48)*AA459</f>
        <v>51.992314506000007</v>
      </c>
      <c r="AE459">
        <f>LOOKUP($A459,'Over to underbark'!$A$47:$A$48,'Over to underbark'!E$47:E$48)*AB459</f>
        <v>75.726784979999991</v>
      </c>
      <c r="AF459" t="b">
        <f t="shared" si="106"/>
        <v>1</v>
      </c>
      <c r="AG459" t="b">
        <f t="shared" si="107"/>
        <v>1</v>
      </c>
      <c r="AH459">
        <f>LOOKUP(A459,'Over to underbark'!$A$47:$A$48,'Over to underbark'!E$47:E$48)*M459</f>
        <v>214.5</v>
      </c>
      <c r="AI459" s="27">
        <f>LOOKUP(A459,'Over to underbark'!$A$47:$A$48,'Over to underbark'!$B$47:$B$48)*AH459</f>
        <v>68.64</v>
      </c>
      <c r="AJ459" s="27" t="e">
        <f>LOOKUP(A460,'Over to underbark'!$A$47:$A$48,'Over to underbark'!C$47:C$48)*AH459</f>
        <v>#N/A</v>
      </c>
      <c r="AK459" s="27">
        <f t="shared" si="108"/>
        <v>283.14</v>
      </c>
      <c r="AL459" s="33">
        <v>858</v>
      </c>
      <c r="AM459" s="28">
        <f t="shared" si="109"/>
        <v>566.28</v>
      </c>
      <c r="AO459">
        <f t="shared" si="110"/>
        <v>0.68181818181818188</v>
      </c>
    </row>
    <row r="460" spans="1:41" x14ac:dyDescent="0.35">
      <c r="G460" s="10"/>
      <c r="H460" s="10"/>
      <c r="I460" s="10"/>
      <c r="J460" s="10"/>
      <c r="K460" s="10"/>
      <c r="L460" s="10"/>
      <c r="M460" s="24"/>
      <c r="N460" s="10"/>
      <c r="O460" s="9"/>
      <c r="P460" s="9"/>
      <c r="Q460" s="9"/>
      <c r="R460" s="11"/>
      <c r="S460" s="11"/>
      <c r="T460" s="11"/>
      <c r="U460" s="11"/>
      <c r="V460" s="4"/>
      <c r="AL460" s="33"/>
    </row>
    <row r="461" spans="1:41" x14ac:dyDescent="0.35">
      <c r="G461" s="10"/>
      <c r="H461" s="10"/>
      <c r="I461" s="10"/>
      <c r="J461" s="10"/>
      <c r="K461" s="10"/>
      <c r="L461" s="10"/>
      <c r="M461" s="24"/>
      <c r="N461" s="10"/>
      <c r="O461" s="9"/>
      <c r="P461" s="9"/>
      <c r="Q461" s="9"/>
      <c r="R461" s="11"/>
      <c r="S461" s="11"/>
      <c r="T461" s="11"/>
      <c r="U461" s="11"/>
      <c r="V461" s="4"/>
      <c r="AL461" s="33"/>
    </row>
    <row r="462" spans="1:41" x14ac:dyDescent="0.35">
      <c r="G462" s="10"/>
      <c r="H462" s="10"/>
      <c r="I462" s="10"/>
      <c r="J462" s="10"/>
      <c r="K462" s="10"/>
      <c r="L462" s="10"/>
      <c r="M462" s="24"/>
      <c r="N462" s="10"/>
      <c r="O462" s="9"/>
      <c r="P462" s="9"/>
      <c r="Q462" s="9"/>
      <c r="R462" s="11"/>
      <c r="S462" s="11"/>
      <c r="T462" s="11"/>
      <c r="U462" s="11"/>
      <c r="V462" s="4"/>
      <c r="AL462" s="33"/>
    </row>
    <row r="463" spans="1:41" x14ac:dyDescent="0.35">
      <c r="G463" s="10"/>
      <c r="H463" s="10"/>
      <c r="I463" s="10"/>
      <c r="J463" s="10"/>
      <c r="K463" s="10"/>
      <c r="L463" s="10"/>
      <c r="M463" s="24"/>
      <c r="N463" s="10"/>
      <c r="O463" s="9"/>
      <c r="P463" s="9"/>
      <c r="Q463" s="9"/>
      <c r="R463" s="11"/>
      <c r="S463" s="11"/>
      <c r="T463" s="11"/>
      <c r="U463" s="11"/>
      <c r="V463" s="4"/>
      <c r="AL463" s="33"/>
    </row>
    <row r="464" spans="1:41" x14ac:dyDescent="0.35">
      <c r="G464" s="10"/>
      <c r="H464" s="10"/>
      <c r="I464" s="10"/>
      <c r="J464" s="10"/>
      <c r="K464" s="10"/>
      <c r="L464" s="10"/>
      <c r="M464" s="24"/>
      <c r="N464" s="10"/>
      <c r="O464" s="9"/>
      <c r="P464" s="9"/>
      <c r="Q464" s="9"/>
      <c r="R464" s="11"/>
      <c r="S464" s="11"/>
      <c r="T464" s="11"/>
      <c r="U464" s="11"/>
      <c r="V464" s="4"/>
      <c r="AL464" s="33"/>
    </row>
    <row r="465" spans="7:38" x14ac:dyDescent="0.35">
      <c r="G465" s="10"/>
      <c r="H465" s="10"/>
      <c r="I465" s="10"/>
      <c r="J465" s="10"/>
      <c r="K465" s="10"/>
      <c r="L465" s="10"/>
      <c r="M465" s="24"/>
      <c r="N465" s="10"/>
      <c r="O465" s="9"/>
      <c r="P465" s="9"/>
      <c r="Q465" s="9"/>
      <c r="R465" s="11"/>
      <c r="S465" s="11"/>
      <c r="T465" s="11"/>
      <c r="U465" s="11"/>
      <c r="V465" s="4"/>
      <c r="AL465" s="33"/>
    </row>
    <row r="466" spans="7:38" x14ac:dyDescent="0.35">
      <c r="G466" s="10"/>
      <c r="H466" s="10"/>
      <c r="I466" s="10"/>
      <c r="J466" s="10"/>
      <c r="K466" s="10"/>
      <c r="L466" s="10"/>
      <c r="M466" s="24"/>
      <c r="N466" s="10"/>
      <c r="O466" s="9"/>
      <c r="P466" s="9"/>
      <c r="Q466" s="9"/>
      <c r="R466" s="11"/>
      <c r="S466" s="11"/>
      <c r="T466" s="11"/>
      <c r="U466" s="11"/>
      <c r="V466" s="4"/>
      <c r="AL466" s="33"/>
    </row>
    <row r="467" spans="7:38" x14ac:dyDescent="0.35">
      <c r="G467" s="10"/>
      <c r="H467" s="10"/>
      <c r="I467" s="10"/>
      <c r="J467" s="10"/>
      <c r="K467" s="10"/>
      <c r="L467" s="10"/>
      <c r="M467" s="24"/>
      <c r="N467" s="10"/>
      <c r="O467" s="9"/>
      <c r="P467" s="9"/>
      <c r="Q467" s="9"/>
      <c r="R467" s="11"/>
      <c r="S467" s="11"/>
      <c r="T467" s="11"/>
      <c r="U467" s="11"/>
      <c r="V467" s="4"/>
      <c r="AL467" s="33"/>
    </row>
    <row r="468" spans="7:38" x14ac:dyDescent="0.35">
      <c r="G468" s="10"/>
      <c r="H468" s="10"/>
      <c r="I468" s="10"/>
      <c r="J468" s="10"/>
      <c r="K468" s="10"/>
      <c r="L468" s="10"/>
      <c r="M468" s="24"/>
      <c r="N468" s="10"/>
      <c r="O468" s="9"/>
      <c r="P468" s="9"/>
      <c r="Q468" s="9"/>
      <c r="R468" s="11"/>
      <c r="S468" s="11"/>
      <c r="T468" s="11"/>
      <c r="U468" s="11"/>
      <c r="V468" s="4"/>
      <c r="AL468" s="33"/>
    </row>
    <row r="469" spans="7:38" x14ac:dyDescent="0.35">
      <c r="G469" s="10"/>
      <c r="H469" s="10"/>
      <c r="I469" s="10"/>
      <c r="J469" s="10"/>
      <c r="K469" s="10"/>
      <c r="L469" s="10"/>
      <c r="M469" s="24"/>
      <c r="N469" s="10"/>
      <c r="O469" s="9"/>
      <c r="P469" s="9"/>
      <c r="Q469" s="9"/>
      <c r="R469" s="11"/>
      <c r="S469" s="11"/>
      <c r="T469" s="11"/>
      <c r="U469" s="11"/>
      <c r="V469" s="4"/>
      <c r="AL469" s="33"/>
    </row>
    <row r="470" spans="7:38" x14ac:dyDescent="0.35">
      <c r="G470" s="10"/>
      <c r="H470" s="10"/>
      <c r="I470" s="10"/>
      <c r="J470" s="10"/>
      <c r="K470" s="10"/>
      <c r="L470" s="10"/>
      <c r="M470" s="24"/>
      <c r="N470" s="10"/>
      <c r="O470" s="9"/>
      <c r="P470" s="9"/>
      <c r="Q470" s="9"/>
      <c r="R470" s="11"/>
      <c r="S470" s="11"/>
      <c r="T470" s="11"/>
      <c r="U470" s="11"/>
      <c r="V470" s="4"/>
      <c r="AL470" s="33"/>
    </row>
    <row r="471" spans="7:38" x14ac:dyDescent="0.35">
      <c r="G471" s="10"/>
      <c r="H471" s="10"/>
      <c r="I471" s="10"/>
      <c r="J471" s="10"/>
      <c r="K471" s="10"/>
      <c r="L471" s="10"/>
      <c r="M471" s="24"/>
      <c r="N471" s="10"/>
      <c r="O471" s="9"/>
      <c r="P471" s="9"/>
      <c r="Q471" s="9"/>
      <c r="R471" s="11"/>
      <c r="S471" s="11"/>
      <c r="T471" s="11"/>
      <c r="U471" s="11"/>
      <c r="V471" s="4"/>
      <c r="AL471" s="33"/>
    </row>
    <row r="472" spans="7:38" x14ac:dyDescent="0.35">
      <c r="G472" s="10"/>
      <c r="H472" s="10"/>
      <c r="I472" s="10"/>
      <c r="J472" s="10"/>
      <c r="K472" s="10"/>
      <c r="L472" s="10"/>
      <c r="M472" s="24"/>
      <c r="N472" s="10"/>
      <c r="O472" s="9"/>
      <c r="P472" s="9"/>
      <c r="Q472" s="9"/>
      <c r="R472" s="11"/>
      <c r="S472" s="11"/>
      <c r="T472" s="11"/>
      <c r="U472" s="11"/>
      <c r="V472" s="4"/>
      <c r="AL472" s="33"/>
    </row>
    <row r="473" spans="7:38" x14ac:dyDescent="0.35">
      <c r="G473" s="10"/>
      <c r="H473" s="10"/>
      <c r="I473" s="10"/>
      <c r="J473" s="10"/>
      <c r="K473" s="10"/>
      <c r="L473" s="10"/>
      <c r="M473" s="24"/>
      <c r="N473" s="10"/>
      <c r="O473" s="9"/>
      <c r="P473" s="9"/>
      <c r="Q473" s="9"/>
      <c r="R473" s="11"/>
      <c r="S473" s="11"/>
      <c r="T473" s="11"/>
      <c r="U473" s="11"/>
      <c r="V473" s="4"/>
      <c r="AL473" s="33"/>
    </row>
    <row r="474" spans="7:38" x14ac:dyDescent="0.35">
      <c r="G474" s="10"/>
      <c r="H474" s="10"/>
      <c r="I474" s="10"/>
      <c r="J474" s="10"/>
      <c r="K474" s="10"/>
      <c r="L474" s="10"/>
      <c r="M474" s="24"/>
      <c r="N474" s="10"/>
      <c r="O474" s="9"/>
      <c r="P474" s="9"/>
      <c r="Q474" s="9"/>
      <c r="R474" s="11"/>
      <c r="S474" s="11"/>
      <c r="T474" s="11"/>
      <c r="U474" s="11"/>
      <c r="V474" s="4"/>
      <c r="AL474" s="33"/>
    </row>
    <row r="475" spans="7:38" x14ac:dyDescent="0.35">
      <c r="G475" s="10"/>
      <c r="H475" s="10"/>
      <c r="I475" s="10"/>
      <c r="J475" s="10"/>
      <c r="K475" s="10"/>
      <c r="L475" s="10"/>
      <c r="M475" s="24"/>
      <c r="N475" s="10"/>
      <c r="O475" s="9"/>
      <c r="P475" s="9"/>
      <c r="Q475" s="9"/>
      <c r="R475" s="11"/>
      <c r="S475" s="11"/>
      <c r="T475" s="11"/>
      <c r="U475" s="11"/>
      <c r="V475" s="4"/>
      <c r="AL475" s="33"/>
    </row>
    <row r="476" spans="7:38" x14ac:dyDescent="0.35">
      <c r="G476" s="10"/>
      <c r="H476" s="10"/>
      <c r="I476" s="10"/>
      <c r="J476" s="10"/>
      <c r="K476" s="10"/>
      <c r="L476" s="10"/>
      <c r="M476" s="24"/>
      <c r="N476" s="10"/>
      <c r="O476" s="9"/>
      <c r="P476" s="9"/>
      <c r="Q476" s="9"/>
      <c r="R476" s="11"/>
      <c r="S476" s="11"/>
      <c r="T476" s="11"/>
      <c r="U476" s="11"/>
      <c r="V476" s="4"/>
      <c r="AL476" s="33"/>
    </row>
    <row r="477" spans="7:38" x14ac:dyDescent="0.35">
      <c r="G477" s="10"/>
      <c r="H477" s="10"/>
      <c r="I477" s="10"/>
      <c r="J477" s="10"/>
      <c r="K477" s="10"/>
      <c r="L477" s="10"/>
      <c r="M477" s="24"/>
      <c r="N477" s="10"/>
      <c r="O477" s="9"/>
      <c r="P477" s="9"/>
      <c r="Q477" s="9"/>
      <c r="R477" s="11"/>
      <c r="S477" s="11"/>
      <c r="T477" s="11"/>
      <c r="U477" s="11"/>
      <c r="V477" s="4"/>
      <c r="AL477" s="33"/>
    </row>
    <row r="478" spans="7:38" x14ac:dyDescent="0.35">
      <c r="G478" s="10"/>
      <c r="H478" s="10"/>
      <c r="I478" s="10"/>
      <c r="J478" s="10"/>
      <c r="K478" s="10"/>
      <c r="L478" s="10"/>
      <c r="M478" s="24"/>
      <c r="N478" s="10"/>
      <c r="O478" s="9"/>
      <c r="P478" s="9"/>
      <c r="Q478" s="9"/>
      <c r="R478" s="11"/>
      <c r="S478" s="11"/>
      <c r="T478" s="11"/>
      <c r="U478" s="11"/>
      <c r="V478" s="4"/>
      <c r="AL478" s="33"/>
    </row>
    <row r="479" spans="7:38" x14ac:dyDescent="0.35">
      <c r="G479" s="10"/>
      <c r="H479" s="10"/>
      <c r="I479" s="10"/>
      <c r="J479" s="10"/>
      <c r="K479" s="10"/>
      <c r="L479" s="10"/>
      <c r="M479" s="24"/>
      <c r="N479" s="10"/>
      <c r="O479" s="9"/>
      <c r="P479" s="9"/>
      <c r="Q479" s="9"/>
      <c r="R479" s="11"/>
      <c r="S479" s="11"/>
      <c r="T479" s="11"/>
      <c r="U479" s="11"/>
      <c r="V479" s="4"/>
      <c r="AL479" s="33"/>
    </row>
    <row r="480" spans="7:38" x14ac:dyDescent="0.35">
      <c r="G480" s="10"/>
      <c r="H480" s="10"/>
      <c r="I480" s="10"/>
      <c r="J480" s="10"/>
      <c r="K480" s="10"/>
      <c r="L480" s="10"/>
      <c r="M480" s="24"/>
      <c r="N480" s="10"/>
      <c r="O480" s="9"/>
      <c r="P480" s="9"/>
      <c r="Q480" s="9"/>
      <c r="R480" s="11"/>
      <c r="S480" s="11"/>
      <c r="T480" s="11"/>
      <c r="U480" s="11"/>
      <c r="V480" s="4"/>
      <c r="AL480" s="33"/>
    </row>
    <row r="481" spans="7:38" x14ac:dyDescent="0.35">
      <c r="G481" s="10"/>
      <c r="H481" s="10"/>
      <c r="I481" s="10"/>
      <c r="J481" s="10"/>
      <c r="K481" s="10"/>
      <c r="L481" s="10"/>
      <c r="M481" s="24"/>
      <c r="N481" s="10"/>
      <c r="O481" s="9"/>
      <c r="P481" s="9"/>
      <c r="Q481" s="9"/>
      <c r="R481" s="11"/>
      <c r="S481" s="11"/>
      <c r="T481" s="11"/>
      <c r="U481" s="11"/>
      <c r="V481" s="4"/>
      <c r="AL481" s="33"/>
    </row>
    <row r="482" spans="7:38" x14ac:dyDescent="0.35">
      <c r="G482" s="10"/>
      <c r="H482" s="10"/>
      <c r="I482" s="10"/>
      <c r="J482" s="10"/>
      <c r="K482" s="10"/>
      <c r="L482" s="10"/>
      <c r="M482" s="24"/>
      <c r="N482" s="10"/>
      <c r="O482" s="9"/>
      <c r="P482" s="9"/>
      <c r="Q482" s="9"/>
      <c r="R482" s="11"/>
      <c r="S482" s="11"/>
      <c r="T482" s="11"/>
      <c r="U482" s="11"/>
      <c r="V482" s="4"/>
      <c r="AL482" s="33"/>
    </row>
    <row r="483" spans="7:38" x14ac:dyDescent="0.35">
      <c r="G483" s="10"/>
      <c r="H483" s="10"/>
      <c r="I483" s="10"/>
      <c r="J483" s="10"/>
      <c r="K483" s="10"/>
      <c r="L483" s="10"/>
      <c r="M483" s="24"/>
      <c r="N483" s="10"/>
      <c r="O483" s="9"/>
      <c r="P483" s="9"/>
      <c r="Q483" s="9"/>
      <c r="R483" s="11"/>
      <c r="S483" s="11"/>
      <c r="T483" s="11"/>
      <c r="U483" s="11"/>
      <c r="V483" s="4"/>
      <c r="AL483" s="33"/>
    </row>
    <row r="484" spans="7:38" x14ac:dyDescent="0.35">
      <c r="G484" s="10"/>
      <c r="H484" s="10"/>
      <c r="I484" s="10"/>
      <c r="J484" s="10"/>
      <c r="K484" s="10"/>
      <c r="L484" s="10"/>
      <c r="M484" s="24"/>
      <c r="N484" s="10"/>
      <c r="O484" s="9"/>
      <c r="P484" s="9"/>
      <c r="Q484" s="9"/>
      <c r="R484" s="11"/>
      <c r="S484" s="11"/>
      <c r="T484" s="11"/>
      <c r="U484" s="11"/>
      <c r="V484" s="4"/>
      <c r="AL484" s="33"/>
    </row>
    <row r="485" spans="7:38" x14ac:dyDescent="0.35">
      <c r="G485" s="10"/>
      <c r="H485" s="10"/>
      <c r="I485" s="10"/>
      <c r="J485" s="10"/>
      <c r="K485" s="10"/>
      <c r="L485" s="10"/>
      <c r="M485" s="24"/>
      <c r="N485" s="10"/>
      <c r="O485" s="9"/>
      <c r="P485" s="9"/>
      <c r="Q485" s="9"/>
      <c r="AL485" s="33"/>
    </row>
    <row r="486" spans="7:38" x14ac:dyDescent="0.35">
      <c r="G486" s="10">
        <v>23</v>
      </c>
      <c r="H486" s="10">
        <v>7.5819999999999999</v>
      </c>
      <c r="I486" s="10">
        <v>2304</v>
      </c>
      <c r="J486" s="10">
        <v>11.661</v>
      </c>
      <c r="K486" s="10">
        <v>24.603999999999999</v>
      </c>
      <c r="L486" s="10">
        <v>3.2000000000000001E-2</v>
      </c>
      <c r="M486" s="24">
        <v>72.599999999999994</v>
      </c>
      <c r="N486" s="10">
        <v>0</v>
      </c>
      <c r="O486" s="9">
        <v>3.157</v>
      </c>
      <c r="P486" s="9"/>
      <c r="Q486" s="9"/>
      <c r="AL486" s="33"/>
    </row>
    <row r="487" spans="7:38" x14ac:dyDescent="0.35">
      <c r="G487" s="10">
        <v>24</v>
      </c>
      <c r="H487" s="10">
        <v>8.0640000000000001</v>
      </c>
      <c r="I487" s="10">
        <v>2293</v>
      </c>
      <c r="J487" s="10">
        <v>12.154</v>
      </c>
      <c r="K487" s="10">
        <v>26.603999999999999</v>
      </c>
      <c r="L487" s="10">
        <v>3.6999999999999998E-2</v>
      </c>
      <c r="M487" s="24">
        <v>84.4</v>
      </c>
      <c r="N487" s="10">
        <v>0</v>
      </c>
      <c r="O487" s="9">
        <v>3.5169999999999999</v>
      </c>
      <c r="P487" s="9"/>
      <c r="Q487" s="9"/>
      <c r="AL487" s="33"/>
    </row>
    <row r="488" spans="7:38" x14ac:dyDescent="0.35">
      <c r="G488" s="10">
        <v>25</v>
      </c>
      <c r="H488" s="10">
        <v>8.5459999999999994</v>
      </c>
      <c r="I488" s="10">
        <v>2282</v>
      </c>
      <c r="J488" s="10">
        <v>12.632999999999999</v>
      </c>
      <c r="K488" s="10">
        <v>28.603999999999999</v>
      </c>
      <c r="L488" s="10">
        <v>4.2000000000000003E-2</v>
      </c>
      <c r="M488" s="24">
        <v>96.2</v>
      </c>
      <c r="N488" s="10">
        <v>0</v>
      </c>
      <c r="O488" s="9">
        <v>3.8479999999999999</v>
      </c>
      <c r="P488" s="9"/>
      <c r="Q488" s="9"/>
      <c r="AL488" s="33"/>
    </row>
    <row r="489" spans="7:38" x14ac:dyDescent="0.35">
      <c r="G489" s="10">
        <v>26</v>
      </c>
      <c r="H489" s="10">
        <v>9.0280000000000005</v>
      </c>
      <c r="I489" s="10">
        <v>2271</v>
      </c>
      <c r="J489" s="10">
        <v>13.099</v>
      </c>
      <c r="K489" s="10">
        <v>30.603999999999999</v>
      </c>
      <c r="L489" s="10">
        <v>4.8000000000000001E-2</v>
      </c>
      <c r="M489" s="24">
        <v>108</v>
      </c>
      <c r="N489" s="10">
        <v>0</v>
      </c>
      <c r="O489" s="9">
        <v>4.1539999999999999</v>
      </c>
      <c r="P489" s="9"/>
      <c r="Q489" s="9"/>
      <c r="AL489" s="33"/>
    </row>
    <row r="490" spans="7:38" x14ac:dyDescent="0.35">
      <c r="G490" s="10">
        <v>27</v>
      </c>
      <c r="H490" s="10">
        <v>9.51</v>
      </c>
      <c r="I490" s="10">
        <v>2261</v>
      </c>
      <c r="J490" s="10">
        <v>13.55</v>
      </c>
      <c r="K490" s="10">
        <v>32.603999999999999</v>
      </c>
      <c r="L490" s="10">
        <v>5.2999999999999999E-2</v>
      </c>
      <c r="M490" s="24">
        <v>119.8</v>
      </c>
      <c r="N490" s="10">
        <v>0</v>
      </c>
      <c r="O490" s="9">
        <v>4.4370000000000003</v>
      </c>
      <c r="P490" s="9"/>
      <c r="Q490" s="9"/>
      <c r="AL490" s="33"/>
    </row>
    <row r="491" spans="7:38" x14ac:dyDescent="0.35">
      <c r="G491" s="10">
        <v>28</v>
      </c>
      <c r="H491" s="10">
        <v>9.968</v>
      </c>
      <c r="I491" s="10">
        <v>2243</v>
      </c>
      <c r="J491" s="10">
        <v>13.941000000000001</v>
      </c>
      <c r="K491" s="10">
        <v>34.238</v>
      </c>
      <c r="L491" s="10">
        <v>0.06</v>
      </c>
      <c r="M491" s="24">
        <v>133.80000000000001</v>
      </c>
      <c r="N491" s="10">
        <v>0.13400000000000001</v>
      </c>
      <c r="O491" s="9">
        <v>4.7789999999999999</v>
      </c>
      <c r="P491" s="9"/>
      <c r="Q491" s="9"/>
      <c r="AL491" s="33"/>
    </row>
    <row r="492" spans="7:38" x14ac:dyDescent="0.35">
      <c r="G492" s="10">
        <v>29</v>
      </c>
      <c r="H492" s="10">
        <v>10.426</v>
      </c>
      <c r="I492" s="10">
        <v>2226</v>
      </c>
      <c r="J492" s="10">
        <v>14.324</v>
      </c>
      <c r="K492" s="10">
        <v>35.872999999999998</v>
      </c>
      <c r="L492" s="10">
        <v>6.6000000000000003E-2</v>
      </c>
      <c r="M492" s="24">
        <v>147.80000000000001</v>
      </c>
      <c r="N492" s="10">
        <v>0.24299999999999999</v>
      </c>
      <c r="O492" s="9">
        <v>5.0970000000000004</v>
      </c>
      <c r="P492" s="9"/>
      <c r="Q492" s="9"/>
      <c r="AL492" s="33"/>
    </row>
    <row r="493" spans="7:38" x14ac:dyDescent="0.35">
      <c r="G493" s="10">
        <v>30</v>
      </c>
      <c r="H493" s="10">
        <v>10.884</v>
      </c>
      <c r="I493" s="10">
        <v>2209</v>
      </c>
      <c r="J493" s="10">
        <v>14.702999999999999</v>
      </c>
      <c r="K493" s="10">
        <v>37.506999999999998</v>
      </c>
      <c r="L493" s="10">
        <v>7.2999999999999995E-2</v>
      </c>
      <c r="M493" s="24">
        <v>161.80000000000001</v>
      </c>
      <c r="N493" s="10">
        <v>0.33300000000000002</v>
      </c>
      <c r="O493" s="9">
        <v>5.3929999999999998</v>
      </c>
      <c r="P493" s="9"/>
      <c r="Q493" s="9"/>
      <c r="AL493" s="33"/>
    </row>
    <row r="494" spans="7:38" x14ac:dyDescent="0.35">
      <c r="G494" s="10">
        <v>31</v>
      </c>
      <c r="H494" s="10">
        <v>11.342000000000001</v>
      </c>
      <c r="I494" s="10">
        <v>2192</v>
      </c>
      <c r="J494" s="10">
        <v>15.077999999999999</v>
      </c>
      <c r="K494" s="10">
        <v>39.142000000000003</v>
      </c>
      <c r="L494" s="10">
        <v>0.08</v>
      </c>
      <c r="M494" s="24">
        <v>175.8</v>
      </c>
      <c r="N494" s="10">
        <v>0.40799999999999997</v>
      </c>
      <c r="O494" s="9">
        <v>5.6710000000000003</v>
      </c>
      <c r="P494" s="9"/>
      <c r="Q494" s="9"/>
      <c r="AL494" s="33"/>
    </row>
    <row r="495" spans="7:38" x14ac:dyDescent="0.35">
      <c r="G495" s="10">
        <v>32</v>
      </c>
      <c r="H495" s="10">
        <v>11.8</v>
      </c>
      <c r="I495" s="10">
        <v>2175</v>
      </c>
      <c r="J495" s="10">
        <v>15.45</v>
      </c>
      <c r="K495" s="10">
        <v>40.776000000000003</v>
      </c>
      <c r="L495" s="10">
        <v>8.6999999999999994E-2</v>
      </c>
      <c r="M495" s="24">
        <v>189.8</v>
      </c>
      <c r="N495" s="10">
        <v>0.47199999999999998</v>
      </c>
      <c r="O495" s="9">
        <v>5.931</v>
      </c>
      <c r="P495" s="9"/>
      <c r="Q495" s="9"/>
      <c r="AL495" s="33"/>
    </row>
    <row r="496" spans="7:38" x14ac:dyDescent="0.35">
      <c r="G496" s="10">
        <v>33</v>
      </c>
      <c r="H496" s="10">
        <v>12.224</v>
      </c>
      <c r="I496" s="10">
        <v>2142</v>
      </c>
      <c r="J496" s="10">
        <v>15.803000000000001</v>
      </c>
      <c r="K496" s="10">
        <v>42.012999999999998</v>
      </c>
      <c r="L496" s="10">
        <v>9.6000000000000002E-2</v>
      </c>
      <c r="M496" s="24">
        <v>204.74</v>
      </c>
      <c r="N496" s="10">
        <v>0.66</v>
      </c>
      <c r="O496" s="9">
        <v>6.2039999999999997</v>
      </c>
      <c r="P496" s="9"/>
      <c r="Q496" s="9"/>
      <c r="AL496" s="33"/>
    </row>
    <row r="497" spans="7:38" x14ac:dyDescent="0.35">
      <c r="G497" s="10">
        <v>34</v>
      </c>
      <c r="H497" s="10">
        <v>12.648</v>
      </c>
      <c r="I497" s="10">
        <v>2110</v>
      </c>
      <c r="J497" s="10">
        <v>16.155000000000001</v>
      </c>
      <c r="K497" s="10">
        <v>43.249000000000002</v>
      </c>
      <c r="L497" s="10">
        <v>0.104</v>
      </c>
      <c r="M497" s="24">
        <v>219.68</v>
      </c>
      <c r="N497" s="10">
        <v>0.82199999999999995</v>
      </c>
      <c r="O497" s="9">
        <v>6.4610000000000003</v>
      </c>
      <c r="P497" s="9"/>
      <c r="Q497" s="9"/>
      <c r="AL497" s="33"/>
    </row>
    <row r="498" spans="7:38" x14ac:dyDescent="0.35">
      <c r="G498" s="10">
        <v>35</v>
      </c>
      <c r="H498" s="10">
        <v>13.071999999999999</v>
      </c>
      <c r="I498" s="10">
        <v>2078</v>
      </c>
      <c r="J498" s="10">
        <v>16.510000000000002</v>
      </c>
      <c r="K498" s="10">
        <v>44.485999999999997</v>
      </c>
      <c r="L498" s="10">
        <v>0.113</v>
      </c>
      <c r="M498" s="24">
        <v>234.62</v>
      </c>
      <c r="N498" s="10">
        <v>0.96199999999999997</v>
      </c>
      <c r="O498" s="9">
        <v>6.7030000000000003</v>
      </c>
      <c r="P498" s="9"/>
      <c r="Q498" s="9"/>
      <c r="AL498" s="33"/>
    </row>
    <row r="499" spans="7:38" x14ac:dyDescent="0.35">
      <c r="G499" s="10">
        <v>36</v>
      </c>
      <c r="H499" s="10">
        <v>13.496</v>
      </c>
      <c r="I499" s="10">
        <v>2046</v>
      </c>
      <c r="J499" s="10">
        <v>16.867999999999999</v>
      </c>
      <c r="K499" s="10">
        <v>45.722999999999999</v>
      </c>
      <c r="L499" s="10">
        <v>0.122</v>
      </c>
      <c r="M499" s="24">
        <v>249.56</v>
      </c>
      <c r="N499" s="10">
        <v>1.0860000000000001</v>
      </c>
      <c r="O499" s="9">
        <v>6.9320000000000004</v>
      </c>
      <c r="P499" s="9"/>
      <c r="Q499" s="9"/>
      <c r="AL499" s="33"/>
    </row>
    <row r="500" spans="7:38" x14ac:dyDescent="0.35">
      <c r="G500" s="10">
        <v>37</v>
      </c>
      <c r="H500" s="10">
        <v>13.92</v>
      </c>
      <c r="I500" s="10">
        <v>2014</v>
      </c>
      <c r="J500" s="10">
        <v>17.23</v>
      </c>
      <c r="K500" s="10">
        <v>46.959000000000003</v>
      </c>
      <c r="L500" s="10">
        <v>0.13100000000000001</v>
      </c>
      <c r="M500" s="24">
        <v>264.5</v>
      </c>
      <c r="N500" s="10">
        <v>1.1950000000000001</v>
      </c>
      <c r="O500" s="9">
        <v>7.149</v>
      </c>
      <c r="P500" s="9"/>
      <c r="Q500" s="9"/>
      <c r="AL500" s="33"/>
    </row>
    <row r="501" spans="7:38" x14ac:dyDescent="0.35">
      <c r="G501" s="10">
        <v>38</v>
      </c>
      <c r="H501" s="10">
        <v>14.308</v>
      </c>
      <c r="I501" s="10">
        <v>1979</v>
      </c>
      <c r="J501" s="10">
        <v>17.555</v>
      </c>
      <c r="K501" s="10">
        <v>47.902999999999999</v>
      </c>
      <c r="L501" s="10">
        <v>0.14099999999999999</v>
      </c>
      <c r="M501" s="24">
        <v>279.32</v>
      </c>
      <c r="N501" s="10">
        <v>1.4330000000000001</v>
      </c>
      <c r="O501" s="9">
        <v>7.351</v>
      </c>
      <c r="P501" s="9"/>
      <c r="Q501" s="9"/>
      <c r="AL501" s="33"/>
    </row>
    <row r="502" spans="7:38" x14ac:dyDescent="0.35">
      <c r="G502" s="10">
        <v>39</v>
      </c>
      <c r="H502" s="10">
        <v>14.696</v>
      </c>
      <c r="I502" s="10">
        <v>1944</v>
      </c>
      <c r="J502" s="10">
        <v>17.885999999999999</v>
      </c>
      <c r="K502" s="10">
        <v>48.845999999999997</v>
      </c>
      <c r="L502" s="10">
        <v>0.151</v>
      </c>
      <c r="M502" s="24">
        <v>294.14</v>
      </c>
      <c r="N502" s="10">
        <v>1.645</v>
      </c>
      <c r="O502" s="9">
        <v>7.5419999999999998</v>
      </c>
      <c r="P502" s="9"/>
      <c r="Q502" s="9"/>
      <c r="AL502" s="33"/>
    </row>
    <row r="503" spans="7:38" x14ac:dyDescent="0.35">
      <c r="G503" s="10">
        <v>40</v>
      </c>
      <c r="H503" s="10">
        <v>15.084</v>
      </c>
      <c r="I503" s="10">
        <v>1909</v>
      </c>
      <c r="J503" s="10">
        <v>18.222999999999999</v>
      </c>
      <c r="K503" s="10">
        <v>49.789000000000001</v>
      </c>
      <c r="L503" s="10">
        <v>0.16200000000000001</v>
      </c>
      <c r="M503" s="24">
        <v>308.95999999999998</v>
      </c>
      <c r="N503" s="10">
        <v>1.8360000000000001</v>
      </c>
      <c r="O503" s="9">
        <v>7.7240000000000002</v>
      </c>
      <c r="P503" s="9"/>
      <c r="Q503" s="9"/>
      <c r="AL503" s="33"/>
    </row>
    <row r="504" spans="7:38" x14ac:dyDescent="0.35">
      <c r="G504" s="10">
        <v>41</v>
      </c>
      <c r="H504" s="10">
        <v>15.472</v>
      </c>
      <c r="I504" s="10">
        <v>1874</v>
      </c>
      <c r="J504" s="10">
        <v>18.565999999999999</v>
      </c>
      <c r="K504" s="10">
        <v>50.732999999999997</v>
      </c>
      <c r="L504" s="10">
        <v>0.17299999999999999</v>
      </c>
      <c r="M504" s="24">
        <v>323.77999999999997</v>
      </c>
      <c r="N504" s="10">
        <v>2.0099999999999998</v>
      </c>
      <c r="O504" s="9">
        <v>7.8970000000000002</v>
      </c>
      <c r="P504" s="9"/>
      <c r="Q504" s="9"/>
      <c r="AL504" s="33"/>
    </row>
    <row r="505" spans="7:38" x14ac:dyDescent="0.35">
      <c r="G505" s="10">
        <v>42</v>
      </c>
      <c r="H505" s="10">
        <v>15.86</v>
      </c>
      <c r="I505" s="10">
        <v>1840</v>
      </c>
      <c r="J505" s="10">
        <v>18.91</v>
      </c>
      <c r="K505" s="10">
        <v>51.676000000000002</v>
      </c>
      <c r="L505" s="10">
        <v>0.184</v>
      </c>
      <c r="M505" s="24">
        <v>338.6</v>
      </c>
      <c r="N505" s="10">
        <v>2.1669999999999998</v>
      </c>
      <c r="O505" s="9">
        <v>8.0619999999999994</v>
      </c>
      <c r="P505" s="9"/>
      <c r="Q505" s="9"/>
      <c r="AL505" s="33"/>
    </row>
    <row r="506" spans="7:38" x14ac:dyDescent="0.35">
      <c r="G506" s="10">
        <v>43</v>
      </c>
      <c r="H506" s="10">
        <v>16.213999999999999</v>
      </c>
      <c r="I506" s="10">
        <v>1809</v>
      </c>
      <c r="J506" s="10">
        <v>19.207000000000001</v>
      </c>
      <c r="K506" s="10">
        <v>52.411999999999999</v>
      </c>
      <c r="L506" s="10">
        <v>0.19500000000000001</v>
      </c>
      <c r="M506" s="24">
        <v>352.38</v>
      </c>
      <c r="N506" s="10">
        <v>2.4470000000000001</v>
      </c>
      <c r="O506" s="9">
        <v>8.1950000000000003</v>
      </c>
      <c r="P506" s="9"/>
      <c r="Q506" s="9"/>
      <c r="AL506" s="33"/>
    </row>
    <row r="507" spans="7:38" x14ac:dyDescent="0.35">
      <c r="G507" s="10">
        <v>44</v>
      </c>
      <c r="H507" s="10">
        <v>16.568000000000001</v>
      </c>
      <c r="I507" s="10">
        <v>1778</v>
      </c>
      <c r="J507" s="10">
        <v>19.509</v>
      </c>
      <c r="K507" s="10">
        <v>53.148000000000003</v>
      </c>
      <c r="L507" s="10">
        <v>0.20599999999999999</v>
      </c>
      <c r="M507" s="24">
        <v>366.16</v>
      </c>
      <c r="N507" s="10">
        <v>2.7050000000000001</v>
      </c>
      <c r="O507" s="9">
        <v>8.3219999999999992</v>
      </c>
      <c r="P507" s="9"/>
      <c r="Q507" s="9"/>
      <c r="AL507" s="33"/>
    </row>
    <row r="508" spans="7:38" x14ac:dyDescent="0.35">
      <c r="G508" s="10">
        <v>45</v>
      </c>
      <c r="H508" s="10">
        <v>16.922000000000001</v>
      </c>
      <c r="I508" s="10">
        <v>1748</v>
      </c>
      <c r="J508" s="10">
        <v>19.811</v>
      </c>
      <c r="K508" s="10">
        <v>53.884</v>
      </c>
      <c r="L508" s="10">
        <v>0.217</v>
      </c>
      <c r="M508" s="24">
        <v>379.94</v>
      </c>
      <c r="N508" s="10">
        <v>2.9430000000000001</v>
      </c>
      <c r="O508" s="9">
        <v>8.4429999999999996</v>
      </c>
      <c r="P508" s="9"/>
      <c r="Q508" s="9"/>
      <c r="AL508" s="33"/>
    </row>
    <row r="509" spans="7:38" x14ac:dyDescent="0.35">
      <c r="G509" s="10">
        <v>46</v>
      </c>
      <c r="H509" s="10">
        <v>17.276</v>
      </c>
      <c r="I509" s="10">
        <v>1717</v>
      </c>
      <c r="J509" s="10">
        <v>20.126000000000001</v>
      </c>
      <c r="K509" s="10">
        <v>54.62</v>
      </c>
      <c r="L509" s="10">
        <v>0.22900000000000001</v>
      </c>
      <c r="M509" s="24">
        <v>393.72</v>
      </c>
      <c r="N509" s="10">
        <v>3.1629999999999998</v>
      </c>
      <c r="O509" s="9">
        <v>8.5589999999999993</v>
      </c>
      <c r="P509" s="9"/>
      <c r="Q509" s="9"/>
      <c r="AL509" s="33"/>
    </row>
    <row r="510" spans="7:38" x14ac:dyDescent="0.35">
      <c r="G510" s="10">
        <v>47</v>
      </c>
      <c r="H510" s="10">
        <v>17.63</v>
      </c>
      <c r="I510" s="10">
        <v>1687</v>
      </c>
      <c r="J510" s="10">
        <v>20.440000000000001</v>
      </c>
      <c r="K510" s="10">
        <v>55.356000000000002</v>
      </c>
      <c r="L510" s="10">
        <v>0.24199999999999999</v>
      </c>
      <c r="M510" s="24">
        <v>407.5</v>
      </c>
      <c r="N510" s="10">
        <v>3.367</v>
      </c>
      <c r="O510" s="9">
        <v>8.67</v>
      </c>
      <c r="P510" s="9"/>
      <c r="Q510" s="9"/>
      <c r="AL510" s="33"/>
    </row>
    <row r="511" spans="7:38" x14ac:dyDescent="0.35">
      <c r="G511" s="10">
        <v>48</v>
      </c>
      <c r="H511" s="10">
        <v>17.948</v>
      </c>
      <c r="I511" s="10">
        <v>1659</v>
      </c>
      <c r="J511" s="10">
        <v>20.712</v>
      </c>
      <c r="K511" s="10">
        <v>55.895000000000003</v>
      </c>
      <c r="L511" s="10">
        <v>0.253</v>
      </c>
      <c r="M511" s="24">
        <v>419.6</v>
      </c>
      <c r="N511" s="10">
        <v>3.66</v>
      </c>
      <c r="O511" s="9">
        <v>8.7420000000000009</v>
      </c>
      <c r="P511" s="9"/>
      <c r="Q511" s="9"/>
      <c r="AL511" s="33"/>
    </row>
    <row r="512" spans="7:38" x14ac:dyDescent="0.35">
      <c r="G512" s="10">
        <v>49</v>
      </c>
      <c r="H512" s="10">
        <v>18.265999999999998</v>
      </c>
      <c r="I512" s="10">
        <v>1632</v>
      </c>
      <c r="J512" s="10">
        <v>20.983000000000001</v>
      </c>
      <c r="K512" s="10">
        <v>56.433999999999997</v>
      </c>
      <c r="L512" s="10">
        <v>0.26500000000000001</v>
      </c>
      <c r="M512" s="24">
        <v>431.7</v>
      </c>
      <c r="N512" s="10">
        <v>3.9340000000000002</v>
      </c>
      <c r="O512" s="9">
        <v>8.81</v>
      </c>
      <c r="P512" s="9"/>
      <c r="Q512" s="9"/>
      <c r="AL512" s="33"/>
    </row>
    <row r="513" spans="7:38" x14ac:dyDescent="0.35">
      <c r="G513" s="10">
        <v>50</v>
      </c>
      <c r="H513" s="10">
        <v>18.584</v>
      </c>
      <c r="I513" s="10">
        <v>1605</v>
      </c>
      <c r="J513" s="10">
        <v>21.259</v>
      </c>
      <c r="K513" s="10">
        <v>56.972999999999999</v>
      </c>
      <c r="L513" s="10">
        <v>0.27700000000000002</v>
      </c>
      <c r="M513" s="24">
        <v>443.8</v>
      </c>
      <c r="N513" s="10">
        <v>4.1920000000000002</v>
      </c>
      <c r="O513" s="9">
        <v>8.8759999999999994</v>
      </c>
      <c r="P513" s="9"/>
      <c r="Q513" s="9"/>
      <c r="AL513" s="33"/>
    </row>
    <row r="514" spans="7:38" x14ac:dyDescent="0.35">
      <c r="G514" s="10">
        <v>51</v>
      </c>
      <c r="H514" s="10">
        <v>18.902000000000001</v>
      </c>
      <c r="I514" s="10">
        <v>1578</v>
      </c>
      <c r="J514" s="10">
        <v>21.542000000000002</v>
      </c>
      <c r="K514" s="10">
        <v>57.512</v>
      </c>
      <c r="L514" s="10">
        <v>0.28899999999999998</v>
      </c>
      <c r="M514" s="24">
        <v>455.9</v>
      </c>
      <c r="N514" s="10">
        <v>4.4359999999999999</v>
      </c>
      <c r="O514" s="9">
        <v>8.9390000000000001</v>
      </c>
      <c r="P514" s="9"/>
      <c r="Q514" s="9"/>
      <c r="AL514" s="33"/>
    </row>
    <row r="515" spans="7:38" x14ac:dyDescent="0.35">
      <c r="G515" s="10">
        <v>52</v>
      </c>
      <c r="H515" s="10">
        <v>19.22</v>
      </c>
      <c r="I515" s="10">
        <v>1551</v>
      </c>
      <c r="J515" s="10">
        <v>21.83</v>
      </c>
      <c r="K515" s="10">
        <v>58.051000000000002</v>
      </c>
      <c r="L515" s="10">
        <v>0.30199999999999999</v>
      </c>
      <c r="M515" s="24">
        <v>468</v>
      </c>
      <c r="N515" s="10">
        <v>4.665</v>
      </c>
      <c r="O515" s="9">
        <v>9</v>
      </c>
      <c r="P515" s="9"/>
      <c r="Q515" s="9"/>
      <c r="AL515" s="33"/>
    </row>
    <row r="516" spans="7:38" x14ac:dyDescent="0.35">
      <c r="G516" s="10">
        <v>53</v>
      </c>
      <c r="H516" s="10">
        <v>19.492000000000001</v>
      </c>
      <c r="I516" s="10">
        <v>1528</v>
      </c>
      <c r="J516" s="10">
        <v>22.068000000000001</v>
      </c>
      <c r="K516" s="10">
        <v>58.445999999999998</v>
      </c>
      <c r="L516" s="10">
        <v>0.313</v>
      </c>
      <c r="M516" s="24">
        <v>478.2</v>
      </c>
      <c r="N516" s="10">
        <v>4.9489999999999998</v>
      </c>
      <c r="O516" s="9">
        <v>9.0229999999999997</v>
      </c>
      <c r="P516" s="9"/>
      <c r="Q516" s="9"/>
      <c r="AL516" s="33"/>
    </row>
    <row r="517" spans="7:38" x14ac:dyDescent="0.35">
      <c r="G517" s="10">
        <v>54</v>
      </c>
      <c r="H517" s="10">
        <v>19.763999999999999</v>
      </c>
      <c r="I517" s="10">
        <v>1505</v>
      </c>
      <c r="J517" s="10">
        <v>22.311</v>
      </c>
      <c r="K517" s="10">
        <v>58.841000000000001</v>
      </c>
      <c r="L517" s="10">
        <v>0.32500000000000001</v>
      </c>
      <c r="M517" s="24">
        <v>488.4</v>
      </c>
      <c r="N517" s="10">
        <v>5.22</v>
      </c>
      <c r="O517" s="9">
        <v>9.0440000000000005</v>
      </c>
      <c r="P517" s="9"/>
      <c r="Q517" s="9"/>
      <c r="AL517" s="33"/>
    </row>
    <row r="518" spans="7:38" x14ac:dyDescent="0.35">
      <c r="G518" s="10">
        <v>55</v>
      </c>
      <c r="H518" s="10">
        <v>20.036000000000001</v>
      </c>
      <c r="I518" s="10">
        <v>1482</v>
      </c>
      <c r="J518" s="10">
        <v>22.559000000000001</v>
      </c>
      <c r="K518" s="10">
        <v>59.235999999999997</v>
      </c>
      <c r="L518" s="10">
        <v>0.33600000000000002</v>
      </c>
      <c r="M518" s="24">
        <v>498.6</v>
      </c>
      <c r="N518" s="10">
        <v>5.4790000000000001</v>
      </c>
      <c r="O518" s="9">
        <v>9.0649999999999995</v>
      </c>
      <c r="P518" s="9"/>
      <c r="Q518" s="9"/>
      <c r="AL518" s="33"/>
    </row>
    <row r="519" spans="7:38" x14ac:dyDescent="0.35">
      <c r="G519" s="10">
        <v>56</v>
      </c>
      <c r="H519" s="10">
        <v>20.308</v>
      </c>
      <c r="I519" s="10">
        <v>1459</v>
      </c>
      <c r="J519" s="10">
        <v>22.812000000000001</v>
      </c>
      <c r="K519" s="10">
        <v>59.631</v>
      </c>
      <c r="L519" s="10">
        <v>0.34899999999999998</v>
      </c>
      <c r="M519" s="24">
        <v>508.8</v>
      </c>
      <c r="N519" s="10">
        <v>5.7249999999999996</v>
      </c>
      <c r="O519" s="9">
        <v>9.0860000000000003</v>
      </c>
      <c r="P519" s="9"/>
      <c r="Q519" s="9"/>
      <c r="AL519" s="33"/>
    </row>
    <row r="520" spans="7:38" x14ac:dyDescent="0.35">
      <c r="G520" s="10">
        <v>57</v>
      </c>
      <c r="H520" s="10">
        <v>20.58</v>
      </c>
      <c r="I520" s="10">
        <v>1436</v>
      </c>
      <c r="J520" s="10">
        <v>23.07</v>
      </c>
      <c r="K520" s="10">
        <v>60.026000000000003</v>
      </c>
      <c r="L520" s="10">
        <v>0.36099999999999999</v>
      </c>
      <c r="M520" s="24">
        <v>519</v>
      </c>
      <c r="N520" s="10">
        <v>5.9610000000000003</v>
      </c>
      <c r="O520" s="9">
        <v>9.1050000000000004</v>
      </c>
      <c r="P520" s="9"/>
      <c r="Q520" s="9"/>
      <c r="AL520" s="33"/>
    </row>
    <row r="521" spans="7:38" x14ac:dyDescent="0.35">
      <c r="G521" s="10">
        <v>58</v>
      </c>
      <c r="H521" s="10">
        <v>20.803999999999998</v>
      </c>
      <c r="I521" s="10">
        <v>1418</v>
      </c>
      <c r="J521" s="10">
        <v>23.280999999999999</v>
      </c>
      <c r="K521" s="10">
        <v>60.362000000000002</v>
      </c>
      <c r="L521" s="10">
        <v>0.372</v>
      </c>
      <c r="M521" s="24">
        <v>527.36</v>
      </c>
      <c r="N521" s="10">
        <v>6.2370000000000001</v>
      </c>
      <c r="O521" s="9">
        <v>9.0920000000000005</v>
      </c>
      <c r="P521" s="9"/>
      <c r="Q521" s="9"/>
      <c r="AL521" s="33"/>
    </row>
    <row r="522" spans="7:38" x14ac:dyDescent="0.35">
      <c r="G522" s="10">
        <v>59</v>
      </c>
      <c r="H522" s="10">
        <v>21.027999999999999</v>
      </c>
      <c r="I522" s="10">
        <v>1400</v>
      </c>
      <c r="J522" s="10">
        <v>23.495000000000001</v>
      </c>
      <c r="K522" s="10">
        <v>60.698</v>
      </c>
      <c r="L522" s="10">
        <v>0.38300000000000001</v>
      </c>
      <c r="M522" s="24">
        <v>535.72</v>
      </c>
      <c r="N522" s="10">
        <v>6.5030000000000001</v>
      </c>
      <c r="O522" s="9">
        <v>9.08</v>
      </c>
      <c r="P522" s="9"/>
      <c r="Q522" s="9"/>
      <c r="AL522" s="33"/>
    </row>
    <row r="523" spans="7:38" x14ac:dyDescent="0.35">
      <c r="G523" s="10">
        <v>60</v>
      </c>
      <c r="H523" s="10">
        <v>21.251999999999999</v>
      </c>
      <c r="I523" s="10">
        <v>1382</v>
      </c>
      <c r="J523" s="10">
        <v>23.713000000000001</v>
      </c>
      <c r="K523" s="10">
        <v>61.033999999999999</v>
      </c>
      <c r="L523" s="10">
        <v>0.39400000000000002</v>
      </c>
      <c r="M523" s="24">
        <v>544.08000000000004</v>
      </c>
      <c r="N523" s="10">
        <v>6.7590000000000003</v>
      </c>
      <c r="O523" s="9">
        <v>9.0679999999999996</v>
      </c>
      <c r="P523" s="9"/>
      <c r="Q523" s="9"/>
      <c r="AL523" s="33"/>
    </row>
    <row r="524" spans="7:38" x14ac:dyDescent="0.35">
      <c r="G524" s="10">
        <v>61</v>
      </c>
      <c r="H524" s="10">
        <v>21.475999999999999</v>
      </c>
      <c r="I524" s="10">
        <v>1364</v>
      </c>
      <c r="J524" s="10">
        <v>23.934999999999999</v>
      </c>
      <c r="K524" s="10">
        <v>61.37</v>
      </c>
      <c r="L524" s="10">
        <v>0.40500000000000003</v>
      </c>
      <c r="M524" s="24">
        <v>552.44000000000005</v>
      </c>
      <c r="N524" s="10">
        <v>7.0060000000000002</v>
      </c>
      <c r="O524" s="9">
        <v>9.0559999999999992</v>
      </c>
      <c r="P524" s="9"/>
      <c r="Q524" s="9"/>
      <c r="AL524" s="33"/>
    </row>
    <row r="525" spans="7:38" x14ac:dyDescent="0.35">
      <c r="G525" s="10">
        <v>62</v>
      </c>
      <c r="H525" s="10">
        <v>21.7</v>
      </c>
      <c r="I525" s="10">
        <v>1346</v>
      </c>
      <c r="J525" s="10">
        <v>24.16</v>
      </c>
      <c r="K525" s="10">
        <v>61.706000000000003</v>
      </c>
      <c r="L525" s="10">
        <v>0.41699999999999998</v>
      </c>
      <c r="M525" s="24">
        <v>560.79999999999995</v>
      </c>
      <c r="N525" s="10">
        <v>7.2439999999999998</v>
      </c>
      <c r="O525" s="9">
        <v>9.0449999999999999</v>
      </c>
      <c r="P525" s="9"/>
      <c r="Q525" s="9"/>
      <c r="AL525" s="33"/>
    </row>
    <row r="526" spans="7:38" x14ac:dyDescent="0.35">
      <c r="G526" s="10">
        <v>63</v>
      </c>
      <c r="H526" s="10">
        <v>21.884</v>
      </c>
      <c r="I526" s="10">
        <v>1331</v>
      </c>
      <c r="J526" s="10">
        <v>24.353999999999999</v>
      </c>
      <c r="K526" s="10">
        <v>62.003</v>
      </c>
      <c r="L526" s="10">
        <v>0.42699999999999999</v>
      </c>
      <c r="M526" s="24">
        <v>567.76</v>
      </c>
      <c r="N526" s="10">
        <v>7.5010000000000003</v>
      </c>
      <c r="O526" s="9">
        <v>9.0120000000000005</v>
      </c>
      <c r="P526" s="9"/>
      <c r="Q526" s="9"/>
      <c r="AL526" s="33"/>
    </row>
    <row r="527" spans="7:38" x14ac:dyDescent="0.35">
      <c r="G527" s="10">
        <v>64</v>
      </c>
      <c r="H527" s="10">
        <v>22.068000000000001</v>
      </c>
      <c r="I527" s="10">
        <v>1317</v>
      </c>
      <c r="J527" s="10">
        <v>24.542000000000002</v>
      </c>
      <c r="K527" s="10">
        <v>62.298999999999999</v>
      </c>
      <c r="L527" s="10">
        <v>0.436</v>
      </c>
      <c r="M527" s="24">
        <v>574.72</v>
      </c>
      <c r="N527" s="10">
        <v>7.75</v>
      </c>
      <c r="O527" s="9">
        <v>8.98</v>
      </c>
      <c r="P527" s="9"/>
      <c r="Q527" s="9"/>
      <c r="AL527" s="33"/>
    </row>
    <row r="528" spans="7:38" x14ac:dyDescent="0.35">
      <c r="G528" s="10">
        <v>65</v>
      </c>
      <c r="H528" s="10">
        <v>22.251999999999999</v>
      </c>
      <c r="I528" s="10">
        <v>1303</v>
      </c>
      <c r="J528" s="10">
        <v>24.731999999999999</v>
      </c>
      <c r="K528" s="10">
        <v>62.595999999999997</v>
      </c>
      <c r="L528" s="10">
        <v>0.44600000000000001</v>
      </c>
      <c r="M528" s="24">
        <v>581.67999999999995</v>
      </c>
      <c r="N528" s="10">
        <v>7.9909999999999997</v>
      </c>
      <c r="O528" s="9">
        <v>8.9489999999999998</v>
      </c>
      <c r="P528" s="9"/>
      <c r="Q528" s="9"/>
      <c r="AL528" s="33"/>
    </row>
    <row r="529" spans="7:38" x14ac:dyDescent="0.35">
      <c r="G529" s="10">
        <v>66</v>
      </c>
      <c r="H529" s="10">
        <v>22.436</v>
      </c>
      <c r="I529" s="10">
        <v>1289</v>
      </c>
      <c r="J529" s="10">
        <v>24.925000000000001</v>
      </c>
      <c r="K529" s="10">
        <v>62.892000000000003</v>
      </c>
      <c r="L529" s="10">
        <v>0.45700000000000002</v>
      </c>
      <c r="M529" s="24">
        <v>588.64</v>
      </c>
      <c r="N529" s="10">
        <v>8.2260000000000009</v>
      </c>
      <c r="O529" s="9">
        <v>8.9190000000000005</v>
      </c>
      <c r="P529" s="9"/>
      <c r="Q529" s="9"/>
      <c r="AL529" s="33"/>
    </row>
    <row r="530" spans="7:38" x14ac:dyDescent="0.35">
      <c r="G530" s="10">
        <v>67</v>
      </c>
      <c r="H530" s="10">
        <v>22.62</v>
      </c>
      <c r="I530" s="10">
        <v>1275</v>
      </c>
      <c r="J530" s="10">
        <v>25.12</v>
      </c>
      <c r="K530" s="10">
        <v>63.189</v>
      </c>
      <c r="L530" s="10">
        <v>0.46700000000000003</v>
      </c>
      <c r="M530" s="24">
        <v>595.6</v>
      </c>
      <c r="N530" s="10">
        <v>8.4540000000000006</v>
      </c>
      <c r="O530" s="9">
        <v>8.89</v>
      </c>
      <c r="P530" s="9"/>
      <c r="Q530" s="9"/>
      <c r="AL530" s="33"/>
    </row>
    <row r="531" spans="7:38" x14ac:dyDescent="0.35">
      <c r="G531" s="10">
        <v>68</v>
      </c>
      <c r="H531" s="10">
        <v>22.782</v>
      </c>
      <c r="I531" s="10">
        <v>1262</v>
      </c>
      <c r="J531" s="10">
        <v>25.3</v>
      </c>
      <c r="K531" s="10">
        <v>63.442</v>
      </c>
      <c r="L531" s="10">
        <v>0.47699999999999998</v>
      </c>
      <c r="M531" s="24">
        <v>601.52</v>
      </c>
      <c r="N531" s="10">
        <v>8.6890000000000001</v>
      </c>
      <c r="O531" s="9">
        <v>8.8460000000000001</v>
      </c>
      <c r="P531" s="9"/>
      <c r="Q531" s="9"/>
      <c r="AL531" s="33"/>
    </row>
    <row r="532" spans="7:38" x14ac:dyDescent="0.35">
      <c r="G532" s="10">
        <v>69</v>
      </c>
      <c r="H532" s="10">
        <v>22.943999999999999</v>
      </c>
      <c r="I532" s="10">
        <v>1250</v>
      </c>
      <c r="J532" s="10">
        <v>25.471</v>
      </c>
      <c r="K532" s="10">
        <v>63.695</v>
      </c>
      <c r="L532" s="10">
        <v>0.48599999999999999</v>
      </c>
      <c r="M532" s="24">
        <v>607.44000000000005</v>
      </c>
      <c r="N532" s="10">
        <v>8.9190000000000005</v>
      </c>
      <c r="O532" s="9">
        <v>8.8030000000000008</v>
      </c>
      <c r="P532" s="9"/>
      <c r="Q532" s="9"/>
      <c r="AL532" s="33"/>
    </row>
    <row r="533" spans="7:38" x14ac:dyDescent="0.35">
      <c r="G533" s="10">
        <v>70</v>
      </c>
      <c r="H533" s="10">
        <v>23.106000000000002</v>
      </c>
      <c r="I533" s="10">
        <v>1238</v>
      </c>
      <c r="J533" s="10">
        <v>25.645</v>
      </c>
      <c r="K533" s="10">
        <v>63.948</v>
      </c>
      <c r="L533" s="10">
        <v>0.495</v>
      </c>
      <c r="M533" s="24">
        <v>613.36</v>
      </c>
      <c r="N533" s="10">
        <v>9.1430000000000007</v>
      </c>
      <c r="O533" s="9">
        <v>8.7620000000000005</v>
      </c>
      <c r="P533" s="9"/>
      <c r="Q533" s="9"/>
      <c r="AL533" s="33"/>
    </row>
    <row r="534" spans="7:38" x14ac:dyDescent="0.35">
      <c r="G534" s="10">
        <v>71</v>
      </c>
      <c r="H534" s="10">
        <v>23.268000000000001</v>
      </c>
      <c r="I534" s="10">
        <v>1226</v>
      </c>
      <c r="J534" s="10">
        <v>25.821999999999999</v>
      </c>
      <c r="K534" s="10">
        <v>64.201999999999998</v>
      </c>
      <c r="L534" s="10">
        <v>0.505</v>
      </c>
      <c r="M534" s="24">
        <v>619.28</v>
      </c>
      <c r="N534" s="10">
        <v>9.3610000000000007</v>
      </c>
      <c r="O534" s="9">
        <v>8.7219999999999995</v>
      </c>
      <c r="P534" s="9"/>
      <c r="Q534" s="9"/>
      <c r="AL534" s="33"/>
    </row>
    <row r="535" spans="7:38" x14ac:dyDescent="0.35">
      <c r="G535" s="10">
        <v>72</v>
      </c>
      <c r="H535" s="10">
        <v>23.43</v>
      </c>
      <c r="I535" s="10">
        <v>1214</v>
      </c>
      <c r="J535" s="10">
        <v>26</v>
      </c>
      <c r="K535" s="10">
        <v>64.454999999999998</v>
      </c>
      <c r="L535" s="10">
        <v>0.51500000000000001</v>
      </c>
      <c r="M535" s="24">
        <v>625.20000000000005</v>
      </c>
      <c r="N535" s="10">
        <v>9.5749999999999993</v>
      </c>
      <c r="O535" s="9">
        <v>8.6829999999999998</v>
      </c>
      <c r="P535" s="9"/>
      <c r="Q535" s="9"/>
      <c r="AL535" s="33"/>
    </row>
    <row r="536" spans="7:38" x14ac:dyDescent="0.35">
      <c r="G536" s="10">
        <v>73</v>
      </c>
      <c r="H536" s="10">
        <v>23.58</v>
      </c>
      <c r="I536" s="10">
        <v>1203</v>
      </c>
      <c r="J536" s="10">
        <v>26.15</v>
      </c>
      <c r="K536" s="10">
        <v>64.611000000000004</v>
      </c>
      <c r="L536" s="10">
        <v>0.52400000000000002</v>
      </c>
      <c r="M536" s="24">
        <v>630.16</v>
      </c>
      <c r="N536" s="10">
        <v>9.7919999999999998</v>
      </c>
      <c r="O536" s="9">
        <v>8.6319999999999997</v>
      </c>
      <c r="P536" s="9"/>
      <c r="Q536" s="9"/>
      <c r="AL536" s="33"/>
    </row>
    <row r="537" spans="7:38" x14ac:dyDescent="0.35">
      <c r="G537" s="10">
        <v>74</v>
      </c>
      <c r="H537" s="10">
        <v>23.73</v>
      </c>
      <c r="I537" s="10">
        <v>1192</v>
      </c>
      <c r="J537" s="10">
        <v>26.302</v>
      </c>
      <c r="K537" s="10">
        <v>64.766000000000005</v>
      </c>
      <c r="L537" s="10">
        <v>0.53300000000000003</v>
      </c>
      <c r="M537" s="24">
        <v>635.12</v>
      </c>
      <c r="N537" s="10">
        <v>10.004</v>
      </c>
      <c r="O537" s="9">
        <v>8.5830000000000002</v>
      </c>
      <c r="P537" s="9"/>
      <c r="Q537" s="9"/>
      <c r="AL537" s="33"/>
    </row>
    <row r="538" spans="7:38" x14ac:dyDescent="0.35">
      <c r="G538" s="10">
        <v>75</v>
      </c>
      <c r="H538" s="10">
        <v>23.88</v>
      </c>
      <c r="I538" s="10">
        <v>1181</v>
      </c>
      <c r="J538" s="10">
        <v>26.456</v>
      </c>
      <c r="K538" s="10">
        <v>64.921999999999997</v>
      </c>
      <c r="L538" s="10">
        <v>0.54200000000000004</v>
      </c>
      <c r="M538" s="24">
        <v>640.08000000000004</v>
      </c>
      <c r="N538" s="10">
        <v>10.212</v>
      </c>
      <c r="O538" s="9">
        <v>8.5340000000000007</v>
      </c>
      <c r="P538" s="9"/>
      <c r="Q538" s="9"/>
      <c r="AL538" s="33"/>
    </row>
    <row r="539" spans="7:38" x14ac:dyDescent="0.35">
      <c r="G539" s="10">
        <v>76</v>
      </c>
      <c r="H539" s="10">
        <v>24.03</v>
      </c>
      <c r="I539" s="10">
        <v>1170</v>
      </c>
      <c r="J539" s="10">
        <v>26.611999999999998</v>
      </c>
      <c r="K539" s="10">
        <v>65.078000000000003</v>
      </c>
      <c r="L539" s="10">
        <v>0.55100000000000005</v>
      </c>
      <c r="M539" s="24">
        <v>645.04</v>
      </c>
      <c r="N539" s="10">
        <v>10.416</v>
      </c>
      <c r="O539" s="9">
        <v>8.4870000000000001</v>
      </c>
      <c r="P539" s="9"/>
      <c r="Q539" s="9"/>
      <c r="AL539" s="33"/>
    </row>
    <row r="540" spans="7:38" x14ac:dyDescent="0.35">
      <c r="G540" s="10">
        <v>77</v>
      </c>
      <c r="H540" s="10">
        <v>24.18</v>
      </c>
      <c r="I540" s="10">
        <v>1159</v>
      </c>
      <c r="J540" s="10">
        <v>26.77</v>
      </c>
      <c r="K540" s="10">
        <v>65.233000000000004</v>
      </c>
      <c r="L540" s="10">
        <v>0.56100000000000005</v>
      </c>
      <c r="M540" s="24">
        <v>650</v>
      </c>
      <c r="N540" s="10">
        <v>10.616</v>
      </c>
      <c r="O540" s="9">
        <v>8.4420000000000002</v>
      </c>
      <c r="P540" s="9"/>
      <c r="Q540" s="9"/>
      <c r="AL540" s="33"/>
    </row>
  </sheetData>
  <autoFilter ref="A2:AG459" xr:uid="{860836E9-728F-4541-B40C-E3C525E8BA8E}"/>
  <mergeCells count="3">
    <mergeCell ref="H1:O1"/>
    <mergeCell ref="A1:G1"/>
    <mergeCell ref="Z1:AB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5D0F5-2789-4E5B-9571-41513986901F}">
  <dimension ref="A1:E48"/>
  <sheetViews>
    <sheetView topLeftCell="A35" workbookViewId="0">
      <selection activeCell="E48" sqref="E48"/>
    </sheetView>
  </sheetViews>
  <sheetFormatPr defaultRowHeight="14.5" x14ac:dyDescent="0.35"/>
  <cols>
    <col min="2" max="2" width="22.1796875" bestFit="1" customWidth="1"/>
    <col min="3" max="3" width="20.453125" bestFit="1" customWidth="1"/>
    <col min="4" max="4" width="18.453125" bestFit="1" customWidth="1"/>
    <col min="5" max="5" width="38.1796875" bestFit="1" customWidth="1"/>
  </cols>
  <sheetData>
    <row r="1" spans="1:5" x14ac:dyDescent="0.35">
      <c r="A1" s="2" t="s">
        <v>42</v>
      </c>
      <c r="B1" s="2" t="s">
        <v>43</v>
      </c>
      <c r="C1" s="2" t="s">
        <v>44</v>
      </c>
    </row>
    <row r="2" spans="1:5" x14ac:dyDescent="0.35">
      <c r="A2" s="2"/>
      <c r="B2" s="2" t="s">
        <v>41</v>
      </c>
      <c r="C2" s="2" t="s">
        <v>39</v>
      </c>
    </row>
    <row r="3" spans="1:5" x14ac:dyDescent="0.35">
      <c r="A3" s="3">
        <v>10</v>
      </c>
      <c r="B3" s="3">
        <v>73</v>
      </c>
      <c r="C3" s="3">
        <v>53</v>
      </c>
      <c r="E3" t="s">
        <v>45</v>
      </c>
    </row>
    <row r="4" spans="1:5" x14ac:dyDescent="0.35">
      <c r="A4" s="3">
        <v>11</v>
      </c>
      <c r="B4" s="3">
        <v>82</v>
      </c>
      <c r="C4" s="3">
        <v>66</v>
      </c>
    </row>
    <row r="5" spans="1:5" x14ac:dyDescent="0.35">
      <c r="A5" s="3">
        <v>12</v>
      </c>
      <c r="B5" s="3">
        <v>87</v>
      </c>
      <c r="C5" s="3">
        <v>74</v>
      </c>
    </row>
    <row r="6" spans="1:5" x14ac:dyDescent="0.35">
      <c r="A6" s="3">
        <v>13</v>
      </c>
      <c r="B6" s="3">
        <v>89</v>
      </c>
      <c r="C6" s="3">
        <v>79</v>
      </c>
    </row>
    <row r="7" spans="1:5" x14ac:dyDescent="0.35">
      <c r="A7" s="3">
        <v>14</v>
      </c>
      <c r="B7" s="3">
        <v>90</v>
      </c>
      <c r="C7" s="3">
        <v>82</v>
      </c>
    </row>
    <row r="8" spans="1:5" x14ac:dyDescent="0.35">
      <c r="A8" s="3">
        <v>15</v>
      </c>
      <c r="B8" s="3">
        <v>90</v>
      </c>
      <c r="C8" s="3">
        <v>84</v>
      </c>
    </row>
    <row r="9" spans="1:5" x14ac:dyDescent="0.35">
      <c r="A9" s="3">
        <v>16</v>
      </c>
      <c r="B9" s="3">
        <v>89</v>
      </c>
      <c r="C9" s="3">
        <v>84</v>
      </c>
    </row>
    <row r="10" spans="1:5" x14ac:dyDescent="0.35">
      <c r="A10" s="3">
        <v>17</v>
      </c>
      <c r="B10" s="3">
        <v>90</v>
      </c>
      <c r="C10" s="3">
        <v>84</v>
      </c>
    </row>
    <row r="11" spans="1:5" x14ac:dyDescent="0.35">
      <c r="A11" s="3">
        <v>18</v>
      </c>
      <c r="B11" s="3">
        <v>90</v>
      </c>
      <c r="C11" s="3">
        <v>84</v>
      </c>
    </row>
    <row r="12" spans="1:5" x14ac:dyDescent="0.35">
      <c r="A12" s="3">
        <v>19</v>
      </c>
      <c r="B12" s="3">
        <v>90</v>
      </c>
      <c r="C12" s="3">
        <v>84</v>
      </c>
    </row>
    <row r="13" spans="1:5" x14ac:dyDescent="0.35">
      <c r="A13" s="3">
        <v>20</v>
      </c>
      <c r="B13" s="3">
        <v>90</v>
      </c>
      <c r="C13" s="3">
        <v>84</v>
      </c>
    </row>
    <row r="14" spans="1:5" x14ac:dyDescent="0.35">
      <c r="A14" s="3">
        <v>21</v>
      </c>
      <c r="B14" s="3">
        <v>90</v>
      </c>
      <c r="C14" s="3">
        <v>84</v>
      </c>
    </row>
    <row r="15" spans="1:5" x14ac:dyDescent="0.35">
      <c r="A15" s="3">
        <v>22</v>
      </c>
      <c r="B15" s="3">
        <v>90</v>
      </c>
      <c r="C15" s="3">
        <v>84</v>
      </c>
    </row>
    <row r="16" spans="1:5" x14ac:dyDescent="0.35">
      <c r="A16" s="3">
        <v>23</v>
      </c>
      <c r="B16" s="3">
        <v>90</v>
      </c>
      <c r="C16" s="3">
        <v>84</v>
      </c>
    </row>
    <row r="17" spans="1:3" x14ac:dyDescent="0.35">
      <c r="A17" s="3">
        <v>24</v>
      </c>
      <c r="B17" s="3">
        <v>90</v>
      </c>
      <c r="C17" s="3">
        <v>84</v>
      </c>
    </row>
    <row r="18" spans="1:3" x14ac:dyDescent="0.35">
      <c r="A18" s="3">
        <v>25</v>
      </c>
      <c r="B18" s="3">
        <v>90</v>
      </c>
      <c r="C18" s="3">
        <v>84</v>
      </c>
    </row>
    <row r="19" spans="1:3" x14ac:dyDescent="0.35">
      <c r="A19" s="3">
        <v>26</v>
      </c>
      <c r="B19" s="3">
        <v>90</v>
      </c>
      <c r="C19" s="3">
        <v>84</v>
      </c>
    </row>
    <row r="20" spans="1:3" x14ac:dyDescent="0.35">
      <c r="A20" s="3">
        <v>27</v>
      </c>
      <c r="B20" s="3">
        <v>90</v>
      </c>
      <c r="C20" s="3">
        <v>85</v>
      </c>
    </row>
    <row r="21" spans="1:3" x14ac:dyDescent="0.35">
      <c r="A21" s="3">
        <v>28</v>
      </c>
      <c r="B21" s="3">
        <v>90</v>
      </c>
      <c r="C21" s="3">
        <v>85</v>
      </c>
    </row>
    <row r="22" spans="1:3" x14ac:dyDescent="0.35">
      <c r="A22" s="3">
        <v>29</v>
      </c>
      <c r="B22" s="3">
        <v>90</v>
      </c>
      <c r="C22" s="3">
        <v>85</v>
      </c>
    </row>
    <row r="23" spans="1:3" x14ac:dyDescent="0.35">
      <c r="A23" s="3">
        <v>30</v>
      </c>
      <c r="B23" s="3">
        <v>90</v>
      </c>
      <c r="C23" s="3">
        <v>85</v>
      </c>
    </row>
    <row r="24" spans="1:3" x14ac:dyDescent="0.35">
      <c r="A24" s="3">
        <v>31</v>
      </c>
      <c r="B24" s="3">
        <v>91</v>
      </c>
      <c r="C24" s="3">
        <v>85</v>
      </c>
    </row>
    <row r="25" spans="1:3" x14ac:dyDescent="0.35">
      <c r="A25" s="3">
        <v>32</v>
      </c>
      <c r="B25" s="3">
        <v>91</v>
      </c>
      <c r="C25" s="3">
        <v>85</v>
      </c>
    </row>
    <row r="26" spans="1:3" x14ac:dyDescent="0.35">
      <c r="A26" s="3">
        <v>33</v>
      </c>
      <c r="B26" s="3">
        <v>91</v>
      </c>
      <c r="C26" s="3">
        <v>85</v>
      </c>
    </row>
    <row r="27" spans="1:3" x14ac:dyDescent="0.35">
      <c r="A27" s="3">
        <v>34</v>
      </c>
      <c r="B27" s="3">
        <v>91</v>
      </c>
      <c r="C27" s="3">
        <v>85</v>
      </c>
    </row>
    <row r="28" spans="1:3" x14ac:dyDescent="0.35">
      <c r="A28" s="3">
        <v>35</v>
      </c>
      <c r="B28" s="3">
        <v>91</v>
      </c>
      <c r="C28" s="3">
        <v>85</v>
      </c>
    </row>
    <row r="29" spans="1:3" x14ac:dyDescent="0.35">
      <c r="A29" s="3">
        <v>36</v>
      </c>
      <c r="B29" s="3">
        <v>91</v>
      </c>
      <c r="C29" s="3">
        <v>85</v>
      </c>
    </row>
    <row r="30" spans="1:3" x14ac:dyDescent="0.35">
      <c r="A30" s="3">
        <v>37</v>
      </c>
      <c r="B30" s="3">
        <v>91</v>
      </c>
      <c r="C30" s="3">
        <v>85</v>
      </c>
    </row>
    <row r="31" spans="1:3" x14ac:dyDescent="0.35">
      <c r="A31" s="3">
        <v>38</v>
      </c>
      <c r="B31" s="3">
        <v>91</v>
      </c>
      <c r="C31" s="3">
        <v>85</v>
      </c>
    </row>
    <row r="32" spans="1:3" x14ac:dyDescent="0.35">
      <c r="A32" s="3">
        <v>39</v>
      </c>
      <c r="B32" s="3">
        <v>91</v>
      </c>
      <c r="C32" s="3">
        <v>85</v>
      </c>
    </row>
    <row r="33" spans="1:5" x14ac:dyDescent="0.35">
      <c r="A33" s="3">
        <v>40</v>
      </c>
      <c r="B33" s="3">
        <v>91</v>
      </c>
      <c r="C33" s="3">
        <v>85</v>
      </c>
    </row>
    <row r="34" spans="1:5" x14ac:dyDescent="0.35">
      <c r="A34" s="3">
        <v>41</v>
      </c>
      <c r="B34" s="3">
        <v>91</v>
      </c>
      <c r="C34" s="3">
        <v>85</v>
      </c>
    </row>
    <row r="35" spans="1:5" x14ac:dyDescent="0.35">
      <c r="A35" s="3">
        <v>42</v>
      </c>
      <c r="B35" s="3">
        <v>91</v>
      </c>
      <c r="C35" s="3">
        <v>85</v>
      </c>
    </row>
    <row r="36" spans="1:5" x14ac:dyDescent="0.35">
      <c r="A36" s="3">
        <v>43</v>
      </c>
      <c r="B36" s="3">
        <v>91</v>
      </c>
      <c r="C36" s="3">
        <v>85</v>
      </c>
    </row>
    <row r="37" spans="1:5" x14ac:dyDescent="0.35">
      <c r="A37" s="3">
        <v>44</v>
      </c>
      <c r="B37" s="3">
        <v>91</v>
      </c>
      <c r="C37" s="3">
        <v>85</v>
      </c>
    </row>
    <row r="38" spans="1:5" x14ac:dyDescent="0.35">
      <c r="A38" s="3">
        <v>45</v>
      </c>
      <c r="B38" s="3">
        <v>91</v>
      </c>
      <c r="C38" s="3">
        <v>85</v>
      </c>
    </row>
    <row r="39" spans="1:5" x14ac:dyDescent="0.35">
      <c r="A39" s="3">
        <v>46</v>
      </c>
      <c r="B39" s="3">
        <v>91</v>
      </c>
      <c r="C39" s="3">
        <v>85</v>
      </c>
    </row>
    <row r="40" spans="1:5" x14ac:dyDescent="0.35">
      <c r="A40" s="3">
        <v>47</v>
      </c>
      <c r="B40" s="3">
        <v>91</v>
      </c>
      <c r="C40" s="3">
        <v>85</v>
      </c>
    </row>
    <row r="41" spans="1:5" x14ac:dyDescent="0.35">
      <c r="A41" s="3">
        <v>48</v>
      </c>
      <c r="B41" s="3">
        <v>91</v>
      </c>
      <c r="C41" s="3">
        <v>85</v>
      </c>
    </row>
    <row r="42" spans="1:5" x14ac:dyDescent="0.35">
      <c r="A42" s="3">
        <v>49</v>
      </c>
      <c r="B42" s="3">
        <v>91</v>
      </c>
      <c r="C42" s="3">
        <v>85</v>
      </c>
    </row>
    <row r="43" spans="1:5" x14ac:dyDescent="0.35">
      <c r="A43" s="3">
        <v>50</v>
      </c>
      <c r="B43" s="3">
        <v>92</v>
      </c>
      <c r="C43" s="3">
        <v>85</v>
      </c>
      <c r="E43" t="s">
        <v>46</v>
      </c>
    </row>
    <row r="46" spans="1:5" x14ac:dyDescent="0.35">
      <c r="B46" t="s">
        <v>47</v>
      </c>
      <c r="C46" t="s">
        <v>48</v>
      </c>
      <c r="D46" t="s">
        <v>49</v>
      </c>
      <c r="E46" t="s">
        <v>50</v>
      </c>
    </row>
    <row r="47" spans="1:5" x14ac:dyDescent="0.35">
      <c r="A47" t="s">
        <v>39</v>
      </c>
      <c r="B47">
        <v>0.34</v>
      </c>
      <c r="C47">
        <v>0.35</v>
      </c>
      <c r="D47">
        <v>0.42</v>
      </c>
      <c r="E47">
        <v>0.42</v>
      </c>
    </row>
    <row r="48" spans="1:5" x14ac:dyDescent="0.35">
      <c r="A48" t="s">
        <v>41</v>
      </c>
      <c r="B48">
        <v>0.32</v>
      </c>
      <c r="C48">
        <v>0.49</v>
      </c>
      <c r="D48">
        <v>0.33</v>
      </c>
      <c r="E48">
        <v>0.33</v>
      </c>
    </row>
  </sheetData>
  <sortState xmlns:xlrd2="http://schemas.microsoft.com/office/spreadsheetml/2017/richdata2" ref="A47:D48">
    <sortCondition ref="A47:A4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6612D-AD78-48FE-A333-782B58081A8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43D6-A4DF-43B9-A1DB-470FD57D3379}">
  <dimension ref="A1:O911"/>
  <sheetViews>
    <sheetView topLeftCell="G1" workbookViewId="0">
      <pane ySplit="1" topLeftCell="A2" activePane="bottomLeft" state="frozen"/>
      <selection pane="bottomLeft" activeCell="M33" sqref="M33"/>
    </sheetView>
  </sheetViews>
  <sheetFormatPr defaultRowHeight="14.5" x14ac:dyDescent="0.35"/>
  <cols>
    <col min="1" max="1" width="12.1796875" bestFit="1" customWidth="1"/>
    <col min="2" max="2" width="10.7265625" bestFit="1" customWidth="1"/>
    <col min="3" max="3" width="21.1796875" bestFit="1" customWidth="1"/>
    <col min="4" max="4" width="4.7265625" bestFit="1" customWidth="1"/>
    <col min="5" max="5" width="18.7265625" bestFit="1" customWidth="1"/>
    <col min="6" max="6" width="24.81640625" bestFit="1" customWidth="1"/>
    <col min="7" max="7" width="12.1796875" bestFit="1" customWidth="1"/>
    <col min="8" max="8" width="10.7265625" bestFit="1" customWidth="1"/>
    <col min="10" max="10" width="19.453125" bestFit="1" customWidth="1"/>
    <col min="11" max="11" width="19.453125" customWidth="1"/>
    <col min="12" max="12" width="23.26953125" bestFit="1" customWidth="1"/>
    <col min="13" max="13" width="23.26953125" customWidth="1"/>
    <col min="14" max="14" width="28.54296875" bestFit="1" customWidth="1"/>
    <col min="15" max="15" width="25.26953125" style="26" customWidth="1"/>
  </cols>
  <sheetData>
    <row r="1" spans="1:15" x14ac:dyDescent="0.35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G1" t="s">
        <v>51</v>
      </c>
      <c r="H1" t="s">
        <v>52</v>
      </c>
      <c r="I1" t="s">
        <v>54</v>
      </c>
      <c r="J1" t="s">
        <v>57</v>
      </c>
      <c r="K1" t="s">
        <v>23</v>
      </c>
      <c r="L1" s="20" t="s">
        <v>58</v>
      </c>
      <c r="M1" s="20" t="s">
        <v>59</v>
      </c>
      <c r="N1" s="20" t="s">
        <v>60</v>
      </c>
      <c r="O1" s="25" t="s">
        <v>61</v>
      </c>
    </row>
    <row r="2" spans="1:15" x14ac:dyDescent="0.35">
      <c r="A2" t="s">
        <v>62</v>
      </c>
      <c r="B2">
        <v>4</v>
      </c>
      <c r="C2" t="s">
        <v>63</v>
      </c>
      <c r="D2">
        <v>0</v>
      </c>
      <c r="E2">
        <v>0</v>
      </c>
      <c r="F2">
        <v>0</v>
      </c>
      <c r="G2" t="s">
        <v>62</v>
      </c>
      <c r="H2">
        <v>4</v>
      </c>
      <c r="I2">
        <v>0</v>
      </c>
      <c r="J2">
        <v>0</v>
      </c>
      <c r="K2" t="b">
        <f t="shared" ref="K2:K65" si="0">H2=B2</f>
        <v>1</v>
      </c>
      <c r="L2">
        <f t="shared" ref="L2:L65" si="1">E2+F2+J2</f>
        <v>0</v>
      </c>
      <c r="M2">
        <f t="shared" ref="M2:M65" si="2">L2*2</f>
        <v>0</v>
      </c>
      <c r="N2">
        <f t="shared" ref="N2:N65" si="3">M2/(1-0.598)</f>
        <v>0</v>
      </c>
      <c r="O2" s="26">
        <f t="shared" ref="O2:O65" si="4">M2/0.42</f>
        <v>0</v>
      </c>
    </row>
    <row r="3" spans="1:15" x14ac:dyDescent="0.35">
      <c r="A3" t="s">
        <v>62</v>
      </c>
      <c r="B3">
        <v>4</v>
      </c>
      <c r="C3" t="s">
        <v>63</v>
      </c>
      <c r="D3">
        <v>1</v>
      </c>
      <c r="E3">
        <v>2.2188968206076302E-3</v>
      </c>
      <c r="F3" s="19">
        <v>8.8107072584362008E-6</v>
      </c>
      <c r="G3" t="s">
        <v>62</v>
      </c>
      <c r="H3">
        <v>4</v>
      </c>
      <c r="I3">
        <v>1</v>
      </c>
      <c r="J3" s="19">
        <v>2.9991748732464098E-5</v>
      </c>
      <c r="K3" t="b">
        <f t="shared" si="0"/>
        <v>1</v>
      </c>
      <c r="L3">
        <f t="shared" si="1"/>
        <v>2.2576992765985303E-3</v>
      </c>
      <c r="M3">
        <f t="shared" si="2"/>
        <v>4.5153985531970605E-3</v>
      </c>
      <c r="N3">
        <f t="shared" si="3"/>
        <v>1.1232334709445424E-2</v>
      </c>
      <c r="O3" s="26">
        <f t="shared" si="4"/>
        <v>1.0750948936183478E-2</v>
      </c>
    </row>
    <row r="4" spans="1:15" x14ac:dyDescent="0.35">
      <c r="A4" t="s">
        <v>62</v>
      </c>
      <c r="B4">
        <v>4</v>
      </c>
      <c r="C4" t="s">
        <v>63</v>
      </c>
      <c r="D4">
        <v>2</v>
      </c>
      <c r="E4">
        <v>4.9925178463671796E-3</v>
      </c>
      <c r="F4" s="19">
        <v>2.8370477372164599E-5</v>
      </c>
      <c r="G4" t="s">
        <v>62</v>
      </c>
      <c r="H4">
        <v>4</v>
      </c>
      <c r="I4">
        <v>2</v>
      </c>
      <c r="J4" s="19">
        <v>8.6752740596321396E-5</v>
      </c>
      <c r="K4" t="b">
        <f t="shared" si="0"/>
        <v>1</v>
      </c>
      <c r="L4">
        <f t="shared" si="1"/>
        <v>5.1076410643356657E-3</v>
      </c>
      <c r="M4">
        <f t="shared" si="2"/>
        <v>1.0215282128671331E-2</v>
      </c>
      <c r="N4">
        <f t="shared" si="3"/>
        <v>2.5411149573809282E-2</v>
      </c>
      <c r="O4" s="26">
        <f t="shared" si="4"/>
        <v>2.4322100306360315E-2</v>
      </c>
    </row>
    <row r="5" spans="1:15" x14ac:dyDescent="0.35">
      <c r="A5" t="s">
        <v>62</v>
      </c>
      <c r="B5">
        <v>4</v>
      </c>
      <c r="C5" t="s">
        <v>63</v>
      </c>
      <c r="D5">
        <v>3</v>
      </c>
      <c r="E5">
        <v>8.4595441285666394E-3</v>
      </c>
      <c r="F5" s="19">
        <v>6.1110184473787594E-5</v>
      </c>
      <c r="G5" t="s">
        <v>62</v>
      </c>
      <c r="H5">
        <v>4</v>
      </c>
      <c r="I5">
        <v>3</v>
      </c>
      <c r="J5" s="19">
        <v>1.7039321367417001E-4</v>
      </c>
      <c r="K5" t="b">
        <f t="shared" si="0"/>
        <v>1</v>
      </c>
      <c r="L5">
        <f t="shared" si="1"/>
        <v>8.6910475267145976E-3</v>
      </c>
      <c r="M5">
        <f t="shared" si="2"/>
        <v>1.7382095053429195E-2</v>
      </c>
      <c r="N5">
        <f t="shared" si="3"/>
        <v>4.3239042421465659E-2</v>
      </c>
      <c r="O5" s="26">
        <f t="shared" si="4"/>
        <v>4.1385940603402845E-2</v>
      </c>
    </row>
    <row r="6" spans="1:15" x14ac:dyDescent="0.35">
      <c r="A6" t="s">
        <v>62</v>
      </c>
      <c r="B6">
        <v>4</v>
      </c>
      <c r="C6" t="s">
        <v>63</v>
      </c>
      <c r="D6">
        <v>4</v>
      </c>
      <c r="E6">
        <v>1.2793326981315901E-2</v>
      </c>
      <c r="F6" s="19">
        <v>1.1007611297649E-4</v>
      </c>
      <c r="G6" t="s">
        <v>62</v>
      </c>
      <c r="H6">
        <v>4</v>
      </c>
      <c r="I6">
        <v>4</v>
      </c>
      <c r="J6" s="19">
        <v>2.8351039631975002E-4</v>
      </c>
      <c r="K6" t="b">
        <f t="shared" si="0"/>
        <v>1</v>
      </c>
      <c r="L6">
        <f t="shared" si="1"/>
        <v>1.3186913490612141E-2</v>
      </c>
      <c r="M6">
        <f t="shared" si="2"/>
        <v>2.6373826981224282E-2</v>
      </c>
      <c r="N6">
        <f t="shared" si="3"/>
        <v>6.560653477916488E-2</v>
      </c>
      <c r="O6" s="26">
        <f t="shared" si="4"/>
        <v>6.2794826145772101E-2</v>
      </c>
    </row>
    <row r="7" spans="1:15" x14ac:dyDescent="0.35">
      <c r="A7" t="s">
        <v>62</v>
      </c>
      <c r="B7">
        <v>4</v>
      </c>
      <c r="C7" t="s">
        <v>63</v>
      </c>
      <c r="D7">
        <v>5</v>
      </c>
      <c r="E7">
        <v>1.82105555472525E-2</v>
      </c>
      <c r="F7" s="19">
        <v>1.7908357939177999E-4</v>
      </c>
      <c r="G7" t="s">
        <v>62</v>
      </c>
      <c r="H7">
        <v>4</v>
      </c>
      <c r="I7">
        <v>5</v>
      </c>
      <c r="J7" s="19">
        <v>4.3083249737985998E-4</v>
      </c>
      <c r="K7" t="b">
        <f t="shared" si="0"/>
        <v>1</v>
      </c>
      <c r="L7">
        <f t="shared" si="1"/>
        <v>1.882047162402414E-2</v>
      </c>
      <c r="M7">
        <f t="shared" si="2"/>
        <v>3.7640943248048279E-2</v>
      </c>
      <c r="N7">
        <f t="shared" si="3"/>
        <v>9.3634187184199691E-2</v>
      </c>
      <c r="O7" s="26">
        <f t="shared" si="4"/>
        <v>8.9621293447734007E-2</v>
      </c>
    </row>
    <row r="8" spans="1:15" x14ac:dyDescent="0.35">
      <c r="A8" t="s">
        <v>62</v>
      </c>
      <c r="B8">
        <v>4</v>
      </c>
      <c r="C8" t="s">
        <v>63</v>
      </c>
      <c r="D8">
        <v>6</v>
      </c>
      <c r="E8">
        <v>2.4982091254673398E-2</v>
      </c>
      <c r="F8" s="19">
        <v>2.7290896652420001E-4</v>
      </c>
      <c r="G8" t="s">
        <v>62</v>
      </c>
      <c r="H8">
        <v>4</v>
      </c>
      <c r="I8">
        <v>6</v>
      </c>
      <c r="J8" s="19">
        <v>6.1917734758798004E-4</v>
      </c>
      <c r="K8" t="b">
        <f t="shared" si="0"/>
        <v>1</v>
      </c>
      <c r="L8">
        <f t="shared" si="1"/>
        <v>2.5874177568785579E-2</v>
      </c>
      <c r="M8">
        <f t="shared" si="2"/>
        <v>5.1748355137571159E-2</v>
      </c>
      <c r="N8">
        <f t="shared" si="3"/>
        <v>0.1287272515859979</v>
      </c>
      <c r="O8" s="26">
        <f t="shared" si="4"/>
        <v>0.12321036937516942</v>
      </c>
    </row>
    <row r="9" spans="1:15" x14ac:dyDescent="0.35">
      <c r="A9" t="s">
        <v>62</v>
      </c>
      <c r="B9">
        <v>4</v>
      </c>
      <c r="C9" t="s">
        <v>63</v>
      </c>
      <c r="D9">
        <v>7</v>
      </c>
      <c r="E9">
        <v>3.3446510888949302E-2</v>
      </c>
      <c r="F9" s="19">
        <v>3.9752977292961997E-4</v>
      </c>
      <c r="G9" t="s">
        <v>62</v>
      </c>
      <c r="H9">
        <v>4</v>
      </c>
      <c r="I9">
        <v>7</v>
      </c>
      <c r="J9" s="19">
        <v>8.5763414194592997E-4</v>
      </c>
      <c r="K9" t="b">
        <f t="shared" si="0"/>
        <v>1</v>
      </c>
      <c r="L9">
        <f t="shared" si="1"/>
        <v>3.4701674803824849E-2</v>
      </c>
      <c r="M9">
        <f t="shared" si="2"/>
        <v>6.9403349607649698E-2</v>
      </c>
      <c r="N9">
        <f t="shared" si="3"/>
        <v>0.17264514827773556</v>
      </c>
      <c r="O9" s="26">
        <f t="shared" si="4"/>
        <v>0.16524607049440404</v>
      </c>
    </row>
    <row r="10" spans="1:15" x14ac:dyDescent="0.35">
      <c r="A10" t="s">
        <v>62</v>
      </c>
      <c r="B10">
        <v>4</v>
      </c>
      <c r="C10" t="s">
        <v>63</v>
      </c>
      <c r="D10">
        <v>8</v>
      </c>
      <c r="E10">
        <v>4.4027035431794301E-2</v>
      </c>
      <c r="F10" s="19">
        <v>5.6042468125161004E-4</v>
      </c>
      <c r="G10" t="s">
        <v>62</v>
      </c>
      <c r="H10">
        <v>4</v>
      </c>
      <c r="I10">
        <v>8</v>
      </c>
      <c r="J10">
        <v>1.15792644236583E-3</v>
      </c>
      <c r="K10" t="b">
        <f t="shared" si="0"/>
        <v>1</v>
      </c>
      <c r="L10">
        <f t="shared" si="1"/>
        <v>4.5745386555411736E-2</v>
      </c>
      <c r="M10">
        <f t="shared" si="2"/>
        <v>9.1490773110823473E-2</v>
      </c>
      <c r="N10">
        <f t="shared" si="3"/>
        <v>0.22758898783786932</v>
      </c>
      <c r="O10" s="26">
        <f t="shared" si="4"/>
        <v>0.21783517407338923</v>
      </c>
    </row>
    <row r="11" spans="1:15" x14ac:dyDescent="0.35">
      <c r="A11" t="s">
        <v>62</v>
      </c>
      <c r="B11">
        <v>4</v>
      </c>
      <c r="C11" t="s">
        <v>63</v>
      </c>
      <c r="D11">
        <v>9</v>
      </c>
      <c r="E11">
        <v>5.7252691110350501E-2</v>
      </c>
      <c r="F11" s="19">
        <v>7.7094864995984E-4</v>
      </c>
      <c r="G11" t="s">
        <v>62</v>
      </c>
      <c r="H11">
        <v>4</v>
      </c>
      <c r="I11">
        <v>9</v>
      </c>
      <c r="J11">
        <v>1.53494558849959E-3</v>
      </c>
      <c r="K11" t="b">
        <f t="shared" si="0"/>
        <v>1</v>
      </c>
      <c r="L11">
        <f t="shared" si="1"/>
        <v>5.9558585348809936E-2</v>
      </c>
      <c r="M11">
        <f t="shared" si="2"/>
        <v>0.11911717069761987</v>
      </c>
      <c r="N11">
        <f t="shared" si="3"/>
        <v>0.29631136989457679</v>
      </c>
      <c r="O11" s="26">
        <f t="shared" si="4"/>
        <v>0.28361231118480923</v>
      </c>
    </row>
    <row r="12" spans="1:15" x14ac:dyDescent="0.35">
      <c r="A12" t="s">
        <v>62</v>
      </c>
      <c r="B12">
        <v>4</v>
      </c>
      <c r="C12" t="s">
        <v>63</v>
      </c>
      <c r="D12">
        <v>10</v>
      </c>
      <c r="E12">
        <v>7.3784760708545699E-2</v>
      </c>
      <c r="F12">
        <v>1.04080178415171E-3</v>
      </c>
      <c r="G12" t="s">
        <v>62</v>
      </c>
      <c r="H12">
        <v>4</v>
      </c>
      <c r="I12">
        <v>10</v>
      </c>
      <c r="J12">
        <v>2.0074646578512201E-3</v>
      </c>
      <c r="K12" t="b">
        <f t="shared" si="0"/>
        <v>1</v>
      </c>
      <c r="L12">
        <f t="shared" si="1"/>
        <v>7.6833027150548627E-2</v>
      </c>
      <c r="M12">
        <f t="shared" si="2"/>
        <v>0.15366605430109725</v>
      </c>
      <c r="N12">
        <f t="shared" si="3"/>
        <v>0.38225386642063991</v>
      </c>
      <c r="O12" s="26">
        <f t="shared" si="4"/>
        <v>0.36587155785975539</v>
      </c>
    </row>
    <row r="13" spans="1:15" x14ac:dyDescent="0.35">
      <c r="A13" t="s">
        <v>62</v>
      </c>
      <c r="B13">
        <v>4</v>
      </c>
      <c r="C13" t="s">
        <v>63</v>
      </c>
      <c r="D13">
        <v>11</v>
      </c>
      <c r="E13">
        <v>9.4449847706289794E-2</v>
      </c>
      <c r="F13">
        <v>1.38461542999892E-3</v>
      </c>
      <c r="G13" t="s">
        <v>62</v>
      </c>
      <c r="H13">
        <v>4</v>
      </c>
      <c r="I13">
        <v>11</v>
      </c>
      <c r="J13">
        <v>2.59905924201343E-3</v>
      </c>
      <c r="K13" t="b">
        <f t="shared" si="0"/>
        <v>1</v>
      </c>
      <c r="L13">
        <f t="shared" si="1"/>
        <v>9.8433522378302135E-2</v>
      </c>
      <c r="M13">
        <f t="shared" si="2"/>
        <v>0.19686704475660427</v>
      </c>
      <c r="N13">
        <f t="shared" si="3"/>
        <v>0.48971901680747326</v>
      </c>
      <c r="O13" s="26">
        <f t="shared" si="4"/>
        <v>0.4687310589442959</v>
      </c>
    </row>
    <row r="14" spans="1:15" x14ac:dyDescent="0.35">
      <c r="A14" t="s">
        <v>62</v>
      </c>
      <c r="B14">
        <v>4</v>
      </c>
      <c r="C14" t="s">
        <v>63</v>
      </c>
      <c r="D14">
        <v>12</v>
      </c>
      <c r="E14">
        <v>0.12028120645347</v>
      </c>
      <c r="F14">
        <v>1.8206847985720799E-3</v>
      </c>
      <c r="G14" t="s">
        <v>62</v>
      </c>
      <c r="H14">
        <v>4</v>
      </c>
      <c r="I14">
        <v>12</v>
      </c>
      <c r="J14">
        <v>3.3392756886299101E-3</v>
      </c>
      <c r="K14" t="b">
        <f t="shared" si="0"/>
        <v>1</v>
      </c>
      <c r="L14">
        <f t="shared" si="1"/>
        <v>0.12544116694067201</v>
      </c>
      <c r="M14">
        <f t="shared" si="2"/>
        <v>0.25088233388134401</v>
      </c>
      <c r="N14">
        <f t="shared" si="3"/>
        <v>0.62408540766503484</v>
      </c>
      <c r="O14" s="26">
        <f t="shared" si="4"/>
        <v>0.59733889019367625</v>
      </c>
    </row>
    <row r="15" spans="1:15" x14ac:dyDescent="0.35">
      <c r="A15" t="s">
        <v>62</v>
      </c>
      <c r="B15">
        <v>4</v>
      </c>
      <c r="C15" t="s">
        <v>63</v>
      </c>
      <c r="D15">
        <v>13</v>
      </c>
      <c r="E15">
        <v>0.152570404887445</v>
      </c>
      <c r="F15">
        <v>2.3718847512147799E-3</v>
      </c>
      <c r="G15" t="s">
        <v>62</v>
      </c>
      <c r="H15">
        <v>4</v>
      </c>
      <c r="I15">
        <v>13</v>
      </c>
      <c r="J15">
        <v>4.2651021353571801E-3</v>
      </c>
      <c r="K15" t="b">
        <f t="shared" si="0"/>
        <v>1</v>
      </c>
      <c r="L15">
        <f t="shared" si="1"/>
        <v>0.15920739177401697</v>
      </c>
      <c r="M15">
        <f t="shared" si="2"/>
        <v>0.31841478354803393</v>
      </c>
      <c r="N15">
        <f t="shared" si="3"/>
        <v>0.79207657599013415</v>
      </c>
      <c r="O15" s="26">
        <f t="shared" si="4"/>
        <v>0.75813043701912841</v>
      </c>
    </row>
    <row r="16" spans="1:15" x14ac:dyDescent="0.35">
      <c r="A16" t="s">
        <v>62</v>
      </c>
      <c r="B16">
        <v>4</v>
      </c>
      <c r="C16" t="s">
        <v>63</v>
      </c>
      <c r="D16">
        <v>14</v>
      </c>
      <c r="E16">
        <v>0.192931902929914</v>
      </c>
      <c r="F16">
        <v>3.0668145366865899E-3</v>
      </c>
      <c r="G16" t="s">
        <v>62</v>
      </c>
      <c r="H16">
        <v>4</v>
      </c>
      <c r="I16">
        <v>14</v>
      </c>
      <c r="J16">
        <v>5.4228141157258497E-3</v>
      </c>
      <c r="K16" t="b">
        <f t="shared" si="0"/>
        <v>1</v>
      </c>
      <c r="L16">
        <f t="shared" si="1"/>
        <v>0.20142153158232642</v>
      </c>
      <c r="M16">
        <f t="shared" si="2"/>
        <v>0.40284306316465285</v>
      </c>
      <c r="N16">
        <f t="shared" si="3"/>
        <v>1.0020971720513752</v>
      </c>
      <c r="O16" s="26">
        <f t="shared" si="4"/>
        <v>0.95915015039203066</v>
      </c>
    </row>
    <row r="17" spans="1:15" x14ac:dyDescent="0.35">
      <c r="A17" t="s">
        <v>62</v>
      </c>
      <c r="B17">
        <v>4</v>
      </c>
      <c r="C17" t="s">
        <v>63</v>
      </c>
      <c r="D17">
        <v>15</v>
      </c>
      <c r="E17">
        <v>0.243383775482999</v>
      </c>
      <c r="F17">
        <v>3.9412287178547502E-3</v>
      </c>
      <c r="G17" t="s">
        <v>62</v>
      </c>
      <c r="H17">
        <v>4</v>
      </c>
      <c r="I17">
        <v>15</v>
      </c>
      <c r="J17">
        <v>6.8702859960980203E-3</v>
      </c>
      <c r="K17" t="b">
        <f t="shared" si="0"/>
        <v>1</v>
      </c>
      <c r="L17">
        <f t="shared" si="1"/>
        <v>0.25419529019695175</v>
      </c>
      <c r="M17">
        <f t="shared" si="2"/>
        <v>0.5083905803939035</v>
      </c>
      <c r="N17">
        <f t="shared" si="3"/>
        <v>1.2646531850594613</v>
      </c>
      <c r="O17" s="26">
        <f t="shared" si="4"/>
        <v>1.2104537628426275</v>
      </c>
    </row>
    <row r="18" spans="1:15" x14ac:dyDescent="0.35">
      <c r="A18" t="s">
        <v>62</v>
      </c>
      <c r="B18">
        <v>4</v>
      </c>
      <c r="C18" t="s">
        <v>63</v>
      </c>
      <c r="D18">
        <v>16</v>
      </c>
      <c r="E18">
        <v>0.30644861617435798</v>
      </c>
      <c r="F18">
        <v>5.03982583516349E-3</v>
      </c>
      <c r="G18" t="s">
        <v>62</v>
      </c>
      <c r="H18">
        <v>4</v>
      </c>
      <c r="I18">
        <v>16</v>
      </c>
      <c r="J18">
        <v>8.6798832241916993E-3</v>
      </c>
      <c r="K18" t="b">
        <f t="shared" si="0"/>
        <v>1</v>
      </c>
      <c r="L18">
        <f t="shared" si="1"/>
        <v>0.32016832523371319</v>
      </c>
      <c r="M18">
        <f t="shared" si="2"/>
        <v>0.64033665046742638</v>
      </c>
      <c r="N18">
        <f t="shared" si="3"/>
        <v>1.5928772399687223</v>
      </c>
      <c r="O18" s="26">
        <f t="shared" si="4"/>
        <v>1.5246110725414914</v>
      </c>
    </row>
    <row r="19" spans="1:15" x14ac:dyDescent="0.35">
      <c r="A19" t="s">
        <v>62</v>
      </c>
      <c r="B19">
        <v>4</v>
      </c>
      <c r="C19" t="s">
        <v>63</v>
      </c>
      <c r="D19">
        <v>17</v>
      </c>
      <c r="E19">
        <v>0.38527966703855498</v>
      </c>
      <c r="F19">
        <v>6.4184842409224898E-3</v>
      </c>
      <c r="G19" t="s">
        <v>62</v>
      </c>
      <c r="H19">
        <v>4</v>
      </c>
      <c r="I19">
        <v>17</v>
      </c>
      <c r="J19">
        <v>1.09420796568551E-2</v>
      </c>
      <c r="K19" t="b">
        <f t="shared" si="0"/>
        <v>1</v>
      </c>
      <c r="L19">
        <f t="shared" si="1"/>
        <v>0.40264023093633261</v>
      </c>
      <c r="M19">
        <f t="shared" si="2"/>
        <v>0.80528046187266522</v>
      </c>
      <c r="N19">
        <f t="shared" si="3"/>
        <v>2.003185228538968</v>
      </c>
      <c r="O19" s="26">
        <f t="shared" si="4"/>
        <v>1.9173344330301554</v>
      </c>
    </row>
    <row r="20" spans="1:15" x14ac:dyDescent="0.35">
      <c r="A20" t="s">
        <v>62</v>
      </c>
      <c r="B20">
        <v>4</v>
      </c>
      <c r="C20" t="s">
        <v>63</v>
      </c>
      <c r="D20">
        <v>18</v>
      </c>
      <c r="E20">
        <v>0.48381848061880101</v>
      </c>
      <c r="F20">
        <v>8.1470568969706503E-3</v>
      </c>
      <c r="G20" t="s">
        <v>62</v>
      </c>
      <c r="H20">
        <v>4</v>
      </c>
      <c r="I20">
        <v>18</v>
      </c>
      <c r="J20">
        <v>1.3769980630796199E-2</v>
      </c>
      <c r="K20" t="b">
        <f t="shared" si="0"/>
        <v>1</v>
      </c>
      <c r="L20">
        <f t="shared" si="1"/>
        <v>0.50573551814656781</v>
      </c>
      <c r="M20">
        <f t="shared" si="2"/>
        <v>1.0114710362931356</v>
      </c>
      <c r="N20">
        <f t="shared" si="3"/>
        <v>2.5160971052068049</v>
      </c>
      <c r="O20" s="26">
        <f t="shared" si="4"/>
        <v>2.4082643721265136</v>
      </c>
    </row>
    <row r="21" spans="1:15" x14ac:dyDescent="0.35">
      <c r="A21" t="s">
        <v>62</v>
      </c>
      <c r="B21">
        <v>4</v>
      </c>
      <c r="C21" t="s">
        <v>63</v>
      </c>
      <c r="D21">
        <v>19</v>
      </c>
      <c r="E21">
        <v>0.60699199759410905</v>
      </c>
      <c r="F21">
        <v>1.0312864876414699E-2</v>
      </c>
      <c r="G21" t="s">
        <v>62</v>
      </c>
      <c r="H21">
        <v>4</v>
      </c>
      <c r="I21">
        <v>19</v>
      </c>
      <c r="J21">
        <v>1.7304977809337201E-2</v>
      </c>
      <c r="K21" t="b">
        <f t="shared" si="0"/>
        <v>1</v>
      </c>
      <c r="L21">
        <f t="shared" si="1"/>
        <v>0.63460984027986089</v>
      </c>
      <c r="M21">
        <f t="shared" si="2"/>
        <v>1.2692196805597218</v>
      </c>
      <c r="N21">
        <f t="shared" si="3"/>
        <v>3.1572628869644817</v>
      </c>
      <c r="O21" s="26">
        <f t="shared" si="4"/>
        <v>3.0219516203802899</v>
      </c>
    </row>
    <row r="22" spans="1:15" x14ac:dyDescent="0.35">
      <c r="A22" t="s">
        <v>62</v>
      </c>
      <c r="B22">
        <v>4</v>
      </c>
      <c r="C22" t="s">
        <v>63</v>
      </c>
      <c r="D22">
        <v>20</v>
      </c>
      <c r="E22">
        <v>0.760958893813244</v>
      </c>
      <c r="F22">
        <v>1.30250642453223E-2</v>
      </c>
      <c r="G22" t="s">
        <v>62</v>
      </c>
      <c r="H22">
        <v>4</v>
      </c>
      <c r="I22">
        <v>20</v>
      </c>
      <c r="J22">
        <v>2.1723818474946699E-2</v>
      </c>
      <c r="K22" t="b">
        <f t="shared" si="0"/>
        <v>1</v>
      </c>
      <c r="L22">
        <f t="shared" si="1"/>
        <v>0.79570777653351299</v>
      </c>
      <c r="M22">
        <f t="shared" si="2"/>
        <v>1.591415553067026</v>
      </c>
      <c r="N22">
        <f t="shared" si="3"/>
        <v>3.9587451568831491</v>
      </c>
      <c r="O22" s="26">
        <f t="shared" si="4"/>
        <v>3.7890846501595856</v>
      </c>
    </row>
    <row r="23" spans="1:15" x14ac:dyDescent="0.35">
      <c r="A23" t="s">
        <v>62</v>
      </c>
      <c r="B23">
        <v>4</v>
      </c>
      <c r="C23" t="s">
        <v>63</v>
      </c>
      <c r="D23">
        <v>21</v>
      </c>
      <c r="E23">
        <v>0.95341751408716302</v>
      </c>
      <c r="F23">
        <v>1.6420104669220999E-2</v>
      </c>
      <c r="G23" t="s">
        <v>62</v>
      </c>
      <c r="H23">
        <v>4</v>
      </c>
      <c r="I23">
        <v>21</v>
      </c>
      <c r="J23">
        <v>2.7247442687710299E-2</v>
      </c>
      <c r="K23" t="b">
        <f t="shared" si="0"/>
        <v>1</v>
      </c>
      <c r="L23">
        <f t="shared" si="1"/>
        <v>0.99708506144409426</v>
      </c>
      <c r="M23">
        <f t="shared" si="2"/>
        <v>1.9941701228881885</v>
      </c>
      <c r="N23">
        <f t="shared" si="3"/>
        <v>4.9606221962392745</v>
      </c>
      <c r="O23" s="26">
        <f t="shared" si="4"/>
        <v>4.7480241021147345</v>
      </c>
    </row>
    <row r="24" spans="1:15" x14ac:dyDescent="0.35">
      <c r="A24" t="s">
        <v>62</v>
      </c>
      <c r="B24">
        <v>4</v>
      </c>
      <c r="C24" t="s">
        <v>63</v>
      </c>
      <c r="D24">
        <v>22</v>
      </c>
      <c r="E24">
        <v>1.1939907894295601</v>
      </c>
      <c r="F24">
        <v>2.06685526754758E-2</v>
      </c>
      <c r="G24" t="s">
        <v>62</v>
      </c>
      <c r="H24">
        <v>4</v>
      </c>
      <c r="I24">
        <v>22</v>
      </c>
      <c r="J24">
        <v>3.41520301398823E-2</v>
      </c>
      <c r="K24" t="b">
        <f t="shared" si="0"/>
        <v>1</v>
      </c>
      <c r="L24">
        <f t="shared" si="1"/>
        <v>1.2488113722449181</v>
      </c>
      <c r="M24">
        <f t="shared" si="2"/>
        <v>2.4976227444898362</v>
      </c>
      <c r="N24">
        <f t="shared" si="3"/>
        <v>6.21299190171601</v>
      </c>
      <c r="O24" s="26">
        <f t="shared" si="4"/>
        <v>5.9467208202138959</v>
      </c>
    </row>
    <row r="25" spans="1:15" x14ac:dyDescent="0.35">
      <c r="A25" t="s">
        <v>62</v>
      </c>
      <c r="B25">
        <v>4</v>
      </c>
      <c r="C25" t="s">
        <v>63</v>
      </c>
      <c r="D25">
        <v>23</v>
      </c>
      <c r="E25">
        <v>1.4947073836075599</v>
      </c>
      <c r="F25">
        <v>2.59836207353842E-2</v>
      </c>
      <c r="G25" t="s">
        <v>62</v>
      </c>
      <c r="H25">
        <v>4</v>
      </c>
      <c r="I25">
        <v>23</v>
      </c>
      <c r="J25">
        <v>4.2782809031498399E-2</v>
      </c>
      <c r="K25" t="b">
        <f t="shared" si="0"/>
        <v>1</v>
      </c>
      <c r="L25">
        <f t="shared" si="1"/>
        <v>1.5634738133744426</v>
      </c>
      <c r="M25">
        <f t="shared" si="2"/>
        <v>3.1269476267488852</v>
      </c>
      <c r="N25">
        <f t="shared" si="3"/>
        <v>7.7784766834549375</v>
      </c>
      <c r="O25" s="26">
        <f t="shared" si="4"/>
        <v>7.4451133970211556</v>
      </c>
    </row>
    <row r="26" spans="1:15" x14ac:dyDescent="0.35">
      <c r="A26" t="s">
        <v>62</v>
      </c>
      <c r="B26">
        <v>4</v>
      </c>
      <c r="C26" t="s">
        <v>63</v>
      </c>
      <c r="D26">
        <v>24</v>
      </c>
      <c r="E26">
        <v>1.87060312633005</v>
      </c>
      <c r="F26">
        <v>3.2631828620796999E-2</v>
      </c>
      <c r="G26" t="s">
        <v>62</v>
      </c>
      <c r="H26">
        <v>4</v>
      </c>
      <c r="I26">
        <v>24</v>
      </c>
      <c r="J26">
        <v>5.3571317399218998E-2</v>
      </c>
      <c r="K26" t="b">
        <f t="shared" si="0"/>
        <v>1</v>
      </c>
      <c r="L26">
        <f t="shared" si="1"/>
        <v>1.9568062723500659</v>
      </c>
      <c r="M26">
        <f t="shared" si="2"/>
        <v>3.9136125447001318</v>
      </c>
      <c r="N26">
        <f t="shared" si="3"/>
        <v>9.7353545888062971</v>
      </c>
      <c r="O26" s="26">
        <f t="shared" si="4"/>
        <v>9.3181251064288855</v>
      </c>
    </row>
    <row r="27" spans="1:15" x14ac:dyDescent="0.35">
      <c r="A27" t="s">
        <v>62</v>
      </c>
      <c r="B27">
        <v>4</v>
      </c>
      <c r="C27" t="s">
        <v>63</v>
      </c>
      <c r="D27">
        <v>25</v>
      </c>
      <c r="E27">
        <v>2.34047280473317</v>
      </c>
      <c r="F27">
        <v>4.0946330103774402E-2</v>
      </c>
      <c r="G27" t="s">
        <v>62</v>
      </c>
      <c r="H27">
        <v>4</v>
      </c>
      <c r="I27">
        <v>25</v>
      </c>
      <c r="J27">
        <v>6.7056979957051399E-2</v>
      </c>
      <c r="K27" t="b">
        <f t="shared" si="0"/>
        <v>1</v>
      </c>
      <c r="L27">
        <f t="shared" si="1"/>
        <v>2.448476114793996</v>
      </c>
      <c r="M27">
        <f t="shared" si="2"/>
        <v>4.8969522295879919</v>
      </c>
      <c r="N27">
        <f t="shared" si="3"/>
        <v>12.181473207930328</v>
      </c>
      <c r="O27" s="26">
        <f t="shared" si="4"/>
        <v>11.659410070447601</v>
      </c>
    </row>
    <row r="28" spans="1:15" x14ac:dyDescent="0.35">
      <c r="A28" t="s">
        <v>62</v>
      </c>
      <c r="B28">
        <v>4</v>
      </c>
      <c r="C28" t="s">
        <v>63</v>
      </c>
      <c r="D28">
        <v>26</v>
      </c>
      <c r="E28">
        <v>2.9278099027370801</v>
      </c>
      <c r="F28">
        <v>5.1343571334921297E-2</v>
      </c>
      <c r="G28" t="s">
        <v>62</v>
      </c>
      <c r="H28">
        <v>4</v>
      </c>
      <c r="I28">
        <v>26</v>
      </c>
      <c r="J28">
        <v>8.3914079285630799E-2</v>
      </c>
      <c r="K28" t="b">
        <f t="shared" si="0"/>
        <v>1</v>
      </c>
      <c r="L28">
        <f t="shared" si="1"/>
        <v>3.0630675533576324</v>
      </c>
      <c r="M28">
        <f t="shared" si="2"/>
        <v>6.1261351067152647</v>
      </c>
      <c r="N28">
        <f t="shared" si="3"/>
        <v>15.239142056505633</v>
      </c>
      <c r="O28" s="26">
        <f t="shared" si="4"/>
        <v>14.586035968369679</v>
      </c>
    </row>
    <row r="29" spans="1:15" x14ac:dyDescent="0.35">
      <c r="A29" t="s">
        <v>62</v>
      </c>
      <c r="B29">
        <v>4</v>
      </c>
      <c r="C29" t="s">
        <v>63</v>
      </c>
      <c r="D29">
        <v>27</v>
      </c>
      <c r="E29">
        <v>3.6619812752419598</v>
      </c>
      <c r="F29">
        <v>6.4344113819957305E-2</v>
      </c>
      <c r="G29" t="s">
        <v>62</v>
      </c>
      <c r="H29">
        <v>4</v>
      </c>
      <c r="I29">
        <v>27</v>
      </c>
      <c r="J29">
        <v>0.104985469925753</v>
      </c>
      <c r="K29" t="b">
        <f t="shared" si="0"/>
        <v>1</v>
      </c>
      <c r="L29">
        <f t="shared" si="1"/>
        <v>3.8313108589876701</v>
      </c>
      <c r="M29">
        <f t="shared" si="2"/>
        <v>7.6626217179753402</v>
      </c>
      <c r="N29">
        <f t="shared" si="3"/>
        <v>19.061248054665025</v>
      </c>
      <c r="O29" s="26">
        <f t="shared" si="4"/>
        <v>18.24433742375081</v>
      </c>
    </row>
    <row r="30" spans="1:15" x14ac:dyDescent="0.35">
      <c r="A30" t="s">
        <v>62</v>
      </c>
      <c r="B30">
        <v>4</v>
      </c>
      <c r="C30" t="s">
        <v>63</v>
      </c>
      <c r="D30">
        <v>28</v>
      </c>
      <c r="E30">
        <v>4.5796954908730596</v>
      </c>
      <c r="F30">
        <v>8.0598663143971502E-2</v>
      </c>
      <c r="G30" t="s">
        <v>62</v>
      </c>
      <c r="H30">
        <v>4</v>
      </c>
      <c r="I30">
        <v>28</v>
      </c>
      <c r="J30">
        <v>0.13132472107812601</v>
      </c>
      <c r="K30" t="b">
        <f t="shared" si="0"/>
        <v>1</v>
      </c>
      <c r="L30">
        <f t="shared" si="1"/>
        <v>4.7916188750951578</v>
      </c>
      <c r="M30">
        <f t="shared" si="2"/>
        <v>9.5832377501903157</v>
      </c>
      <c r="N30">
        <f t="shared" si="3"/>
        <v>23.838899876095311</v>
      </c>
      <c r="O30" s="26">
        <f t="shared" si="4"/>
        <v>22.81723273854837</v>
      </c>
    </row>
    <row r="31" spans="1:15" x14ac:dyDescent="0.35">
      <c r="A31" t="s">
        <v>62</v>
      </c>
      <c r="B31">
        <v>4</v>
      </c>
      <c r="C31" t="s">
        <v>63</v>
      </c>
      <c r="D31">
        <v>29</v>
      </c>
      <c r="E31">
        <v>5.7268382604119301</v>
      </c>
      <c r="F31">
        <v>0.100920604880177</v>
      </c>
      <c r="G31" t="s">
        <v>62</v>
      </c>
      <c r="H31">
        <v>4</v>
      </c>
      <c r="I31">
        <v>29</v>
      </c>
      <c r="J31">
        <v>0.16424879504235501</v>
      </c>
      <c r="K31" t="b">
        <f t="shared" si="0"/>
        <v>1</v>
      </c>
      <c r="L31">
        <f t="shared" si="1"/>
        <v>5.9920076603344627</v>
      </c>
      <c r="M31">
        <f t="shared" si="2"/>
        <v>11.984015320668925</v>
      </c>
      <c r="N31">
        <f t="shared" si="3"/>
        <v>29.810983384748567</v>
      </c>
      <c r="O31" s="26">
        <f t="shared" si="4"/>
        <v>28.53336981111649</v>
      </c>
    </row>
    <row r="32" spans="1:15" x14ac:dyDescent="0.35">
      <c r="A32" t="s">
        <v>62</v>
      </c>
      <c r="B32">
        <v>4</v>
      </c>
      <c r="C32" t="s">
        <v>63</v>
      </c>
      <c r="D32">
        <v>30</v>
      </c>
      <c r="E32">
        <v>7.1580599999999901</v>
      </c>
      <c r="F32">
        <v>0.12631592673377201</v>
      </c>
      <c r="G32" t="s">
        <v>62</v>
      </c>
      <c r="H32">
        <v>4</v>
      </c>
      <c r="I32">
        <v>30</v>
      </c>
      <c r="J32">
        <v>0.205367309866753</v>
      </c>
      <c r="K32" t="b">
        <f t="shared" si="0"/>
        <v>1</v>
      </c>
      <c r="L32">
        <f t="shared" si="1"/>
        <v>7.4897432366005159</v>
      </c>
      <c r="M32">
        <f t="shared" si="2"/>
        <v>14.979486473201032</v>
      </c>
      <c r="N32">
        <f t="shared" si="3"/>
        <v>37.262404162191622</v>
      </c>
      <c r="O32" s="26">
        <f t="shared" si="4"/>
        <v>35.665443983811983</v>
      </c>
    </row>
    <row r="33" spans="1:15" x14ac:dyDescent="0.35">
      <c r="A33" t="s">
        <v>62</v>
      </c>
      <c r="B33">
        <v>4</v>
      </c>
      <c r="C33" t="s">
        <v>63</v>
      </c>
      <c r="D33">
        <v>31</v>
      </c>
      <c r="E33">
        <v>8.7141599999999997</v>
      </c>
      <c r="F33">
        <v>0.15712828893175801</v>
      </c>
      <c r="G33" t="s">
        <v>62</v>
      </c>
      <c r="H33">
        <v>4</v>
      </c>
      <c r="I33">
        <v>31</v>
      </c>
      <c r="J33">
        <v>0.25359358809517701</v>
      </c>
      <c r="K33" t="b">
        <f t="shared" si="0"/>
        <v>1</v>
      </c>
      <c r="L33">
        <f t="shared" si="1"/>
        <v>9.1248818770269349</v>
      </c>
      <c r="M33">
        <f t="shared" si="2"/>
        <v>18.24976375405387</v>
      </c>
      <c r="N33">
        <f t="shared" si="3"/>
        <v>45.397422273765841</v>
      </c>
      <c r="O33" s="26">
        <f t="shared" si="4"/>
        <v>43.451818462033025</v>
      </c>
    </row>
    <row r="34" spans="1:15" x14ac:dyDescent="0.35">
      <c r="A34" t="s">
        <v>62</v>
      </c>
      <c r="B34">
        <v>4</v>
      </c>
      <c r="C34" t="s">
        <v>63</v>
      </c>
      <c r="D34">
        <v>32</v>
      </c>
      <c r="E34">
        <v>10.27026</v>
      </c>
      <c r="F34">
        <v>0.193195180263806</v>
      </c>
      <c r="G34" t="s">
        <v>62</v>
      </c>
      <c r="H34">
        <v>4</v>
      </c>
      <c r="I34">
        <v>32</v>
      </c>
      <c r="J34">
        <v>0.30657970787544597</v>
      </c>
      <c r="K34" t="b">
        <f t="shared" si="0"/>
        <v>1</v>
      </c>
      <c r="L34">
        <f t="shared" si="1"/>
        <v>10.770034888139254</v>
      </c>
      <c r="M34">
        <f t="shared" si="2"/>
        <v>21.540069776278507</v>
      </c>
      <c r="N34">
        <f t="shared" si="3"/>
        <v>53.582263125070909</v>
      </c>
      <c r="O34" s="26">
        <f t="shared" si="4"/>
        <v>51.285880419710736</v>
      </c>
    </row>
    <row r="35" spans="1:15" x14ac:dyDescent="0.35">
      <c r="A35" t="s">
        <v>62</v>
      </c>
      <c r="B35">
        <v>4</v>
      </c>
      <c r="C35" t="s">
        <v>63</v>
      </c>
      <c r="D35">
        <v>33</v>
      </c>
      <c r="E35">
        <v>11.826359999999999</v>
      </c>
      <c r="F35">
        <v>0.234358964855891</v>
      </c>
      <c r="G35" t="s">
        <v>62</v>
      </c>
      <c r="H35">
        <v>4</v>
      </c>
      <c r="I35">
        <v>33</v>
      </c>
      <c r="J35">
        <v>0.36283289120958401</v>
      </c>
      <c r="K35" t="b">
        <f t="shared" si="0"/>
        <v>1</v>
      </c>
      <c r="L35">
        <f t="shared" si="1"/>
        <v>12.423551856065474</v>
      </c>
      <c r="M35">
        <f t="shared" si="2"/>
        <v>24.847103712130949</v>
      </c>
      <c r="N35">
        <f t="shared" si="3"/>
        <v>61.808715701818279</v>
      </c>
      <c r="O35" s="26">
        <f t="shared" si="4"/>
        <v>59.159770743168927</v>
      </c>
    </row>
    <row r="36" spans="1:15" x14ac:dyDescent="0.35">
      <c r="A36" t="s">
        <v>62</v>
      </c>
      <c r="B36">
        <v>4</v>
      </c>
      <c r="C36" t="s">
        <v>63</v>
      </c>
      <c r="D36">
        <v>34</v>
      </c>
      <c r="E36">
        <v>13.38246</v>
      </c>
      <c r="F36">
        <v>0.28046673591021498</v>
      </c>
      <c r="G36" t="s">
        <v>62</v>
      </c>
      <c r="H36">
        <v>4</v>
      </c>
      <c r="I36">
        <v>34</v>
      </c>
      <c r="J36">
        <v>0.42138117409599202</v>
      </c>
      <c r="K36" t="b">
        <f t="shared" si="0"/>
        <v>1</v>
      </c>
      <c r="L36">
        <f t="shared" si="1"/>
        <v>14.084307910006206</v>
      </c>
      <c r="M36">
        <f t="shared" si="2"/>
        <v>28.168615820012413</v>
      </c>
      <c r="N36">
        <f t="shared" si="3"/>
        <v>70.071183631871662</v>
      </c>
      <c r="O36" s="26">
        <f t="shared" si="4"/>
        <v>67.068132904791455</v>
      </c>
    </row>
    <row r="37" spans="1:15" x14ac:dyDescent="0.35">
      <c r="A37" t="s">
        <v>62</v>
      </c>
      <c r="B37">
        <v>4</v>
      </c>
      <c r="C37" t="s">
        <v>63</v>
      </c>
      <c r="D37">
        <v>35</v>
      </c>
      <c r="E37">
        <v>14.938560000000001</v>
      </c>
      <c r="F37">
        <v>0.33137017383290801</v>
      </c>
      <c r="G37" t="s">
        <v>62</v>
      </c>
      <c r="H37">
        <v>4</v>
      </c>
      <c r="I37">
        <v>35</v>
      </c>
      <c r="J37">
        <v>0.48157575342966502</v>
      </c>
      <c r="K37" t="b">
        <f t="shared" si="0"/>
        <v>1</v>
      </c>
      <c r="L37">
        <f t="shared" si="1"/>
        <v>15.751505927262574</v>
      </c>
      <c r="M37">
        <f t="shared" si="2"/>
        <v>31.503011854525148</v>
      </c>
      <c r="N37">
        <f t="shared" si="3"/>
        <v>78.365701130659573</v>
      </c>
      <c r="O37" s="26">
        <f t="shared" si="4"/>
        <v>75.007171082202731</v>
      </c>
    </row>
    <row r="38" spans="1:15" x14ac:dyDescent="0.35">
      <c r="A38" t="s">
        <v>62</v>
      </c>
      <c r="B38">
        <v>4</v>
      </c>
      <c r="C38" t="s">
        <v>63</v>
      </c>
      <c r="D38">
        <v>36</v>
      </c>
      <c r="E38">
        <v>16.633512</v>
      </c>
      <c r="F38">
        <v>0.38747675661792103</v>
      </c>
      <c r="G38" t="s">
        <v>62</v>
      </c>
      <c r="H38">
        <v>4</v>
      </c>
      <c r="I38">
        <v>36</v>
      </c>
      <c r="J38">
        <v>0.54484948148753398</v>
      </c>
      <c r="K38" t="b">
        <f t="shared" si="0"/>
        <v>1</v>
      </c>
      <c r="L38">
        <f t="shared" si="1"/>
        <v>17.565838238105457</v>
      </c>
      <c r="M38">
        <f t="shared" si="2"/>
        <v>35.131676476210913</v>
      </c>
      <c r="N38">
        <f t="shared" si="3"/>
        <v>87.392230040325643</v>
      </c>
      <c r="O38" s="26">
        <f t="shared" si="4"/>
        <v>83.64684875288313</v>
      </c>
    </row>
    <row r="39" spans="1:15" x14ac:dyDescent="0.35">
      <c r="A39" t="s">
        <v>62</v>
      </c>
      <c r="B39">
        <v>4</v>
      </c>
      <c r="C39" t="s">
        <v>63</v>
      </c>
      <c r="D39">
        <v>37</v>
      </c>
      <c r="E39">
        <v>18.328464</v>
      </c>
      <c r="F39">
        <v>0.44863038991938298</v>
      </c>
      <c r="G39" t="s">
        <v>62</v>
      </c>
      <c r="H39">
        <v>4</v>
      </c>
      <c r="I39">
        <v>37</v>
      </c>
      <c r="J39">
        <v>0.61022052991370701</v>
      </c>
      <c r="K39" t="b">
        <f t="shared" si="0"/>
        <v>1</v>
      </c>
      <c r="L39">
        <f t="shared" si="1"/>
        <v>19.387314919833091</v>
      </c>
      <c r="M39">
        <f t="shared" si="2"/>
        <v>38.774629839666183</v>
      </c>
      <c r="N39">
        <f t="shared" si="3"/>
        <v>96.454303083746723</v>
      </c>
      <c r="O39" s="26">
        <f t="shared" si="4"/>
        <v>92.320547237300445</v>
      </c>
    </row>
    <row r="40" spans="1:15" x14ac:dyDescent="0.35">
      <c r="A40" t="s">
        <v>62</v>
      </c>
      <c r="B40">
        <v>4</v>
      </c>
      <c r="C40" t="s">
        <v>63</v>
      </c>
      <c r="D40">
        <v>38</v>
      </c>
      <c r="E40">
        <v>20.023416000000001</v>
      </c>
      <c r="F40">
        <v>0.51467966222180195</v>
      </c>
      <c r="G40" t="s">
        <v>62</v>
      </c>
      <c r="H40">
        <v>4</v>
      </c>
      <c r="I40">
        <v>38</v>
      </c>
      <c r="J40">
        <v>0.67705451052193599</v>
      </c>
      <c r="K40" t="b">
        <f t="shared" si="0"/>
        <v>1</v>
      </c>
      <c r="L40">
        <f t="shared" si="1"/>
        <v>21.215150172743741</v>
      </c>
      <c r="M40">
        <f t="shared" si="2"/>
        <v>42.430300345487481</v>
      </c>
      <c r="N40">
        <f t="shared" si="3"/>
        <v>105.54801080967034</v>
      </c>
      <c r="O40" s="26">
        <f t="shared" si="4"/>
        <v>101.02452463211306</v>
      </c>
    </row>
    <row r="41" spans="1:15" x14ac:dyDescent="0.35">
      <c r="A41" t="s">
        <v>62</v>
      </c>
      <c r="B41">
        <v>4</v>
      </c>
      <c r="C41" t="s">
        <v>63</v>
      </c>
      <c r="D41">
        <v>39</v>
      </c>
      <c r="E41">
        <v>21.718367999999899</v>
      </c>
      <c r="F41">
        <v>0.58547770435514801</v>
      </c>
      <c r="G41" t="s">
        <v>62</v>
      </c>
      <c r="H41">
        <v>4</v>
      </c>
      <c r="I41">
        <v>39</v>
      </c>
      <c r="J41">
        <v>0.74493128733344405</v>
      </c>
      <c r="K41" t="b">
        <f t="shared" si="0"/>
        <v>1</v>
      </c>
      <c r="L41">
        <f t="shared" si="1"/>
        <v>23.048776991688491</v>
      </c>
      <c r="M41">
        <f t="shared" si="2"/>
        <v>46.097553983376983</v>
      </c>
      <c r="N41">
        <f t="shared" si="3"/>
        <v>114.67053229695766</v>
      </c>
      <c r="O41" s="26">
        <f t="shared" si="4"/>
        <v>109.75608091280235</v>
      </c>
    </row>
    <row r="42" spans="1:15" x14ac:dyDescent="0.35">
      <c r="A42" t="s">
        <v>62</v>
      </c>
      <c r="B42">
        <v>4</v>
      </c>
      <c r="C42" t="s">
        <v>63</v>
      </c>
      <c r="D42">
        <v>40</v>
      </c>
      <c r="E42">
        <v>23.413319999999999</v>
      </c>
      <c r="F42">
        <v>0.660882053224493</v>
      </c>
      <c r="G42" t="s">
        <v>62</v>
      </c>
      <c r="H42">
        <v>4</v>
      </c>
      <c r="I42">
        <v>40</v>
      </c>
      <c r="J42">
        <v>0.81356559347267998</v>
      </c>
      <c r="K42" t="b">
        <f t="shared" si="0"/>
        <v>1</v>
      </c>
      <c r="L42">
        <f t="shared" si="1"/>
        <v>24.887767646697174</v>
      </c>
      <c r="M42">
        <f t="shared" si="2"/>
        <v>49.775535293394348</v>
      </c>
      <c r="N42">
        <f t="shared" si="3"/>
        <v>123.81973953580683</v>
      </c>
      <c r="O42" s="26">
        <f t="shared" si="4"/>
        <v>118.51317926998655</v>
      </c>
    </row>
    <row r="43" spans="1:15" x14ac:dyDescent="0.35">
      <c r="A43" t="s">
        <v>62</v>
      </c>
      <c r="B43">
        <v>4</v>
      </c>
      <c r="C43" t="s">
        <v>63</v>
      </c>
      <c r="D43">
        <v>41</v>
      </c>
      <c r="E43">
        <v>25.445826</v>
      </c>
      <c r="F43">
        <v>0.74209486562775895</v>
      </c>
      <c r="G43" t="s">
        <v>62</v>
      </c>
      <c r="H43">
        <v>4</v>
      </c>
      <c r="I43">
        <v>41</v>
      </c>
      <c r="J43">
        <v>0.88732158912482295</v>
      </c>
      <c r="K43" t="b">
        <f t="shared" si="0"/>
        <v>1</v>
      </c>
      <c r="L43">
        <f t="shared" si="1"/>
        <v>27.075242454752583</v>
      </c>
      <c r="M43">
        <f t="shared" si="2"/>
        <v>54.150484909505167</v>
      </c>
      <c r="N43">
        <f t="shared" si="3"/>
        <v>134.7026987798636</v>
      </c>
      <c r="O43" s="26">
        <f t="shared" si="4"/>
        <v>128.9297259750123</v>
      </c>
    </row>
    <row r="44" spans="1:15" x14ac:dyDescent="0.35">
      <c r="A44" t="s">
        <v>62</v>
      </c>
      <c r="B44">
        <v>4</v>
      </c>
      <c r="C44" t="s">
        <v>63</v>
      </c>
      <c r="D44">
        <v>42</v>
      </c>
      <c r="E44">
        <v>27.478331999999899</v>
      </c>
      <c r="F44">
        <v>0.82894188765892596</v>
      </c>
      <c r="G44" t="s">
        <v>62</v>
      </c>
      <c r="H44">
        <v>4</v>
      </c>
      <c r="I44">
        <v>42</v>
      </c>
      <c r="J44">
        <v>0.96442736244482596</v>
      </c>
      <c r="K44" t="b">
        <f t="shared" si="0"/>
        <v>1</v>
      </c>
      <c r="L44">
        <f t="shared" si="1"/>
        <v>29.27170125010365</v>
      </c>
      <c r="M44">
        <f t="shared" si="2"/>
        <v>58.5434025002073</v>
      </c>
      <c r="N44">
        <f t="shared" si="3"/>
        <v>145.6303544781276</v>
      </c>
      <c r="O44" s="26">
        <f t="shared" si="4"/>
        <v>139.38905357192215</v>
      </c>
    </row>
    <row r="45" spans="1:15" x14ac:dyDescent="0.35">
      <c r="A45" t="s">
        <v>62</v>
      </c>
      <c r="B45">
        <v>4</v>
      </c>
      <c r="C45" t="s">
        <v>63</v>
      </c>
      <c r="D45">
        <v>43</v>
      </c>
      <c r="E45">
        <v>29.510838</v>
      </c>
      <c r="F45">
        <v>0.92125409302915795</v>
      </c>
      <c r="G45" t="s">
        <v>62</v>
      </c>
      <c r="H45">
        <v>4</v>
      </c>
      <c r="I45">
        <v>43</v>
      </c>
      <c r="J45">
        <v>1.04377937518771</v>
      </c>
      <c r="K45" t="b">
        <f t="shared" si="0"/>
        <v>1</v>
      </c>
      <c r="L45">
        <f t="shared" si="1"/>
        <v>31.475871468216869</v>
      </c>
      <c r="M45">
        <f t="shared" si="2"/>
        <v>62.951742936433739</v>
      </c>
      <c r="N45">
        <f t="shared" si="3"/>
        <v>156.5963754637655</v>
      </c>
      <c r="O45" s="26">
        <f t="shared" si="4"/>
        <v>149.88510222960414</v>
      </c>
    </row>
    <row r="46" spans="1:15" x14ac:dyDescent="0.35">
      <c r="A46" t="s">
        <v>62</v>
      </c>
      <c r="B46">
        <v>4</v>
      </c>
      <c r="C46" t="s">
        <v>63</v>
      </c>
      <c r="D46">
        <v>44</v>
      </c>
      <c r="E46">
        <v>31.543344000000001</v>
      </c>
      <c r="F46">
        <v>1.01886752623828</v>
      </c>
      <c r="G46" t="s">
        <v>62</v>
      </c>
      <c r="H46">
        <v>4</v>
      </c>
      <c r="I46">
        <v>44</v>
      </c>
      <c r="J46">
        <v>1.12467514933162</v>
      </c>
      <c r="K46" t="b">
        <f t="shared" si="0"/>
        <v>1</v>
      </c>
      <c r="L46">
        <f t="shared" si="1"/>
        <v>33.686886675569902</v>
      </c>
      <c r="M46">
        <f t="shared" si="2"/>
        <v>67.373773351139803</v>
      </c>
      <c r="N46">
        <f t="shared" si="3"/>
        <v>167.59645112223831</v>
      </c>
      <c r="O46" s="26">
        <f t="shared" si="4"/>
        <v>160.41374607414238</v>
      </c>
    </row>
    <row r="47" spans="1:15" x14ac:dyDescent="0.35">
      <c r="A47" t="s">
        <v>62</v>
      </c>
      <c r="B47">
        <v>4</v>
      </c>
      <c r="C47" t="s">
        <v>63</v>
      </c>
      <c r="D47">
        <v>45</v>
      </c>
      <c r="E47">
        <v>33.575850000000003</v>
      </c>
      <c r="F47">
        <v>1.12162315045113</v>
      </c>
      <c r="G47" t="s">
        <v>62</v>
      </c>
      <c r="H47">
        <v>4</v>
      </c>
      <c r="I47">
        <v>45</v>
      </c>
      <c r="J47">
        <v>1.2066566922881601</v>
      </c>
      <c r="K47" t="b">
        <f t="shared" si="0"/>
        <v>1</v>
      </c>
      <c r="L47">
        <f t="shared" si="1"/>
        <v>35.904129842739295</v>
      </c>
      <c r="M47">
        <f t="shared" si="2"/>
        <v>71.808259685478589</v>
      </c>
      <c r="N47">
        <f t="shared" si="3"/>
        <v>178.62751165541937</v>
      </c>
      <c r="O47" s="26">
        <f t="shared" si="4"/>
        <v>170.97204687018711</v>
      </c>
    </row>
    <row r="48" spans="1:15" x14ac:dyDescent="0.35">
      <c r="A48" t="s">
        <v>62</v>
      </c>
      <c r="B48">
        <v>4</v>
      </c>
      <c r="C48" t="s">
        <v>63</v>
      </c>
      <c r="D48">
        <v>46</v>
      </c>
      <c r="E48">
        <v>35.866907999999903</v>
      </c>
      <c r="F48">
        <v>1.2303933479375999</v>
      </c>
      <c r="G48" t="s">
        <v>62</v>
      </c>
      <c r="H48">
        <v>4</v>
      </c>
      <c r="I48">
        <v>46</v>
      </c>
      <c r="J48">
        <v>1.2929125980684399</v>
      </c>
      <c r="K48" t="b">
        <f t="shared" si="0"/>
        <v>1</v>
      </c>
      <c r="L48">
        <f t="shared" si="1"/>
        <v>38.390213946005943</v>
      </c>
      <c r="M48">
        <f t="shared" si="2"/>
        <v>76.780427892011886</v>
      </c>
      <c r="N48">
        <f t="shared" si="3"/>
        <v>190.99608928361164</v>
      </c>
      <c r="O48" s="26">
        <f t="shared" si="4"/>
        <v>182.8105426000283</v>
      </c>
    </row>
    <row r="49" spans="1:15" x14ac:dyDescent="0.35">
      <c r="A49" t="s">
        <v>62</v>
      </c>
      <c r="B49">
        <v>4</v>
      </c>
      <c r="C49" t="s">
        <v>63</v>
      </c>
      <c r="D49">
        <v>47</v>
      </c>
      <c r="E49">
        <v>38.157966000000002</v>
      </c>
      <c r="F49">
        <v>1.34499768149947</v>
      </c>
      <c r="G49" t="s">
        <v>62</v>
      </c>
      <c r="H49">
        <v>4</v>
      </c>
      <c r="I49">
        <v>47</v>
      </c>
      <c r="J49">
        <v>1.38198395175517</v>
      </c>
      <c r="K49" t="b">
        <f t="shared" si="0"/>
        <v>1</v>
      </c>
      <c r="L49">
        <f t="shared" si="1"/>
        <v>40.88494763325464</v>
      </c>
      <c r="M49">
        <f t="shared" si="2"/>
        <v>81.76989526650928</v>
      </c>
      <c r="N49">
        <f t="shared" si="3"/>
        <v>203.40769966793351</v>
      </c>
      <c r="O49" s="26">
        <f t="shared" si="4"/>
        <v>194.69022682502211</v>
      </c>
    </row>
    <row r="50" spans="1:15" x14ac:dyDescent="0.35">
      <c r="A50" t="s">
        <v>62</v>
      </c>
      <c r="B50">
        <v>4</v>
      </c>
      <c r="C50" t="s">
        <v>63</v>
      </c>
      <c r="D50">
        <v>48</v>
      </c>
      <c r="E50">
        <v>40.449024000000001</v>
      </c>
      <c r="F50">
        <v>1.46526112705449</v>
      </c>
      <c r="G50" t="s">
        <v>62</v>
      </c>
      <c r="H50">
        <v>4</v>
      </c>
      <c r="I50">
        <v>48</v>
      </c>
      <c r="J50">
        <v>1.4729566969143499</v>
      </c>
      <c r="K50" t="b">
        <f t="shared" si="0"/>
        <v>1</v>
      </c>
      <c r="L50">
        <f t="shared" si="1"/>
        <v>43.387241823968843</v>
      </c>
      <c r="M50">
        <f t="shared" si="2"/>
        <v>86.774483647937686</v>
      </c>
      <c r="N50">
        <f t="shared" si="3"/>
        <v>215.85692449735743</v>
      </c>
      <c r="O50" s="26">
        <f t="shared" si="4"/>
        <v>206.6059134474707</v>
      </c>
    </row>
    <row r="51" spans="1:15" x14ac:dyDescent="0.35">
      <c r="A51" t="s">
        <v>62</v>
      </c>
      <c r="B51">
        <v>4</v>
      </c>
      <c r="C51" t="s">
        <v>63</v>
      </c>
      <c r="D51">
        <v>49</v>
      </c>
      <c r="E51">
        <v>42.740082000000001</v>
      </c>
      <c r="F51">
        <v>1.5910139112428501</v>
      </c>
      <c r="G51" t="s">
        <v>62</v>
      </c>
      <c r="H51">
        <v>4</v>
      </c>
      <c r="I51">
        <v>49</v>
      </c>
      <c r="J51">
        <v>1.5652450943459699</v>
      </c>
      <c r="K51" t="b">
        <f t="shared" si="0"/>
        <v>1</v>
      </c>
      <c r="L51">
        <f t="shared" si="1"/>
        <v>45.896341005588816</v>
      </c>
      <c r="M51">
        <f t="shared" si="2"/>
        <v>91.792682011177632</v>
      </c>
      <c r="N51">
        <f t="shared" si="3"/>
        <v>228.34000500292942</v>
      </c>
      <c r="O51" s="26">
        <f t="shared" si="4"/>
        <v>218.55400478851817</v>
      </c>
    </row>
    <row r="52" spans="1:15" x14ac:dyDescent="0.35">
      <c r="A52" t="s">
        <v>62</v>
      </c>
      <c r="B52">
        <v>4</v>
      </c>
      <c r="C52" t="s">
        <v>63</v>
      </c>
      <c r="D52">
        <v>50</v>
      </c>
      <c r="E52">
        <v>45.031140000000001</v>
      </c>
      <c r="F52">
        <v>1.72209135390557</v>
      </c>
      <c r="G52" t="s">
        <v>62</v>
      </c>
      <c r="H52">
        <v>4</v>
      </c>
      <c r="I52">
        <v>50</v>
      </c>
      <c r="J52">
        <v>1.6584645602688799</v>
      </c>
      <c r="K52" t="b">
        <f t="shared" si="0"/>
        <v>1</v>
      </c>
      <c r="L52">
        <f t="shared" si="1"/>
        <v>48.411695914174452</v>
      </c>
      <c r="M52">
        <f t="shared" si="2"/>
        <v>96.823391828348903</v>
      </c>
      <c r="N52">
        <f t="shared" si="3"/>
        <v>240.85420852823108</v>
      </c>
      <c r="O52" s="26">
        <f t="shared" si="4"/>
        <v>230.53188530559262</v>
      </c>
    </row>
    <row r="53" spans="1:15" x14ac:dyDescent="0.35">
      <c r="A53" t="s">
        <v>62</v>
      </c>
      <c r="B53">
        <v>4</v>
      </c>
      <c r="C53" t="s">
        <v>63</v>
      </c>
      <c r="D53">
        <v>51</v>
      </c>
      <c r="E53">
        <v>47.458655999999998</v>
      </c>
      <c r="F53">
        <v>1.8588755572883999</v>
      </c>
      <c r="G53" t="s">
        <v>62</v>
      </c>
      <c r="H53">
        <v>4</v>
      </c>
      <c r="I53">
        <v>51</v>
      </c>
      <c r="J53">
        <v>1.7542006345686101</v>
      </c>
      <c r="K53" t="b">
        <f t="shared" si="0"/>
        <v>1</v>
      </c>
      <c r="L53">
        <f t="shared" si="1"/>
        <v>51.071732191857009</v>
      </c>
      <c r="M53">
        <f t="shared" si="2"/>
        <v>102.14346438371402</v>
      </c>
      <c r="N53">
        <f t="shared" si="3"/>
        <v>254.08821985998512</v>
      </c>
      <c r="O53" s="26">
        <f t="shared" si="4"/>
        <v>243.19872472312863</v>
      </c>
    </row>
    <row r="54" spans="1:15" x14ac:dyDescent="0.35">
      <c r="A54" t="s">
        <v>62</v>
      </c>
      <c r="B54">
        <v>4</v>
      </c>
      <c r="C54" t="s">
        <v>63</v>
      </c>
      <c r="D54">
        <v>52</v>
      </c>
      <c r="E54">
        <v>49.886172000000002</v>
      </c>
      <c r="F54">
        <v>2.0011953185697502</v>
      </c>
      <c r="G54" t="s">
        <v>62</v>
      </c>
      <c r="H54">
        <v>4</v>
      </c>
      <c r="I54">
        <v>52</v>
      </c>
      <c r="J54">
        <v>1.85161543298737</v>
      </c>
      <c r="K54" t="b">
        <f t="shared" si="0"/>
        <v>1</v>
      </c>
      <c r="L54">
        <f t="shared" si="1"/>
        <v>53.738982751557124</v>
      </c>
      <c r="M54">
        <f t="shared" si="2"/>
        <v>107.47796550311425</v>
      </c>
      <c r="N54">
        <f t="shared" si="3"/>
        <v>267.35812314207521</v>
      </c>
      <c r="O54" s="26">
        <f t="shared" si="4"/>
        <v>255.89991786455775</v>
      </c>
    </row>
    <row r="55" spans="1:15" x14ac:dyDescent="0.35">
      <c r="A55" t="s">
        <v>62</v>
      </c>
      <c r="B55">
        <v>4</v>
      </c>
      <c r="C55" t="s">
        <v>63</v>
      </c>
      <c r="D55">
        <v>53</v>
      </c>
      <c r="E55">
        <v>52.2831767502459</v>
      </c>
      <c r="F55">
        <v>2.1762253272177401</v>
      </c>
      <c r="G55" t="s">
        <v>62</v>
      </c>
      <c r="H55">
        <v>4</v>
      </c>
      <c r="I55">
        <v>53</v>
      </c>
      <c r="J55">
        <v>1.94976572261843</v>
      </c>
      <c r="K55" t="b">
        <f t="shared" si="0"/>
        <v>1</v>
      </c>
      <c r="L55">
        <f t="shared" si="1"/>
        <v>56.409167800082074</v>
      </c>
      <c r="M55">
        <f t="shared" si="2"/>
        <v>112.81833560016415</v>
      </c>
      <c r="N55">
        <f t="shared" si="3"/>
        <v>280.64262587105509</v>
      </c>
      <c r="O55" s="26">
        <f t="shared" si="4"/>
        <v>268.61508476229562</v>
      </c>
    </row>
    <row r="56" spans="1:15" x14ac:dyDescent="0.35">
      <c r="A56" t="s">
        <v>62</v>
      </c>
      <c r="B56">
        <v>4</v>
      </c>
      <c r="C56" t="s">
        <v>63</v>
      </c>
      <c r="D56">
        <v>54</v>
      </c>
      <c r="E56">
        <v>54.5271741149311</v>
      </c>
      <c r="F56">
        <v>2.49224685630689</v>
      </c>
      <c r="G56" t="s">
        <v>62</v>
      </c>
      <c r="H56">
        <v>4</v>
      </c>
      <c r="I56">
        <v>54</v>
      </c>
      <c r="J56">
        <v>2.0463864792766802</v>
      </c>
      <c r="K56" t="b">
        <f t="shared" si="0"/>
        <v>1</v>
      </c>
      <c r="L56">
        <f t="shared" si="1"/>
        <v>59.065807450514669</v>
      </c>
      <c r="M56">
        <f t="shared" si="2"/>
        <v>118.13161490102934</v>
      </c>
      <c r="N56">
        <f t="shared" si="3"/>
        <v>293.85973855977443</v>
      </c>
      <c r="O56" s="26">
        <f t="shared" si="4"/>
        <v>281.26574976435558</v>
      </c>
    </row>
    <row r="57" spans="1:15" x14ac:dyDescent="0.35">
      <c r="A57" t="s">
        <v>62</v>
      </c>
      <c r="B57">
        <v>4</v>
      </c>
      <c r="C57" t="s">
        <v>63</v>
      </c>
      <c r="D57">
        <v>55</v>
      </c>
      <c r="E57">
        <v>56.710166935715499</v>
      </c>
      <c r="F57">
        <v>2.8600753009950299</v>
      </c>
      <c r="G57" t="s">
        <v>62</v>
      </c>
      <c r="H57">
        <v>4</v>
      </c>
      <c r="I57">
        <v>55</v>
      </c>
      <c r="J57">
        <v>2.1412539490222602</v>
      </c>
      <c r="K57" t="b">
        <f t="shared" si="0"/>
        <v>1</v>
      </c>
      <c r="L57">
        <f t="shared" si="1"/>
        <v>61.711496185732784</v>
      </c>
      <c r="M57">
        <f t="shared" si="2"/>
        <v>123.42299237146557</v>
      </c>
      <c r="N57">
        <f t="shared" si="3"/>
        <v>307.02236908324767</v>
      </c>
      <c r="O57" s="26">
        <f t="shared" si="4"/>
        <v>293.86426755110853</v>
      </c>
    </row>
    <row r="58" spans="1:15" x14ac:dyDescent="0.35">
      <c r="A58" t="s">
        <v>62</v>
      </c>
      <c r="B58">
        <v>4</v>
      </c>
      <c r="C58" t="s">
        <v>63</v>
      </c>
      <c r="D58">
        <v>56</v>
      </c>
      <c r="E58">
        <v>58.907697094374903</v>
      </c>
      <c r="F58">
        <v>3.2224953842686701</v>
      </c>
      <c r="G58" t="s">
        <v>62</v>
      </c>
      <c r="H58">
        <v>4</v>
      </c>
      <c r="I58">
        <v>56</v>
      </c>
      <c r="J58">
        <v>2.2352138759263198</v>
      </c>
      <c r="K58" t="b">
        <f t="shared" si="0"/>
        <v>1</v>
      </c>
      <c r="L58">
        <f t="shared" si="1"/>
        <v>64.365406354569899</v>
      </c>
      <c r="M58">
        <f t="shared" si="2"/>
        <v>128.7308127091398</v>
      </c>
      <c r="N58">
        <f t="shared" si="3"/>
        <v>320.22590226154176</v>
      </c>
      <c r="O58" s="26">
        <f t="shared" si="4"/>
        <v>306.50193502176143</v>
      </c>
    </row>
    <row r="59" spans="1:15" x14ac:dyDescent="0.35">
      <c r="A59" t="s">
        <v>62</v>
      </c>
      <c r="B59">
        <v>4</v>
      </c>
      <c r="C59" t="s">
        <v>63</v>
      </c>
      <c r="D59">
        <v>57</v>
      </c>
      <c r="E59">
        <v>61.0978443423706</v>
      </c>
      <c r="F59">
        <v>3.5865870087931699</v>
      </c>
      <c r="G59" t="s">
        <v>62</v>
      </c>
      <c r="H59">
        <v>4</v>
      </c>
      <c r="I59">
        <v>57</v>
      </c>
      <c r="J59">
        <v>2.3284888643015602</v>
      </c>
      <c r="K59" t="b">
        <f t="shared" si="0"/>
        <v>1</v>
      </c>
      <c r="L59">
        <f t="shared" si="1"/>
        <v>67.012920215465329</v>
      </c>
      <c r="M59">
        <f t="shared" si="2"/>
        <v>134.02584043093066</v>
      </c>
      <c r="N59">
        <f t="shared" si="3"/>
        <v>333.39761301226531</v>
      </c>
      <c r="O59" s="26">
        <f t="shared" si="4"/>
        <v>319.10914388316826</v>
      </c>
    </row>
    <row r="60" spans="1:15" x14ac:dyDescent="0.35">
      <c r="A60" t="s">
        <v>62</v>
      </c>
      <c r="B60">
        <v>4</v>
      </c>
      <c r="C60" t="s">
        <v>63</v>
      </c>
      <c r="D60">
        <v>58</v>
      </c>
      <c r="E60">
        <v>63.274756364843</v>
      </c>
      <c r="F60">
        <v>3.9575586594958101</v>
      </c>
      <c r="G60" t="s">
        <v>62</v>
      </c>
      <c r="H60">
        <v>4</v>
      </c>
      <c r="I60">
        <v>58</v>
      </c>
      <c r="J60">
        <v>2.4211341646391999</v>
      </c>
      <c r="K60" t="b">
        <f t="shared" si="0"/>
        <v>1</v>
      </c>
      <c r="L60">
        <f t="shared" si="1"/>
        <v>69.653449188978016</v>
      </c>
      <c r="M60">
        <f t="shared" si="2"/>
        <v>139.30689837795603</v>
      </c>
      <c r="N60">
        <f t="shared" si="3"/>
        <v>346.53457307949259</v>
      </c>
      <c r="O60" s="26">
        <f t="shared" si="4"/>
        <v>331.68309137608583</v>
      </c>
    </row>
    <row r="61" spans="1:15" x14ac:dyDescent="0.35">
      <c r="A61" t="s">
        <v>62</v>
      </c>
      <c r="B61">
        <v>4</v>
      </c>
      <c r="C61" t="s">
        <v>63</v>
      </c>
      <c r="D61">
        <v>59</v>
      </c>
      <c r="E61">
        <v>65.429444979602707</v>
      </c>
      <c r="F61">
        <v>4.3431736092201501</v>
      </c>
      <c r="G61" t="s">
        <v>62</v>
      </c>
      <c r="H61">
        <v>4</v>
      </c>
      <c r="I61">
        <v>59</v>
      </c>
      <c r="J61">
        <v>2.5130599369690598</v>
      </c>
      <c r="K61" t="b">
        <f t="shared" si="0"/>
        <v>1</v>
      </c>
      <c r="L61">
        <f t="shared" si="1"/>
        <v>72.285678525791909</v>
      </c>
      <c r="M61">
        <f t="shared" si="2"/>
        <v>144.57135705158382</v>
      </c>
      <c r="N61">
        <f t="shared" si="3"/>
        <v>359.63024142185026</v>
      </c>
      <c r="O61" s="26">
        <f t="shared" si="4"/>
        <v>344.21751678948527</v>
      </c>
    </row>
    <row r="62" spans="1:15" x14ac:dyDescent="0.35">
      <c r="A62" t="s">
        <v>62</v>
      </c>
      <c r="B62">
        <v>4</v>
      </c>
      <c r="C62" t="s">
        <v>63</v>
      </c>
      <c r="D62">
        <v>60</v>
      </c>
      <c r="E62">
        <v>67.563268875422693</v>
      </c>
      <c r="F62">
        <v>4.7415433870488402</v>
      </c>
      <c r="G62" t="s">
        <v>62</v>
      </c>
      <c r="H62">
        <v>4</v>
      </c>
      <c r="I62">
        <v>60</v>
      </c>
      <c r="J62">
        <v>2.6042246648484699</v>
      </c>
      <c r="K62" t="b">
        <f t="shared" si="0"/>
        <v>1</v>
      </c>
      <c r="L62">
        <f t="shared" si="1"/>
        <v>74.909036927320003</v>
      </c>
      <c r="M62">
        <f t="shared" si="2"/>
        <v>149.81807385464001</v>
      </c>
      <c r="N62">
        <f t="shared" si="3"/>
        <v>372.68177575781095</v>
      </c>
      <c r="O62" s="26">
        <f t="shared" si="4"/>
        <v>356.70969965390481</v>
      </c>
    </row>
    <row r="63" spans="1:15" x14ac:dyDescent="0.35">
      <c r="A63" t="s">
        <v>62</v>
      </c>
      <c r="B63">
        <v>4</v>
      </c>
      <c r="C63" t="s">
        <v>63</v>
      </c>
      <c r="D63">
        <v>61</v>
      </c>
      <c r="E63">
        <v>69.641347769769396</v>
      </c>
      <c r="F63">
        <v>5.1186967286109599</v>
      </c>
      <c r="G63" t="s">
        <v>62</v>
      </c>
      <c r="H63">
        <v>4</v>
      </c>
      <c r="I63">
        <v>61</v>
      </c>
      <c r="J63">
        <v>2.6941277740000298</v>
      </c>
      <c r="K63" t="b">
        <f t="shared" si="0"/>
        <v>1</v>
      </c>
      <c r="L63">
        <f t="shared" si="1"/>
        <v>77.454172272380376</v>
      </c>
      <c r="M63">
        <f t="shared" si="2"/>
        <v>154.90834454476075</v>
      </c>
      <c r="N63">
        <f t="shared" si="3"/>
        <v>385.34414065860881</v>
      </c>
      <c r="O63" s="26">
        <f t="shared" si="4"/>
        <v>368.82939177323988</v>
      </c>
    </row>
    <row r="64" spans="1:15" x14ac:dyDescent="0.35">
      <c r="A64" t="s">
        <v>62</v>
      </c>
      <c r="B64">
        <v>4</v>
      </c>
      <c r="C64" t="s">
        <v>63</v>
      </c>
      <c r="D64">
        <v>62</v>
      </c>
      <c r="E64">
        <v>71.717163884794999</v>
      </c>
      <c r="F64">
        <v>5.49211701620401</v>
      </c>
      <c r="G64" t="s">
        <v>62</v>
      </c>
      <c r="H64">
        <v>4</v>
      </c>
      <c r="I64">
        <v>62</v>
      </c>
      <c r="J64">
        <v>2.7831683672925398</v>
      </c>
      <c r="K64" t="b">
        <f t="shared" si="0"/>
        <v>1</v>
      </c>
      <c r="L64">
        <f t="shared" si="1"/>
        <v>79.992449268291551</v>
      </c>
      <c r="M64">
        <f t="shared" si="2"/>
        <v>159.9848985365831</v>
      </c>
      <c r="N64">
        <f t="shared" si="3"/>
        <v>397.97238441936094</v>
      </c>
      <c r="O64" s="26">
        <f t="shared" si="4"/>
        <v>380.91642508710265</v>
      </c>
    </row>
    <row r="65" spans="1:15" x14ac:dyDescent="0.35">
      <c r="A65" t="s">
        <v>62</v>
      </c>
      <c r="B65">
        <v>4</v>
      </c>
      <c r="C65" t="s">
        <v>63</v>
      </c>
      <c r="D65">
        <v>63</v>
      </c>
      <c r="E65">
        <v>73.782757664459595</v>
      </c>
      <c r="F65">
        <v>5.8691428412160098</v>
      </c>
      <c r="G65" t="s">
        <v>62</v>
      </c>
      <c r="H65">
        <v>4</v>
      </c>
      <c r="I65">
        <v>63</v>
      </c>
      <c r="J65">
        <v>2.8714886772278798</v>
      </c>
      <c r="K65" t="b">
        <f t="shared" si="0"/>
        <v>1</v>
      </c>
      <c r="L65">
        <f t="shared" si="1"/>
        <v>82.523389182903472</v>
      </c>
      <c r="M65">
        <f t="shared" si="2"/>
        <v>165.04677836580694</v>
      </c>
      <c r="N65">
        <f t="shared" si="3"/>
        <v>410.56412528807692</v>
      </c>
      <c r="O65" s="26">
        <f t="shared" si="4"/>
        <v>392.96851991858796</v>
      </c>
    </row>
    <row r="66" spans="1:15" x14ac:dyDescent="0.35">
      <c r="A66" t="s">
        <v>62</v>
      </c>
      <c r="B66">
        <v>4</v>
      </c>
      <c r="C66" t="s">
        <v>63</v>
      </c>
      <c r="D66">
        <v>64</v>
      </c>
      <c r="E66">
        <v>75.8346362349712</v>
      </c>
      <c r="F66">
        <v>6.2527533783259601</v>
      </c>
      <c r="G66" t="s">
        <v>62</v>
      </c>
      <c r="H66">
        <v>4</v>
      </c>
      <c r="I66">
        <v>64</v>
      </c>
      <c r="J66">
        <v>2.95913228491264</v>
      </c>
      <c r="K66" t="b">
        <f t="shared" ref="K66:K129" si="5">H66=B66</f>
        <v>1</v>
      </c>
      <c r="L66">
        <f t="shared" ref="L66:L129" si="6">E66+F66+J66</f>
        <v>85.046521898209804</v>
      </c>
      <c r="M66">
        <f t="shared" ref="M66:M129" si="7">L66*2</f>
        <v>170.09304379641961</v>
      </c>
      <c r="N66">
        <f t="shared" ref="N66:N129" si="8">M66/(1-0.598)</f>
        <v>423.11702436920297</v>
      </c>
      <c r="O66" s="26">
        <f t="shared" ref="O66:O129" si="9">M66/0.42</f>
        <v>404.98343761052291</v>
      </c>
    </row>
    <row r="67" spans="1:15" x14ac:dyDescent="0.35">
      <c r="A67" t="s">
        <v>62</v>
      </c>
      <c r="B67">
        <v>4</v>
      </c>
      <c r="C67" t="s">
        <v>63</v>
      </c>
      <c r="D67">
        <v>65</v>
      </c>
      <c r="E67">
        <v>77.871205008140507</v>
      </c>
      <c r="F67">
        <v>6.6440796979702901</v>
      </c>
      <c r="G67" t="s">
        <v>62</v>
      </c>
      <c r="H67">
        <v>4</v>
      </c>
      <c r="I67">
        <v>65</v>
      </c>
      <c r="J67">
        <v>3.0461066702756301</v>
      </c>
      <c r="K67" t="b">
        <f t="shared" si="5"/>
        <v>1</v>
      </c>
      <c r="L67">
        <f t="shared" si="6"/>
        <v>87.561391376386425</v>
      </c>
      <c r="M67">
        <f t="shared" si="7"/>
        <v>175.12278275277285</v>
      </c>
      <c r="N67">
        <f t="shared" si="8"/>
        <v>435.62881281784286</v>
      </c>
      <c r="O67" s="26">
        <f t="shared" si="9"/>
        <v>416.95900655422111</v>
      </c>
    </row>
    <row r="68" spans="1:15" x14ac:dyDescent="0.35">
      <c r="A68" t="s">
        <v>62</v>
      </c>
      <c r="B68">
        <v>4</v>
      </c>
      <c r="C68" t="s">
        <v>63</v>
      </c>
      <c r="D68">
        <v>66</v>
      </c>
      <c r="E68">
        <v>79.784992709489799</v>
      </c>
      <c r="F68">
        <v>7.0097851800623303</v>
      </c>
      <c r="G68" t="s">
        <v>62</v>
      </c>
      <c r="H68">
        <v>4</v>
      </c>
      <c r="I68">
        <v>66</v>
      </c>
      <c r="J68">
        <v>3.13096517470419</v>
      </c>
      <c r="K68" t="b">
        <f t="shared" si="5"/>
        <v>1</v>
      </c>
      <c r="L68">
        <f t="shared" si="6"/>
        <v>89.925743064256324</v>
      </c>
      <c r="M68">
        <f t="shared" si="7"/>
        <v>179.85148612851265</v>
      </c>
      <c r="N68">
        <f t="shared" si="8"/>
        <v>447.39175653858865</v>
      </c>
      <c r="O68" s="26">
        <f t="shared" si="9"/>
        <v>428.21782411550635</v>
      </c>
    </row>
    <row r="69" spans="1:15" x14ac:dyDescent="0.35">
      <c r="A69" t="s">
        <v>62</v>
      </c>
      <c r="B69">
        <v>4</v>
      </c>
      <c r="C69" t="s">
        <v>63</v>
      </c>
      <c r="D69">
        <v>67</v>
      </c>
      <c r="E69">
        <v>81.6996508580891</v>
      </c>
      <c r="F69">
        <v>7.36902682285199</v>
      </c>
      <c r="G69" t="s">
        <v>62</v>
      </c>
      <c r="H69">
        <v>4</v>
      </c>
      <c r="I69">
        <v>67</v>
      </c>
      <c r="J69">
        <v>3.2144504834343799</v>
      </c>
      <c r="K69" t="b">
        <f t="shared" si="5"/>
        <v>1</v>
      </c>
      <c r="L69">
        <f t="shared" si="6"/>
        <v>92.283128164375469</v>
      </c>
      <c r="M69">
        <f t="shared" si="7"/>
        <v>184.56625632875094</v>
      </c>
      <c r="N69">
        <f t="shared" si="8"/>
        <v>459.12004061878338</v>
      </c>
      <c r="O69" s="26">
        <f t="shared" si="9"/>
        <v>439.44346744940702</v>
      </c>
    </row>
    <row r="70" spans="1:15" x14ac:dyDescent="0.35">
      <c r="A70" t="s">
        <v>62</v>
      </c>
      <c r="B70">
        <v>4</v>
      </c>
      <c r="C70" t="s">
        <v>63</v>
      </c>
      <c r="D70">
        <v>68</v>
      </c>
      <c r="E70">
        <v>83.606849714846604</v>
      </c>
      <c r="F70">
        <v>7.7295897539787202</v>
      </c>
      <c r="G70" t="s">
        <v>62</v>
      </c>
      <c r="H70">
        <v>4</v>
      </c>
      <c r="I70">
        <v>68</v>
      </c>
      <c r="J70">
        <v>3.2969130814724501</v>
      </c>
      <c r="K70" t="b">
        <f t="shared" si="5"/>
        <v>1</v>
      </c>
      <c r="L70">
        <f t="shared" si="6"/>
        <v>94.633352550297772</v>
      </c>
      <c r="M70">
        <f t="shared" si="7"/>
        <v>189.26670510059554</v>
      </c>
      <c r="N70">
        <f t="shared" si="8"/>
        <v>470.81269925521275</v>
      </c>
      <c r="O70" s="26">
        <f t="shared" si="9"/>
        <v>450.63501214427509</v>
      </c>
    </row>
    <row r="71" spans="1:15" x14ac:dyDescent="0.35">
      <c r="A71" t="s">
        <v>62</v>
      </c>
      <c r="B71">
        <v>4</v>
      </c>
      <c r="C71" t="s">
        <v>63</v>
      </c>
      <c r="D71">
        <v>69</v>
      </c>
      <c r="E71">
        <v>85.503095657742804</v>
      </c>
      <c r="F71">
        <v>8.0945481275888298</v>
      </c>
      <c r="G71" t="s">
        <v>62</v>
      </c>
      <c r="H71">
        <v>4</v>
      </c>
      <c r="I71">
        <v>69</v>
      </c>
      <c r="J71">
        <v>3.37852856069664</v>
      </c>
      <c r="K71" t="b">
        <f t="shared" si="5"/>
        <v>1</v>
      </c>
      <c r="L71">
        <f t="shared" si="6"/>
        <v>96.976172346028264</v>
      </c>
      <c r="M71">
        <f t="shared" si="7"/>
        <v>193.95234469205653</v>
      </c>
      <c r="N71">
        <f t="shared" si="8"/>
        <v>482.46851913446892</v>
      </c>
      <c r="O71" s="26">
        <f t="shared" si="9"/>
        <v>461.79129688584891</v>
      </c>
    </row>
    <row r="72" spans="1:15" x14ac:dyDescent="0.35">
      <c r="A72" t="s">
        <v>62</v>
      </c>
      <c r="B72">
        <v>4</v>
      </c>
      <c r="C72" t="s">
        <v>63</v>
      </c>
      <c r="D72">
        <v>70</v>
      </c>
      <c r="E72">
        <v>87.386883069548105</v>
      </c>
      <c r="F72">
        <v>8.46504401984234</v>
      </c>
      <c r="G72" t="s">
        <v>62</v>
      </c>
      <c r="H72">
        <v>4</v>
      </c>
      <c r="I72">
        <v>70</v>
      </c>
      <c r="J72">
        <v>3.45939129012157</v>
      </c>
      <c r="K72" t="b">
        <f t="shared" si="5"/>
        <v>1</v>
      </c>
      <c r="L72">
        <f t="shared" si="6"/>
        <v>99.311318379512016</v>
      </c>
      <c r="M72">
        <f t="shared" si="7"/>
        <v>198.62263675902403</v>
      </c>
      <c r="N72">
        <f t="shared" si="8"/>
        <v>494.08616109209953</v>
      </c>
      <c r="O72" s="26">
        <f t="shared" si="9"/>
        <v>472.91103990243818</v>
      </c>
    </row>
    <row r="73" spans="1:15" x14ac:dyDescent="0.35">
      <c r="A73" t="s">
        <v>62</v>
      </c>
      <c r="B73">
        <v>4</v>
      </c>
      <c r="C73" t="s">
        <v>63</v>
      </c>
      <c r="D73">
        <v>71</v>
      </c>
      <c r="E73">
        <v>89.131051247766806</v>
      </c>
      <c r="F73">
        <v>8.8060827978851606</v>
      </c>
      <c r="G73" t="s">
        <v>62</v>
      </c>
      <c r="H73">
        <v>4</v>
      </c>
      <c r="I73">
        <v>71</v>
      </c>
      <c r="J73">
        <v>3.5378462668449102</v>
      </c>
      <c r="K73" t="b">
        <f t="shared" si="5"/>
        <v>1</v>
      </c>
      <c r="L73">
        <f t="shared" si="6"/>
        <v>101.47498031249687</v>
      </c>
      <c r="M73">
        <f t="shared" si="7"/>
        <v>202.94996062499374</v>
      </c>
      <c r="N73">
        <f t="shared" si="8"/>
        <v>504.85064832087988</v>
      </c>
      <c r="O73" s="26">
        <f t="shared" si="9"/>
        <v>483.21419196427081</v>
      </c>
    </row>
    <row r="74" spans="1:15" x14ac:dyDescent="0.35">
      <c r="A74" t="s">
        <v>62</v>
      </c>
      <c r="B74">
        <v>4</v>
      </c>
      <c r="C74" t="s">
        <v>63</v>
      </c>
      <c r="D74">
        <v>72</v>
      </c>
      <c r="E74">
        <v>90.879292986734995</v>
      </c>
      <c r="F74">
        <v>9.1383407667965102</v>
      </c>
      <c r="G74" t="s">
        <v>62</v>
      </c>
      <c r="H74">
        <v>4</v>
      </c>
      <c r="I74">
        <v>72</v>
      </c>
      <c r="J74">
        <v>3.6147754607008702</v>
      </c>
      <c r="K74" t="b">
        <f t="shared" si="5"/>
        <v>1</v>
      </c>
      <c r="L74">
        <f t="shared" si="6"/>
        <v>103.63240921423237</v>
      </c>
      <c r="M74">
        <f t="shared" si="7"/>
        <v>207.26481842846474</v>
      </c>
      <c r="N74">
        <f t="shared" si="8"/>
        <v>515.58412544394207</v>
      </c>
      <c r="O74" s="26">
        <f t="shared" si="9"/>
        <v>493.48766292491604</v>
      </c>
    </row>
    <row r="75" spans="1:15" x14ac:dyDescent="0.35">
      <c r="A75" t="s">
        <v>62</v>
      </c>
      <c r="B75">
        <v>4</v>
      </c>
      <c r="C75" t="s">
        <v>63</v>
      </c>
      <c r="D75">
        <v>73</v>
      </c>
      <c r="E75">
        <v>92.622919003718394</v>
      </c>
      <c r="F75">
        <v>9.4700239009852591</v>
      </c>
      <c r="G75" t="s">
        <v>62</v>
      </c>
      <c r="H75">
        <v>4</v>
      </c>
      <c r="I75">
        <v>73</v>
      </c>
      <c r="J75">
        <v>3.6906134673964299</v>
      </c>
      <c r="K75" t="b">
        <f t="shared" si="5"/>
        <v>1</v>
      </c>
      <c r="L75">
        <f t="shared" si="6"/>
        <v>105.78355637210008</v>
      </c>
      <c r="M75">
        <f t="shared" si="7"/>
        <v>211.56711274420016</v>
      </c>
      <c r="N75">
        <f t="shared" si="8"/>
        <v>526.2863501099506</v>
      </c>
      <c r="O75" s="26">
        <f t="shared" si="9"/>
        <v>503.7312208195242</v>
      </c>
    </row>
    <row r="76" spans="1:15" x14ac:dyDescent="0.35">
      <c r="A76" t="s">
        <v>62</v>
      </c>
      <c r="B76">
        <v>4</v>
      </c>
      <c r="C76" t="s">
        <v>63</v>
      </c>
      <c r="D76">
        <v>74</v>
      </c>
      <c r="E76">
        <v>94.358410746093497</v>
      </c>
      <c r="F76">
        <v>9.8043079904095691</v>
      </c>
      <c r="G76" t="s">
        <v>62</v>
      </c>
      <c r="H76">
        <v>4</v>
      </c>
      <c r="I76">
        <v>74</v>
      </c>
      <c r="J76">
        <v>3.7655906382239102</v>
      </c>
      <c r="K76" t="b">
        <f t="shared" si="5"/>
        <v>1</v>
      </c>
      <c r="L76">
        <f t="shared" si="6"/>
        <v>107.92830937472698</v>
      </c>
      <c r="M76">
        <f t="shared" si="7"/>
        <v>215.85661874945396</v>
      </c>
      <c r="N76">
        <f t="shared" si="8"/>
        <v>536.9567630583432</v>
      </c>
      <c r="O76" s="26">
        <f t="shared" si="9"/>
        <v>513.94433035584279</v>
      </c>
    </row>
    <row r="77" spans="1:15" x14ac:dyDescent="0.35">
      <c r="A77" t="s">
        <v>62</v>
      </c>
      <c r="B77">
        <v>4</v>
      </c>
      <c r="C77" t="s">
        <v>63</v>
      </c>
      <c r="D77">
        <v>75</v>
      </c>
      <c r="E77">
        <v>96.084322887766405</v>
      </c>
      <c r="F77">
        <v>10.1423563833659</v>
      </c>
      <c r="G77" t="s">
        <v>62</v>
      </c>
      <c r="H77">
        <v>4</v>
      </c>
      <c r="I77">
        <v>75</v>
      </c>
      <c r="J77">
        <v>3.8398389437231502</v>
      </c>
      <c r="K77" t="b">
        <f t="shared" si="5"/>
        <v>1</v>
      </c>
      <c r="L77">
        <f t="shared" si="6"/>
        <v>110.06651821485545</v>
      </c>
      <c r="M77">
        <f t="shared" si="7"/>
        <v>220.1330364297109</v>
      </c>
      <c r="N77">
        <f t="shared" si="8"/>
        <v>547.59461798435541</v>
      </c>
      <c r="O77" s="26">
        <f t="shared" si="9"/>
        <v>524.1262772135974</v>
      </c>
    </row>
    <row r="78" spans="1:15" x14ac:dyDescent="0.35">
      <c r="A78" t="s">
        <v>62</v>
      </c>
      <c r="B78">
        <v>4</v>
      </c>
      <c r="C78" t="s">
        <v>63</v>
      </c>
      <c r="D78">
        <v>76</v>
      </c>
      <c r="E78">
        <v>97.667429322140606</v>
      </c>
      <c r="F78">
        <v>10.461148963805201</v>
      </c>
      <c r="G78" t="s">
        <v>62</v>
      </c>
      <c r="H78">
        <v>4</v>
      </c>
      <c r="I78">
        <v>76</v>
      </c>
      <c r="J78">
        <v>3.9116472478789399</v>
      </c>
      <c r="K78" t="b">
        <f t="shared" si="5"/>
        <v>1</v>
      </c>
      <c r="L78">
        <f t="shared" si="6"/>
        <v>112.04022553382475</v>
      </c>
      <c r="M78">
        <f t="shared" si="7"/>
        <v>224.08045106764951</v>
      </c>
      <c r="N78">
        <f t="shared" si="8"/>
        <v>557.41405738221272</v>
      </c>
      <c r="O78" s="26">
        <f t="shared" si="9"/>
        <v>533.52488349440364</v>
      </c>
    </row>
    <row r="79" spans="1:15" x14ac:dyDescent="0.35">
      <c r="A79" t="s">
        <v>62</v>
      </c>
      <c r="B79">
        <v>4</v>
      </c>
      <c r="C79" t="s">
        <v>63</v>
      </c>
      <c r="D79">
        <v>77</v>
      </c>
      <c r="E79">
        <v>99.251080452251401</v>
      </c>
      <c r="F79">
        <v>10.774729434634001</v>
      </c>
      <c r="G79" t="s">
        <v>62</v>
      </c>
      <c r="H79">
        <v>4</v>
      </c>
      <c r="I79">
        <v>77</v>
      </c>
      <c r="J79">
        <v>3.9818584000719301</v>
      </c>
      <c r="K79" t="b">
        <f t="shared" si="5"/>
        <v>1</v>
      </c>
      <c r="L79">
        <f t="shared" si="6"/>
        <v>114.00766828695733</v>
      </c>
      <c r="M79">
        <f t="shared" si="7"/>
        <v>228.01533657391465</v>
      </c>
      <c r="N79">
        <f t="shared" si="8"/>
        <v>567.20232978585727</v>
      </c>
      <c r="O79" s="26">
        <f t="shared" si="9"/>
        <v>542.89365850932063</v>
      </c>
    </row>
    <row r="80" spans="1:15" x14ac:dyDescent="0.35">
      <c r="A80" t="s">
        <v>62</v>
      </c>
      <c r="B80">
        <v>4</v>
      </c>
      <c r="C80" t="s">
        <v>63</v>
      </c>
      <c r="D80">
        <v>78</v>
      </c>
      <c r="E80">
        <v>100.82946834233501</v>
      </c>
      <c r="F80">
        <v>11.0885378833887</v>
      </c>
      <c r="G80" t="s">
        <v>62</v>
      </c>
      <c r="H80">
        <v>4</v>
      </c>
      <c r="I80">
        <v>78</v>
      </c>
      <c r="J80">
        <v>4.0509213435033598</v>
      </c>
      <c r="K80" t="b">
        <f t="shared" si="5"/>
        <v>1</v>
      </c>
      <c r="L80">
        <f t="shared" si="6"/>
        <v>115.96892756922706</v>
      </c>
      <c r="M80">
        <f t="shared" si="7"/>
        <v>231.93785513845413</v>
      </c>
      <c r="N80">
        <f t="shared" si="8"/>
        <v>576.95983865287087</v>
      </c>
      <c r="O80" s="26">
        <f t="shared" si="9"/>
        <v>552.23298842489078</v>
      </c>
    </row>
    <row r="81" spans="1:15" x14ac:dyDescent="0.35">
      <c r="A81" t="s">
        <v>62</v>
      </c>
      <c r="B81">
        <v>4</v>
      </c>
      <c r="C81" t="s">
        <v>63</v>
      </c>
      <c r="D81">
        <v>79</v>
      </c>
      <c r="E81">
        <v>102.40027986974999</v>
      </c>
      <c r="F81">
        <v>11.4046196956259</v>
      </c>
      <c r="G81" t="s">
        <v>62</v>
      </c>
      <c r="H81">
        <v>4</v>
      </c>
      <c r="I81">
        <v>79</v>
      </c>
      <c r="J81">
        <v>4.1190919222271303</v>
      </c>
      <c r="K81" t="b">
        <f t="shared" si="5"/>
        <v>1</v>
      </c>
      <c r="L81">
        <f t="shared" si="6"/>
        <v>117.92399148760302</v>
      </c>
      <c r="M81">
        <f t="shared" si="7"/>
        <v>235.84798297520604</v>
      </c>
      <c r="N81">
        <f t="shared" si="8"/>
        <v>586.68652481394531</v>
      </c>
      <c r="O81" s="26">
        <f t="shared" si="9"/>
        <v>561.54281660763343</v>
      </c>
    </row>
    <row r="82" spans="1:15" x14ac:dyDescent="0.35">
      <c r="A82" t="s">
        <v>62</v>
      </c>
      <c r="B82">
        <v>4</v>
      </c>
      <c r="C82" t="s">
        <v>63</v>
      </c>
      <c r="D82">
        <v>80</v>
      </c>
      <c r="E82">
        <v>103.96257692408599</v>
      </c>
      <c r="F82">
        <v>11.723688483630101</v>
      </c>
      <c r="G82" t="s">
        <v>62</v>
      </c>
      <c r="H82">
        <v>4</v>
      </c>
      <c r="I82">
        <v>80</v>
      </c>
      <c r="J82">
        <v>4.1865254758571302</v>
      </c>
      <c r="K82" t="b">
        <f t="shared" si="5"/>
        <v>1</v>
      </c>
      <c r="L82">
        <f t="shared" si="6"/>
        <v>119.87279088357322</v>
      </c>
      <c r="M82">
        <f t="shared" si="7"/>
        <v>239.74558176714643</v>
      </c>
      <c r="N82">
        <f t="shared" si="8"/>
        <v>596.38204419688168</v>
      </c>
      <c r="O82" s="26">
        <f t="shared" si="9"/>
        <v>570.82281373130104</v>
      </c>
    </row>
    <row r="83" spans="1:15" x14ac:dyDescent="0.35">
      <c r="A83" t="s">
        <v>62</v>
      </c>
      <c r="B83">
        <v>4</v>
      </c>
      <c r="C83" t="s">
        <v>63</v>
      </c>
      <c r="D83">
        <v>81</v>
      </c>
      <c r="E83">
        <v>105.41627357988</v>
      </c>
      <c r="F83">
        <v>12.0189115164225</v>
      </c>
      <c r="G83" t="s">
        <v>62</v>
      </c>
      <c r="H83">
        <v>4</v>
      </c>
      <c r="I83">
        <v>81</v>
      </c>
      <c r="J83">
        <v>4.2519741781193998</v>
      </c>
      <c r="K83" t="b">
        <f t="shared" si="5"/>
        <v>1</v>
      </c>
      <c r="L83">
        <f t="shared" si="6"/>
        <v>121.6871592744219</v>
      </c>
      <c r="M83">
        <f t="shared" si="7"/>
        <v>243.3743185488438</v>
      </c>
      <c r="N83">
        <f t="shared" si="8"/>
        <v>605.40875260906409</v>
      </c>
      <c r="O83" s="26">
        <f t="shared" si="9"/>
        <v>579.46266321153291</v>
      </c>
    </row>
    <row r="84" spans="1:15" x14ac:dyDescent="0.35">
      <c r="A84" t="s">
        <v>62</v>
      </c>
      <c r="B84">
        <v>4</v>
      </c>
      <c r="C84" t="s">
        <v>63</v>
      </c>
      <c r="D84">
        <v>82</v>
      </c>
      <c r="E84">
        <v>106.873437415411</v>
      </c>
      <c r="F84">
        <v>12.3068362503752</v>
      </c>
      <c r="G84" t="s">
        <v>62</v>
      </c>
      <c r="H84">
        <v>4</v>
      </c>
      <c r="I84">
        <v>82</v>
      </c>
      <c r="J84">
        <v>4.3161562336614798</v>
      </c>
      <c r="K84" t="b">
        <f t="shared" si="5"/>
        <v>1</v>
      </c>
      <c r="L84">
        <f t="shared" si="6"/>
        <v>123.49642989944768</v>
      </c>
      <c r="M84">
        <f t="shared" si="7"/>
        <v>246.99285979889535</v>
      </c>
      <c r="N84">
        <f t="shared" si="8"/>
        <v>614.41009900222718</v>
      </c>
      <c r="O84" s="26">
        <f t="shared" si="9"/>
        <v>588.07823761641748</v>
      </c>
    </row>
    <row r="85" spans="1:15" x14ac:dyDescent="0.35">
      <c r="A85" t="s">
        <v>62</v>
      </c>
      <c r="B85">
        <v>4</v>
      </c>
      <c r="C85" t="s">
        <v>63</v>
      </c>
      <c r="D85">
        <v>83</v>
      </c>
      <c r="E85">
        <v>108.327372332775</v>
      </c>
      <c r="F85">
        <v>12.593792996247</v>
      </c>
      <c r="G85" t="s">
        <v>62</v>
      </c>
      <c r="H85">
        <v>4</v>
      </c>
      <c r="I85">
        <v>83</v>
      </c>
      <c r="J85">
        <v>4.3794335677630896</v>
      </c>
      <c r="K85" t="b">
        <f t="shared" si="5"/>
        <v>1</v>
      </c>
      <c r="L85">
        <f t="shared" si="6"/>
        <v>125.30059889678509</v>
      </c>
      <c r="M85">
        <f t="shared" si="7"/>
        <v>250.60119779357018</v>
      </c>
      <c r="N85">
        <f t="shared" si="8"/>
        <v>623.38606416310984</v>
      </c>
      <c r="O85" s="26">
        <f t="shared" si="9"/>
        <v>596.66951855611944</v>
      </c>
    </row>
    <row r="86" spans="1:15" x14ac:dyDescent="0.35">
      <c r="A86" t="s">
        <v>62</v>
      </c>
      <c r="B86">
        <v>4</v>
      </c>
      <c r="C86" t="s">
        <v>63</v>
      </c>
      <c r="D86">
        <v>84</v>
      </c>
      <c r="E86">
        <v>109.775470124832</v>
      </c>
      <c r="F86">
        <v>12.882143533815601</v>
      </c>
      <c r="G86" t="s">
        <v>62</v>
      </c>
      <c r="H86">
        <v>4</v>
      </c>
      <c r="I86">
        <v>84</v>
      </c>
      <c r="J86">
        <v>4.4420044322707399</v>
      </c>
      <c r="K86" t="b">
        <f t="shared" si="5"/>
        <v>1</v>
      </c>
      <c r="L86">
        <f t="shared" si="6"/>
        <v>127.09961809091833</v>
      </c>
      <c r="M86">
        <f t="shared" si="7"/>
        <v>254.19923618183665</v>
      </c>
      <c r="N86">
        <f t="shared" si="8"/>
        <v>632.33640841252895</v>
      </c>
      <c r="O86" s="26">
        <f t="shared" si="9"/>
        <v>605.23627662342062</v>
      </c>
    </row>
    <row r="87" spans="1:15" x14ac:dyDescent="0.35">
      <c r="A87" t="s">
        <v>62</v>
      </c>
      <c r="B87">
        <v>4</v>
      </c>
      <c r="C87" t="s">
        <v>63</v>
      </c>
      <c r="D87">
        <v>85</v>
      </c>
      <c r="E87">
        <v>111.216705772955</v>
      </c>
      <c r="F87">
        <v>13.172716564506599</v>
      </c>
      <c r="G87" t="s">
        <v>62</v>
      </c>
      <c r="H87">
        <v>4</v>
      </c>
      <c r="I87">
        <v>85</v>
      </c>
      <c r="J87">
        <v>4.5039867271729603</v>
      </c>
      <c r="K87" t="b">
        <f t="shared" si="5"/>
        <v>1</v>
      </c>
      <c r="L87">
        <f t="shared" si="6"/>
        <v>128.89340906463457</v>
      </c>
      <c r="M87">
        <f t="shared" si="7"/>
        <v>257.78681812926914</v>
      </c>
      <c r="N87">
        <f t="shared" si="8"/>
        <v>641.26074161509734</v>
      </c>
      <c r="O87" s="26">
        <f t="shared" si="9"/>
        <v>613.77813840302179</v>
      </c>
    </row>
    <row r="88" spans="1:15" x14ac:dyDescent="0.35">
      <c r="A88" t="s">
        <v>62</v>
      </c>
      <c r="B88">
        <v>4</v>
      </c>
      <c r="C88" t="s">
        <v>63</v>
      </c>
      <c r="D88">
        <v>86</v>
      </c>
      <c r="E88">
        <v>112.56211081795399</v>
      </c>
      <c r="F88">
        <v>13.441677705973101</v>
      </c>
      <c r="G88" t="s">
        <v>62</v>
      </c>
      <c r="H88">
        <v>4</v>
      </c>
      <c r="I88">
        <v>86</v>
      </c>
      <c r="J88">
        <v>4.5642587732799296</v>
      </c>
      <c r="K88" t="b">
        <f t="shared" si="5"/>
        <v>1</v>
      </c>
      <c r="L88">
        <f t="shared" si="6"/>
        <v>130.56804729720702</v>
      </c>
      <c r="M88">
        <f t="shared" si="7"/>
        <v>261.13609459441403</v>
      </c>
      <c r="N88">
        <f t="shared" si="8"/>
        <v>649.59227511048266</v>
      </c>
      <c r="O88" s="26">
        <f t="shared" si="9"/>
        <v>621.75260617717629</v>
      </c>
    </row>
    <row r="89" spans="1:15" x14ac:dyDescent="0.35">
      <c r="A89" t="s">
        <v>62</v>
      </c>
      <c r="B89">
        <v>4</v>
      </c>
      <c r="C89" t="s">
        <v>63</v>
      </c>
      <c r="D89">
        <v>87</v>
      </c>
      <c r="E89">
        <v>113.910952003383</v>
      </c>
      <c r="F89">
        <v>13.7040620365183</v>
      </c>
      <c r="G89" t="s">
        <v>62</v>
      </c>
      <c r="H89">
        <v>4</v>
      </c>
      <c r="I89">
        <v>87</v>
      </c>
      <c r="J89">
        <v>4.6234463802717203</v>
      </c>
      <c r="K89" t="b">
        <f t="shared" si="5"/>
        <v>1</v>
      </c>
      <c r="L89">
        <f t="shared" si="6"/>
        <v>132.23846042017303</v>
      </c>
      <c r="M89">
        <f t="shared" si="7"/>
        <v>264.47692084034605</v>
      </c>
      <c r="N89">
        <f t="shared" si="8"/>
        <v>657.9027881600648</v>
      </c>
      <c r="O89" s="26">
        <f t="shared" si="9"/>
        <v>629.70695438177631</v>
      </c>
    </row>
    <row r="90" spans="1:15" x14ac:dyDescent="0.35">
      <c r="A90" t="s">
        <v>62</v>
      </c>
      <c r="B90">
        <v>4</v>
      </c>
      <c r="C90" t="s">
        <v>63</v>
      </c>
      <c r="D90">
        <v>88</v>
      </c>
      <c r="E90">
        <v>115.257228732432</v>
      </c>
      <c r="F90">
        <v>13.965538094288499</v>
      </c>
      <c r="G90" t="s">
        <v>62</v>
      </c>
      <c r="H90">
        <v>4</v>
      </c>
      <c r="I90">
        <v>88</v>
      </c>
      <c r="J90">
        <v>4.6818624917039697</v>
      </c>
      <c r="K90" t="b">
        <f t="shared" si="5"/>
        <v>1</v>
      </c>
      <c r="L90">
        <f t="shared" si="6"/>
        <v>133.90462931842447</v>
      </c>
      <c r="M90">
        <f t="shared" si="7"/>
        <v>267.80925863684894</v>
      </c>
      <c r="N90">
        <f t="shared" si="8"/>
        <v>666.19218566380334</v>
      </c>
      <c r="O90" s="26">
        <f t="shared" si="9"/>
        <v>637.64109199249754</v>
      </c>
    </row>
    <row r="91" spans="1:15" x14ac:dyDescent="0.35">
      <c r="A91" t="s">
        <v>62</v>
      </c>
      <c r="B91">
        <v>4</v>
      </c>
      <c r="C91" t="s">
        <v>63</v>
      </c>
      <c r="D91">
        <v>89</v>
      </c>
      <c r="E91">
        <v>116.59863835840299</v>
      </c>
      <c r="F91">
        <v>14.228187487329601</v>
      </c>
      <c r="G91" t="s">
        <v>62</v>
      </c>
      <c r="H91">
        <v>4</v>
      </c>
      <c r="I91">
        <v>89</v>
      </c>
      <c r="J91">
        <v>4.73967776824224</v>
      </c>
      <c r="K91" t="b">
        <f t="shared" si="5"/>
        <v>1</v>
      </c>
      <c r="L91">
        <f t="shared" si="6"/>
        <v>135.56650361397485</v>
      </c>
      <c r="M91">
        <f t="shared" si="7"/>
        <v>271.13300722794969</v>
      </c>
      <c r="N91">
        <f t="shared" si="8"/>
        <v>674.4602169849494</v>
      </c>
      <c r="O91" s="26">
        <f t="shared" si="9"/>
        <v>645.55477911416597</v>
      </c>
    </row>
    <row r="92" spans="1:15" x14ac:dyDescent="0.35">
      <c r="A92" t="s">
        <v>62</v>
      </c>
      <c r="B92">
        <v>4</v>
      </c>
      <c r="C92" t="s">
        <v>63</v>
      </c>
      <c r="D92">
        <v>90</v>
      </c>
      <c r="E92">
        <v>117.934291389271</v>
      </c>
      <c r="F92">
        <v>14.4927249247626</v>
      </c>
      <c r="G92" t="s">
        <v>62</v>
      </c>
      <c r="H92">
        <v>4</v>
      </c>
      <c r="I92">
        <v>90</v>
      </c>
      <c r="J92">
        <v>4.7969935375837904</v>
      </c>
      <c r="K92" t="b">
        <f t="shared" si="5"/>
        <v>1</v>
      </c>
      <c r="L92">
        <f t="shared" si="6"/>
        <v>137.22400985161741</v>
      </c>
      <c r="M92">
        <f t="shared" si="7"/>
        <v>274.44801970323482</v>
      </c>
      <c r="N92">
        <f t="shared" si="8"/>
        <v>682.7065166747135</v>
      </c>
      <c r="O92" s="26">
        <f t="shared" si="9"/>
        <v>653.44766596008287</v>
      </c>
    </row>
    <row r="93" spans="1:15" x14ac:dyDescent="0.35">
      <c r="A93" t="s">
        <v>62</v>
      </c>
      <c r="B93">
        <v>4</v>
      </c>
      <c r="C93" t="s">
        <v>63</v>
      </c>
      <c r="D93">
        <v>91</v>
      </c>
      <c r="E93">
        <v>119.094059777946</v>
      </c>
      <c r="F93">
        <v>14.7240205367728</v>
      </c>
      <c r="G93" t="s">
        <v>62</v>
      </c>
      <c r="H93">
        <v>4</v>
      </c>
      <c r="I93">
        <v>91</v>
      </c>
      <c r="J93">
        <v>4.8515797188680603</v>
      </c>
      <c r="K93" t="b">
        <f t="shared" si="5"/>
        <v>1</v>
      </c>
      <c r="L93">
        <f t="shared" si="6"/>
        <v>138.66966003358687</v>
      </c>
      <c r="M93">
        <f t="shared" si="7"/>
        <v>277.33932006717373</v>
      </c>
      <c r="N93">
        <f t="shared" si="8"/>
        <v>689.89880613724802</v>
      </c>
      <c r="O93" s="26">
        <f t="shared" si="9"/>
        <v>660.33171444565176</v>
      </c>
    </row>
    <row r="94" spans="1:15" x14ac:dyDescent="0.35">
      <c r="A94" t="s">
        <v>62</v>
      </c>
      <c r="B94">
        <v>4</v>
      </c>
      <c r="C94" t="s">
        <v>63</v>
      </c>
      <c r="D94">
        <v>92</v>
      </c>
      <c r="E94">
        <v>120.26323922888101</v>
      </c>
      <c r="F94">
        <v>14.944238130928801</v>
      </c>
      <c r="G94" t="s">
        <v>62</v>
      </c>
      <c r="H94">
        <v>4</v>
      </c>
      <c r="I94">
        <v>92</v>
      </c>
      <c r="J94">
        <v>4.9045120214071298</v>
      </c>
      <c r="K94" t="b">
        <f t="shared" si="5"/>
        <v>1</v>
      </c>
      <c r="L94">
        <f t="shared" si="6"/>
        <v>140.11198938121694</v>
      </c>
      <c r="M94">
        <f t="shared" si="7"/>
        <v>280.22397876243389</v>
      </c>
      <c r="N94">
        <f t="shared" si="8"/>
        <v>697.07457403590513</v>
      </c>
      <c r="O94" s="26">
        <f t="shared" si="9"/>
        <v>667.19994943436643</v>
      </c>
    </row>
    <row r="95" spans="1:15" x14ac:dyDescent="0.35">
      <c r="A95" t="s">
        <v>62</v>
      </c>
      <c r="B95">
        <v>4</v>
      </c>
      <c r="C95" t="s">
        <v>63</v>
      </c>
      <c r="D95">
        <v>93</v>
      </c>
      <c r="E95">
        <v>121.433134296989</v>
      </c>
      <c r="F95">
        <v>15.1616724986654</v>
      </c>
      <c r="G95" t="s">
        <v>62</v>
      </c>
      <c r="H95">
        <v>4</v>
      </c>
      <c r="I95">
        <v>93</v>
      </c>
      <c r="J95">
        <v>4.9563442281971497</v>
      </c>
      <c r="K95" t="b">
        <f t="shared" si="5"/>
        <v>1</v>
      </c>
      <c r="L95">
        <f t="shared" si="6"/>
        <v>141.55115102385153</v>
      </c>
      <c r="M95">
        <f t="shared" si="7"/>
        <v>283.10230204770306</v>
      </c>
      <c r="N95">
        <f t="shared" si="8"/>
        <v>704.23458220821658</v>
      </c>
      <c r="O95" s="26">
        <f t="shared" si="9"/>
        <v>674.05310011357869</v>
      </c>
    </row>
    <row r="96" spans="1:15" x14ac:dyDescent="0.35">
      <c r="A96" t="s">
        <v>62</v>
      </c>
      <c r="B96">
        <v>4</v>
      </c>
      <c r="C96" t="s">
        <v>63</v>
      </c>
      <c r="D96">
        <v>94</v>
      </c>
      <c r="E96">
        <v>122.600460754652</v>
      </c>
      <c r="F96">
        <v>15.3793703301336</v>
      </c>
      <c r="G96" t="s">
        <v>62</v>
      </c>
      <c r="H96">
        <v>4</v>
      </c>
      <c r="I96">
        <v>94</v>
      </c>
      <c r="J96">
        <v>5.0073847393905302</v>
      </c>
      <c r="K96" t="b">
        <f t="shared" si="5"/>
        <v>1</v>
      </c>
      <c r="L96">
        <f t="shared" si="6"/>
        <v>142.98721582417613</v>
      </c>
      <c r="M96">
        <f t="shared" si="7"/>
        <v>285.97443164835227</v>
      </c>
      <c r="N96">
        <f t="shared" si="8"/>
        <v>711.3791832048563</v>
      </c>
      <c r="O96" s="26">
        <f t="shared" si="9"/>
        <v>680.8915039246483</v>
      </c>
    </row>
    <row r="97" spans="1:15" x14ac:dyDescent="0.35">
      <c r="A97" t="s">
        <v>62</v>
      </c>
      <c r="B97">
        <v>4</v>
      </c>
      <c r="C97" t="s">
        <v>63</v>
      </c>
      <c r="D97">
        <v>95</v>
      </c>
      <c r="E97">
        <v>123.76397638470399</v>
      </c>
      <c r="F97">
        <v>15.5984019287813</v>
      </c>
      <c r="G97" t="s">
        <v>62</v>
      </c>
      <c r="H97">
        <v>4</v>
      </c>
      <c r="I97">
        <v>95</v>
      </c>
      <c r="J97">
        <v>5.0578184375121698</v>
      </c>
      <c r="K97" t="b">
        <f t="shared" si="5"/>
        <v>1</v>
      </c>
      <c r="L97">
        <f t="shared" si="6"/>
        <v>144.42019675099746</v>
      </c>
      <c r="M97">
        <f t="shared" si="7"/>
        <v>288.84039350199492</v>
      </c>
      <c r="N97">
        <f t="shared" si="8"/>
        <v>718.50844154725098</v>
      </c>
      <c r="O97" s="26">
        <f t="shared" si="9"/>
        <v>687.71522262379744</v>
      </c>
    </row>
    <row r="98" spans="1:15" x14ac:dyDescent="0.35">
      <c r="A98" t="s">
        <v>62</v>
      </c>
      <c r="B98">
        <v>4</v>
      </c>
      <c r="C98" t="s">
        <v>63</v>
      </c>
      <c r="D98">
        <v>96</v>
      </c>
      <c r="E98">
        <v>124.729261138282</v>
      </c>
      <c r="F98">
        <v>15.7860354011003</v>
      </c>
      <c r="G98" t="s">
        <v>62</v>
      </c>
      <c r="H98">
        <v>4</v>
      </c>
      <c r="I98">
        <v>96</v>
      </c>
      <c r="J98">
        <v>5.1051418652625697</v>
      </c>
      <c r="K98" t="b">
        <f t="shared" si="5"/>
        <v>1</v>
      </c>
      <c r="L98">
        <f t="shared" si="6"/>
        <v>145.62043840464486</v>
      </c>
      <c r="M98">
        <f t="shared" si="7"/>
        <v>291.24087680928972</v>
      </c>
      <c r="N98">
        <f t="shared" si="8"/>
        <v>724.47979305793456</v>
      </c>
      <c r="O98" s="26">
        <f t="shared" si="9"/>
        <v>693.43065906973743</v>
      </c>
    </row>
    <row r="99" spans="1:15" x14ac:dyDescent="0.35">
      <c r="A99" t="s">
        <v>62</v>
      </c>
      <c r="B99">
        <v>4</v>
      </c>
      <c r="C99" t="s">
        <v>63</v>
      </c>
      <c r="D99">
        <v>97</v>
      </c>
      <c r="E99">
        <v>125.70438736137901</v>
      </c>
      <c r="F99">
        <v>15.9632373776295</v>
      </c>
      <c r="G99" t="s">
        <v>62</v>
      </c>
      <c r="H99">
        <v>4</v>
      </c>
      <c r="I99">
        <v>97</v>
      </c>
      <c r="J99">
        <v>5.1505646893392401</v>
      </c>
      <c r="K99" t="b">
        <f t="shared" si="5"/>
        <v>1</v>
      </c>
      <c r="L99">
        <f t="shared" si="6"/>
        <v>146.81818942834775</v>
      </c>
      <c r="M99">
        <f t="shared" si="7"/>
        <v>293.6363788566955</v>
      </c>
      <c r="N99">
        <f t="shared" si="8"/>
        <v>730.4387533748644</v>
      </c>
      <c r="O99" s="26">
        <f t="shared" si="9"/>
        <v>699.13423537308461</v>
      </c>
    </row>
    <row r="100" spans="1:15" x14ac:dyDescent="0.35">
      <c r="A100" t="s">
        <v>62</v>
      </c>
      <c r="B100">
        <v>4</v>
      </c>
      <c r="C100" t="s">
        <v>63</v>
      </c>
      <c r="D100">
        <v>98</v>
      </c>
      <c r="E100">
        <v>126.681219637499</v>
      </c>
      <c r="F100">
        <v>16.137764431024902</v>
      </c>
      <c r="G100" t="s">
        <v>62</v>
      </c>
      <c r="H100">
        <v>4</v>
      </c>
      <c r="I100">
        <v>98</v>
      </c>
      <c r="J100">
        <v>5.1947327833386003</v>
      </c>
      <c r="K100" t="b">
        <f t="shared" si="5"/>
        <v>1</v>
      </c>
      <c r="L100">
        <f t="shared" si="6"/>
        <v>148.01371685186248</v>
      </c>
      <c r="M100">
        <f t="shared" si="7"/>
        <v>296.02743370372497</v>
      </c>
      <c r="N100">
        <f t="shared" si="8"/>
        <v>736.38665100429091</v>
      </c>
      <c r="O100" s="26">
        <f t="shared" si="9"/>
        <v>704.82722310410713</v>
      </c>
    </row>
    <row r="101" spans="1:15" x14ac:dyDescent="0.35">
      <c r="A101" t="s">
        <v>62</v>
      </c>
      <c r="B101">
        <v>4</v>
      </c>
      <c r="C101" t="s">
        <v>63</v>
      </c>
      <c r="D101">
        <v>99</v>
      </c>
      <c r="E101">
        <v>127.656720717076</v>
      </c>
      <c r="F101">
        <v>16.312431879982999</v>
      </c>
      <c r="G101" t="s">
        <v>62</v>
      </c>
      <c r="H101">
        <v>4</v>
      </c>
      <c r="I101">
        <v>99</v>
      </c>
      <c r="J101">
        <v>5.2380173308069198</v>
      </c>
      <c r="K101" t="b">
        <f t="shared" si="5"/>
        <v>1</v>
      </c>
      <c r="L101">
        <f t="shared" si="6"/>
        <v>149.20716992786592</v>
      </c>
      <c r="M101">
        <f t="shared" si="7"/>
        <v>298.41433985573184</v>
      </c>
      <c r="N101">
        <f t="shared" si="8"/>
        <v>742.32422849684531</v>
      </c>
      <c r="O101" s="26">
        <f t="shared" si="9"/>
        <v>710.51033298983771</v>
      </c>
    </row>
    <row r="102" spans="1:15" x14ac:dyDescent="0.35">
      <c r="A102" t="s">
        <v>62</v>
      </c>
      <c r="B102">
        <v>4</v>
      </c>
      <c r="C102" t="s">
        <v>63</v>
      </c>
      <c r="D102">
        <v>100</v>
      </c>
      <c r="E102">
        <v>128.62975640932001</v>
      </c>
      <c r="F102">
        <v>16.4882147233224</v>
      </c>
      <c r="G102" t="s">
        <v>62</v>
      </c>
      <c r="H102">
        <v>4</v>
      </c>
      <c r="I102">
        <v>100</v>
      </c>
      <c r="J102">
        <v>5.2806461487924903</v>
      </c>
      <c r="K102" t="b">
        <f t="shared" si="5"/>
        <v>1</v>
      </c>
      <c r="L102">
        <f t="shared" si="6"/>
        <v>150.39861728143492</v>
      </c>
      <c r="M102">
        <f t="shared" si="7"/>
        <v>300.79723456286985</v>
      </c>
      <c r="N102">
        <f t="shared" si="8"/>
        <v>748.25182727082051</v>
      </c>
      <c r="O102" s="26">
        <f t="shared" si="9"/>
        <v>716.18389181635678</v>
      </c>
    </row>
    <row r="103" spans="1:15" x14ac:dyDescent="0.35">
      <c r="A103" t="s">
        <v>62</v>
      </c>
      <c r="B103">
        <v>6</v>
      </c>
      <c r="C103" t="s">
        <v>63</v>
      </c>
      <c r="D103">
        <v>0</v>
      </c>
      <c r="E103">
        <v>0</v>
      </c>
      <c r="F103">
        <v>0</v>
      </c>
      <c r="G103" t="s">
        <v>62</v>
      </c>
      <c r="H103">
        <v>6</v>
      </c>
      <c r="I103">
        <v>0</v>
      </c>
      <c r="J103">
        <v>0</v>
      </c>
      <c r="K103" t="b">
        <f t="shared" si="5"/>
        <v>1</v>
      </c>
      <c r="L103">
        <f t="shared" si="6"/>
        <v>0</v>
      </c>
      <c r="M103">
        <f t="shared" si="7"/>
        <v>0</v>
      </c>
      <c r="N103">
        <f t="shared" si="8"/>
        <v>0</v>
      </c>
      <c r="O103" s="26">
        <f t="shared" si="9"/>
        <v>0</v>
      </c>
    </row>
    <row r="104" spans="1:15" x14ac:dyDescent="0.35">
      <c r="A104" t="s">
        <v>62</v>
      </c>
      <c r="B104">
        <v>6</v>
      </c>
      <c r="C104" t="s">
        <v>63</v>
      </c>
      <c r="D104">
        <v>1</v>
      </c>
      <c r="E104">
        <v>1.8303030609830101E-2</v>
      </c>
      <c r="F104" s="19">
        <v>7.2676946105700206E-5</v>
      </c>
      <c r="G104" t="s">
        <v>62</v>
      </c>
      <c r="H104">
        <v>6</v>
      </c>
      <c r="I104">
        <v>1</v>
      </c>
      <c r="J104" s="19">
        <v>2.4739315951711999E-4</v>
      </c>
      <c r="K104" t="b">
        <f t="shared" si="5"/>
        <v>1</v>
      </c>
      <c r="L104">
        <f t="shared" si="6"/>
        <v>1.8623100715452923E-2</v>
      </c>
      <c r="M104">
        <f t="shared" si="7"/>
        <v>3.7246201430905845E-2</v>
      </c>
      <c r="N104">
        <f t="shared" si="8"/>
        <v>9.2652242365437426E-2</v>
      </c>
      <c r="O104" s="26">
        <f t="shared" si="9"/>
        <v>8.8681431978347255E-2</v>
      </c>
    </row>
    <row r="105" spans="1:15" x14ac:dyDescent="0.35">
      <c r="A105" t="s">
        <v>62</v>
      </c>
      <c r="B105">
        <v>6</v>
      </c>
      <c r="C105" t="s">
        <v>63</v>
      </c>
      <c r="D105">
        <v>2</v>
      </c>
      <c r="E105">
        <v>4.1181818872117998E-2</v>
      </c>
      <c r="F105" s="19">
        <v>2.3401976646034999E-4</v>
      </c>
      <c r="G105" t="s">
        <v>62</v>
      </c>
      <c r="H105">
        <v>6</v>
      </c>
      <c r="I105">
        <v>2</v>
      </c>
      <c r="J105" s="19">
        <v>7.1559797277383002E-4</v>
      </c>
      <c r="K105" t="b">
        <f t="shared" si="5"/>
        <v>1</v>
      </c>
      <c r="L105">
        <f t="shared" si="6"/>
        <v>4.2131436611352178E-2</v>
      </c>
      <c r="M105">
        <f t="shared" si="7"/>
        <v>8.4262873222704357E-2</v>
      </c>
      <c r="N105">
        <f t="shared" si="8"/>
        <v>0.20960913736991132</v>
      </c>
      <c r="O105" s="26">
        <f t="shared" si="9"/>
        <v>0.20062588862548658</v>
      </c>
    </row>
    <row r="106" spans="1:15" x14ac:dyDescent="0.35">
      <c r="A106" t="s">
        <v>62</v>
      </c>
      <c r="B106">
        <v>6</v>
      </c>
      <c r="C106" t="s">
        <v>63</v>
      </c>
      <c r="D106">
        <v>3</v>
      </c>
      <c r="E106">
        <v>6.9780304199977702E-2</v>
      </c>
      <c r="F106" s="19">
        <v>5.0408003049451995E-4</v>
      </c>
      <c r="G106" t="s">
        <v>62</v>
      </c>
      <c r="H106">
        <v>6</v>
      </c>
      <c r="I106">
        <v>3</v>
      </c>
      <c r="J106">
        <v>1.4055237614571099E-3</v>
      </c>
      <c r="K106" t="b">
        <f t="shared" si="5"/>
        <v>1</v>
      </c>
      <c r="L106">
        <f t="shared" si="6"/>
        <v>7.1689907991929328E-2</v>
      </c>
      <c r="M106">
        <f t="shared" si="7"/>
        <v>0.14337981598385866</v>
      </c>
      <c r="N106">
        <f t="shared" si="8"/>
        <v>0.35666620891507128</v>
      </c>
      <c r="O106" s="26">
        <f t="shared" si="9"/>
        <v>0.34138051424728255</v>
      </c>
    </row>
    <row r="107" spans="1:15" x14ac:dyDescent="0.35">
      <c r="A107" t="s">
        <v>62</v>
      </c>
      <c r="B107">
        <v>6</v>
      </c>
      <c r="C107" t="s">
        <v>63</v>
      </c>
      <c r="D107">
        <v>4</v>
      </c>
      <c r="E107">
        <v>0.105528410859802</v>
      </c>
      <c r="F107" s="19">
        <v>9.0798564697036003E-4</v>
      </c>
      <c r="G107" t="s">
        <v>62</v>
      </c>
      <c r="H107">
        <v>6</v>
      </c>
      <c r="I107">
        <v>4</v>
      </c>
      <c r="J107">
        <v>2.3385943022914001E-3</v>
      </c>
      <c r="K107" t="b">
        <f t="shared" si="5"/>
        <v>1</v>
      </c>
      <c r="L107">
        <f t="shared" si="6"/>
        <v>0.10877499080906376</v>
      </c>
      <c r="M107">
        <f t="shared" si="7"/>
        <v>0.21754998161812752</v>
      </c>
      <c r="N107">
        <f t="shared" si="8"/>
        <v>0.54116910850280475</v>
      </c>
      <c r="O107" s="26">
        <f t="shared" si="9"/>
        <v>0.5179761467098275</v>
      </c>
    </row>
    <row r="108" spans="1:15" x14ac:dyDescent="0.35">
      <c r="A108" t="s">
        <v>62</v>
      </c>
      <c r="B108">
        <v>6</v>
      </c>
      <c r="C108" t="s">
        <v>63</v>
      </c>
      <c r="D108">
        <v>5</v>
      </c>
      <c r="E108">
        <v>0.15021354418458299</v>
      </c>
      <c r="F108">
        <v>1.4772080454053E-3</v>
      </c>
      <c r="G108" t="s">
        <v>62</v>
      </c>
      <c r="H108">
        <v>6</v>
      </c>
      <c r="I108">
        <v>5</v>
      </c>
      <c r="J108">
        <v>3.5538112065498402E-3</v>
      </c>
      <c r="K108" t="b">
        <f t="shared" si="5"/>
        <v>1</v>
      </c>
      <c r="L108">
        <f t="shared" si="6"/>
        <v>0.15524456343653814</v>
      </c>
      <c r="M108">
        <f t="shared" si="7"/>
        <v>0.31048912687307628</v>
      </c>
      <c r="N108">
        <f t="shared" si="8"/>
        <v>0.7723610121220803</v>
      </c>
      <c r="O108" s="26">
        <f t="shared" si="9"/>
        <v>0.73925982588827688</v>
      </c>
    </row>
    <row r="109" spans="1:15" x14ac:dyDescent="0.35">
      <c r="A109" t="s">
        <v>62</v>
      </c>
      <c r="B109">
        <v>6</v>
      </c>
      <c r="C109" t="s">
        <v>63</v>
      </c>
      <c r="D109">
        <v>6</v>
      </c>
      <c r="E109">
        <v>0.20606996084055901</v>
      </c>
      <c r="F109">
        <v>2.2511462099539001E-3</v>
      </c>
      <c r="G109" t="s">
        <v>62</v>
      </c>
      <c r="H109">
        <v>6</v>
      </c>
      <c r="I109">
        <v>6</v>
      </c>
      <c r="J109">
        <v>5.10741276501212E-3</v>
      </c>
      <c r="K109" t="b">
        <f t="shared" si="5"/>
        <v>1</v>
      </c>
      <c r="L109">
        <f t="shared" si="6"/>
        <v>0.21342851981552502</v>
      </c>
      <c r="M109">
        <f t="shared" si="7"/>
        <v>0.42685703963105004</v>
      </c>
      <c r="N109">
        <f t="shared" si="8"/>
        <v>1.0618334319180349</v>
      </c>
      <c r="O109" s="26">
        <f t="shared" si="9"/>
        <v>1.0163262848358334</v>
      </c>
    </row>
    <row r="110" spans="1:15" x14ac:dyDescent="0.35">
      <c r="A110" t="s">
        <v>62</v>
      </c>
      <c r="B110">
        <v>6</v>
      </c>
      <c r="C110" t="s">
        <v>63</v>
      </c>
      <c r="D110">
        <v>7</v>
      </c>
      <c r="E110">
        <v>0.27589048166052899</v>
      </c>
      <c r="F110">
        <v>3.2791067771494398E-3</v>
      </c>
      <c r="G110" t="s">
        <v>62</v>
      </c>
      <c r="H110">
        <v>6</v>
      </c>
      <c r="I110">
        <v>7</v>
      </c>
      <c r="J110">
        <v>7.0743730876919198E-3</v>
      </c>
      <c r="K110" t="b">
        <f t="shared" si="5"/>
        <v>1</v>
      </c>
      <c r="L110">
        <f t="shared" si="6"/>
        <v>0.28624396152537035</v>
      </c>
      <c r="M110">
        <f t="shared" si="7"/>
        <v>0.5724879230507407</v>
      </c>
      <c r="N110">
        <f t="shared" si="8"/>
        <v>1.4240993110714941</v>
      </c>
      <c r="O110" s="26">
        <f t="shared" si="9"/>
        <v>1.3630664834541446</v>
      </c>
    </row>
    <row r="111" spans="1:15" x14ac:dyDescent="0.35">
      <c r="A111" t="s">
        <v>62</v>
      </c>
      <c r="B111">
        <v>6</v>
      </c>
      <c r="C111" t="s">
        <v>63</v>
      </c>
      <c r="D111">
        <v>8</v>
      </c>
      <c r="E111">
        <v>0.36316613268549203</v>
      </c>
      <c r="F111">
        <v>4.6227792118083396E-3</v>
      </c>
      <c r="G111" t="s">
        <v>62</v>
      </c>
      <c r="H111">
        <v>6</v>
      </c>
      <c r="I111">
        <v>8</v>
      </c>
      <c r="J111">
        <v>9.5513964064132002E-3</v>
      </c>
      <c r="K111" t="b">
        <f t="shared" si="5"/>
        <v>1</v>
      </c>
      <c r="L111">
        <f t="shared" si="6"/>
        <v>0.37734030830371357</v>
      </c>
      <c r="M111">
        <f t="shared" si="7"/>
        <v>0.75468061660742713</v>
      </c>
      <c r="N111">
        <f t="shared" si="8"/>
        <v>1.8773149666851421</v>
      </c>
      <c r="O111" s="26">
        <f t="shared" si="9"/>
        <v>1.7968586109700646</v>
      </c>
    </row>
    <row r="112" spans="1:15" x14ac:dyDescent="0.35">
      <c r="A112" t="s">
        <v>62</v>
      </c>
      <c r="B112">
        <v>6</v>
      </c>
      <c r="C112" t="s">
        <v>63</v>
      </c>
      <c r="D112">
        <v>9</v>
      </c>
      <c r="E112">
        <v>0.472260696466694</v>
      </c>
      <c r="F112">
        <v>6.3593298290265197E-3</v>
      </c>
      <c r="G112" t="s">
        <v>62</v>
      </c>
      <c r="H112">
        <v>6</v>
      </c>
      <c r="I112">
        <v>9</v>
      </c>
      <c r="J112">
        <v>1.2661317024663801E-2</v>
      </c>
      <c r="K112" t="b">
        <f t="shared" si="5"/>
        <v>1</v>
      </c>
      <c r="L112">
        <f t="shared" si="6"/>
        <v>0.49128134332038431</v>
      </c>
      <c r="M112">
        <f t="shared" si="7"/>
        <v>0.98256268664076862</v>
      </c>
      <c r="N112">
        <f t="shared" si="8"/>
        <v>2.4441857876636033</v>
      </c>
      <c r="O112" s="26">
        <f t="shared" si="9"/>
        <v>2.3394349681923061</v>
      </c>
    </row>
    <row r="113" spans="1:15" x14ac:dyDescent="0.35">
      <c r="A113" t="s">
        <v>62</v>
      </c>
      <c r="B113">
        <v>6</v>
      </c>
      <c r="C113" t="s">
        <v>63</v>
      </c>
      <c r="D113">
        <v>10</v>
      </c>
      <c r="E113">
        <v>0.60862890119319901</v>
      </c>
      <c r="F113">
        <v>8.5852693722269693E-3</v>
      </c>
      <c r="G113" t="s">
        <v>62</v>
      </c>
      <c r="H113">
        <v>6</v>
      </c>
      <c r="I113">
        <v>10</v>
      </c>
      <c r="J113">
        <v>1.65589885656518E-2</v>
      </c>
      <c r="K113" t="b">
        <f t="shared" si="5"/>
        <v>1</v>
      </c>
      <c r="L113">
        <f t="shared" si="6"/>
        <v>0.63377315913107779</v>
      </c>
      <c r="M113">
        <f t="shared" si="7"/>
        <v>1.2675463182621556</v>
      </c>
      <c r="N113">
        <f t="shared" si="8"/>
        <v>3.1531002941844664</v>
      </c>
      <c r="O113" s="26">
        <f t="shared" si="9"/>
        <v>3.0179674244337038</v>
      </c>
    </row>
    <row r="114" spans="1:15" x14ac:dyDescent="0.35">
      <c r="A114" t="s">
        <v>62</v>
      </c>
      <c r="B114">
        <v>6</v>
      </c>
      <c r="C114" t="s">
        <v>63</v>
      </c>
      <c r="D114">
        <v>11</v>
      </c>
      <c r="E114">
        <v>0.77908915710132898</v>
      </c>
      <c r="F114">
        <v>1.1421287534754901E-2</v>
      </c>
      <c r="G114" t="s">
        <v>62</v>
      </c>
      <c r="H114">
        <v>6</v>
      </c>
      <c r="I114">
        <v>11</v>
      </c>
      <c r="J114">
        <v>2.14388791860574E-2</v>
      </c>
      <c r="K114" t="b">
        <f t="shared" si="5"/>
        <v>1</v>
      </c>
      <c r="L114">
        <f t="shared" si="6"/>
        <v>0.81194932382214124</v>
      </c>
      <c r="M114">
        <f t="shared" si="7"/>
        <v>1.6238986476442825</v>
      </c>
      <c r="N114">
        <f t="shared" si="8"/>
        <v>4.0395488747370205</v>
      </c>
      <c r="O114" s="26">
        <f t="shared" si="9"/>
        <v>3.8664253515340059</v>
      </c>
    </row>
    <row r="115" spans="1:15" x14ac:dyDescent="0.35">
      <c r="A115" t="s">
        <v>62</v>
      </c>
      <c r="B115">
        <v>6</v>
      </c>
      <c r="C115" t="s">
        <v>63</v>
      </c>
      <c r="D115">
        <v>12</v>
      </c>
      <c r="E115">
        <v>0.99216447698649202</v>
      </c>
      <c r="F115">
        <v>1.50182961594364E-2</v>
      </c>
      <c r="G115" t="s">
        <v>62</v>
      </c>
      <c r="H115">
        <v>6</v>
      </c>
      <c r="I115">
        <v>12</v>
      </c>
      <c r="J115">
        <v>2.7544708062143101E-2</v>
      </c>
      <c r="K115" t="b">
        <f t="shared" si="5"/>
        <v>1</v>
      </c>
      <c r="L115">
        <f t="shared" si="6"/>
        <v>1.0347274812080716</v>
      </c>
      <c r="M115">
        <f t="shared" si="7"/>
        <v>2.0694549624161431</v>
      </c>
      <c r="N115">
        <f t="shared" si="8"/>
        <v>5.1478979164580672</v>
      </c>
      <c r="O115" s="26">
        <f t="shared" si="9"/>
        <v>4.9272737200384364</v>
      </c>
    </row>
    <row r="116" spans="1:15" x14ac:dyDescent="0.35">
      <c r="A116" t="s">
        <v>62</v>
      </c>
      <c r="B116">
        <v>6</v>
      </c>
      <c r="C116" t="s">
        <v>63</v>
      </c>
      <c r="D116">
        <v>13</v>
      </c>
      <c r="E116">
        <v>1.25850862684294</v>
      </c>
      <c r="F116">
        <v>1.95649832841642E-2</v>
      </c>
      <c r="G116" t="s">
        <v>62</v>
      </c>
      <c r="H116">
        <v>6</v>
      </c>
      <c r="I116">
        <v>13</v>
      </c>
      <c r="J116">
        <v>3.5181579518472998E-2</v>
      </c>
      <c r="K116" t="b">
        <f t="shared" si="5"/>
        <v>1</v>
      </c>
      <c r="L116">
        <f t="shared" si="6"/>
        <v>1.3132551896455771</v>
      </c>
      <c r="M116">
        <f t="shared" si="7"/>
        <v>2.6265103792911542</v>
      </c>
      <c r="N116">
        <f t="shared" si="8"/>
        <v>6.5336079086844627</v>
      </c>
      <c r="O116" s="26">
        <f t="shared" si="9"/>
        <v>6.2535961411694148</v>
      </c>
    </row>
    <row r="117" spans="1:15" x14ac:dyDescent="0.35">
      <c r="A117" t="s">
        <v>62</v>
      </c>
      <c r="B117">
        <v>6</v>
      </c>
      <c r="C117" t="s">
        <v>63</v>
      </c>
      <c r="D117">
        <v>14</v>
      </c>
      <c r="E117">
        <v>1.5914388141635101</v>
      </c>
      <c r="F117">
        <v>2.52972557436336E-2</v>
      </c>
      <c r="G117" t="s">
        <v>62</v>
      </c>
      <c r="H117">
        <v>6</v>
      </c>
      <c r="I117">
        <v>14</v>
      </c>
      <c r="J117">
        <v>4.4731206890624597E-2</v>
      </c>
      <c r="K117" t="b">
        <f t="shared" si="5"/>
        <v>1</v>
      </c>
      <c r="L117">
        <f t="shared" si="6"/>
        <v>1.6614672767977683</v>
      </c>
      <c r="M117">
        <f t="shared" si="7"/>
        <v>3.3229345535955366</v>
      </c>
      <c r="N117">
        <f t="shared" si="8"/>
        <v>8.2660063522277021</v>
      </c>
      <c r="O117" s="26">
        <f t="shared" si="9"/>
        <v>7.9117489371322298</v>
      </c>
    </row>
    <row r="118" spans="1:15" x14ac:dyDescent="0.35">
      <c r="A118" t="s">
        <v>62</v>
      </c>
      <c r="B118">
        <v>6</v>
      </c>
      <c r="C118" t="s">
        <v>63</v>
      </c>
      <c r="D118">
        <v>15</v>
      </c>
      <c r="E118">
        <v>2.00760154831422</v>
      </c>
      <c r="F118">
        <v>3.2510042464923103E-2</v>
      </c>
      <c r="G118" t="s">
        <v>62</v>
      </c>
      <c r="H118">
        <v>6</v>
      </c>
      <c r="I118">
        <v>15</v>
      </c>
      <c r="J118">
        <v>5.6670978892310202E-2</v>
      </c>
      <c r="K118" t="b">
        <f t="shared" si="5"/>
        <v>1</v>
      </c>
      <c r="L118">
        <f t="shared" si="6"/>
        <v>2.0967825696714533</v>
      </c>
      <c r="M118">
        <f t="shared" si="7"/>
        <v>4.1935651393429065</v>
      </c>
      <c r="N118">
        <f t="shared" si="8"/>
        <v>10.431754077967428</v>
      </c>
      <c r="O118" s="26">
        <f t="shared" si="9"/>
        <v>9.9846789031973966</v>
      </c>
    </row>
    <row r="119" spans="1:15" x14ac:dyDescent="0.35">
      <c r="A119" t="s">
        <v>62</v>
      </c>
      <c r="B119">
        <v>6</v>
      </c>
      <c r="C119" t="s">
        <v>63</v>
      </c>
      <c r="D119">
        <v>16</v>
      </c>
      <c r="E119">
        <v>2.5278049660025999</v>
      </c>
      <c r="F119">
        <v>4.1572048629079303E-2</v>
      </c>
      <c r="G119" t="s">
        <v>62</v>
      </c>
      <c r="H119">
        <v>6</v>
      </c>
      <c r="I119">
        <v>16</v>
      </c>
      <c r="J119">
        <v>7.1597816927164104E-2</v>
      </c>
      <c r="K119" t="b">
        <f t="shared" si="5"/>
        <v>1</v>
      </c>
      <c r="L119">
        <f t="shared" si="6"/>
        <v>2.6409748315588435</v>
      </c>
      <c r="M119">
        <f t="shared" si="7"/>
        <v>5.281949663117687</v>
      </c>
      <c r="N119">
        <f t="shared" si="8"/>
        <v>13.139178266461908</v>
      </c>
      <c r="O119" s="26">
        <f t="shared" si="9"/>
        <v>12.576070626470683</v>
      </c>
    </row>
    <row r="120" spans="1:15" x14ac:dyDescent="0.35">
      <c r="A120" t="s">
        <v>62</v>
      </c>
      <c r="B120">
        <v>6</v>
      </c>
      <c r="C120" t="s">
        <v>63</v>
      </c>
      <c r="D120">
        <v>17</v>
      </c>
      <c r="E120">
        <v>3.1780592381130801</v>
      </c>
      <c r="F120">
        <v>5.2944198413942503E-2</v>
      </c>
      <c r="G120" t="s">
        <v>62</v>
      </c>
      <c r="H120">
        <v>6</v>
      </c>
      <c r="I120">
        <v>17</v>
      </c>
      <c r="J120">
        <v>9.0258013367099696E-2</v>
      </c>
      <c r="K120" t="b">
        <f t="shared" si="5"/>
        <v>1</v>
      </c>
      <c r="L120">
        <f t="shared" si="6"/>
        <v>3.3212614498941226</v>
      </c>
      <c r="M120">
        <f t="shared" si="7"/>
        <v>6.6425228997882453</v>
      </c>
      <c r="N120">
        <f t="shared" si="8"/>
        <v>16.523688805443395</v>
      </c>
      <c r="O120" s="26">
        <f t="shared" si="9"/>
        <v>15.815530713781538</v>
      </c>
    </row>
    <row r="121" spans="1:15" x14ac:dyDescent="0.35">
      <c r="A121" t="s">
        <v>62</v>
      </c>
      <c r="B121">
        <v>6</v>
      </c>
      <c r="C121" t="s">
        <v>63</v>
      </c>
      <c r="D121">
        <v>18</v>
      </c>
      <c r="E121">
        <v>3.99087707825118</v>
      </c>
      <c r="F121">
        <v>6.7202688462299404E-2</v>
      </c>
      <c r="G121" t="s">
        <v>62</v>
      </c>
      <c r="H121">
        <v>6</v>
      </c>
      <c r="I121">
        <v>18</v>
      </c>
      <c r="J121">
        <v>0.11358454103927799</v>
      </c>
      <c r="K121" t="b">
        <f t="shared" si="5"/>
        <v>1</v>
      </c>
      <c r="L121">
        <f t="shared" si="6"/>
        <v>4.1716643077527573</v>
      </c>
      <c r="M121">
        <f t="shared" si="7"/>
        <v>8.3433286155055146</v>
      </c>
      <c r="N121">
        <f t="shared" si="8"/>
        <v>20.754548794789837</v>
      </c>
      <c r="O121" s="26">
        <f t="shared" si="9"/>
        <v>19.865068132155987</v>
      </c>
    </row>
    <row r="122" spans="1:15" x14ac:dyDescent="0.35">
      <c r="A122" t="s">
        <v>62</v>
      </c>
      <c r="B122">
        <v>6</v>
      </c>
      <c r="C122" t="s">
        <v>63</v>
      </c>
      <c r="D122">
        <v>19</v>
      </c>
      <c r="E122">
        <v>5.00689937842382</v>
      </c>
      <c r="F122">
        <v>8.5067804755505197E-2</v>
      </c>
      <c r="G122" t="s">
        <v>62</v>
      </c>
      <c r="H122">
        <v>6</v>
      </c>
      <c r="I122">
        <v>19</v>
      </c>
      <c r="J122">
        <v>0.142743698402342</v>
      </c>
      <c r="K122" t="b">
        <f t="shared" si="5"/>
        <v>1</v>
      </c>
      <c r="L122">
        <f t="shared" si="6"/>
        <v>5.234710881581667</v>
      </c>
      <c r="M122">
        <f t="shared" si="7"/>
        <v>10.469421763163334</v>
      </c>
      <c r="N122">
        <f t="shared" si="8"/>
        <v>26.043337719311776</v>
      </c>
      <c r="O122" s="26">
        <f t="shared" si="9"/>
        <v>24.927194674198415</v>
      </c>
    </row>
    <row r="123" spans="1:15" x14ac:dyDescent="0.35">
      <c r="A123" t="s">
        <v>62</v>
      </c>
      <c r="B123">
        <v>6</v>
      </c>
      <c r="C123" t="s">
        <v>63</v>
      </c>
      <c r="D123">
        <v>20</v>
      </c>
      <c r="E123">
        <v>6.2769272536395899</v>
      </c>
      <c r="F123">
        <v>0.10743994374278799</v>
      </c>
      <c r="G123" t="s">
        <v>62</v>
      </c>
      <c r="H123">
        <v>6</v>
      </c>
      <c r="I123">
        <v>20</v>
      </c>
      <c r="J123">
        <v>0.17919342207199099</v>
      </c>
      <c r="K123" t="b">
        <f t="shared" si="5"/>
        <v>1</v>
      </c>
      <c r="L123">
        <f t="shared" si="6"/>
        <v>6.5635606194543694</v>
      </c>
      <c r="M123">
        <f t="shared" si="7"/>
        <v>13.127121238908739</v>
      </c>
      <c r="N123">
        <f t="shared" si="8"/>
        <v>32.654530445046611</v>
      </c>
      <c r="O123" s="26">
        <f t="shared" si="9"/>
        <v>31.255050568830331</v>
      </c>
    </row>
    <row r="124" spans="1:15" x14ac:dyDescent="0.35">
      <c r="A124" t="s">
        <v>62</v>
      </c>
      <c r="B124">
        <v>6</v>
      </c>
      <c r="C124" t="s">
        <v>63</v>
      </c>
      <c r="D124">
        <v>21</v>
      </c>
      <c r="E124">
        <v>7.8642899999999898</v>
      </c>
      <c r="F124">
        <v>0.135443955430505</v>
      </c>
      <c r="G124" t="s">
        <v>62</v>
      </c>
      <c r="H124">
        <v>6</v>
      </c>
      <c r="I124">
        <v>21</v>
      </c>
      <c r="J124">
        <v>0.22475385579507501</v>
      </c>
      <c r="K124" t="b">
        <f t="shared" si="5"/>
        <v>1</v>
      </c>
      <c r="L124">
        <f t="shared" si="6"/>
        <v>8.2244878112255702</v>
      </c>
      <c r="M124">
        <f t="shared" si="7"/>
        <v>16.44897562245114</v>
      </c>
      <c r="N124">
        <f t="shared" si="8"/>
        <v>40.917849807092388</v>
      </c>
      <c r="O124" s="26">
        <f t="shared" si="9"/>
        <v>39.164227672502719</v>
      </c>
    </row>
    <row r="125" spans="1:15" x14ac:dyDescent="0.35">
      <c r="A125" t="s">
        <v>62</v>
      </c>
      <c r="B125">
        <v>6</v>
      </c>
      <c r="C125" t="s">
        <v>63</v>
      </c>
      <c r="D125">
        <v>22</v>
      </c>
      <c r="E125">
        <v>9.6238799999999998</v>
      </c>
      <c r="F125">
        <v>0.16959475676759</v>
      </c>
      <c r="G125" t="s">
        <v>62</v>
      </c>
      <c r="H125">
        <v>6</v>
      </c>
      <c r="I125">
        <v>22</v>
      </c>
      <c r="J125">
        <v>0.27866738448982697</v>
      </c>
      <c r="K125" t="b">
        <f t="shared" si="5"/>
        <v>1</v>
      </c>
      <c r="L125">
        <f t="shared" si="6"/>
        <v>10.072142141257418</v>
      </c>
      <c r="M125">
        <f t="shared" si="7"/>
        <v>20.144284282514835</v>
      </c>
      <c r="N125">
        <f t="shared" si="8"/>
        <v>50.110159906753317</v>
      </c>
      <c r="O125" s="26">
        <f t="shared" si="9"/>
        <v>47.962581625035327</v>
      </c>
    </row>
    <row r="126" spans="1:15" x14ac:dyDescent="0.35">
      <c r="A126" t="s">
        <v>62</v>
      </c>
      <c r="B126">
        <v>6</v>
      </c>
      <c r="C126" t="s">
        <v>63</v>
      </c>
      <c r="D126">
        <v>23</v>
      </c>
      <c r="E126">
        <v>11.383470000000001</v>
      </c>
      <c r="F126">
        <v>0.209707944064562</v>
      </c>
      <c r="G126" t="s">
        <v>62</v>
      </c>
      <c r="H126">
        <v>6</v>
      </c>
      <c r="I126">
        <v>23</v>
      </c>
      <c r="J126">
        <v>0.33816201180011302</v>
      </c>
      <c r="K126" t="b">
        <f t="shared" si="5"/>
        <v>1</v>
      </c>
      <c r="L126">
        <f t="shared" si="6"/>
        <v>11.931339955864676</v>
      </c>
      <c r="M126">
        <f t="shared" si="7"/>
        <v>23.862679911729352</v>
      </c>
      <c r="N126">
        <f t="shared" si="8"/>
        <v>59.359900277933704</v>
      </c>
      <c r="O126" s="26">
        <f t="shared" si="9"/>
        <v>56.815904551736551</v>
      </c>
    </row>
    <row r="127" spans="1:15" x14ac:dyDescent="0.35">
      <c r="A127" t="s">
        <v>62</v>
      </c>
      <c r="B127">
        <v>6</v>
      </c>
      <c r="C127" t="s">
        <v>63</v>
      </c>
      <c r="D127">
        <v>24</v>
      </c>
      <c r="E127">
        <v>13.14306</v>
      </c>
      <c r="F127">
        <v>0.25560464574262498</v>
      </c>
      <c r="G127" t="s">
        <v>62</v>
      </c>
      <c r="H127">
        <v>6</v>
      </c>
      <c r="I127">
        <v>24</v>
      </c>
      <c r="J127">
        <v>0.401478991158293</v>
      </c>
      <c r="K127" t="b">
        <f t="shared" si="5"/>
        <v>1</v>
      </c>
      <c r="L127">
        <f t="shared" si="6"/>
        <v>13.800143636900918</v>
      </c>
      <c r="M127">
        <f t="shared" si="7"/>
        <v>27.600287273801836</v>
      </c>
      <c r="N127">
        <f t="shared" si="8"/>
        <v>68.657431029357795</v>
      </c>
      <c r="O127" s="26">
        <f t="shared" si="9"/>
        <v>65.714969699528183</v>
      </c>
    </row>
    <row r="128" spans="1:15" x14ac:dyDescent="0.35">
      <c r="A128" t="s">
        <v>62</v>
      </c>
      <c r="B128">
        <v>6</v>
      </c>
      <c r="C128" t="s">
        <v>63</v>
      </c>
      <c r="D128">
        <v>25</v>
      </c>
      <c r="E128">
        <v>14.90265</v>
      </c>
      <c r="F128">
        <v>0.30711135637034698</v>
      </c>
      <c r="G128" t="s">
        <v>62</v>
      </c>
      <c r="H128">
        <v>6</v>
      </c>
      <c r="I128">
        <v>25</v>
      </c>
      <c r="J128">
        <v>0.46747572972184598</v>
      </c>
      <c r="K128" t="b">
        <f t="shared" si="5"/>
        <v>1</v>
      </c>
      <c r="L128">
        <f t="shared" si="6"/>
        <v>15.677237086092193</v>
      </c>
      <c r="M128">
        <f t="shared" si="7"/>
        <v>31.354474172184386</v>
      </c>
      <c r="N128">
        <f t="shared" si="8"/>
        <v>77.996204408418862</v>
      </c>
      <c r="O128" s="26">
        <f t="shared" si="9"/>
        <v>74.653509933772355</v>
      </c>
    </row>
    <row r="129" spans="1:15" x14ac:dyDescent="0.35">
      <c r="A129" t="s">
        <v>62</v>
      </c>
      <c r="B129">
        <v>6</v>
      </c>
      <c r="C129" t="s">
        <v>63</v>
      </c>
      <c r="D129">
        <v>26</v>
      </c>
      <c r="E129">
        <v>16.662240000000001</v>
      </c>
      <c r="F129">
        <v>0.36405977567923598</v>
      </c>
      <c r="G129" t="s">
        <v>62</v>
      </c>
      <c r="H129">
        <v>6</v>
      </c>
      <c r="I129">
        <v>26</v>
      </c>
      <c r="J129">
        <v>0.53539125984601899</v>
      </c>
      <c r="K129" t="b">
        <f t="shared" si="5"/>
        <v>1</v>
      </c>
      <c r="L129">
        <f t="shared" si="6"/>
        <v>17.561691035525257</v>
      </c>
      <c r="M129">
        <f t="shared" si="7"/>
        <v>35.123382071050514</v>
      </c>
      <c r="N129">
        <f t="shared" si="8"/>
        <v>87.371597191667945</v>
      </c>
      <c r="O129" s="26">
        <f t="shared" si="9"/>
        <v>83.627100169167889</v>
      </c>
    </row>
    <row r="130" spans="1:15" x14ac:dyDescent="0.35">
      <c r="A130" t="s">
        <v>62</v>
      </c>
      <c r="B130">
        <v>6</v>
      </c>
      <c r="C130" t="s">
        <v>63</v>
      </c>
      <c r="D130">
        <v>27</v>
      </c>
      <c r="E130">
        <v>18.42183</v>
      </c>
      <c r="F130">
        <v>0.42628665240885899</v>
      </c>
      <c r="G130" t="s">
        <v>62</v>
      </c>
      <c r="H130">
        <v>6</v>
      </c>
      <c r="I130">
        <v>27</v>
      </c>
      <c r="J130">
        <v>0.60470604126952399</v>
      </c>
      <c r="K130" t="b">
        <f t="shared" ref="K130:K193" si="10">H130=B130</f>
        <v>1</v>
      </c>
      <c r="L130">
        <f t="shared" ref="L130:L193" si="11">E130+F130+J130</f>
        <v>19.452822693678382</v>
      </c>
      <c r="M130">
        <f t="shared" ref="M130:M193" si="12">L130*2</f>
        <v>38.905645387356763</v>
      </c>
      <c r="N130">
        <f t="shared" ref="N130:N193" si="13">M130/(1-0.598)</f>
        <v>96.780212406360107</v>
      </c>
      <c r="O130" s="26">
        <f t="shared" ref="O130:O193" si="14">M130/0.42</f>
        <v>92.632489017516107</v>
      </c>
    </row>
    <row r="131" spans="1:15" x14ac:dyDescent="0.35">
      <c r="A131" t="s">
        <v>62</v>
      </c>
      <c r="B131">
        <v>6</v>
      </c>
      <c r="C131" t="s">
        <v>63</v>
      </c>
      <c r="D131">
        <v>28</v>
      </c>
      <c r="E131">
        <v>20.181419999999999</v>
      </c>
      <c r="F131">
        <v>0.49363363283659401</v>
      </c>
      <c r="G131" t="s">
        <v>62</v>
      </c>
      <c r="H131">
        <v>6</v>
      </c>
      <c r="I131">
        <v>28</v>
      </c>
      <c r="J131">
        <v>0.67505688975351896</v>
      </c>
      <c r="K131" t="b">
        <f t="shared" si="10"/>
        <v>1</v>
      </c>
      <c r="L131">
        <f t="shared" si="11"/>
        <v>21.350110522590114</v>
      </c>
      <c r="M131">
        <f t="shared" si="12"/>
        <v>42.700221045180228</v>
      </c>
      <c r="N131">
        <f t="shared" si="13"/>
        <v>106.21945533626922</v>
      </c>
      <c r="O131" s="26">
        <f t="shared" si="14"/>
        <v>101.66719296471483</v>
      </c>
    </row>
    <row r="132" spans="1:15" x14ac:dyDescent="0.35">
      <c r="A132" t="s">
        <v>62</v>
      </c>
      <c r="B132">
        <v>6</v>
      </c>
      <c r="C132" t="s">
        <v>63</v>
      </c>
      <c r="D132">
        <v>29</v>
      </c>
      <c r="E132">
        <v>22.465295999999999</v>
      </c>
      <c r="F132">
        <v>0.56802892785149595</v>
      </c>
      <c r="G132" t="s">
        <v>62</v>
      </c>
      <c r="H132">
        <v>6</v>
      </c>
      <c r="I132">
        <v>29</v>
      </c>
      <c r="J132">
        <v>0.75327093845401805</v>
      </c>
      <c r="K132" t="b">
        <f t="shared" si="10"/>
        <v>1</v>
      </c>
      <c r="L132">
        <f t="shared" si="11"/>
        <v>23.786595866305515</v>
      </c>
      <c r="M132">
        <f t="shared" si="12"/>
        <v>47.573191732611029</v>
      </c>
      <c r="N132">
        <f t="shared" si="13"/>
        <v>118.34127296669409</v>
      </c>
      <c r="O132" s="26">
        <f t="shared" si="14"/>
        <v>113.26950412526436</v>
      </c>
    </row>
    <row r="133" spans="1:15" x14ac:dyDescent="0.35">
      <c r="A133" t="s">
        <v>62</v>
      </c>
      <c r="B133">
        <v>6</v>
      </c>
      <c r="C133" t="s">
        <v>63</v>
      </c>
      <c r="D133">
        <v>30</v>
      </c>
      <c r="E133">
        <v>24.749172000000002</v>
      </c>
      <c r="F133">
        <v>0.64926108801595095</v>
      </c>
      <c r="G133" t="s">
        <v>62</v>
      </c>
      <c r="H133">
        <v>6</v>
      </c>
      <c r="I133">
        <v>30</v>
      </c>
      <c r="J133">
        <v>0.83662639550511797</v>
      </c>
      <c r="K133" t="b">
        <f t="shared" si="10"/>
        <v>1</v>
      </c>
      <c r="L133">
        <f t="shared" si="11"/>
        <v>26.23505948352107</v>
      </c>
      <c r="M133">
        <f t="shared" si="12"/>
        <v>52.47011896704214</v>
      </c>
      <c r="N133">
        <f t="shared" si="13"/>
        <v>130.52268399761726</v>
      </c>
      <c r="O133" s="26">
        <f t="shared" si="14"/>
        <v>124.92885468343367</v>
      </c>
    </row>
    <row r="134" spans="1:15" x14ac:dyDescent="0.35">
      <c r="A134" t="s">
        <v>62</v>
      </c>
      <c r="B134">
        <v>6</v>
      </c>
      <c r="C134" t="s">
        <v>63</v>
      </c>
      <c r="D134">
        <v>31</v>
      </c>
      <c r="E134">
        <v>27.033048000000001</v>
      </c>
      <c r="F134">
        <v>0.73712500737547204</v>
      </c>
      <c r="G134" t="s">
        <v>62</v>
      </c>
      <c r="H134">
        <v>6</v>
      </c>
      <c r="I134">
        <v>31</v>
      </c>
      <c r="J134">
        <v>0.92342853193179497</v>
      </c>
      <c r="K134" t="b">
        <f t="shared" si="10"/>
        <v>1</v>
      </c>
      <c r="L134">
        <f t="shared" si="11"/>
        <v>28.693601539307267</v>
      </c>
      <c r="M134">
        <f t="shared" si="12"/>
        <v>57.387203078614533</v>
      </c>
      <c r="N134">
        <f t="shared" si="13"/>
        <v>142.7542365139665</v>
      </c>
      <c r="O134" s="26">
        <f t="shared" si="14"/>
        <v>136.63619780622508</v>
      </c>
    </row>
    <row r="135" spans="1:15" x14ac:dyDescent="0.35">
      <c r="A135" t="s">
        <v>62</v>
      </c>
      <c r="B135">
        <v>6</v>
      </c>
      <c r="C135" t="s">
        <v>63</v>
      </c>
      <c r="D135">
        <v>32</v>
      </c>
      <c r="E135">
        <v>29.316924</v>
      </c>
      <c r="F135">
        <v>0.83142173315420798</v>
      </c>
      <c r="G135" t="s">
        <v>62</v>
      </c>
      <c r="H135">
        <v>6</v>
      </c>
      <c r="I135">
        <v>32</v>
      </c>
      <c r="J135">
        <v>1.01259881369438</v>
      </c>
      <c r="K135" t="b">
        <f t="shared" si="10"/>
        <v>1</v>
      </c>
      <c r="L135">
        <f t="shared" si="11"/>
        <v>31.16094454684859</v>
      </c>
      <c r="M135">
        <f t="shared" si="12"/>
        <v>62.32188909369718</v>
      </c>
      <c r="N135">
        <f t="shared" si="13"/>
        <v>155.02957485994324</v>
      </c>
      <c r="O135" s="26">
        <f t="shared" si="14"/>
        <v>148.38545022308853</v>
      </c>
    </row>
    <row r="136" spans="1:15" x14ac:dyDescent="0.35">
      <c r="A136" t="s">
        <v>62</v>
      </c>
      <c r="B136">
        <v>6</v>
      </c>
      <c r="C136" t="s">
        <v>63</v>
      </c>
      <c r="D136">
        <v>33</v>
      </c>
      <c r="E136">
        <v>31.6008</v>
      </c>
      <c r="F136">
        <v>0.93195828115958201</v>
      </c>
      <c r="G136" t="s">
        <v>62</v>
      </c>
      <c r="H136">
        <v>6</v>
      </c>
      <c r="I136">
        <v>33</v>
      </c>
      <c r="J136">
        <v>1.1034342652907001</v>
      </c>
      <c r="K136" t="b">
        <f t="shared" si="10"/>
        <v>1</v>
      </c>
      <c r="L136">
        <f t="shared" si="11"/>
        <v>33.636192546450282</v>
      </c>
      <c r="M136">
        <f t="shared" si="12"/>
        <v>67.272385092900564</v>
      </c>
      <c r="N136">
        <f t="shared" si="13"/>
        <v>167.34424152462825</v>
      </c>
      <c r="O136" s="26">
        <f t="shared" si="14"/>
        <v>160.17234545928707</v>
      </c>
    </row>
    <row r="137" spans="1:15" x14ac:dyDescent="0.35">
      <c r="A137" t="s">
        <v>62</v>
      </c>
      <c r="B137">
        <v>6</v>
      </c>
      <c r="C137" t="s">
        <v>63</v>
      </c>
      <c r="D137">
        <v>34</v>
      </c>
      <c r="E137">
        <v>34.344324</v>
      </c>
      <c r="F137">
        <v>1.04037260872479</v>
      </c>
      <c r="G137" t="s">
        <v>62</v>
      </c>
      <c r="H137">
        <v>6</v>
      </c>
      <c r="I137">
        <v>34</v>
      </c>
      <c r="J137">
        <v>1.2016779794682499</v>
      </c>
      <c r="K137" t="b">
        <f t="shared" si="10"/>
        <v>1</v>
      </c>
      <c r="L137">
        <f t="shared" si="11"/>
        <v>36.586374588193038</v>
      </c>
      <c r="M137">
        <f t="shared" si="12"/>
        <v>73.172749176386077</v>
      </c>
      <c r="N137">
        <f t="shared" si="13"/>
        <v>182.02176412036337</v>
      </c>
      <c r="O137" s="26">
        <f t="shared" si="14"/>
        <v>174.22083137234782</v>
      </c>
    </row>
    <row r="138" spans="1:15" x14ac:dyDescent="0.35">
      <c r="A138" t="s">
        <v>62</v>
      </c>
      <c r="B138">
        <v>6</v>
      </c>
      <c r="C138" t="s">
        <v>63</v>
      </c>
      <c r="D138">
        <v>35</v>
      </c>
      <c r="E138">
        <v>37.087848000000001</v>
      </c>
      <c r="F138">
        <v>1.1564283824630499</v>
      </c>
      <c r="G138" t="s">
        <v>62</v>
      </c>
      <c r="H138">
        <v>6</v>
      </c>
      <c r="I138">
        <v>35</v>
      </c>
      <c r="J138">
        <v>1.30478744660943</v>
      </c>
      <c r="K138" t="b">
        <f t="shared" si="10"/>
        <v>1</v>
      </c>
      <c r="L138">
        <f t="shared" si="11"/>
        <v>39.54906382907248</v>
      </c>
      <c r="M138">
        <f t="shared" si="12"/>
        <v>79.098127658144961</v>
      </c>
      <c r="N138">
        <f t="shared" si="13"/>
        <v>196.76151158742528</v>
      </c>
      <c r="O138" s="26">
        <f t="shared" si="14"/>
        <v>188.32887537653562</v>
      </c>
    </row>
    <row r="139" spans="1:15" x14ac:dyDescent="0.35">
      <c r="A139" t="s">
        <v>62</v>
      </c>
      <c r="B139">
        <v>6</v>
      </c>
      <c r="C139" t="s">
        <v>63</v>
      </c>
      <c r="D139">
        <v>36</v>
      </c>
      <c r="E139">
        <v>39.831372000000002</v>
      </c>
      <c r="F139">
        <v>1.2798963589891601</v>
      </c>
      <c r="G139" t="s">
        <v>62</v>
      </c>
      <c r="H139">
        <v>6</v>
      </c>
      <c r="I139">
        <v>36</v>
      </c>
      <c r="J139">
        <v>1.41117358334758</v>
      </c>
      <c r="K139" t="b">
        <f t="shared" si="10"/>
        <v>1</v>
      </c>
      <c r="L139">
        <f t="shared" si="11"/>
        <v>42.522441942336748</v>
      </c>
      <c r="M139">
        <f t="shared" si="12"/>
        <v>85.044883884673496</v>
      </c>
      <c r="N139">
        <f t="shared" si="13"/>
        <v>211.55443752406342</v>
      </c>
      <c r="O139" s="26">
        <f t="shared" si="14"/>
        <v>202.48781877303213</v>
      </c>
    </row>
    <row r="140" spans="1:15" x14ac:dyDescent="0.35">
      <c r="A140" t="s">
        <v>62</v>
      </c>
      <c r="B140">
        <v>6</v>
      </c>
      <c r="C140" t="s">
        <v>63</v>
      </c>
      <c r="D140">
        <v>37</v>
      </c>
      <c r="E140">
        <v>42.574896000000003</v>
      </c>
      <c r="F140">
        <v>1.4105541722194801</v>
      </c>
      <c r="G140" t="s">
        <v>62</v>
      </c>
      <c r="H140">
        <v>6</v>
      </c>
      <c r="I140">
        <v>37</v>
      </c>
      <c r="J140">
        <v>1.5198208288951001</v>
      </c>
      <c r="K140" t="b">
        <f t="shared" si="10"/>
        <v>1</v>
      </c>
      <c r="L140">
        <f t="shared" si="11"/>
        <v>45.505271001114579</v>
      </c>
      <c r="M140">
        <f t="shared" si="12"/>
        <v>91.010542002229158</v>
      </c>
      <c r="N140">
        <f t="shared" si="13"/>
        <v>226.39438309012226</v>
      </c>
      <c r="O140" s="26">
        <f t="shared" si="14"/>
        <v>216.69176667197419</v>
      </c>
    </row>
    <row r="141" spans="1:15" x14ac:dyDescent="0.35">
      <c r="A141" t="s">
        <v>62</v>
      </c>
      <c r="B141">
        <v>6</v>
      </c>
      <c r="C141" t="s">
        <v>63</v>
      </c>
      <c r="D141">
        <v>38</v>
      </c>
      <c r="E141">
        <v>45.279929467906001</v>
      </c>
      <c r="F141">
        <v>1.5826770201715401</v>
      </c>
      <c r="G141" t="s">
        <v>62</v>
      </c>
      <c r="H141">
        <v>6</v>
      </c>
      <c r="I141">
        <v>38</v>
      </c>
      <c r="J141">
        <v>1.62954402822439</v>
      </c>
      <c r="K141" t="b">
        <f t="shared" si="10"/>
        <v>1</v>
      </c>
      <c r="L141">
        <f t="shared" si="11"/>
        <v>48.492150516301926</v>
      </c>
      <c r="M141">
        <f t="shared" si="12"/>
        <v>96.984301032603852</v>
      </c>
      <c r="N141">
        <f t="shared" si="13"/>
        <v>241.25448018060658</v>
      </c>
      <c r="O141" s="26">
        <f t="shared" si="14"/>
        <v>230.9150024585806</v>
      </c>
    </row>
    <row r="142" spans="1:15" x14ac:dyDescent="0.35">
      <c r="A142" t="s">
        <v>62</v>
      </c>
      <c r="B142">
        <v>6</v>
      </c>
      <c r="C142" t="s">
        <v>63</v>
      </c>
      <c r="D142">
        <v>39</v>
      </c>
      <c r="E142">
        <v>48.151793415782301</v>
      </c>
      <c r="F142">
        <v>1.9012885224545799</v>
      </c>
      <c r="G142" t="s">
        <v>62</v>
      </c>
      <c r="H142">
        <v>6</v>
      </c>
      <c r="I142">
        <v>39</v>
      </c>
      <c r="J142">
        <v>1.74233779372473</v>
      </c>
      <c r="K142" t="b">
        <f t="shared" si="10"/>
        <v>1</v>
      </c>
      <c r="L142">
        <f t="shared" si="11"/>
        <v>51.795419731961609</v>
      </c>
      <c r="M142">
        <f t="shared" si="12"/>
        <v>103.59083946392322</v>
      </c>
      <c r="N142">
        <f t="shared" si="13"/>
        <v>257.68865538289356</v>
      </c>
      <c r="O142" s="26">
        <f t="shared" si="14"/>
        <v>246.64485586648385</v>
      </c>
    </row>
    <row r="143" spans="1:15" x14ac:dyDescent="0.35">
      <c r="A143" t="s">
        <v>62</v>
      </c>
      <c r="B143">
        <v>6</v>
      </c>
      <c r="C143" t="s">
        <v>63</v>
      </c>
      <c r="D143">
        <v>40</v>
      </c>
      <c r="E143">
        <v>50.967231887365102</v>
      </c>
      <c r="F143">
        <v>2.2698815568417499</v>
      </c>
      <c r="G143" t="s">
        <v>62</v>
      </c>
      <c r="H143">
        <v>6</v>
      </c>
      <c r="I143">
        <v>40</v>
      </c>
      <c r="J143">
        <v>1.8564405527818499</v>
      </c>
      <c r="K143" t="b">
        <f t="shared" si="10"/>
        <v>1</v>
      </c>
      <c r="L143">
        <f t="shared" si="11"/>
        <v>55.093553996988703</v>
      </c>
      <c r="M143">
        <f t="shared" si="12"/>
        <v>110.18710799397741</v>
      </c>
      <c r="N143">
        <f t="shared" si="13"/>
        <v>274.09728356710798</v>
      </c>
      <c r="O143" s="26">
        <f t="shared" si="14"/>
        <v>262.35025712851763</v>
      </c>
    </row>
    <row r="144" spans="1:15" x14ac:dyDescent="0.35">
      <c r="A144" t="s">
        <v>62</v>
      </c>
      <c r="B144">
        <v>6</v>
      </c>
      <c r="C144" t="s">
        <v>63</v>
      </c>
      <c r="D144">
        <v>41</v>
      </c>
      <c r="E144">
        <v>53.747832479539497</v>
      </c>
      <c r="F144">
        <v>2.6667974012045899</v>
      </c>
      <c r="G144" t="s">
        <v>62</v>
      </c>
      <c r="H144">
        <v>6</v>
      </c>
      <c r="I144">
        <v>41</v>
      </c>
      <c r="J144">
        <v>1.9710145177299701</v>
      </c>
      <c r="K144" t="b">
        <f t="shared" si="10"/>
        <v>1</v>
      </c>
      <c r="L144">
        <f t="shared" si="11"/>
        <v>58.385644398474057</v>
      </c>
      <c r="M144">
        <f t="shared" si="12"/>
        <v>116.77128879694811</v>
      </c>
      <c r="N144">
        <f t="shared" si="13"/>
        <v>290.4758427784779</v>
      </c>
      <c r="O144" s="26">
        <f t="shared" si="14"/>
        <v>278.02687808797168</v>
      </c>
    </row>
    <row r="145" spans="1:15" x14ac:dyDescent="0.35">
      <c r="A145" t="s">
        <v>62</v>
      </c>
      <c r="B145">
        <v>6</v>
      </c>
      <c r="C145" t="s">
        <v>63</v>
      </c>
      <c r="D145">
        <v>42</v>
      </c>
      <c r="E145">
        <v>56.502691112269297</v>
      </c>
      <c r="F145">
        <v>3.0826066564724299</v>
      </c>
      <c r="G145" t="s">
        <v>62</v>
      </c>
      <c r="H145">
        <v>6</v>
      </c>
      <c r="I145">
        <v>42</v>
      </c>
      <c r="J145">
        <v>2.08562795742791</v>
      </c>
      <c r="K145" t="b">
        <f t="shared" si="10"/>
        <v>1</v>
      </c>
      <c r="L145">
        <f t="shared" si="11"/>
        <v>61.670925726169635</v>
      </c>
      <c r="M145">
        <f t="shared" si="12"/>
        <v>123.34185145233927</v>
      </c>
      <c r="N145">
        <f t="shared" si="13"/>
        <v>306.82052600084393</v>
      </c>
      <c r="O145" s="26">
        <f t="shared" si="14"/>
        <v>293.67107488652209</v>
      </c>
    </row>
    <row r="146" spans="1:15" x14ac:dyDescent="0.35">
      <c r="A146" t="s">
        <v>62</v>
      </c>
      <c r="B146">
        <v>6</v>
      </c>
      <c r="C146" t="s">
        <v>63</v>
      </c>
      <c r="D146">
        <v>43</v>
      </c>
      <c r="E146">
        <v>59.235440669108002</v>
      </c>
      <c r="F146">
        <v>3.5132227905019802</v>
      </c>
      <c r="G146" t="s">
        <v>62</v>
      </c>
      <c r="H146">
        <v>6</v>
      </c>
      <c r="I146">
        <v>43</v>
      </c>
      <c r="J146">
        <v>2.2000324670643101</v>
      </c>
      <c r="K146" t="b">
        <f t="shared" si="10"/>
        <v>1</v>
      </c>
      <c r="L146">
        <f t="shared" si="11"/>
        <v>64.94869592667429</v>
      </c>
      <c r="M146">
        <f t="shared" si="12"/>
        <v>129.89739185334858</v>
      </c>
      <c r="N146">
        <f t="shared" si="13"/>
        <v>323.12784043121536</v>
      </c>
      <c r="O146" s="26">
        <f t="shared" si="14"/>
        <v>309.27950441273475</v>
      </c>
    </row>
    <row r="147" spans="1:15" x14ac:dyDescent="0.35">
      <c r="A147" t="s">
        <v>62</v>
      </c>
      <c r="B147">
        <v>6</v>
      </c>
      <c r="C147" t="s">
        <v>63</v>
      </c>
      <c r="D147">
        <v>44</v>
      </c>
      <c r="E147">
        <v>62.160182237166097</v>
      </c>
      <c r="F147">
        <v>3.9342215948810302</v>
      </c>
      <c r="G147" t="s">
        <v>62</v>
      </c>
      <c r="H147">
        <v>6</v>
      </c>
      <c r="I147">
        <v>44</v>
      </c>
      <c r="J147">
        <v>2.31694374013464</v>
      </c>
      <c r="K147" t="b">
        <f t="shared" si="10"/>
        <v>1</v>
      </c>
      <c r="L147">
        <f t="shared" si="11"/>
        <v>68.411347572181768</v>
      </c>
      <c r="M147">
        <f t="shared" si="12"/>
        <v>136.82269514436354</v>
      </c>
      <c r="N147">
        <f t="shared" si="13"/>
        <v>340.35496304568039</v>
      </c>
      <c r="O147" s="26">
        <f t="shared" si="14"/>
        <v>325.76832177229414</v>
      </c>
    </row>
    <row r="148" spans="1:15" x14ac:dyDescent="0.35">
      <c r="A148" t="s">
        <v>62</v>
      </c>
      <c r="B148">
        <v>6</v>
      </c>
      <c r="C148" t="s">
        <v>63</v>
      </c>
      <c r="D148">
        <v>45</v>
      </c>
      <c r="E148">
        <v>65.060045540489497</v>
      </c>
      <c r="F148">
        <v>4.3731597585035598</v>
      </c>
      <c r="G148" t="s">
        <v>62</v>
      </c>
      <c r="H148">
        <v>6</v>
      </c>
      <c r="I148">
        <v>45</v>
      </c>
      <c r="J148">
        <v>2.4351597667796501</v>
      </c>
      <c r="K148" t="b">
        <f t="shared" si="10"/>
        <v>1</v>
      </c>
      <c r="L148">
        <f t="shared" si="11"/>
        <v>71.868365065772707</v>
      </c>
      <c r="M148">
        <f t="shared" si="12"/>
        <v>143.73673013154541</v>
      </c>
      <c r="N148">
        <f t="shared" si="13"/>
        <v>357.55405505359556</v>
      </c>
      <c r="O148" s="26">
        <f t="shared" si="14"/>
        <v>342.2303098370129</v>
      </c>
    </row>
    <row r="149" spans="1:15" x14ac:dyDescent="0.35">
      <c r="A149" t="s">
        <v>62</v>
      </c>
      <c r="B149">
        <v>6</v>
      </c>
      <c r="C149" t="s">
        <v>63</v>
      </c>
      <c r="D149">
        <v>46</v>
      </c>
      <c r="E149">
        <v>67.931146276295095</v>
      </c>
      <c r="F149">
        <v>4.8327310844270697</v>
      </c>
      <c r="G149" t="s">
        <v>62</v>
      </c>
      <c r="H149">
        <v>6</v>
      </c>
      <c r="I149">
        <v>46</v>
      </c>
      <c r="J149">
        <v>2.5538723818954598</v>
      </c>
      <c r="K149" t="b">
        <f t="shared" si="10"/>
        <v>1</v>
      </c>
      <c r="L149">
        <f t="shared" si="11"/>
        <v>75.317749742617622</v>
      </c>
      <c r="M149">
        <f t="shared" si="12"/>
        <v>150.63549948523524</v>
      </c>
      <c r="N149">
        <f t="shared" si="13"/>
        <v>374.71517284884385</v>
      </c>
      <c r="O149" s="26">
        <f t="shared" si="14"/>
        <v>358.65595115532204</v>
      </c>
    </row>
    <row r="150" spans="1:15" x14ac:dyDescent="0.35">
      <c r="A150" t="s">
        <v>62</v>
      </c>
      <c r="B150">
        <v>6</v>
      </c>
      <c r="C150" t="s">
        <v>63</v>
      </c>
      <c r="D150">
        <v>47</v>
      </c>
      <c r="E150">
        <v>70.771300728284999</v>
      </c>
      <c r="F150">
        <v>5.3139677280492199</v>
      </c>
      <c r="G150" t="s">
        <v>62</v>
      </c>
      <c r="H150">
        <v>6</v>
      </c>
      <c r="I150">
        <v>47</v>
      </c>
      <c r="J150">
        <v>2.6725322802533</v>
      </c>
      <c r="K150" t="b">
        <f t="shared" si="10"/>
        <v>1</v>
      </c>
      <c r="L150">
        <f t="shared" si="11"/>
        <v>78.757800736587512</v>
      </c>
      <c r="M150">
        <f t="shared" si="12"/>
        <v>157.51560147317502</v>
      </c>
      <c r="N150">
        <f t="shared" si="13"/>
        <v>391.82985441088312</v>
      </c>
      <c r="O150" s="26">
        <f t="shared" si="14"/>
        <v>375.03714636470244</v>
      </c>
    </row>
    <row r="151" spans="1:15" x14ac:dyDescent="0.35">
      <c r="A151" t="s">
        <v>62</v>
      </c>
      <c r="B151">
        <v>6</v>
      </c>
      <c r="C151" t="s">
        <v>63</v>
      </c>
      <c r="D151">
        <v>48</v>
      </c>
      <c r="E151">
        <v>73.579123975548598</v>
      </c>
      <c r="F151">
        <v>5.8171282888960203</v>
      </c>
      <c r="G151" t="s">
        <v>62</v>
      </c>
      <c r="H151">
        <v>6</v>
      </c>
      <c r="I151">
        <v>48</v>
      </c>
      <c r="J151">
        <v>2.79075917598013</v>
      </c>
      <c r="K151" t="b">
        <f t="shared" si="10"/>
        <v>1</v>
      </c>
      <c r="L151">
        <f t="shared" si="11"/>
        <v>82.18701144042474</v>
      </c>
      <c r="M151">
        <f t="shared" si="12"/>
        <v>164.37402288084948</v>
      </c>
      <c r="N151">
        <f t="shared" si="13"/>
        <v>408.89060418121761</v>
      </c>
      <c r="O151" s="26">
        <f t="shared" si="14"/>
        <v>391.3667211448797</v>
      </c>
    </row>
    <row r="152" spans="1:15" x14ac:dyDescent="0.35">
      <c r="A152" t="s">
        <v>62</v>
      </c>
      <c r="B152">
        <v>6</v>
      </c>
      <c r="C152" t="s">
        <v>63</v>
      </c>
      <c r="D152">
        <v>49</v>
      </c>
      <c r="E152">
        <v>76.459560790502096</v>
      </c>
      <c r="F152">
        <v>6.2988839335595301</v>
      </c>
      <c r="G152" t="s">
        <v>62</v>
      </c>
      <c r="H152">
        <v>6</v>
      </c>
      <c r="I152">
        <v>49</v>
      </c>
      <c r="J152">
        <v>2.9097155160994301</v>
      </c>
      <c r="K152" t="b">
        <f t="shared" si="10"/>
        <v>1</v>
      </c>
      <c r="L152">
        <f t="shared" si="11"/>
        <v>85.668160240161058</v>
      </c>
      <c r="M152">
        <f t="shared" si="12"/>
        <v>171.33632048032212</v>
      </c>
      <c r="N152">
        <f t="shared" si="13"/>
        <v>426.20975243861221</v>
      </c>
      <c r="O152" s="26">
        <f t="shared" si="14"/>
        <v>407.94362019124316</v>
      </c>
    </row>
    <row r="153" spans="1:15" x14ac:dyDescent="0.35">
      <c r="A153" t="s">
        <v>62</v>
      </c>
      <c r="B153">
        <v>6</v>
      </c>
      <c r="C153" t="s">
        <v>63</v>
      </c>
      <c r="D153">
        <v>50</v>
      </c>
      <c r="E153">
        <v>79.329964385351403</v>
      </c>
      <c r="F153">
        <v>6.7829009044710196</v>
      </c>
      <c r="G153" t="s">
        <v>62</v>
      </c>
      <c r="H153">
        <v>6</v>
      </c>
      <c r="I153">
        <v>50</v>
      </c>
      <c r="J153">
        <v>3.0290190070566001</v>
      </c>
      <c r="K153" t="b">
        <f t="shared" si="10"/>
        <v>1</v>
      </c>
      <c r="L153">
        <f t="shared" si="11"/>
        <v>89.141884296879027</v>
      </c>
      <c r="M153">
        <f t="shared" si="12"/>
        <v>178.28376859375805</v>
      </c>
      <c r="N153">
        <f t="shared" si="13"/>
        <v>443.49196167601502</v>
      </c>
      <c r="O153" s="26">
        <f t="shared" si="14"/>
        <v>424.48516331847156</v>
      </c>
    </row>
    <row r="154" spans="1:15" x14ac:dyDescent="0.35">
      <c r="A154" t="s">
        <v>62</v>
      </c>
      <c r="B154">
        <v>6</v>
      </c>
      <c r="C154" t="s">
        <v>63</v>
      </c>
      <c r="D154">
        <v>51</v>
      </c>
      <c r="E154">
        <v>82.179241464680999</v>
      </c>
      <c r="F154">
        <v>7.2790670581416999</v>
      </c>
      <c r="G154" t="s">
        <v>62</v>
      </c>
      <c r="H154">
        <v>6</v>
      </c>
      <c r="I154">
        <v>51</v>
      </c>
      <c r="J154">
        <v>3.1482773762707899</v>
      </c>
      <c r="K154" t="b">
        <f t="shared" si="10"/>
        <v>1</v>
      </c>
      <c r="L154">
        <f t="shared" si="11"/>
        <v>92.606585899093488</v>
      </c>
      <c r="M154">
        <f t="shared" si="12"/>
        <v>185.21317179818698</v>
      </c>
      <c r="N154">
        <f t="shared" si="13"/>
        <v>460.72928308006709</v>
      </c>
      <c r="O154" s="26">
        <f t="shared" si="14"/>
        <v>440.98374237663569</v>
      </c>
    </row>
    <row r="155" spans="1:15" x14ac:dyDescent="0.35">
      <c r="A155" t="s">
        <v>62</v>
      </c>
      <c r="B155">
        <v>6</v>
      </c>
      <c r="C155" t="s">
        <v>63</v>
      </c>
      <c r="D155">
        <v>52</v>
      </c>
      <c r="E155">
        <v>85.0024177628746</v>
      </c>
      <c r="F155">
        <v>7.7913042175449103</v>
      </c>
      <c r="G155" t="s">
        <v>62</v>
      </c>
      <c r="H155">
        <v>6</v>
      </c>
      <c r="I155">
        <v>52</v>
      </c>
      <c r="J155">
        <v>3.2671697662093102</v>
      </c>
      <c r="K155" t="b">
        <f t="shared" si="10"/>
        <v>1</v>
      </c>
      <c r="L155">
        <f t="shared" si="11"/>
        <v>96.060891746628812</v>
      </c>
      <c r="M155">
        <f t="shared" si="12"/>
        <v>192.12178349325762</v>
      </c>
      <c r="N155">
        <f t="shared" si="13"/>
        <v>477.91488431158609</v>
      </c>
      <c r="O155" s="26">
        <f t="shared" si="14"/>
        <v>457.43281784108962</v>
      </c>
    </row>
    <row r="156" spans="1:15" x14ac:dyDescent="0.35">
      <c r="A156" t="s">
        <v>62</v>
      </c>
      <c r="B156">
        <v>6</v>
      </c>
      <c r="C156" t="s">
        <v>63</v>
      </c>
      <c r="D156">
        <v>53</v>
      </c>
      <c r="E156">
        <v>87.797142598432004</v>
      </c>
      <c r="F156">
        <v>8.3209875417601697</v>
      </c>
      <c r="G156" t="s">
        <v>62</v>
      </c>
      <c r="H156">
        <v>6</v>
      </c>
      <c r="I156">
        <v>53</v>
      </c>
      <c r="J156">
        <v>3.3854531228145901</v>
      </c>
      <c r="K156" t="b">
        <f t="shared" si="10"/>
        <v>1</v>
      </c>
      <c r="L156">
        <f t="shared" si="11"/>
        <v>99.503583263006774</v>
      </c>
      <c r="M156">
        <f t="shared" si="12"/>
        <v>199.00716652601355</v>
      </c>
      <c r="N156">
        <f t="shared" si="13"/>
        <v>495.04270280102872</v>
      </c>
      <c r="O156" s="26">
        <f t="shared" si="14"/>
        <v>473.82658696669893</v>
      </c>
    </row>
    <row r="157" spans="1:15" x14ac:dyDescent="0.35">
      <c r="A157" t="s">
        <v>62</v>
      </c>
      <c r="B157">
        <v>6</v>
      </c>
      <c r="C157" t="s">
        <v>63</v>
      </c>
      <c r="D157">
        <v>54</v>
      </c>
      <c r="E157">
        <v>90.589872670152104</v>
      </c>
      <c r="F157">
        <v>8.8177483129682699</v>
      </c>
      <c r="G157" t="s">
        <v>62</v>
      </c>
      <c r="H157">
        <v>6</v>
      </c>
      <c r="I157">
        <v>54</v>
      </c>
      <c r="J157">
        <v>3.5033219873419998</v>
      </c>
      <c r="K157" t="b">
        <f t="shared" si="10"/>
        <v>1</v>
      </c>
      <c r="L157">
        <f t="shared" si="11"/>
        <v>102.91094297046239</v>
      </c>
      <c r="M157">
        <f t="shared" si="12"/>
        <v>205.82188594092477</v>
      </c>
      <c r="N157">
        <f t="shared" si="13"/>
        <v>511.99474114657903</v>
      </c>
      <c r="O157" s="26">
        <f t="shared" si="14"/>
        <v>490.05210938315423</v>
      </c>
    </row>
    <row r="158" spans="1:15" x14ac:dyDescent="0.35">
      <c r="A158" t="s">
        <v>62</v>
      </c>
      <c r="B158">
        <v>6</v>
      </c>
      <c r="C158" t="s">
        <v>63</v>
      </c>
      <c r="D158">
        <v>55</v>
      </c>
      <c r="E158">
        <v>93.378632895771702</v>
      </c>
      <c r="F158">
        <v>9.3107269498151908</v>
      </c>
      <c r="G158" t="s">
        <v>62</v>
      </c>
      <c r="H158">
        <v>6</v>
      </c>
      <c r="I158">
        <v>55</v>
      </c>
      <c r="J158">
        <v>3.6208673246381502</v>
      </c>
      <c r="K158" t="b">
        <f t="shared" si="10"/>
        <v>1</v>
      </c>
      <c r="L158">
        <f t="shared" si="11"/>
        <v>106.31022717022505</v>
      </c>
      <c r="M158">
        <f t="shared" si="12"/>
        <v>212.6204543404501</v>
      </c>
      <c r="N158">
        <f t="shared" si="13"/>
        <v>528.90660283694046</v>
      </c>
      <c r="O158" s="26">
        <f t="shared" si="14"/>
        <v>506.23917700107165</v>
      </c>
    </row>
    <row r="159" spans="1:15" x14ac:dyDescent="0.35">
      <c r="A159" t="s">
        <v>62</v>
      </c>
      <c r="B159">
        <v>6</v>
      </c>
      <c r="C159" t="s">
        <v>63</v>
      </c>
      <c r="D159">
        <v>56</v>
      </c>
      <c r="E159">
        <v>96.150611447183095</v>
      </c>
      <c r="F159">
        <v>9.8116235475407994</v>
      </c>
      <c r="G159" t="s">
        <v>62</v>
      </c>
      <c r="H159">
        <v>6</v>
      </c>
      <c r="I159">
        <v>56</v>
      </c>
      <c r="J159">
        <v>3.7379712194733901</v>
      </c>
      <c r="K159" t="b">
        <f t="shared" si="10"/>
        <v>1</v>
      </c>
      <c r="L159">
        <f t="shared" si="11"/>
        <v>109.70020621419729</v>
      </c>
      <c r="M159">
        <f t="shared" si="12"/>
        <v>219.40041242839459</v>
      </c>
      <c r="N159">
        <f t="shared" si="13"/>
        <v>545.77217021988702</v>
      </c>
      <c r="O159" s="26">
        <f t="shared" si="14"/>
        <v>522.3819343533205</v>
      </c>
    </row>
    <row r="160" spans="1:15" x14ac:dyDescent="0.35">
      <c r="A160" t="s">
        <v>62</v>
      </c>
      <c r="B160">
        <v>6</v>
      </c>
      <c r="C160" t="s">
        <v>63</v>
      </c>
      <c r="D160">
        <v>57</v>
      </c>
      <c r="E160">
        <v>98.900414773747599</v>
      </c>
      <c r="F160">
        <v>10.3249218732324</v>
      </c>
      <c r="G160" t="s">
        <v>62</v>
      </c>
      <c r="H160">
        <v>6</v>
      </c>
      <c r="I160">
        <v>57</v>
      </c>
      <c r="J160">
        <v>3.85448367849644</v>
      </c>
      <c r="K160" t="b">
        <f t="shared" si="10"/>
        <v>1</v>
      </c>
      <c r="L160">
        <f t="shared" si="11"/>
        <v>113.07982032547643</v>
      </c>
      <c r="M160">
        <f t="shared" si="12"/>
        <v>226.15964065095287</v>
      </c>
      <c r="N160">
        <f t="shared" si="13"/>
        <v>562.5861707735146</v>
      </c>
      <c r="O160" s="26">
        <f t="shared" si="14"/>
        <v>538.47533488322108</v>
      </c>
    </row>
    <row r="161" spans="1:15" x14ac:dyDescent="0.35">
      <c r="A161" t="s">
        <v>62</v>
      </c>
      <c r="B161">
        <v>6</v>
      </c>
      <c r="C161" t="s">
        <v>63</v>
      </c>
      <c r="D161">
        <v>58</v>
      </c>
      <c r="E161">
        <v>101.62569571085299</v>
      </c>
      <c r="F161">
        <v>10.8521543228317</v>
      </c>
      <c r="G161" t="s">
        <v>62</v>
      </c>
      <c r="H161">
        <v>6</v>
      </c>
      <c r="I161">
        <v>58</v>
      </c>
      <c r="J161">
        <v>3.9702744582086602</v>
      </c>
      <c r="K161" t="b">
        <f t="shared" si="10"/>
        <v>1</v>
      </c>
      <c r="L161">
        <f t="shared" si="11"/>
        <v>116.44812449189335</v>
      </c>
      <c r="M161">
        <f t="shared" si="12"/>
        <v>232.89624898378671</v>
      </c>
      <c r="N161">
        <f t="shared" si="13"/>
        <v>579.34390294474304</v>
      </c>
      <c r="O161" s="26">
        <f t="shared" si="14"/>
        <v>554.51487853282549</v>
      </c>
    </row>
    <row r="162" spans="1:15" x14ac:dyDescent="0.35">
      <c r="A162" t="s">
        <v>62</v>
      </c>
      <c r="B162">
        <v>6</v>
      </c>
      <c r="C162" t="s">
        <v>63</v>
      </c>
      <c r="D162">
        <v>59</v>
      </c>
      <c r="E162">
        <v>104.276518025336</v>
      </c>
      <c r="F162">
        <v>11.340454567800901</v>
      </c>
      <c r="G162" t="s">
        <v>62</v>
      </c>
      <c r="H162">
        <v>6</v>
      </c>
      <c r="I162">
        <v>59</v>
      </c>
      <c r="J162">
        <v>4.0845818645138401</v>
      </c>
      <c r="K162" t="b">
        <f t="shared" si="10"/>
        <v>1</v>
      </c>
      <c r="L162">
        <f t="shared" si="11"/>
        <v>119.70155445765074</v>
      </c>
      <c r="M162">
        <f t="shared" si="12"/>
        <v>239.40310891530149</v>
      </c>
      <c r="N162">
        <f t="shared" si="13"/>
        <v>595.53012167985446</v>
      </c>
      <c r="O162" s="26">
        <f t="shared" si="14"/>
        <v>570.00740217928933</v>
      </c>
    </row>
    <row r="163" spans="1:15" x14ac:dyDescent="0.35">
      <c r="A163" t="s">
        <v>62</v>
      </c>
      <c r="B163">
        <v>6</v>
      </c>
      <c r="C163" t="s">
        <v>63</v>
      </c>
      <c r="D163">
        <v>60</v>
      </c>
      <c r="E163">
        <v>106.927529952199</v>
      </c>
      <c r="F163">
        <v>11.821365054629201</v>
      </c>
      <c r="G163" t="s">
        <v>62</v>
      </c>
      <c r="H163">
        <v>6</v>
      </c>
      <c r="I163">
        <v>60</v>
      </c>
      <c r="J163">
        <v>4.1979219748851504</v>
      </c>
      <c r="K163" t="b">
        <f t="shared" si="10"/>
        <v>1</v>
      </c>
      <c r="L163">
        <f t="shared" si="11"/>
        <v>122.94681698171334</v>
      </c>
      <c r="M163">
        <f t="shared" si="12"/>
        <v>245.89363396342668</v>
      </c>
      <c r="N163">
        <f t="shared" si="13"/>
        <v>611.67570637668325</v>
      </c>
      <c r="O163" s="26">
        <f t="shared" si="14"/>
        <v>585.46103324625403</v>
      </c>
    </row>
    <row r="164" spans="1:15" x14ac:dyDescent="0.35">
      <c r="A164" t="s">
        <v>62</v>
      </c>
      <c r="B164">
        <v>6</v>
      </c>
      <c r="C164" t="s">
        <v>63</v>
      </c>
      <c r="D164">
        <v>61</v>
      </c>
      <c r="E164">
        <v>109.565443047909</v>
      </c>
      <c r="F164">
        <v>12.3071689481971</v>
      </c>
      <c r="G164" t="s">
        <v>62</v>
      </c>
      <c r="H164">
        <v>6</v>
      </c>
      <c r="I164">
        <v>61</v>
      </c>
      <c r="J164">
        <v>4.3104365483856002</v>
      </c>
      <c r="K164" t="b">
        <f t="shared" si="10"/>
        <v>1</v>
      </c>
      <c r="L164">
        <f t="shared" si="11"/>
        <v>126.1830485444917</v>
      </c>
      <c r="M164">
        <f t="shared" si="12"/>
        <v>252.36609708898339</v>
      </c>
      <c r="N164">
        <f t="shared" si="13"/>
        <v>627.77636091786906</v>
      </c>
      <c r="O164" s="26">
        <f t="shared" si="14"/>
        <v>600.87165973567483</v>
      </c>
    </row>
    <row r="165" spans="1:15" x14ac:dyDescent="0.35">
      <c r="A165" t="s">
        <v>62</v>
      </c>
      <c r="B165">
        <v>6</v>
      </c>
      <c r="C165" t="s">
        <v>63</v>
      </c>
      <c r="D165">
        <v>62</v>
      </c>
      <c r="E165">
        <v>112.18489644057701</v>
      </c>
      <c r="F165">
        <v>12.802449819400801</v>
      </c>
      <c r="G165" t="s">
        <v>62</v>
      </c>
      <c r="H165">
        <v>6</v>
      </c>
      <c r="I165">
        <v>62</v>
      </c>
      <c r="J165">
        <v>4.4221422620529296</v>
      </c>
      <c r="K165" t="b">
        <f t="shared" si="10"/>
        <v>1</v>
      </c>
      <c r="L165">
        <f t="shared" si="11"/>
        <v>129.40948852203076</v>
      </c>
      <c r="M165">
        <f t="shared" si="12"/>
        <v>258.81897704406151</v>
      </c>
      <c r="N165">
        <f t="shared" si="13"/>
        <v>643.82830110463055</v>
      </c>
      <c r="O165" s="26">
        <f t="shared" si="14"/>
        <v>616.23565962871794</v>
      </c>
    </row>
    <row r="166" spans="1:15" x14ac:dyDescent="0.35">
      <c r="A166" t="s">
        <v>62</v>
      </c>
      <c r="B166">
        <v>6</v>
      </c>
      <c r="C166" t="s">
        <v>63</v>
      </c>
      <c r="D166">
        <v>63</v>
      </c>
      <c r="E166">
        <v>114.78368067632999</v>
      </c>
      <c r="F166">
        <v>13.308742145738901</v>
      </c>
      <c r="G166" t="s">
        <v>62</v>
      </c>
      <c r="H166">
        <v>6</v>
      </c>
      <c r="I166">
        <v>63</v>
      </c>
      <c r="J166">
        <v>4.5330200394394504</v>
      </c>
      <c r="K166" t="b">
        <f t="shared" si="10"/>
        <v>1</v>
      </c>
      <c r="L166">
        <f t="shared" si="11"/>
        <v>132.62544286150836</v>
      </c>
      <c r="M166">
        <f t="shared" si="12"/>
        <v>265.25088572301672</v>
      </c>
      <c r="N166">
        <f t="shared" si="13"/>
        <v>659.82807393785254</v>
      </c>
      <c r="O166" s="26">
        <f t="shared" si="14"/>
        <v>631.54972791194461</v>
      </c>
    </row>
    <row r="167" spans="1:15" x14ac:dyDescent="0.35">
      <c r="A167" t="s">
        <v>62</v>
      </c>
      <c r="B167">
        <v>6</v>
      </c>
      <c r="C167" t="s">
        <v>63</v>
      </c>
      <c r="D167">
        <v>64</v>
      </c>
      <c r="E167">
        <v>117.269741304874</v>
      </c>
      <c r="F167">
        <v>13.772262478996399</v>
      </c>
      <c r="G167" t="s">
        <v>62</v>
      </c>
      <c r="H167">
        <v>6</v>
      </c>
      <c r="I167">
        <v>64</v>
      </c>
      <c r="J167">
        <v>4.64181358870613</v>
      </c>
      <c r="K167" t="b">
        <f t="shared" si="10"/>
        <v>1</v>
      </c>
      <c r="L167">
        <f t="shared" si="11"/>
        <v>135.68381737257653</v>
      </c>
      <c r="M167">
        <f t="shared" si="12"/>
        <v>271.36763474515305</v>
      </c>
      <c r="N167">
        <f t="shared" si="13"/>
        <v>675.04386752525636</v>
      </c>
      <c r="O167" s="26">
        <f t="shared" si="14"/>
        <v>646.11341605988821</v>
      </c>
    </row>
    <row r="168" spans="1:15" x14ac:dyDescent="0.35">
      <c r="A168" t="s">
        <v>62</v>
      </c>
      <c r="B168">
        <v>6</v>
      </c>
      <c r="C168" t="s">
        <v>63</v>
      </c>
      <c r="D168">
        <v>65</v>
      </c>
      <c r="E168">
        <v>119.759468936397</v>
      </c>
      <c r="F168">
        <v>14.225931707567099</v>
      </c>
      <c r="G168" t="s">
        <v>62</v>
      </c>
      <c r="H168">
        <v>6</v>
      </c>
      <c r="I168">
        <v>65</v>
      </c>
      <c r="J168">
        <v>4.7492888313522101</v>
      </c>
      <c r="K168" t="b">
        <f t="shared" si="10"/>
        <v>1</v>
      </c>
      <c r="L168">
        <f t="shared" si="11"/>
        <v>138.73468947531632</v>
      </c>
      <c r="M168">
        <f t="shared" si="12"/>
        <v>277.46937895063263</v>
      </c>
      <c r="N168">
        <f t="shared" si="13"/>
        <v>690.22233569809111</v>
      </c>
      <c r="O168" s="26">
        <f t="shared" si="14"/>
        <v>660.64137845388723</v>
      </c>
    </row>
    <row r="169" spans="1:15" x14ac:dyDescent="0.35">
      <c r="A169" t="s">
        <v>62</v>
      </c>
      <c r="B169">
        <v>6</v>
      </c>
      <c r="C169" t="s">
        <v>63</v>
      </c>
      <c r="D169">
        <v>66</v>
      </c>
      <c r="E169">
        <v>122.239430755098</v>
      </c>
      <c r="F169">
        <v>14.682266061166199</v>
      </c>
      <c r="G169" t="s">
        <v>62</v>
      </c>
      <c r="H169">
        <v>6</v>
      </c>
      <c r="I169">
        <v>66</v>
      </c>
      <c r="J169">
        <v>4.8557434868094296</v>
      </c>
      <c r="K169" t="b">
        <f t="shared" si="10"/>
        <v>1</v>
      </c>
      <c r="L169">
        <f t="shared" si="11"/>
        <v>141.7774403030736</v>
      </c>
      <c r="M169">
        <f t="shared" si="12"/>
        <v>283.55488060614721</v>
      </c>
      <c r="N169">
        <f t="shared" si="13"/>
        <v>705.36039951777911</v>
      </c>
      <c r="O169" s="26">
        <f t="shared" si="14"/>
        <v>675.13066810987436</v>
      </c>
    </row>
    <row r="170" spans="1:15" x14ac:dyDescent="0.35">
      <c r="A170" t="s">
        <v>62</v>
      </c>
      <c r="B170">
        <v>6</v>
      </c>
      <c r="C170" t="s">
        <v>63</v>
      </c>
      <c r="D170">
        <v>67</v>
      </c>
      <c r="E170">
        <v>124.70437782137</v>
      </c>
      <c r="F170">
        <v>15.1458423481462</v>
      </c>
      <c r="G170" t="s">
        <v>62</v>
      </c>
      <c r="H170">
        <v>6</v>
      </c>
      <c r="I170">
        <v>67</v>
      </c>
      <c r="J170">
        <v>4.9612966568896297</v>
      </c>
      <c r="K170" t="b">
        <f t="shared" si="10"/>
        <v>1</v>
      </c>
      <c r="L170">
        <f t="shared" si="11"/>
        <v>144.81151682640584</v>
      </c>
      <c r="M170">
        <f t="shared" si="12"/>
        <v>289.62303365281167</v>
      </c>
      <c r="N170">
        <f t="shared" si="13"/>
        <v>720.45530759405881</v>
      </c>
      <c r="O170" s="26">
        <f t="shared" si="14"/>
        <v>689.57865155431352</v>
      </c>
    </row>
    <row r="171" spans="1:15" x14ac:dyDescent="0.35">
      <c r="A171" t="s">
        <v>62</v>
      </c>
      <c r="B171">
        <v>6</v>
      </c>
      <c r="C171" t="s">
        <v>63</v>
      </c>
      <c r="D171">
        <v>68</v>
      </c>
      <c r="E171">
        <v>127.152231244136</v>
      </c>
      <c r="F171">
        <v>15.6181729937301</v>
      </c>
      <c r="G171" t="s">
        <v>62</v>
      </c>
      <c r="H171">
        <v>6</v>
      </c>
      <c r="I171">
        <v>68</v>
      </c>
      <c r="J171">
        <v>5.0659989297758496</v>
      </c>
      <c r="K171" t="b">
        <f t="shared" si="10"/>
        <v>1</v>
      </c>
      <c r="L171">
        <f t="shared" si="11"/>
        <v>147.83640316764195</v>
      </c>
      <c r="M171">
        <f t="shared" si="12"/>
        <v>295.67280633528389</v>
      </c>
      <c r="N171">
        <f t="shared" si="13"/>
        <v>735.50449337135296</v>
      </c>
      <c r="O171" s="26">
        <f t="shared" si="14"/>
        <v>703.98287222686645</v>
      </c>
    </row>
    <row r="172" spans="1:15" x14ac:dyDescent="0.35">
      <c r="A172" t="s">
        <v>62</v>
      </c>
      <c r="B172">
        <v>6</v>
      </c>
      <c r="C172" t="s">
        <v>63</v>
      </c>
      <c r="D172">
        <v>69</v>
      </c>
      <c r="E172">
        <v>129.42575563421599</v>
      </c>
      <c r="F172">
        <v>16.045801486557099</v>
      </c>
      <c r="G172" t="s">
        <v>62</v>
      </c>
      <c r="H172">
        <v>6</v>
      </c>
      <c r="I172">
        <v>69</v>
      </c>
      <c r="J172">
        <v>5.1677602765600001</v>
      </c>
      <c r="K172" t="b">
        <f t="shared" si="10"/>
        <v>1</v>
      </c>
      <c r="L172">
        <f t="shared" si="11"/>
        <v>150.63931739733309</v>
      </c>
      <c r="M172">
        <f t="shared" si="12"/>
        <v>301.27863479466617</v>
      </c>
      <c r="N172">
        <f t="shared" si="13"/>
        <v>749.44934028523915</v>
      </c>
      <c r="O172" s="26">
        <f t="shared" si="14"/>
        <v>717.33008284444327</v>
      </c>
    </row>
    <row r="173" spans="1:15" x14ac:dyDescent="0.35">
      <c r="A173" t="s">
        <v>62</v>
      </c>
      <c r="B173">
        <v>6</v>
      </c>
      <c r="C173" t="s">
        <v>63</v>
      </c>
      <c r="D173">
        <v>70</v>
      </c>
      <c r="E173">
        <v>131.70570009342501</v>
      </c>
      <c r="F173">
        <v>16.461976734378599</v>
      </c>
      <c r="G173" t="s">
        <v>62</v>
      </c>
      <c r="H173">
        <v>6</v>
      </c>
      <c r="I173">
        <v>70</v>
      </c>
      <c r="J173">
        <v>5.26768328947177</v>
      </c>
      <c r="K173" t="b">
        <f t="shared" si="10"/>
        <v>1</v>
      </c>
      <c r="L173">
        <f t="shared" si="11"/>
        <v>153.43536011727537</v>
      </c>
      <c r="M173">
        <f t="shared" si="12"/>
        <v>306.87072023455073</v>
      </c>
      <c r="N173">
        <f t="shared" si="13"/>
        <v>763.36000058345951</v>
      </c>
      <c r="O173" s="26">
        <f t="shared" si="14"/>
        <v>730.64457198702553</v>
      </c>
    </row>
    <row r="174" spans="1:15" x14ac:dyDescent="0.35">
      <c r="A174" t="s">
        <v>62</v>
      </c>
      <c r="B174">
        <v>6</v>
      </c>
      <c r="C174" t="s">
        <v>63</v>
      </c>
      <c r="D174">
        <v>71</v>
      </c>
      <c r="E174">
        <v>133.978839987502</v>
      </c>
      <c r="F174">
        <v>16.879091144752699</v>
      </c>
      <c r="G174" t="s">
        <v>62</v>
      </c>
      <c r="H174">
        <v>6</v>
      </c>
      <c r="I174">
        <v>71</v>
      </c>
      <c r="J174">
        <v>5.3662780700914503</v>
      </c>
      <c r="K174" t="b">
        <f t="shared" si="10"/>
        <v>1</v>
      </c>
      <c r="L174">
        <f t="shared" si="11"/>
        <v>156.22420920234615</v>
      </c>
      <c r="M174">
        <f t="shared" si="12"/>
        <v>312.44841840469229</v>
      </c>
      <c r="N174">
        <f t="shared" si="13"/>
        <v>777.23487165346341</v>
      </c>
      <c r="O174" s="26">
        <f t="shared" si="14"/>
        <v>743.92480572545787</v>
      </c>
    </row>
    <row r="175" spans="1:15" x14ac:dyDescent="0.35">
      <c r="A175" t="s">
        <v>62</v>
      </c>
      <c r="B175">
        <v>6</v>
      </c>
      <c r="C175" t="s">
        <v>63</v>
      </c>
      <c r="D175">
        <v>72</v>
      </c>
      <c r="E175">
        <v>136.24013716125199</v>
      </c>
      <c r="F175">
        <v>17.301602354470699</v>
      </c>
      <c r="G175" t="s">
        <v>62</v>
      </c>
      <c r="H175">
        <v>6</v>
      </c>
      <c r="I175">
        <v>72</v>
      </c>
      <c r="J175">
        <v>5.4638017046597804</v>
      </c>
      <c r="K175" t="b">
        <f t="shared" si="10"/>
        <v>1</v>
      </c>
      <c r="L175">
        <f t="shared" si="11"/>
        <v>159.00554122038247</v>
      </c>
      <c r="M175">
        <f t="shared" si="12"/>
        <v>318.01108244076494</v>
      </c>
      <c r="N175">
        <f t="shared" si="13"/>
        <v>791.07234438001228</v>
      </c>
      <c r="O175" s="26">
        <f t="shared" si="14"/>
        <v>757.16924390658323</v>
      </c>
    </row>
    <row r="176" spans="1:15" x14ac:dyDescent="0.35">
      <c r="A176" t="s">
        <v>62</v>
      </c>
      <c r="B176">
        <v>6</v>
      </c>
      <c r="C176" t="s">
        <v>63</v>
      </c>
      <c r="D176">
        <v>73</v>
      </c>
      <c r="E176">
        <v>138.487656719048</v>
      </c>
      <c r="F176">
        <v>17.730970232999098</v>
      </c>
      <c r="G176" t="s">
        <v>62</v>
      </c>
      <c r="H176">
        <v>6</v>
      </c>
      <c r="I176">
        <v>73</v>
      </c>
      <c r="J176">
        <v>5.5603966200518604</v>
      </c>
      <c r="K176" t="b">
        <f t="shared" si="10"/>
        <v>1</v>
      </c>
      <c r="L176">
        <f t="shared" si="11"/>
        <v>161.77902357209894</v>
      </c>
      <c r="M176">
        <f t="shared" si="12"/>
        <v>323.55804714419787</v>
      </c>
      <c r="N176">
        <f t="shared" si="13"/>
        <v>804.87076404029312</v>
      </c>
      <c r="O176" s="26">
        <f t="shared" si="14"/>
        <v>770.37630272428066</v>
      </c>
    </row>
    <row r="177" spans="1:15" x14ac:dyDescent="0.35">
      <c r="A177" t="s">
        <v>62</v>
      </c>
      <c r="B177">
        <v>6</v>
      </c>
      <c r="C177" t="s">
        <v>63</v>
      </c>
      <c r="D177">
        <v>74</v>
      </c>
      <c r="E177">
        <v>140.505996597131</v>
      </c>
      <c r="F177">
        <v>18.1142269770931</v>
      </c>
      <c r="G177" t="s">
        <v>62</v>
      </c>
      <c r="H177">
        <v>6</v>
      </c>
      <c r="I177">
        <v>74</v>
      </c>
      <c r="J177">
        <v>5.6532478655773302</v>
      </c>
      <c r="K177" t="b">
        <f t="shared" si="10"/>
        <v>1</v>
      </c>
      <c r="L177">
        <f t="shared" si="11"/>
        <v>164.27347143980143</v>
      </c>
      <c r="M177">
        <f t="shared" si="12"/>
        <v>328.54694287960285</v>
      </c>
      <c r="N177">
        <f t="shared" si="13"/>
        <v>817.28095243682299</v>
      </c>
      <c r="O177" s="26">
        <f t="shared" si="14"/>
        <v>782.2546259038163</v>
      </c>
    </row>
    <row r="178" spans="1:15" x14ac:dyDescent="0.35">
      <c r="A178" t="s">
        <v>62</v>
      </c>
      <c r="B178">
        <v>6</v>
      </c>
      <c r="C178" t="s">
        <v>63</v>
      </c>
      <c r="D178">
        <v>75</v>
      </c>
      <c r="E178">
        <v>142.53328294296799</v>
      </c>
      <c r="F178">
        <v>18.484745374410799</v>
      </c>
      <c r="G178" t="s">
        <v>62</v>
      </c>
      <c r="H178">
        <v>6</v>
      </c>
      <c r="I178">
        <v>75</v>
      </c>
      <c r="J178">
        <v>5.74377031540247</v>
      </c>
      <c r="K178" t="b">
        <f t="shared" si="10"/>
        <v>1</v>
      </c>
      <c r="L178">
        <f t="shared" si="11"/>
        <v>166.76179863278125</v>
      </c>
      <c r="M178">
        <f t="shared" si="12"/>
        <v>333.5235972655625</v>
      </c>
      <c r="N178">
        <f t="shared" si="13"/>
        <v>829.66068971532957</v>
      </c>
      <c r="O178" s="26">
        <f t="shared" si="14"/>
        <v>794.10380301324403</v>
      </c>
    </row>
    <row r="179" spans="1:15" x14ac:dyDescent="0.35">
      <c r="A179" t="s">
        <v>62</v>
      </c>
      <c r="B179">
        <v>6</v>
      </c>
      <c r="C179" t="s">
        <v>63</v>
      </c>
      <c r="D179">
        <v>76</v>
      </c>
      <c r="E179">
        <v>144.556520521854</v>
      </c>
      <c r="F179">
        <v>18.854760358798401</v>
      </c>
      <c r="G179" t="s">
        <v>62</v>
      </c>
      <c r="H179">
        <v>6</v>
      </c>
      <c r="I179">
        <v>76</v>
      </c>
      <c r="J179">
        <v>5.8326722203382202</v>
      </c>
      <c r="K179" t="b">
        <f t="shared" si="10"/>
        <v>1</v>
      </c>
      <c r="L179">
        <f t="shared" si="11"/>
        <v>169.24395310099061</v>
      </c>
      <c r="M179">
        <f t="shared" si="12"/>
        <v>338.48790620198122</v>
      </c>
      <c r="N179">
        <f t="shared" si="13"/>
        <v>842.00971692035125</v>
      </c>
      <c r="O179" s="26">
        <f t="shared" si="14"/>
        <v>805.92358619519337</v>
      </c>
    </row>
    <row r="180" spans="1:15" x14ac:dyDescent="0.35">
      <c r="A180" t="s">
        <v>62</v>
      </c>
      <c r="B180">
        <v>6</v>
      </c>
      <c r="C180" t="s">
        <v>63</v>
      </c>
      <c r="D180">
        <v>77</v>
      </c>
      <c r="E180">
        <v>146.57086078852399</v>
      </c>
      <c r="F180">
        <v>19.228616297262999</v>
      </c>
      <c r="G180" t="s">
        <v>62</v>
      </c>
      <c r="H180">
        <v>6</v>
      </c>
      <c r="I180">
        <v>77</v>
      </c>
      <c r="J180">
        <v>5.9203397827993296</v>
      </c>
      <c r="K180" t="b">
        <f t="shared" si="10"/>
        <v>1</v>
      </c>
      <c r="L180">
        <f t="shared" si="11"/>
        <v>171.71981686858629</v>
      </c>
      <c r="M180">
        <f t="shared" si="12"/>
        <v>343.43963373717258</v>
      </c>
      <c r="N180">
        <f t="shared" si="13"/>
        <v>854.32744710739439</v>
      </c>
      <c r="O180" s="26">
        <f t="shared" si="14"/>
        <v>817.71341365993476</v>
      </c>
    </row>
    <row r="181" spans="1:15" x14ac:dyDescent="0.35">
      <c r="A181" t="s">
        <v>62</v>
      </c>
      <c r="B181">
        <v>6</v>
      </c>
      <c r="C181" t="s">
        <v>63</v>
      </c>
      <c r="D181">
        <v>78</v>
      </c>
      <c r="E181">
        <v>148.57448720499201</v>
      </c>
      <c r="F181">
        <v>19.607730059871201</v>
      </c>
      <c r="G181" t="s">
        <v>62</v>
      </c>
      <c r="H181">
        <v>6</v>
      </c>
      <c r="I181">
        <v>78</v>
      </c>
      <c r="J181">
        <v>6.0070014756423404</v>
      </c>
      <c r="K181" t="b">
        <f t="shared" si="10"/>
        <v>1</v>
      </c>
      <c r="L181">
        <f t="shared" si="11"/>
        <v>174.18921874050554</v>
      </c>
      <c r="M181">
        <f t="shared" si="12"/>
        <v>348.37843748101108</v>
      </c>
      <c r="N181">
        <f t="shared" si="13"/>
        <v>866.61302855972895</v>
      </c>
      <c r="O181" s="26">
        <f t="shared" si="14"/>
        <v>829.47247019288352</v>
      </c>
    </row>
    <row r="182" spans="1:15" x14ac:dyDescent="0.35">
      <c r="A182" t="s">
        <v>62</v>
      </c>
      <c r="B182">
        <v>6</v>
      </c>
      <c r="C182" t="s">
        <v>63</v>
      </c>
      <c r="D182">
        <v>79</v>
      </c>
      <c r="E182">
        <v>150.335594125932</v>
      </c>
      <c r="F182">
        <v>19.934506315021199</v>
      </c>
      <c r="G182" t="s">
        <v>62</v>
      </c>
      <c r="H182">
        <v>6</v>
      </c>
      <c r="I182">
        <v>79</v>
      </c>
      <c r="J182">
        <v>6.08967828301832</v>
      </c>
      <c r="K182" t="b">
        <f t="shared" si="10"/>
        <v>1</v>
      </c>
      <c r="L182">
        <f t="shared" si="11"/>
        <v>176.35977872397152</v>
      </c>
      <c r="M182">
        <f t="shared" si="12"/>
        <v>352.71955744794303</v>
      </c>
      <c r="N182">
        <f t="shared" si="13"/>
        <v>877.41183444761941</v>
      </c>
      <c r="O182" s="26">
        <f t="shared" si="14"/>
        <v>839.80847011415005</v>
      </c>
    </row>
    <row r="183" spans="1:15" x14ac:dyDescent="0.35">
      <c r="A183" t="s">
        <v>62</v>
      </c>
      <c r="B183">
        <v>6</v>
      </c>
      <c r="C183" t="s">
        <v>63</v>
      </c>
      <c r="D183">
        <v>80</v>
      </c>
      <c r="E183">
        <v>152.11021264074699</v>
      </c>
      <c r="F183">
        <v>20.2458702452168</v>
      </c>
      <c r="G183" t="s">
        <v>62</v>
      </c>
      <c r="H183">
        <v>6</v>
      </c>
      <c r="I183">
        <v>80</v>
      </c>
      <c r="J183">
        <v>6.1699242187073597</v>
      </c>
      <c r="K183" t="b">
        <f t="shared" si="10"/>
        <v>1</v>
      </c>
      <c r="L183">
        <f t="shared" si="11"/>
        <v>178.52600710467115</v>
      </c>
      <c r="M183">
        <f t="shared" si="12"/>
        <v>357.0520142093423</v>
      </c>
      <c r="N183">
        <f t="shared" si="13"/>
        <v>888.18909007299078</v>
      </c>
      <c r="O183" s="26">
        <f t="shared" si="14"/>
        <v>850.12384335557692</v>
      </c>
    </row>
    <row r="184" spans="1:15" x14ac:dyDescent="0.35">
      <c r="A184" t="s">
        <v>62</v>
      </c>
      <c r="B184">
        <v>6</v>
      </c>
      <c r="C184" t="s">
        <v>63</v>
      </c>
      <c r="D184">
        <v>81</v>
      </c>
      <c r="E184">
        <v>153.88422125540001</v>
      </c>
      <c r="F184">
        <v>20.555185469557799</v>
      </c>
      <c r="G184" t="s">
        <v>62</v>
      </c>
      <c r="H184">
        <v>6</v>
      </c>
      <c r="I184">
        <v>81</v>
      </c>
      <c r="J184">
        <v>6.2485218370187798</v>
      </c>
      <c r="K184" t="b">
        <f t="shared" si="10"/>
        <v>1</v>
      </c>
      <c r="L184">
        <f t="shared" si="11"/>
        <v>180.68792856197658</v>
      </c>
      <c r="M184">
        <f t="shared" si="12"/>
        <v>361.37585712395315</v>
      </c>
      <c r="N184">
        <f t="shared" si="13"/>
        <v>898.94491821878887</v>
      </c>
      <c r="O184" s="26">
        <f t="shared" si="14"/>
        <v>860.4187074379837</v>
      </c>
    </row>
    <row r="185" spans="1:15" x14ac:dyDescent="0.35">
      <c r="A185" t="s">
        <v>62</v>
      </c>
      <c r="B185">
        <v>6</v>
      </c>
      <c r="C185" t="s">
        <v>63</v>
      </c>
      <c r="D185">
        <v>82</v>
      </c>
      <c r="E185">
        <v>155.65244126911099</v>
      </c>
      <c r="F185">
        <v>20.867158145371999</v>
      </c>
      <c r="G185" t="s">
        <v>62</v>
      </c>
      <c r="H185">
        <v>6</v>
      </c>
      <c r="I185">
        <v>82</v>
      </c>
      <c r="J185">
        <v>6.3259021292519204</v>
      </c>
      <c r="K185" t="b">
        <f t="shared" si="10"/>
        <v>1</v>
      </c>
      <c r="L185">
        <f t="shared" si="11"/>
        <v>182.84550154373491</v>
      </c>
      <c r="M185">
        <f t="shared" si="12"/>
        <v>365.69100308746982</v>
      </c>
      <c r="N185">
        <f t="shared" si="13"/>
        <v>909.67911215788513</v>
      </c>
      <c r="O185" s="26">
        <f t="shared" si="14"/>
        <v>870.69286449397578</v>
      </c>
    </row>
    <row r="186" spans="1:15" x14ac:dyDescent="0.35">
      <c r="A186" t="s">
        <v>62</v>
      </c>
      <c r="B186">
        <v>6</v>
      </c>
      <c r="C186" t="s">
        <v>63</v>
      </c>
      <c r="D186">
        <v>83</v>
      </c>
      <c r="E186">
        <v>157.412970874873</v>
      </c>
      <c r="F186">
        <v>21.1833308943331</v>
      </c>
      <c r="G186" t="s">
        <v>62</v>
      </c>
      <c r="H186">
        <v>6</v>
      </c>
      <c r="I186">
        <v>83</v>
      </c>
      <c r="J186">
        <v>6.4023230178177899</v>
      </c>
      <c r="K186" t="b">
        <f t="shared" si="10"/>
        <v>1</v>
      </c>
      <c r="L186">
        <f t="shared" si="11"/>
        <v>184.99862478702389</v>
      </c>
      <c r="M186">
        <f t="shared" si="12"/>
        <v>369.99724957404777</v>
      </c>
      <c r="N186">
        <f t="shared" si="13"/>
        <v>920.3911680946461</v>
      </c>
      <c r="O186" s="26">
        <f t="shared" si="14"/>
        <v>880.94583231916135</v>
      </c>
    </row>
    <row r="187" spans="1:15" x14ac:dyDescent="0.35">
      <c r="A187" t="s">
        <v>62</v>
      </c>
      <c r="B187">
        <v>6</v>
      </c>
      <c r="C187" t="s">
        <v>63</v>
      </c>
      <c r="D187">
        <v>84</v>
      </c>
      <c r="E187">
        <v>158.91653698372801</v>
      </c>
      <c r="F187">
        <v>21.448876399065199</v>
      </c>
      <c r="G187" t="s">
        <v>62</v>
      </c>
      <c r="H187">
        <v>6</v>
      </c>
      <c r="I187">
        <v>84</v>
      </c>
      <c r="J187">
        <v>6.4745900547266597</v>
      </c>
      <c r="K187" t="b">
        <f t="shared" si="10"/>
        <v>1</v>
      </c>
      <c r="L187">
        <f t="shared" si="11"/>
        <v>186.84000343751987</v>
      </c>
      <c r="M187">
        <f t="shared" si="12"/>
        <v>373.68000687503974</v>
      </c>
      <c r="N187">
        <f t="shared" si="13"/>
        <v>929.55225590805901</v>
      </c>
      <c r="O187" s="26">
        <f t="shared" si="14"/>
        <v>889.71430208342792</v>
      </c>
    </row>
    <row r="188" spans="1:15" x14ac:dyDescent="0.35">
      <c r="A188" t="s">
        <v>62</v>
      </c>
      <c r="B188">
        <v>6</v>
      </c>
      <c r="C188" t="s">
        <v>63</v>
      </c>
      <c r="D188">
        <v>85</v>
      </c>
      <c r="E188">
        <v>160.43479262361001</v>
      </c>
      <c r="F188">
        <v>21.699502323083198</v>
      </c>
      <c r="G188" t="s">
        <v>62</v>
      </c>
      <c r="H188">
        <v>6</v>
      </c>
      <c r="I188">
        <v>85</v>
      </c>
      <c r="J188">
        <v>6.54433151266403</v>
      </c>
      <c r="K188" t="b">
        <f t="shared" si="10"/>
        <v>1</v>
      </c>
      <c r="L188">
        <f t="shared" si="11"/>
        <v>188.67862645935725</v>
      </c>
      <c r="M188">
        <f t="shared" si="12"/>
        <v>377.35725291871449</v>
      </c>
      <c r="N188">
        <f t="shared" si="13"/>
        <v>938.69963412615539</v>
      </c>
      <c r="O188" s="26">
        <f t="shared" si="14"/>
        <v>898.46964980646317</v>
      </c>
    </row>
    <row r="189" spans="1:15" x14ac:dyDescent="0.35">
      <c r="A189" t="s">
        <v>62</v>
      </c>
      <c r="B189">
        <v>6</v>
      </c>
      <c r="C189" t="s">
        <v>63</v>
      </c>
      <c r="D189">
        <v>86</v>
      </c>
      <c r="E189">
        <v>161.954261061484</v>
      </c>
      <c r="F189">
        <v>21.947963454739799</v>
      </c>
      <c r="G189" t="s">
        <v>62</v>
      </c>
      <c r="H189">
        <v>6</v>
      </c>
      <c r="I189">
        <v>86</v>
      </c>
      <c r="J189">
        <v>6.6123852561119003</v>
      </c>
      <c r="K189" t="b">
        <f t="shared" si="10"/>
        <v>1</v>
      </c>
      <c r="L189">
        <f t="shared" si="11"/>
        <v>190.51460977233572</v>
      </c>
      <c r="M189">
        <f t="shared" si="12"/>
        <v>381.02921954467143</v>
      </c>
      <c r="N189">
        <f t="shared" si="13"/>
        <v>947.83387946435676</v>
      </c>
      <c r="O189" s="26">
        <f t="shared" si="14"/>
        <v>907.21242748731299</v>
      </c>
    </row>
    <row r="190" spans="1:15" x14ac:dyDescent="0.35">
      <c r="A190" t="s">
        <v>62</v>
      </c>
      <c r="B190">
        <v>6</v>
      </c>
      <c r="C190" t="s">
        <v>63</v>
      </c>
      <c r="D190">
        <v>87</v>
      </c>
      <c r="E190">
        <v>163.470064288884</v>
      </c>
      <c r="F190">
        <v>22.198695394806101</v>
      </c>
      <c r="G190" t="s">
        <v>62</v>
      </c>
      <c r="H190">
        <v>6</v>
      </c>
      <c r="I190">
        <v>87</v>
      </c>
      <c r="J190">
        <v>6.6792218486285302</v>
      </c>
      <c r="K190" t="b">
        <f t="shared" si="10"/>
        <v>1</v>
      </c>
      <c r="L190">
        <f t="shared" si="11"/>
        <v>192.34798153231864</v>
      </c>
      <c r="M190">
        <f t="shared" si="12"/>
        <v>384.69596306463728</v>
      </c>
      <c r="N190">
        <f t="shared" si="13"/>
        <v>956.95513200158518</v>
      </c>
      <c r="O190" s="26">
        <f t="shared" si="14"/>
        <v>915.94276920151742</v>
      </c>
    </row>
    <row r="191" spans="1:15" x14ac:dyDescent="0.35">
      <c r="A191" t="s">
        <v>62</v>
      </c>
      <c r="B191">
        <v>6</v>
      </c>
      <c r="C191" t="s">
        <v>63</v>
      </c>
      <c r="D191">
        <v>88</v>
      </c>
      <c r="E191">
        <v>164.980434286632</v>
      </c>
      <c r="F191">
        <v>22.453133441816</v>
      </c>
      <c r="G191" t="s">
        <v>62</v>
      </c>
      <c r="H191">
        <v>6</v>
      </c>
      <c r="I191">
        <v>88</v>
      </c>
      <c r="J191">
        <v>6.7451269908560398</v>
      </c>
      <c r="K191" t="b">
        <f t="shared" si="10"/>
        <v>1</v>
      </c>
      <c r="L191">
        <f t="shared" si="11"/>
        <v>194.17869471930405</v>
      </c>
      <c r="M191">
        <f t="shared" si="12"/>
        <v>388.3573894386081</v>
      </c>
      <c r="N191">
        <f t="shared" si="13"/>
        <v>966.06315780748275</v>
      </c>
      <c r="O191" s="26">
        <f t="shared" si="14"/>
        <v>924.66045104430498</v>
      </c>
    </row>
    <row r="192" spans="1:15" x14ac:dyDescent="0.35">
      <c r="A192" t="s">
        <v>62</v>
      </c>
      <c r="B192">
        <v>6</v>
      </c>
      <c r="C192" t="s">
        <v>63</v>
      </c>
      <c r="D192">
        <v>89</v>
      </c>
      <c r="E192">
        <v>166.28049289351401</v>
      </c>
      <c r="F192">
        <v>22.655472212539699</v>
      </c>
      <c r="G192" t="s">
        <v>62</v>
      </c>
      <c r="H192">
        <v>6</v>
      </c>
      <c r="I192">
        <v>89</v>
      </c>
      <c r="J192">
        <v>6.8075249355944099</v>
      </c>
      <c r="K192" t="b">
        <f t="shared" si="10"/>
        <v>1</v>
      </c>
      <c r="L192">
        <f t="shared" si="11"/>
        <v>195.74349004164813</v>
      </c>
      <c r="M192">
        <f t="shared" si="12"/>
        <v>391.48698008329626</v>
      </c>
      <c r="N192">
        <f t="shared" si="13"/>
        <v>973.84820916242847</v>
      </c>
      <c r="O192" s="26">
        <f t="shared" si="14"/>
        <v>932.11185734118158</v>
      </c>
    </row>
    <row r="193" spans="1:15" x14ac:dyDescent="0.35">
      <c r="A193" t="s">
        <v>62</v>
      </c>
      <c r="B193">
        <v>6</v>
      </c>
      <c r="C193" t="s">
        <v>63</v>
      </c>
      <c r="D193">
        <v>90</v>
      </c>
      <c r="E193">
        <v>167.59767484977201</v>
      </c>
      <c r="F193">
        <v>22.842498149225701</v>
      </c>
      <c r="G193" t="s">
        <v>62</v>
      </c>
      <c r="H193">
        <v>6</v>
      </c>
      <c r="I193">
        <v>90</v>
      </c>
      <c r="J193">
        <v>6.8678446661102202</v>
      </c>
      <c r="K193" t="b">
        <f t="shared" si="10"/>
        <v>1</v>
      </c>
      <c r="L193">
        <f t="shared" si="11"/>
        <v>197.30801766510791</v>
      </c>
      <c r="M193">
        <f t="shared" si="12"/>
        <v>394.61603533021582</v>
      </c>
      <c r="N193">
        <f t="shared" si="13"/>
        <v>981.63192868212889</v>
      </c>
      <c r="O193" s="26">
        <f t="shared" si="14"/>
        <v>939.56198888146628</v>
      </c>
    </row>
    <row r="194" spans="1:15" x14ac:dyDescent="0.35">
      <c r="A194" t="s">
        <v>62</v>
      </c>
      <c r="B194">
        <v>6</v>
      </c>
      <c r="C194" t="s">
        <v>63</v>
      </c>
      <c r="D194">
        <v>91</v>
      </c>
      <c r="E194">
        <v>168.918248606753</v>
      </c>
      <c r="F194">
        <v>23.027212364539199</v>
      </c>
      <c r="G194" t="s">
        <v>62</v>
      </c>
      <c r="H194">
        <v>6</v>
      </c>
      <c r="I194">
        <v>91</v>
      </c>
      <c r="J194">
        <v>6.9267994612230703</v>
      </c>
      <c r="K194" t="b">
        <f t="shared" ref="K194:K257" si="15">H194=B194</f>
        <v>1</v>
      </c>
      <c r="L194">
        <f t="shared" ref="L194:L257" si="16">E194+F194+J194</f>
        <v>198.87226043251528</v>
      </c>
      <c r="M194">
        <f t="shared" ref="M194:M257" si="17">L194*2</f>
        <v>397.74452086503055</v>
      </c>
      <c r="N194">
        <f t="shared" ref="N194:N257" si="18">M194/(1-0.598)</f>
        <v>989.41423100753866</v>
      </c>
      <c r="O194" s="26">
        <f t="shared" ref="O194:O257" si="19">M194/0.42</f>
        <v>947.01076396435849</v>
      </c>
    </row>
    <row r="195" spans="1:15" x14ac:dyDescent="0.35">
      <c r="A195" t="s">
        <v>62</v>
      </c>
      <c r="B195">
        <v>6</v>
      </c>
      <c r="C195" t="s">
        <v>63</v>
      </c>
      <c r="D195">
        <v>92</v>
      </c>
      <c r="E195">
        <v>170.23730049557901</v>
      </c>
      <c r="F195">
        <v>23.2140889694621</v>
      </c>
      <c r="G195" t="s">
        <v>62</v>
      </c>
      <c r="H195">
        <v>6</v>
      </c>
      <c r="I195">
        <v>92</v>
      </c>
      <c r="J195">
        <v>6.9847821917555803</v>
      </c>
      <c r="K195" t="b">
        <f t="shared" si="15"/>
        <v>1</v>
      </c>
      <c r="L195">
        <f t="shared" si="16"/>
        <v>200.43617165679669</v>
      </c>
      <c r="M195">
        <f t="shared" si="17"/>
        <v>400.87234331359338</v>
      </c>
      <c r="N195">
        <f t="shared" si="18"/>
        <v>997.19488386466003</v>
      </c>
      <c r="O195" s="26">
        <f t="shared" si="19"/>
        <v>954.45796027046049</v>
      </c>
    </row>
    <row r="196" spans="1:15" x14ac:dyDescent="0.35">
      <c r="A196" t="s">
        <v>62</v>
      </c>
      <c r="B196">
        <v>6</v>
      </c>
      <c r="C196" t="s">
        <v>63</v>
      </c>
      <c r="D196">
        <v>93</v>
      </c>
      <c r="E196">
        <v>171.54660407971599</v>
      </c>
      <c r="F196">
        <v>23.4045591906801</v>
      </c>
      <c r="G196" t="s">
        <v>62</v>
      </c>
      <c r="H196">
        <v>6</v>
      </c>
      <c r="I196">
        <v>93</v>
      </c>
      <c r="J196">
        <v>7.0420295083831199</v>
      </c>
      <c r="K196" t="b">
        <f t="shared" si="15"/>
        <v>1</v>
      </c>
      <c r="L196">
        <f t="shared" si="16"/>
        <v>201.99319277877919</v>
      </c>
      <c r="M196">
        <f t="shared" si="17"/>
        <v>403.98638555755838</v>
      </c>
      <c r="N196">
        <f t="shared" si="18"/>
        <v>1004.9412576058666</v>
      </c>
      <c r="O196" s="26">
        <f t="shared" si="19"/>
        <v>961.8723465656152</v>
      </c>
    </row>
    <row r="197" spans="1:15" x14ac:dyDescent="0.35">
      <c r="A197" t="s">
        <v>62</v>
      </c>
      <c r="B197">
        <v>6</v>
      </c>
      <c r="C197" t="s">
        <v>63</v>
      </c>
      <c r="D197">
        <v>94</v>
      </c>
      <c r="E197">
        <v>172.64237852547899</v>
      </c>
      <c r="F197">
        <v>23.5547413186253</v>
      </c>
      <c r="G197" t="s">
        <v>62</v>
      </c>
      <c r="H197">
        <v>6</v>
      </c>
      <c r="I197">
        <v>94</v>
      </c>
      <c r="J197">
        <v>7.0959491127663199</v>
      </c>
      <c r="K197" t="b">
        <f t="shared" si="15"/>
        <v>1</v>
      </c>
      <c r="L197">
        <f t="shared" si="16"/>
        <v>203.29306895687063</v>
      </c>
      <c r="M197">
        <f t="shared" si="17"/>
        <v>406.58613791374125</v>
      </c>
      <c r="N197">
        <f t="shared" si="18"/>
        <v>1011.408303268013</v>
      </c>
      <c r="O197" s="26">
        <f t="shared" si="19"/>
        <v>968.06223312795544</v>
      </c>
    </row>
    <row r="198" spans="1:15" x14ac:dyDescent="0.35">
      <c r="A198" t="s">
        <v>62</v>
      </c>
      <c r="B198">
        <v>6</v>
      </c>
      <c r="C198" t="s">
        <v>63</v>
      </c>
      <c r="D198">
        <v>95</v>
      </c>
      <c r="E198">
        <v>173.75195607937701</v>
      </c>
      <c r="F198">
        <v>23.693748979714499</v>
      </c>
      <c r="G198" t="s">
        <v>62</v>
      </c>
      <c r="H198">
        <v>6</v>
      </c>
      <c r="I198">
        <v>95</v>
      </c>
      <c r="J198">
        <v>7.1478716349857798</v>
      </c>
      <c r="K198" t="b">
        <f t="shared" si="15"/>
        <v>1</v>
      </c>
      <c r="L198">
        <f t="shared" si="16"/>
        <v>204.59357669407729</v>
      </c>
      <c r="M198">
        <f t="shared" si="17"/>
        <v>409.18715338815457</v>
      </c>
      <c r="N198">
        <f t="shared" si="18"/>
        <v>1017.8784910153098</v>
      </c>
      <c r="O198" s="26">
        <f t="shared" si="19"/>
        <v>974.25512711465376</v>
      </c>
    </row>
    <row r="199" spans="1:15" x14ac:dyDescent="0.35">
      <c r="A199" t="s">
        <v>62</v>
      </c>
      <c r="B199">
        <v>6</v>
      </c>
      <c r="C199" t="s">
        <v>63</v>
      </c>
      <c r="D199">
        <v>96</v>
      </c>
      <c r="E199">
        <v>174.86467183218801</v>
      </c>
      <c r="F199">
        <v>23.8317475059137</v>
      </c>
      <c r="G199" t="s">
        <v>62</v>
      </c>
      <c r="H199">
        <v>6</v>
      </c>
      <c r="I199">
        <v>96</v>
      </c>
      <c r="J199">
        <v>7.1984862406497498</v>
      </c>
      <c r="K199" t="b">
        <f t="shared" si="15"/>
        <v>1</v>
      </c>
      <c r="L199">
        <f t="shared" si="16"/>
        <v>205.89490557875146</v>
      </c>
      <c r="M199">
        <f t="shared" si="17"/>
        <v>411.78981115750292</v>
      </c>
      <c r="N199">
        <f t="shared" si="18"/>
        <v>1024.3527640733903</v>
      </c>
      <c r="O199" s="26">
        <f t="shared" si="19"/>
        <v>980.45193132738791</v>
      </c>
    </row>
    <row r="200" spans="1:15" x14ac:dyDescent="0.35">
      <c r="A200" t="s">
        <v>62</v>
      </c>
      <c r="B200">
        <v>6</v>
      </c>
      <c r="C200" t="s">
        <v>63</v>
      </c>
      <c r="D200">
        <v>97</v>
      </c>
      <c r="E200">
        <v>175.976743549172</v>
      </c>
      <c r="F200">
        <v>23.9721732026069</v>
      </c>
      <c r="G200" t="s">
        <v>62</v>
      </c>
      <c r="H200">
        <v>6</v>
      </c>
      <c r="I200">
        <v>97</v>
      </c>
      <c r="J200">
        <v>7.2481835238584997</v>
      </c>
      <c r="K200" t="b">
        <f t="shared" si="15"/>
        <v>1</v>
      </c>
      <c r="L200">
        <f t="shared" si="16"/>
        <v>207.19710027563741</v>
      </c>
      <c r="M200">
        <f t="shared" si="17"/>
        <v>414.39420055127482</v>
      </c>
      <c r="N200">
        <f t="shared" si="18"/>
        <v>1030.8313446549125</v>
      </c>
      <c r="O200" s="26">
        <f t="shared" si="19"/>
        <v>986.65285845541632</v>
      </c>
    </row>
    <row r="201" spans="1:15" x14ac:dyDescent="0.35">
      <c r="A201" t="s">
        <v>62</v>
      </c>
      <c r="B201">
        <v>6</v>
      </c>
      <c r="C201" t="s">
        <v>63</v>
      </c>
      <c r="D201">
        <v>98</v>
      </c>
      <c r="E201">
        <v>177.086831455995</v>
      </c>
      <c r="F201">
        <v>24.116083198736899</v>
      </c>
      <c r="G201" t="s">
        <v>62</v>
      </c>
      <c r="H201">
        <v>6</v>
      </c>
      <c r="I201">
        <v>98</v>
      </c>
      <c r="J201">
        <v>7.2972028234313502</v>
      </c>
      <c r="K201" t="b">
        <f t="shared" si="15"/>
        <v>1</v>
      </c>
      <c r="L201">
        <f t="shared" si="16"/>
        <v>208.50011747816325</v>
      </c>
      <c r="M201">
        <f t="shared" si="17"/>
        <v>417.00023495632649</v>
      </c>
      <c r="N201">
        <f t="shared" si="18"/>
        <v>1037.3140173042948</v>
      </c>
      <c r="O201" s="26">
        <f t="shared" si="19"/>
        <v>992.85770227696787</v>
      </c>
    </row>
    <row r="202" spans="1:15" x14ac:dyDescent="0.35">
      <c r="A202" t="s">
        <v>62</v>
      </c>
      <c r="B202">
        <v>6</v>
      </c>
      <c r="C202" t="s">
        <v>63</v>
      </c>
      <c r="D202">
        <v>99</v>
      </c>
      <c r="E202">
        <v>178.041411647323</v>
      </c>
      <c r="F202">
        <v>24.292771139135599</v>
      </c>
      <c r="G202" t="s">
        <v>62</v>
      </c>
      <c r="H202">
        <v>6</v>
      </c>
      <c r="I202">
        <v>99</v>
      </c>
      <c r="J202">
        <v>7.3436069692813799</v>
      </c>
      <c r="K202" t="b">
        <f t="shared" si="15"/>
        <v>1</v>
      </c>
      <c r="L202">
        <f t="shared" si="16"/>
        <v>209.67778975573998</v>
      </c>
      <c r="M202">
        <f t="shared" si="17"/>
        <v>419.35557951147996</v>
      </c>
      <c r="N202">
        <f t="shared" si="18"/>
        <v>1043.1730833618903</v>
      </c>
      <c r="O202" s="26">
        <f t="shared" si="19"/>
        <v>998.46566550352372</v>
      </c>
    </row>
    <row r="203" spans="1:15" x14ac:dyDescent="0.35">
      <c r="A203" t="s">
        <v>62</v>
      </c>
      <c r="B203">
        <v>6</v>
      </c>
      <c r="C203" t="s">
        <v>63</v>
      </c>
      <c r="D203">
        <v>100</v>
      </c>
      <c r="E203">
        <v>178.98716481324999</v>
      </c>
      <c r="F203">
        <v>24.441908381580902</v>
      </c>
      <c r="G203" t="s">
        <v>62</v>
      </c>
      <c r="H203">
        <v>6</v>
      </c>
      <c r="I203">
        <v>100</v>
      </c>
      <c r="J203">
        <v>7.3881658897336404</v>
      </c>
      <c r="K203" t="b">
        <f t="shared" si="15"/>
        <v>1</v>
      </c>
      <c r="L203">
        <f t="shared" si="16"/>
        <v>210.81723908456453</v>
      </c>
      <c r="M203">
        <f t="shared" si="17"/>
        <v>421.63447816912907</v>
      </c>
      <c r="N203">
        <f t="shared" si="18"/>
        <v>1048.8419854953459</v>
      </c>
      <c r="O203" s="26">
        <f t="shared" si="19"/>
        <v>1003.8916146884026</v>
      </c>
    </row>
    <row r="204" spans="1:15" x14ac:dyDescent="0.35">
      <c r="A204" t="s">
        <v>62</v>
      </c>
      <c r="B204">
        <v>8</v>
      </c>
      <c r="C204" t="s">
        <v>63</v>
      </c>
      <c r="D204">
        <v>0</v>
      </c>
      <c r="E204">
        <v>0</v>
      </c>
      <c r="F204">
        <v>0</v>
      </c>
      <c r="G204" t="s">
        <v>62</v>
      </c>
      <c r="H204">
        <v>8</v>
      </c>
      <c r="I204">
        <v>0</v>
      </c>
      <c r="J204">
        <v>0</v>
      </c>
      <c r="K204" t="b">
        <f t="shared" si="15"/>
        <v>1</v>
      </c>
      <c r="L204">
        <f t="shared" si="16"/>
        <v>0</v>
      </c>
      <c r="M204">
        <f t="shared" si="17"/>
        <v>0</v>
      </c>
      <c r="N204">
        <f t="shared" si="18"/>
        <v>0</v>
      </c>
      <c r="O204" s="26">
        <f t="shared" si="19"/>
        <v>0</v>
      </c>
    </row>
    <row r="205" spans="1:15" x14ac:dyDescent="0.35">
      <c r="A205" t="s">
        <v>62</v>
      </c>
      <c r="B205">
        <v>8</v>
      </c>
      <c r="C205" t="s">
        <v>63</v>
      </c>
      <c r="D205">
        <v>1</v>
      </c>
      <c r="E205">
        <v>4.5341452568729401E-2</v>
      </c>
      <c r="F205" s="19">
        <v>1.8004003680799E-4</v>
      </c>
      <c r="G205" t="s">
        <v>62</v>
      </c>
      <c r="H205">
        <v>8</v>
      </c>
      <c r="I205">
        <v>1</v>
      </c>
      <c r="J205" s="19">
        <v>6.1285835374438999E-4</v>
      </c>
      <c r="K205" t="b">
        <f t="shared" si="15"/>
        <v>1</v>
      </c>
      <c r="L205">
        <f t="shared" si="16"/>
        <v>4.6134350959281777E-2</v>
      </c>
      <c r="M205">
        <f t="shared" si="17"/>
        <v>9.2268701918563553E-2</v>
      </c>
      <c r="N205">
        <f t="shared" si="18"/>
        <v>0.22952413412577996</v>
      </c>
      <c r="O205" s="26">
        <f t="shared" si="19"/>
        <v>0.21968738552038941</v>
      </c>
    </row>
    <row r="206" spans="1:15" x14ac:dyDescent="0.35">
      <c r="A206" t="s">
        <v>62</v>
      </c>
      <c r="B206">
        <v>8</v>
      </c>
      <c r="C206" t="s">
        <v>63</v>
      </c>
      <c r="D206">
        <v>2</v>
      </c>
      <c r="E206">
        <v>0.102018268279641</v>
      </c>
      <c r="F206" s="19">
        <v>5.7972891852173995E-4</v>
      </c>
      <c r="G206" t="s">
        <v>62</v>
      </c>
      <c r="H206">
        <v>8</v>
      </c>
      <c r="I206">
        <v>2</v>
      </c>
      <c r="J206">
        <v>1.77272563393831E-3</v>
      </c>
      <c r="K206" t="b">
        <f t="shared" si="15"/>
        <v>1</v>
      </c>
      <c r="L206">
        <f t="shared" si="16"/>
        <v>0.10437072283210105</v>
      </c>
      <c r="M206">
        <f t="shared" si="17"/>
        <v>0.20874144566420211</v>
      </c>
      <c r="N206">
        <f t="shared" si="18"/>
        <v>0.51925732752289078</v>
      </c>
      <c r="O206" s="26">
        <f t="shared" si="19"/>
        <v>0.49700344205762409</v>
      </c>
    </row>
    <row r="207" spans="1:15" x14ac:dyDescent="0.35">
      <c r="A207" t="s">
        <v>62</v>
      </c>
      <c r="B207">
        <v>8</v>
      </c>
      <c r="C207" t="s">
        <v>63</v>
      </c>
      <c r="D207">
        <v>3</v>
      </c>
      <c r="E207">
        <v>0.17286428791828101</v>
      </c>
      <c r="F207">
        <v>1.2487396912965801E-3</v>
      </c>
      <c r="G207" t="s">
        <v>62</v>
      </c>
      <c r="H207">
        <v>8</v>
      </c>
      <c r="I207">
        <v>3</v>
      </c>
      <c r="J207">
        <v>3.48185447114438E-3</v>
      </c>
      <c r="K207" t="b">
        <f t="shared" si="15"/>
        <v>1</v>
      </c>
      <c r="L207">
        <f t="shared" si="16"/>
        <v>0.17759488208072197</v>
      </c>
      <c r="M207">
        <f t="shared" si="17"/>
        <v>0.35518976416144393</v>
      </c>
      <c r="N207">
        <f t="shared" si="18"/>
        <v>0.88355662726727346</v>
      </c>
      <c r="O207" s="26">
        <f t="shared" si="19"/>
        <v>0.84568991467010468</v>
      </c>
    </row>
    <row r="208" spans="1:15" x14ac:dyDescent="0.35">
      <c r="A208" t="s">
        <v>62</v>
      </c>
      <c r="B208">
        <v>8</v>
      </c>
      <c r="C208" t="s">
        <v>63</v>
      </c>
      <c r="D208">
        <v>4</v>
      </c>
      <c r="E208">
        <v>0.26142181246657997</v>
      </c>
      <c r="F208">
        <v>2.2493208377787799E-3</v>
      </c>
      <c r="G208" t="s">
        <v>62</v>
      </c>
      <c r="H208">
        <v>8</v>
      </c>
      <c r="I208">
        <v>4</v>
      </c>
      <c r="J208">
        <v>5.79331723227828E-3</v>
      </c>
      <c r="K208" t="b">
        <f t="shared" si="15"/>
        <v>1</v>
      </c>
      <c r="L208">
        <f t="shared" si="16"/>
        <v>0.26946445053663703</v>
      </c>
      <c r="M208">
        <f t="shared" si="17"/>
        <v>0.53892890107327407</v>
      </c>
      <c r="N208">
        <f t="shared" si="18"/>
        <v>1.3406191568986916</v>
      </c>
      <c r="O208" s="26">
        <f t="shared" si="19"/>
        <v>1.2831640501744621</v>
      </c>
    </row>
    <row r="209" spans="1:15" x14ac:dyDescent="0.35">
      <c r="A209" t="s">
        <v>62</v>
      </c>
      <c r="B209">
        <v>8</v>
      </c>
      <c r="C209" t="s">
        <v>63</v>
      </c>
      <c r="D209">
        <v>5</v>
      </c>
      <c r="E209">
        <v>0.37211871815195502</v>
      </c>
      <c r="F209">
        <v>3.65943542097979E-3</v>
      </c>
      <c r="G209" t="s">
        <v>62</v>
      </c>
      <c r="H209">
        <v>8</v>
      </c>
      <c r="I209">
        <v>5</v>
      </c>
      <c r="J209">
        <v>8.8037312341845697E-3</v>
      </c>
      <c r="K209" t="b">
        <f t="shared" si="15"/>
        <v>1</v>
      </c>
      <c r="L209">
        <f t="shared" si="16"/>
        <v>0.38458188480711941</v>
      </c>
      <c r="M209">
        <f t="shared" si="17"/>
        <v>0.76916376961423882</v>
      </c>
      <c r="N209">
        <f t="shared" si="18"/>
        <v>1.9133427104831811</v>
      </c>
      <c r="O209" s="26">
        <f t="shared" si="19"/>
        <v>1.8313423086053306</v>
      </c>
    </row>
    <row r="210" spans="1:15" x14ac:dyDescent="0.35">
      <c r="A210" t="s">
        <v>62</v>
      </c>
      <c r="B210">
        <v>8</v>
      </c>
      <c r="C210" t="s">
        <v>63</v>
      </c>
      <c r="D210">
        <v>6</v>
      </c>
      <c r="E210">
        <v>0.51048985025867299</v>
      </c>
      <c r="F210">
        <v>5.5766851555763596E-3</v>
      </c>
      <c r="G210" t="s">
        <v>62</v>
      </c>
      <c r="H210">
        <v>8</v>
      </c>
      <c r="I210">
        <v>6</v>
      </c>
      <c r="J210">
        <v>1.2652413612276E-2</v>
      </c>
      <c r="K210" t="b">
        <f t="shared" si="15"/>
        <v>1</v>
      </c>
      <c r="L210">
        <f t="shared" si="16"/>
        <v>0.52871894902652539</v>
      </c>
      <c r="M210">
        <f t="shared" si="17"/>
        <v>1.0574378980530508</v>
      </c>
      <c r="N210">
        <f t="shared" si="18"/>
        <v>2.6304425324702754</v>
      </c>
      <c r="O210" s="26">
        <f t="shared" si="19"/>
        <v>2.5177092810786923</v>
      </c>
    </row>
    <row r="211" spans="1:15" x14ac:dyDescent="0.35">
      <c r="A211" t="s">
        <v>62</v>
      </c>
      <c r="B211">
        <v>8</v>
      </c>
      <c r="C211" t="s">
        <v>63</v>
      </c>
      <c r="D211">
        <v>7</v>
      </c>
      <c r="E211">
        <v>0.68345376539207003</v>
      </c>
      <c r="F211">
        <v>8.1232156342495206E-3</v>
      </c>
      <c r="G211" t="s">
        <v>62</v>
      </c>
      <c r="H211">
        <v>8</v>
      </c>
      <c r="I211">
        <v>7</v>
      </c>
      <c r="J211">
        <v>1.75250950865374E-2</v>
      </c>
      <c r="K211" t="b">
        <f t="shared" si="15"/>
        <v>1</v>
      </c>
      <c r="L211">
        <f t="shared" si="16"/>
        <v>0.70910207611285703</v>
      </c>
      <c r="M211">
        <f t="shared" si="17"/>
        <v>1.4182041522257141</v>
      </c>
      <c r="N211">
        <f t="shared" si="18"/>
        <v>3.5278710254370993</v>
      </c>
      <c r="O211" s="26">
        <f t="shared" si="19"/>
        <v>3.3766765529183669</v>
      </c>
    </row>
    <row r="212" spans="1:15" x14ac:dyDescent="0.35">
      <c r="A212" t="s">
        <v>62</v>
      </c>
      <c r="B212">
        <v>8</v>
      </c>
      <c r="C212" t="s">
        <v>63</v>
      </c>
      <c r="D212">
        <v>8</v>
      </c>
      <c r="E212">
        <v>0.89965865930881805</v>
      </c>
      <c r="F212">
        <v>1.14518479937056E-2</v>
      </c>
      <c r="G212" t="s">
        <v>62</v>
      </c>
      <c r="H212">
        <v>8</v>
      </c>
      <c r="I212">
        <v>8</v>
      </c>
      <c r="J212">
        <v>2.36613376417521E-2</v>
      </c>
      <c r="K212" t="b">
        <f t="shared" si="15"/>
        <v>1</v>
      </c>
      <c r="L212">
        <f t="shared" si="16"/>
        <v>0.93477184494427568</v>
      </c>
      <c r="M212">
        <f t="shared" si="17"/>
        <v>1.8695436898885514</v>
      </c>
      <c r="N212">
        <f t="shared" si="18"/>
        <v>4.6506061937526146</v>
      </c>
      <c r="O212" s="26">
        <f t="shared" si="19"/>
        <v>4.4512944997346464</v>
      </c>
    </row>
    <row r="213" spans="1:15" x14ac:dyDescent="0.35">
      <c r="A213" t="s">
        <v>62</v>
      </c>
      <c r="B213">
        <v>8</v>
      </c>
      <c r="C213" t="s">
        <v>63</v>
      </c>
      <c r="D213">
        <v>9</v>
      </c>
      <c r="E213">
        <v>1.16991477670475</v>
      </c>
      <c r="F213">
        <v>1.5753743626306899E-2</v>
      </c>
      <c r="G213" t="s">
        <v>62</v>
      </c>
      <c r="H213">
        <v>8</v>
      </c>
      <c r="I213">
        <v>9</v>
      </c>
      <c r="J213">
        <v>3.1365434368181198E-2</v>
      </c>
      <c r="K213" t="b">
        <f t="shared" si="15"/>
        <v>1</v>
      </c>
      <c r="L213">
        <f t="shared" si="16"/>
        <v>1.2170339546992381</v>
      </c>
      <c r="M213">
        <f t="shared" si="17"/>
        <v>2.4340679093984763</v>
      </c>
      <c r="N213">
        <f t="shared" si="18"/>
        <v>6.0548952970111349</v>
      </c>
      <c r="O213" s="26">
        <f t="shared" si="19"/>
        <v>5.795399784282087</v>
      </c>
    </row>
    <row r="214" spans="1:15" x14ac:dyDescent="0.35">
      <c r="A214" t="s">
        <v>62</v>
      </c>
      <c r="B214">
        <v>8</v>
      </c>
      <c r="C214" t="s">
        <v>63</v>
      </c>
      <c r="D214">
        <v>10</v>
      </c>
      <c r="E214">
        <v>1.50773492344967</v>
      </c>
      <c r="F214">
        <v>2.1267985194841198E-2</v>
      </c>
      <c r="G214" t="s">
        <v>62</v>
      </c>
      <c r="H214">
        <v>8</v>
      </c>
      <c r="I214">
        <v>10</v>
      </c>
      <c r="J214">
        <v>4.1020998688183902E-2</v>
      </c>
      <c r="K214" t="b">
        <f t="shared" si="15"/>
        <v>1</v>
      </c>
      <c r="L214">
        <f t="shared" si="16"/>
        <v>1.5700239073326951</v>
      </c>
      <c r="M214">
        <f t="shared" si="17"/>
        <v>3.1400478146653903</v>
      </c>
      <c r="N214">
        <f t="shared" si="18"/>
        <v>7.8110642155855476</v>
      </c>
      <c r="O214" s="26">
        <f t="shared" si="19"/>
        <v>7.4763043206318818</v>
      </c>
    </row>
    <row r="215" spans="1:15" x14ac:dyDescent="0.35">
      <c r="A215" t="s">
        <v>62</v>
      </c>
      <c r="B215">
        <v>8</v>
      </c>
      <c r="C215" t="s">
        <v>63</v>
      </c>
      <c r="D215">
        <v>11</v>
      </c>
      <c r="E215">
        <v>1.93001010688081</v>
      </c>
      <c r="F215">
        <v>2.8293553022458399E-2</v>
      </c>
      <c r="G215" t="s">
        <v>62</v>
      </c>
      <c r="H215">
        <v>8</v>
      </c>
      <c r="I215">
        <v>11</v>
      </c>
      <c r="J215">
        <v>5.3109779711522698E-2</v>
      </c>
      <c r="K215" t="b">
        <f t="shared" si="15"/>
        <v>1</v>
      </c>
      <c r="L215">
        <f t="shared" si="16"/>
        <v>2.0114134396147909</v>
      </c>
      <c r="M215">
        <f t="shared" si="17"/>
        <v>4.0228268792295818</v>
      </c>
      <c r="N215">
        <f t="shared" si="18"/>
        <v>10.007032037884532</v>
      </c>
      <c r="O215" s="26">
        <f t="shared" si="19"/>
        <v>9.5781592362609089</v>
      </c>
    </row>
    <row r="216" spans="1:15" x14ac:dyDescent="0.35">
      <c r="A216" t="s">
        <v>62</v>
      </c>
      <c r="B216">
        <v>8</v>
      </c>
      <c r="C216" t="s">
        <v>63</v>
      </c>
      <c r="D216">
        <v>12</v>
      </c>
      <c r="E216">
        <v>2.45785408616974</v>
      </c>
      <c r="F216">
        <v>3.7204295697920699E-2</v>
      </c>
      <c r="G216" t="s">
        <v>62</v>
      </c>
      <c r="H216">
        <v>8</v>
      </c>
      <c r="I216">
        <v>12</v>
      </c>
      <c r="J216">
        <v>6.8235534362729597E-2</v>
      </c>
      <c r="K216" t="b">
        <f t="shared" si="15"/>
        <v>1</v>
      </c>
      <c r="L216">
        <f t="shared" si="16"/>
        <v>2.5632939162303905</v>
      </c>
      <c r="M216">
        <f t="shared" si="17"/>
        <v>5.126587832460781</v>
      </c>
      <c r="N216">
        <f t="shared" si="18"/>
        <v>12.752706050897464</v>
      </c>
      <c r="O216" s="26">
        <f t="shared" si="19"/>
        <v>12.206161505859003</v>
      </c>
    </row>
    <row r="217" spans="1:15" x14ac:dyDescent="0.35">
      <c r="A217" t="s">
        <v>62</v>
      </c>
      <c r="B217">
        <v>8</v>
      </c>
      <c r="C217" t="s">
        <v>63</v>
      </c>
      <c r="D217">
        <v>13</v>
      </c>
      <c r="E217">
        <v>3.11765906028092</v>
      </c>
      <c r="F217">
        <v>4.8467643446461102E-2</v>
      </c>
      <c r="G217" t="s">
        <v>62</v>
      </c>
      <c r="H217">
        <v>8</v>
      </c>
      <c r="I217">
        <v>13</v>
      </c>
      <c r="J217">
        <v>8.7154086830466396E-2</v>
      </c>
      <c r="K217" t="b">
        <f t="shared" si="15"/>
        <v>1</v>
      </c>
      <c r="L217">
        <f t="shared" si="16"/>
        <v>3.2532807905578474</v>
      </c>
      <c r="M217">
        <f t="shared" si="17"/>
        <v>6.5065615811156947</v>
      </c>
      <c r="N217">
        <f t="shared" si="18"/>
        <v>16.185476569939539</v>
      </c>
      <c r="O217" s="26">
        <f t="shared" si="19"/>
        <v>15.491813288370702</v>
      </c>
    </row>
    <row r="218" spans="1:15" x14ac:dyDescent="0.35">
      <c r="A218" t="s">
        <v>62</v>
      </c>
      <c r="B218">
        <v>8</v>
      </c>
      <c r="C218" t="s">
        <v>63</v>
      </c>
      <c r="D218">
        <v>14</v>
      </c>
      <c r="E218">
        <v>3.9424152779198698</v>
      </c>
      <c r="F218">
        <v>6.26679999542228E-2</v>
      </c>
      <c r="G218" t="s">
        <v>62</v>
      </c>
      <c r="H218">
        <v>8</v>
      </c>
      <c r="I218">
        <v>14</v>
      </c>
      <c r="J218">
        <v>0.110811042105999</v>
      </c>
      <c r="K218" t="b">
        <f t="shared" si="15"/>
        <v>1</v>
      </c>
      <c r="L218">
        <f t="shared" si="16"/>
        <v>4.1158943199800913</v>
      </c>
      <c r="M218">
        <f t="shared" si="17"/>
        <v>8.2317886399601825</v>
      </c>
      <c r="N218">
        <f t="shared" si="18"/>
        <v>20.47708616905518</v>
      </c>
      <c r="O218" s="26">
        <f t="shared" si="19"/>
        <v>19.599496761809959</v>
      </c>
    </row>
    <row r="219" spans="1:15" x14ac:dyDescent="0.35">
      <c r="A219" t="s">
        <v>62</v>
      </c>
      <c r="B219">
        <v>8</v>
      </c>
      <c r="C219" t="s">
        <v>63</v>
      </c>
      <c r="D219">
        <v>15</v>
      </c>
      <c r="E219">
        <v>4.9733605499685698</v>
      </c>
      <c r="F219">
        <v>8.0535982256348504E-2</v>
      </c>
      <c r="G219" t="s">
        <v>62</v>
      </c>
      <c r="H219">
        <v>8</v>
      </c>
      <c r="I219">
        <v>15</v>
      </c>
      <c r="J219">
        <v>0.14038901842239701</v>
      </c>
      <c r="K219" t="b">
        <f t="shared" si="15"/>
        <v>1</v>
      </c>
      <c r="L219">
        <f t="shared" si="16"/>
        <v>5.1942855506473151</v>
      </c>
      <c r="M219">
        <f t="shared" si="17"/>
        <v>10.38857110129463</v>
      </c>
      <c r="N219">
        <f t="shared" si="18"/>
        <v>25.84221666988714</v>
      </c>
      <c r="O219" s="26">
        <f t="shared" si="19"/>
        <v>24.734693098320548</v>
      </c>
    </row>
    <row r="220" spans="1:15" x14ac:dyDescent="0.35">
      <c r="A220" t="s">
        <v>62</v>
      </c>
      <c r="B220">
        <v>8</v>
      </c>
      <c r="C220" t="s">
        <v>63</v>
      </c>
      <c r="D220">
        <v>16</v>
      </c>
      <c r="E220">
        <v>6.2620421400294504</v>
      </c>
      <c r="F220">
        <v>0.102984970701407</v>
      </c>
      <c r="G220" t="s">
        <v>62</v>
      </c>
      <c r="H220">
        <v>8</v>
      </c>
      <c r="I220">
        <v>16</v>
      </c>
      <c r="J220">
        <v>0.177366748132084</v>
      </c>
      <c r="K220" t="b">
        <f t="shared" si="15"/>
        <v>1</v>
      </c>
      <c r="L220">
        <f t="shared" si="16"/>
        <v>6.5423938588629413</v>
      </c>
      <c r="M220">
        <f t="shared" si="17"/>
        <v>13.084787717725883</v>
      </c>
      <c r="N220">
        <f t="shared" si="18"/>
        <v>32.549223178422594</v>
      </c>
      <c r="O220" s="26">
        <f t="shared" si="19"/>
        <v>31.154256470775913</v>
      </c>
    </row>
    <row r="221" spans="1:15" x14ac:dyDescent="0.35">
      <c r="A221" t="s">
        <v>62</v>
      </c>
      <c r="B221">
        <v>8</v>
      </c>
      <c r="C221" t="s">
        <v>63</v>
      </c>
      <c r="D221">
        <v>17</v>
      </c>
      <c r="E221">
        <v>7.8728941276055302</v>
      </c>
      <c r="F221">
        <v>0.13115679650810799</v>
      </c>
      <c r="G221" t="s">
        <v>62</v>
      </c>
      <c r="H221">
        <v>8</v>
      </c>
      <c r="I221">
        <v>17</v>
      </c>
      <c r="J221">
        <v>0.22359299502204399</v>
      </c>
      <c r="K221" t="b">
        <f t="shared" si="15"/>
        <v>1</v>
      </c>
      <c r="L221">
        <f t="shared" si="16"/>
        <v>8.2276439191356818</v>
      </c>
      <c r="M221">
        <f t="shared" si="17"/>
        <v>16.455287838271364</v>
      </c>
      <c r="N221">
        <f t="shared" si="18"/>
        <v>40.93355183649593</v>
      </c>
      <c r="O221" s="26">
        <f t="shared" si="19"/>
        <v>39.179256757788963</v>
      </c>
    </row>
    <row r="222" spans="1:15" x14ac:dyDescent="0.35">
      <c r="A222" t="s">
        <v>62</v>
      </c>
      <c r="B222">
        <v>8</v>
      </c>
      <c r="C222" t="s">
        <v>63</v>
      </c>
      <c r="D222">
        <v>18</v>
      </c>
      <c r="E222">
        <v>9.8824319999999997</v>
      </c>
      <c r="F222">
        <v>0.166462860612865</v>
      </c>
      <c r="G222" t="s">
        <v>62</v>
      </c>
      <c r="H222">
        <v>8</v>
      </c>
      <c r="I222">
        <v>18</v>
      </c>
      <c r="J222">
        <v>0.28132454727621597</v>
      </c>
      <c r="K222" t="b">
        <f t="shared" si="15"/>
        <v>1</v>
      </c>
      <c r="L222">
        <f t="shared" si="16"/>
        <v>10.33021940788908</v>
      </c>
      <c r="M222">
        <f t="shared" si="17"/>
        <v>20.660438815778161</v>
      </c>
      <c r="N222">
        <f t="shared" si="18"/>
        <v>51.394126407408358</v>
      </c>
      <c r="O222" s="26">
        <f t="shared" si="19"/>
        <v>49.191520989948003</v>
      </c>
    </row>
    <row r="223" spans="1:15" x14ac:dyDescent="0.35">
      <c r="A223" t="s">
        <v>62</v>
      </c>
      <c r="B223">
        <v>8</v>
      </c>
      <c r="C223" t="s">
        <v>63</v>
      </c>
      <c r="D223">
        <v>19</v>
      </c>
      <c r="E223">
        <v>12.065759999999999</v>
      </c>
      <c r="F223">
        <v>0.20937921479447899</v>
      </c>
      <c r="G223" t="s">
        <v>62</v>
      </c>
      <c r="H223">
        <v>8</v>
      </c>
      <c r="I223">
        <v>19</v>
      </c>
      <c r="J223">
        <v>0.34901503370881098</v>
      </c>
      <c r="K223" t="b">
        <f t="shared" si="15"/>
        <v>1</v>
      </c>
      <c r="L223">
        <f t="shared" si="16"/>
        <v>12.62415424850329</v>
      </c>
      <c r="M223">
        <f t="shared" si="17"/>
        <v>25.24830849700658</v>
      </c>
      <c r="N223">
        <f t="shared" si="18"/>
        <v>62.806737554742732</v>
      </c>
      <c r="O223" s="26">
        <f t="shared" si="19"/>
        <v>60.115020230968049</v>
      </c>
    </row>
    <row r="224" spans="1:15" x14ac:dyDescent="0.35">
      <c r="A224" t="s">
        <v>62</v>
      </c>
      <c r="B224">
        <v>8</v>
      </c>
      <c r="C224" t="s">
        <v>63</v>
      </c>
      <c r="D224">
        <v>20</v>
      </c>
      <c r="E224">
        <v>14.249088</v>
      </c>
      <c r="F224">
        <v>0.25967755035064399</v>
      </c>
      <c r="G224" t="s">
        <v>62</v>
      </c>
      <c r="H224">
        <v>8</v>
      </c>
      <c r="I224">
        <v>20</v>
      </c>
      <c r="J224">
        <v>0.42337542148150498</v>
      </c>
      <c r="K224" t="b">
        <f t="shared" si="15"/>
        <v>1</v>
      </c>
      <c r="L224">
        <f t="shared" si="16"/>
        <v>14.932140971832149</v>
      </c>
      <c r="M224">
        <f t="shared" si="17"/>
        <v>29.864281943664299</v>
      </c>
      <c r="N224">
        <f t="shared" si="18"/>
        <v>74.289258566329096</v>
      </c>
      <c r="O224" s="26">
        <f t="shared" si="19"/>
        <v>71.105433199200718</v>
      </c>
    </row>
    <row r="225" spans="1:15" x14ac:dyDescent="0.35">
      <c r="A225" t="s">
        <v>62</v>
      </c>
      <c r="B225">
        <v>8</v>
      </c>
      <c r="C225" t="s">
        <v>63</v>
      </c>
      <c r="D225">
        <v>21</v>
      </c>
      <c r="E225">
        <v>16.432416</v>
      </c>
      <c r="F225">
        <v>0.31713640784012498</v>
      </c>
      <c r="G225" t="s">
        <v>62</v>
      </c>
      <c r="H225">
        <v>8</v>
      </c>
      <c r="I225">
        <v>21</v>
      </c>
      <c r="J225">
        <v>0.50231437892055797</v>
      </c>
      <c r="K225" t="b">
        <f t="shared" si="15"/>
        <v>1</v>
      </c>
      <c r="L225">
        <f t="shared" si="16"/>
        <v>17.251866786760683</v>
      </c>
      <c r="M225">
        <f t="shared" si="17"/>
        <v>34.503733573521366</v>
      </c>
      <c r="N225">
        <f t="shared" si="18"/>
        <v>85.83018301870986</v>
      </c>
      <c r="O225" s="26">
        <f t="shared" si="19"/>
        <v>82.1517466036223</v>
      </c>
    </row>
    <row r="226" spans="1:15" x14ac:dyDescent="0.35">
      <c r="A226" t="s">
        <v>62</v>
      </c>
      <c r="B226">
        <v>8</v>
      </c>
      <c r="C226" t="s">
        <v>63</v>
      </c>
      <c r="D226">
        <v>22</v>
      </c>
      <c r="E226">
        <v>18.615743999999999</v>
      </c>
      <c r="F226">
        <v>0.38154097160492201</v>
      </c>
      <c r="G226" t="s">
        <v>62</v>
      </c>
      <c r="H226">
        <v>8</v>
      </c>
      <c r="I226">
        <v>22</v>
      </c>
      <c r="J226">
        <v>0.584470072474226</v>
      </c>
      <c r="K226" t="b">
        <f t="shared" si="15"/>
        <v>1</v>
      </c>
      <c r="L226">
        <f t="shared" si="16"/>
        <v>19.581755044079145</v>
      </c>
      <c r="M226">
        <f t="shared" si="17"/>
        <v>39.16351008815829</v>
      </c>
      <c r="N226">
        <f t="shared" si="18"/>
        <v>97.421666885965891</v>
      </c>
      <c r="O226" s="26">
        <f t="shared" si="19"/>
        <v>93.246452590853082</v>
      </c>
    </row>
    <row r="227" spans="1:15" x14ac:dyDescent="0.35">
      <c r="A227" t="s">
        <v>62</v>
      </c>
      <c r="B227">
        <v>8</v>
      </c>
      <c r="C227" t="s">
        <v>63</v>
      </c>
      <c r="D227">
        <v>23</v>
      </c>
      <c r="E227">
        <v>20.799071999999999</v>
      </c>
      <c r="F227">
        <v>0.45268287045677402</v>
      </c>
      <c r="G227" t="s">
        <v>62</v>
      </c>
      <c r="H227">
        <v>8</v>
      </c>
      <c r="I227">
        <v>23</v>
      </c>
      <c r="J227">
        <v>0.66893335571581203</v>
      </c>
      <c r="K227" t="b">
        <f t="shared" si="15"/>
        <v>1</v>
      </c>
      <c r="L227">
        <f t="shared" si="16"/>
        <v>21.920688226172583</v>
      </c>
      <c r="M227">
        <f t="shared" si="17"/>
        <v>43.841376452345166</v>
      </c>
      <c r="N227">
        <f t="shared" si="18"/>
        <v>109.05815037896807</v>
      </c>
      <c r="O227" s="26">
        <f t="shared" si="19"/>
        <v>104.38422964844088</v>
      </c>
    </row>
    <row r="228" spans="1:15" x14ac:dyDescent="0.35">
      <c r="A228" t="s">
        <v>62</v>
      </c>
      <c r="B228">
        <v>8</v>
      </c>
      <c r="C228" t="s">
        <v>63</v>
      </c>
      <c r="D228">
        <v>24</v>
      </c>
      <c r="E228">
        <v>22.982399999999998</v>
      </c>
      <c r="F228">
        <v>0.53035998434307097</v>
      </c>
      <c r="G228" t="s">
        <v>62</v>
      </c>
      <c r="H228">
        <v>8</v>
      </c>
      <c r="I228">
        <v>24</v>
      </c>
      <c r="J228">
        <v>0.75508208101105501</v>
      </c>
      <c r="K228" t="b">
        <f t="shared" si="15"/>
        <v>1</v>
      </c>
      <c r="L228">
        <f t="shared" si="16"/>
        <v>24.267842065354124</v>
      </c>
      <c r="M228">
        <f t="shared" si="17"/>
        <v>48.535684130708248</v>
      </c>
      <c r="N228">
        <f t="shared" si="18"/>
        <v>120.73553266345334</v>
      </c>
      <c r="O228" s="26">
        <f t="shared" si="19"/>
        <v>115.56115269216249</v>
      </c>
    </row>
    <row r="229" spans="1:15" x14ac:dyDescent="0.35">
      <c r="A229" t="s">
        <v>62</v>
      </c>
      <c r="B229">
        <v>8</v>
      </c>
      <c r="C229" t="s">
        <v>63</v>
      </c>
      <c r="D229">
        <v>25</v>
      </c>
      <c r="E229">
        <v>25.948566</v>
      </c>
      <c r="F229">
        <v>0.617484718812778</v>
      </c>
      <c r="G229" t="s">
        <v>62</v>
      </c>
      <c r="H229">
        <v>8</v>
      </c>
      <c r="I229">
        <v>25</v>
      </c>
      <c r="J229">
        <v>0.85306164183736799</v>
      </c>
      <c r="K229" t="b">
        <f t="shared" si="15"/>
        <v>1</v>
      </c>
      <c r="L229">
        <f t="shared" si="16"/>
        <v>27.419112360650146</v>
      </c>
      <c r="M229">
        <f t="shared" si="17"/>
        <v>54.838224721300293</v>
      </c>
      <c r="N229">
        <f t="shared" si="18"/>
        <v>136.41349433159277</v>
      </c>
      <c r="O229" s="26">
        <f t="shared" si="19"/>
        <v>130.56720171738166</v>
      </c>
    </row>
    <row r="230" spans="1:15" x14ac:dyDescent="0.35">
      <c r="A230" t="s">
        <v>62</v>
      </c>
      <c r="B230">
        <v>8</v>
      </c>
      <c r="C230" t="s">
        <v>63</v>
      </c>
      <c r="D230">
        <v>26</v>
      </c>
      <c r="E230">
        <v>28.914731999999901</v>
      </c>
      <c r="F230">
        <v>0.71377364524839504</v>
      </c>
      <c r="G230" t="s">
        <v>62</v>
      </c>
      <c r="H230">
        <v>8</v>
      </c>
      <c r="I230">
        <v>26</v>
      </c>
      <c r="J230">
        <v>0.95877793785453103</v>
      </c>
      <c r="K230" t="b">
        <f t="shared" si="15"/>
        <v>1</v>
      </c>
      <c r="L230">
        <f t="shared" si="16"/>
        <v>30.587283583102828</v>
      </c>
      <c r="M230">
        <f t="shared" si="17"/>
        <v>61.174567166205655</v>
      </c>
      <c r="N230">
        <f t="shared" si="18"/>
        <v>152.17554021444192</v>
      </c>
      <c r="O230" s="26">
        <f t="shared" si="19"/>
        <v>145.65373134810872</v>
      </c>
    </row>
    <row r="231" spans="1:15" x14ac:dyDescent="0.35">
      <c r="A231" t="s">
        <v>62</v>
      </c>
      <c r="B231">
        <v>8</v>
      </c>
      <c r="C231" t="s">
        <v>63</v>
      </c>
      <c r="D231">
        <v>27</v>
      </c>
      <c r="E231">
        <v>31.880897999999998</v>
      </c>
      <c r="F231">
        <v>0.81895183789094295</v>
      </c>
      <c r="G231" t="s">
        <v>62</v>
      </c>
      <c r="H231">
        <v>8</v>
      </c>
      <c r="I231">
        <v>27</v>
      </c>
      <c r="J231">
        <v>1.0696814784525901</v>
      </c>
      <c r="K231" t="b">
        <f t="shared" si="15"/>
        <v>1</v>
      </c>
      <c r="L231">
        <f t="shared" si="16"/>
        <v>33.769531316343532</v>
      </c>
      <c r="M231">
        <f t="shared" si="17"/>
        <v>67.539062632687063</v>
      </c>
      <c r="N231">
        <f t="shared" si="18"/>
        <v>168.00761848927129</v>
      </c>
      <c r="O231" s="26">
        <f t="shared" si="19"/>
        <v>160.80729198258825</v>
      </c>
    </row>
    <row r="232" spans="1:15" x14ac:dyDescent="0.35">
      <c r="A232" t="s">
        <v>62</v>
      </c>
      <c r="B232">
        <v>8</v>
      </c>
      <c r="C232" t="s">
        <v>63</v>
      </c>
      <c r="D232">
        <v>28</v>
      </c>
      <c r="E232">
        <v>34.847063999999897</v>
      </c>
      <c r="F232">
        <v>0.932752618754215</v>
      </c>
      <c r="G232" t="s">
        <v>62</v>
      </c>
      <c r="H232">
        <v>8</v>
      </c>
      <c r="I232">
        <v>28</v>
      </c>
      <c r="J232">
        <v>1.18414954777377</v>
      </c>
      <c r="K232" t="b">
        <f t="shared" si="15"/>
        <v>1</v>
      </c>
      <c r="L232">
        <f t="shared" si="16"/>
        <v>36.963966166527882</v>
      </c>
      <c r="M232">
        <f t="shared" si="17"/>
        <v>73.927932333055765</v>
      </c>
      <c r="N232">
        <f t="shared" si="18"/>
        <v>183.90032918670587</v>
      </c>
      <c r="O232" s="26">
        <f t="shared" si="19"/>
        <v>176.01888650727562</v>
      </c>
    </row>
    <row r="233" spans="1:15" x14ac:dyDescent="0.35">
      <c r="A233" t="s">
        <v>62</v>
      </c>
      <c r="B233">
        <v>8</v>
      </c>
      <c r="C233" t="s">
        <v>63</v>
      </c>
      <c r="D233">
        <v>29</v>
      </c>
      <c r="E233">
        <v>37.813229999999997</v>
      </c>
      <c r="F233">
        <v>1.0549173101915901</v>
      </c>
      <c r="G233" t="s">
        <v>62</v>
      </c>
      <c r="H233">
        <v>8</v>
      </c>
      <c r="I233">
        <v>29</v>
      </c>
      <c r="J233">
        <v>1.3011243348444901</v>
      </c>
      <c r="K233" t="b">
        <f t="shared" si="15"/>
        <v>1</v>
      </c>
      <c r="L233">
        <f t="shared" si="16"/>
        <v>40.169271645036076</v>
      </c>
      <c r="M233">
        <f t="shared" si="17"/>
        <v>80.338543290072153</v>
      </c>
      <c r="N233">
        <f t="shared" si="18"/>
        <v>199.84712261211976</v>
      </c>
      <c r="O233" s="26">
        <f t="shared" si="19"/>
        <v>191.28224592874324</v>
      </c>
    </row>
    <row r="234" spans="1:15" x14ac:dyDescent="0.35">
      <c r="A234" t="s">
        <v>62</v>
      </c>
      <c r="B234">
        <v>8</v>
      </c>
      <c r="C234" t="s">
        <v>63</v>
      </c>
      <c r="D234">
        <v>30</v>
      </c>
      <c r="E234">
        <v>41.397047999999998</v>
      </c>
      <c r="F234">
        <v>1.18764754288584</v>
      </c>
      <c r="G234" t="s">
        <v>62</v>
      </c>
      <c r="H234">
        <v>8</v>
      </c>
      <c r="I234">
        <v>30</v>
      </c>
      <c r="J234">
        <v>1.42824738762595</v>
      </c>
      <c r="K234" t="b">
        <f t="shared" si="15"/>
        <v>1</v>
      </c>
      <c r="L234">
        <f t="shared" si="16"/>
        <v>44.012942930511791</v>
      </c>
      <c r="M234">
        <f t="shared" si="17"/>
        <v>88.025885861023582</v>
      </c>
      <c r="N234">
        <f t="shared" si="18"/>
        <v>218.96986532592931</v>
      </c>
      <c r="O234" s="26">
        <f t="shared" si="19"/>
        <v>209.58544252624662</v>
      </c>
    </row>
    <row r="235" spans="1:15" x14ac:dyDescent="0.35">
      <c r="A235" t="s">
        <v>62</v>
      </c>
      <c r="B235">
        <v>8</v>
      </c>
      <c r="C235" t="s">
        <v>63</v>
      </c>
      <c r="D235">
        <v>31</v>
      </c>
      <c r="E235">
        <v>44.925104117204597</v>
      </c>
      <c r="F235">
        <v>1.3805938889771301</v>
      </c>
      <c r="G235" t="s">
        <v>62</v>
      </c>
      <c r="H235">
        <v>8</v>
      </c>
      <c r="I235">
        <v>31</v>
      </c>
      <c r="J235">
        <v>1.5612965641308401</v>
      </c>
      <c r="K235" t="b">
        <f t="shared" si="15"/>
        <v>1</v>
      </c>
      <c r="L235">
        <f t="shared" si="16"/>
        <v>47.866994570312571</v>
      </c>
      <c r="M235">
        <f t="shared" si="17"/>
        <v>95.733989140625141</v>
      </c>
      <c r="N235">
        <f t="shared" si="18"/>
        <v>238.14425159359487</v>
      </c>
      <c r="O235" s="26">
        <f t="shared" si="19"/>
        <v>227.93806938244083</v>
      </c>
    </row>
    <row r="236" spans="1:15" x14ac:dyDescent="0.35">
      <c r="A236" t="s">
        <v>62</v>
      </c>
      <c r="B236">
        <v>8</v>
      </c>
      <c r="C236" t="s">
        <v>63</v>
      </c>
      <c r="D236">
        <v>32</v>
      </c>
      <c r="E236">
        <v>48.300244446312703</v>
      </c>
      <c r="F236">
        <v>1.71808590016021</v>
      </c>
      <c r="G236" t="s">
        <v>62</v>
      </c>
      <c r="H236">
        <v>8</v>
      </c>
      <c r="I236">
        <v>32</v>
      </c>
      <c r="J236">
        <v>1.69630259617754</v>
      </c>
      <c r="K236" t="b">
        <f t="shared" si="15"/>
        <v>1</v>
      </c>
      <c r="L236">
        <f t="shared" si="16"/>
        <v>51.714632942650454</v>
      </c>
      <c r="M236">
        <f t="shared" si="17"/>
        <v>103.42926588530091</v>
      </c>
      <c r="N236">
        <f t="shared" si="18"/>
        <v>257.28673105796241</v>
      </c>
      <c r="O236" s="26">
        <f t="shared" si="19"/>
        <v>246.26015686976407</v>
      </c>
    </row>
    <row r="237" spans="1:15" x14ac:dyDescent="0.35">
      <c r="A237" t="s">
        <v>62</v>
      </c>
      <c r="B237">
        <v>8</v>
      </c>
      <c r="C237" t="s">
        <v>63</v>
      </c>
      <c r="D237">
        <v>33</v>
      </c>
      <c r="E237">
        <v>51.613899837707102</v>
      </c>
      <c r="F237">
        <v>2.11136191918578</v>
      </c>
      <c r="G237" t="s">
        <v>62</v>
      </c>
      <c r="H237">
        <v>8</v>
      </c>
      <c r="I237">
        <v>33</v>
      </c>
      <c r="J237">
        <v>1.8319478396648501</v>
      </c>
      <c r="K237" t="b">
        <f t="shared" si="15"/>
        <v>1</v>
      </c>
      <c r="L237">
        <f t="shared" si="16"/>
        <v>55.557209596557733</v>
      </c>
      <c r="M237">
        <f t="shared" si="17"/>
        <v>111.11441919311547</v>
      </c>
      <c r="N237">
        <f t="shared" si="18"/>
        <v>276.40402784357082</v>
      </c>
      <c r="O237" s="26">
        <f t="shared" si="19"/>
        <v>264.55814093598923</v>
      </c>
    </row>
    <row r="238" spans="1:15" x14ac:dyDescent="0.35">
      <c r="A238" t="s">
        <v>62</v>
      </c>
      <c r="B238">
        <v>8</v>
      </c>
      <c r="C238" t="s">
        <v>63</v>
      </c>
      <c r="D238">
        <v>34</v>
      </c>
      <c r="E238">
        <v>54.889572788584402</v>
      </c>
      <c r="F238">
        <v>2.5367975090689998</v>
      </c>
      <c r="G238" t="s">
        <v>62</v>
      </c>
      <c r="H238">
        <v>8</v>
      </c>
      <c r="I238">
        <v>34</v>
      </c>
      <c r="J238">
        <v>1.9676606415940201</v>
      </c>
      <c r="K238" t="b">
        <f t="shared" si="15"/>
        <v>1</v>
      </c>
      <c r="L238">
        <f t="shared" si="16"/>
        <v>59.394030939247422</v>
      </c>
      <c r="M238">
        <f t="shared" si="17"/>
        <v>118.78806187849484</v>
      </c>
      <c r="N238">
        <f t="shared" si="18"/>
        <v>295.49269124003689</v>
      </c>
      <c r="O238" s="26">
        <f t="shared" si="19"/>
        <v>282.82871875832109</v>
      </c>
    </row>
    <row r="239" spans="1:15" x14ac:dyDescent="0.35">
      <c r="A239" t="s">
        <v>62</v>
      </c>
      <c r="B239">
        <v>8</v>
      </c>
      <c r="C239" t="s">
        <v>63</v>
      </c>
      <c r="D239">
        <v>35</v>
      </c>
      <c r="E239">
        <v>58.523426021676798</v>
      </c>
      <c r="F239">
        <v>2.9934931282562598</v>
      </c>
      <c r="G239" t="s">
        <v>62</v>
      </c>
      <c r="H239">
        <v>8</v>
      </c>
      <c r="I239">
        <v>35</v>
      </c>
      <c r="J239">
        <v>2.1083848527568398</v>
      </c>
      <c r="K239" t="b">
        <f t="shared" si="15"/>
        <v>1</v>
      </c>
      <c r="L239">
        <f t="shared" si="16"/>
        <v>63.625304002689901</v>
      </c>
      <c r="M239">
        <f t="shared" si="17"/>
        <v>127.2506080053798</v>
      </c>
      <c r="N239">
        <f t="shared" si="18"/>
        <v>316.54380100840746</v>
      </c>
      <c r="O239" s="26">
        <f t="shared" si="19"/>
        <v>302.97763810804719</v>
      </c>
    </row>
    <row r="240" spans="1:15" x14ac:dyDescent="0.35">
      <c r="A240" t="s">
        <v>62</v>
      </c>
      <c r="B240">
        <v>8</v>
      </c>
      <c r="C240" t="s">
        <v>63</v>
      </c>
      <c r="D240">
        <v>36</v>
      </c>
      <c r="E240">
        <v>62.1261608837357</v>
      </c>
      <c r="F240">
        <v>3.4749574436587598</v>
      </c>
      <c r="G240" t="s">
        <v>62</v>
      </c>
      <c r="H240">
        <v>8</v>
      </c>
      <c r="I240">
        <v>36</v>
      </c>
      <c r="J240">
        <v>2.2519986154652001</v>
      </c>
      <c r="K240" t="b">
        <f t="shared" si="15"/>
        <v>1</v>
      </c>
      <c r="L240">
        <f t="shared" si="16"/>
        <v>67.853116942859657</v>
      </c>
      <c r="M240">
        <f t="shared" si="17"/>
        <v>135.70623388571931</v>
      </c>
      <c r="N240">
        <f t="shared" si="18"/>
        <v>337.5776962331326</v>
      </c>
      <c r="O240" s="26">
        <f t="shared" si="19"/>
        <v>323.11008068028411</v>
      </c>
    </row>
    <row r="241" spans="1:15" x14ac:dyDescent="0.35">
      <c r="A241" t="s">
        <v>62</v>
      </c>
      <c r="B241">
        <v>8</v>
      </c>
      <c r="C241" t="s">
        <v>63</v>
      </c>
      <c r="D241">
        <v>37</v>
      </c>
      <c r="E241">
        <v>65.672718978028399</v>
      </c>
      <c r="F241">
        <v>4.0025748270691599</v>
      </c>
      <c r="G241" t="s">
        <v>62</v>
      </c>
      <c r="H241">
        <v>8</v>
      </c>
      <c r="I241">
        <v>37</v>
      </c>
      <c r="J241">
        <v>2.3968245070738399</v>
      </c>
      <c r="K241" t="b">
        <f t="shared" si="15"/>
        <v>1</v>
      </c>
      <c r="L241">
        <f t="shared" si="16"/>
        <v>72.072118312171398</v>
      </c>
      <c r="M241">
        <f t="shared" si="17"/>
        <v>144.1442366243428</v>
      </c>
      <c r="N241">
        <f t="shared" si="18"/>
        <v>358.56775279687258</v>
      </c>
      <c r="O241" s="26">
        <f t="shared" si="19"/>
        <v>343.20056339129241</v>
      </c>
    </row>
    <row r="242" spans="1:15" x14ac:dyDescent="0.35">
      <c r="A242" t="s">
        <v>62</v>
      </c>
      <c r="B242">
        <v>8</v>
      </c>
      <c r="C242" t="s">
        <v>63</v>
      </c>
      <c r="D242">
        <v>38</v>
      </c>
      <c r="E242">
        <v>69.166926762166796</v>
      </c>
      <c r="F242">
        <v>4.5708001564581497</v>
      </c>
      <c r="G242" t="s">
        <v>62</v>
      </c>
      <c r="H242">
        <v>8</v>
      </c>
      <c r="I242">
        <v>38</v>
      </c>
      <c r="J242">
        <v>2.5418321586201098</v>
      </c>
      <c r="K242" t="b">
        <f t="shared" si="15"/>
        <v>1</v>
      </c>
      <c r="L242">
        <f t="shared" si="16"/>
        <v>76.279559077245054</v>
      </c>
      <c r="M242">
        <f t="shared" si="17"/>
        <v>152.55911815449011</v>
      </c>
      <c r="N242">
        <f t="shared" si="18"/>
        <v>379.50029391664202</v>
      </c>
      <c r="O242" s="26">
        <f t="shared" si="19"/>
        <v>363.23599560592885</v>
      </c>
    </row>
    <row r="243" spans="1:15" x14ac:dyDescent="0.35">
      <c r="A243" t="s">
        <v>62</v>
      </c>
      <c r="B243">
        <v>8</v>
      </c>
      <c r="C243" t="s">
        <v>63</v>
      </c>
      <c r="D243">
        <v>39</v>
      </c>
      <c r="E243">
        <v>72.609707054896205</v>
      </c>
      <c r="F243">
        <v>5.1769446786095203</v>
      </c>
      <c r="G243" t="s">
        <v>62</v>
      </c>
      <c r="H243">
        <v>8</v>
      </c>
      <c r="I243">
        <v>39</v>
      </c>
      <c r="J243">
        <v>2.6863518371746502</v>
      </c>
      <c r="K243" t="b">
        <f t="shared" si="15"/>
        <v>1</v>
      </c>
      <c r="L243">
        <f t="shared" si="16"/>
        <v>80.473003570680376</v>
      </c>
      <c r="M243">
        <f t="shared" si="17"/>
        <v>160.94600714136075</v>
      </c>
      <c r="N243">
        <f t="shared" si="18"/>
        <v>400.36320184418094</v>
      </c>
      <c r="O243" s="26">
        <f t="shared" si="19"/>
        <v>383.2047789080018</v>
      </c>
    </row>
    <row r="244" spans="1:15" x14ac:dyDescent="0.35">
      <c r="A244" t="s">
        <v>62</v>
      </c>
      <c r="B244">
        <v>8</v>
      </c>
      <c r="C244" t="s">
        <v>63</v>
      </c>
      <c r="D244">
        <v>40</v>
      </c>
      <c r="E244">
        <v>76.252037823136703</v>
      </c>
      <c r="F244">
        <v>5.7624351805109404</v>
      </c>
      <c r="G244" t="s">
        <v>62</v>
      </c>
      <c r="H244">
        <v>8</v>
      </c>
      <c r="I244">
        <v>40</v>
      </c>
      <c r="J244">
        <v>2.83332081302621</v>
      </c>
      <c r="K244" t="b">
        <f t="shared" si="15"/>
        <v>1</v>
      </c>
      <c r="L244">
        <f t="shared" si="16"/>
        <v>84.847793816673843</v>
      </c>
      <c r="M244">
        <f t="shared" si="17"/>
        <v>169.69558763334769</v>
      </c>
      <c r="N244">
        <f t="shared" si="18"/>
        <v>422.12832744613848</v>
      </c>
      <c r="O244" s="26">
        <f t="shared" si="19"/>
        <v>404.03711341273259</v>
      </c>
    </row>
    <row r="245" spans="1:15" x14ac:dyDescent="0.35">
      <c r="A245" t="s">
        <v>62</v>
      </c>
      <c r="B245">
        <v>8</v>
      </c>
      <c r="C245" t="s">
        <v>63</v>
      </c>
      <c r="D245">
        <v>41</v>
      </c>
      <c r="E245">
        <v>79.874968076257005</v>
      </c>
      <c r="F245">
        <v>6.3572376007898601</v>
      </c>
      <c r="G245" t="s">
        <v>62</v>
      </c>
      <c r="H245">
        <v>8</v>
      </c>
      <c r="I245">
        <v>41</v>
      </c>
      <c r="J245">
        <v>2.9816426873406501</v>
      </c>
      <c r="K245" t="b">
        <f t="shared" si="15"/>
        <v>1</v>
      </c>
      <c r="L245">
        <f t="shared" si="16"/>
        <v>89.213848364387516</v>
      </c>
      <c r="M245">
        <f t="shared" si="17"/>
        <v>178.42769672877503</v>
      </c>
      <c r="N245">
        <f t="shared" si="18"/>
        <v>443.84999186262445</v>
      </c>
      <c r="O245" s="26">
        <f t="shared" si="19"/>
        <v>424.82784935422626</v>
      </c>
    </row>
    <row r="246" spans="1:15" x14ac:dyDescent="0.35">
      <c r="A246" t="s">
        <v>62</v>
      </c>
      <c r="B246">
        <v>8</v>
      </c>
      <c r="C246" t="s">
        <v>63</v>
      </c>
      <c r="D246">
        <v>42</v>
      </c>
      <c r="E246">
        <v>83.463685740754897</v>
      </c>
      <c r="F246">
        <v>6.9742670530961197</v>
      </c>
      <c r="G246" t="s">
        <v>62</v>
      </c>
      <c r="H246">
        <v>8</v>
      </c>
      <c r="I246">
        <v>42</v>
      </c>
      <c r="J246">
        <v>3.1304256169722802</v>
      </c>
      <c r="K246" t="b">
        <f t="shared" si="15"/>
        <v>1</v>
      </c>
      <c r="L246">
        <f t="shared" si="16"/>
        <v>93.568378410823286</v>
      </c>
      <c r="M246">
        <f t="shared" si="17"/>
        <v>187.13675682164657</v>
      </c>
      <c r="N246">
        <f t="shared" si="18"/>
        <v>465.51432045185709</v>
      </c>
      <c r="O246" s="26">
        <f t="shared" si="19"/>
        <v>445.56370671820616</v>
      </c>
    </row>
    <row r="247" spans="1:15" x14ac:dyDescent="0.35">
      <c r="A247" t="s">
        <v>62</v>
      </c>
      <c r="B247">
        <v>8</v>
      </c>
      <c r="C247" t="s">
        <v>63</v>
      </c>
      <c r="D247">
        <v>43</v>
      </c>
      <c r="E247">
        <v>87.011235843346697</v>
      </c>
      <c r="F247">
        <v>7.6187655625983401</v>
      </c>
      <c r="G247" t="s">
        <v>62</v>
      </c>
      <c r="H247">
        <v>8</v>
      </c>
      <c r="I247">
        <v>43</v>
      </c>
      <c r="J247">
        <v>3.2790004120427501</v>
      </c>
      <c r="K247" t="b">
        <f t="shared" si="15"/>
        <v>1</v>
      </c>
      <c r="L247">
        <f t="shared" si="16"/>
        <v>97.909001817987786</v>
      </c>
      <c r="M247">
        <f t="shared" si="17"/>
        <v>195.81800363597557</v>
      </c>
      <c r="N247">
        <f t="shared" si="18"/>
        <v>487.10946178103376</v>
      </c>
      <c r="O247" s="26">
        <f t="shared" si="19"/>
        <v>466.23334199041807</v>
      </c>
    </row>
    <row r="248" spans="1:15" x14ac:dyDescent="0.35">
      <c r="A248" t="s">
        <v>62</v>
      </c>
      <c r="B248">
        <v>8</v>
      </c>
      <c r="C248" t="s">
        <v>63</v>
      </c>
      <c r="D248">
        <v>44</v>
      </c>
      <c r="E248">
        <v>90.514150719097898</v>
      </c>
      <c r="F248">
        <v>8.2925870377079391</v>
      </c>
      <c r="G248" t="s">
        <v>62</v>
      </c>
      <c r="H248">
        <v>8</v>
      </c>
      <c r="I248">
        <v>44</v>
      </c>
      <c r="J248">
        <v>3.42687960048627</v>
      </c>
      <c r="K248" t="b">
        <f t="shared" si="15"/>
        <v>1</v>
      </c>
      <c r="L248">
        <f t="shared" si="16"/>
        <v>102.2336173572921</v>
      </c>
      <c r="M248">
        <f t="shared" si="17"/>
        <v>204.46723471458421</v>
      </c>
      <c r="N248">
        <f t="shared" si="18"/>
        <v>508.62496197657759</v>
      </c>
      <c r="O248" s="26">
        <f t="shared" si="19"/>
        <v>486.82674932043864</v>
      </c>
    </row>
    <row r="249" spans="1:15" x14ac:dyDescent="0.35">
      <c r="A249" t="s">
        <v>62</v>
      </c>
      <c r="B249">
        <v>8</v>
      </c>
      <c r="C249" t="s">
        <v>63</v>
      </c>
      <c r="D249">
        <v>45</v>
      </c>
      <c r="E249">
        <v>94.088856787523099</v>
      </c>
      <c r="F249">
        <v>8.9288350604033297</v>
      </c>
      <c r="G249" t="s">
        <v>62</v>
      </c>
      <c r="H249">
        <v>8</v>
      </c>
      <c r="I249">
        <v>45</v>
      </c>
      <c r="J249">
        <v>3.57530931051225</v>
      </c>
      <c r="K249" t="b">
        <f t="shared" si="15"/>
        <v>1</v>
      </c>
      <c r="L249">
        <f t="shared" si="16"/>
        <v>106.59300115843868</v>
      </c>
      <c r="M249">
        <f t="shared" si="17"/>
        <v>213.18600231687736</v>
      </c>
      <c r="N249">
        <f t="shared" si="18"/>
        <v>530.31343859919741</v>
      </c>
      <c r="O249" s="26">
        <f t="shared" si="19"/>
        <v>507.58571980208899</v>
      </c>
    </row>
    <row r="250" spans="1:15" x14ac:dyDescent="0.35">
      <c r="A250" t="s">
        <v>62</v>
      </c>
      <c r="B250">
        <v>8</v>
      </c>
      <c r="C250" t="s">
        <v>63</v>
      </c>
      <c r="D250">
        <v>46</v>
      </c>
      <c r="E250">
        <v>97.651653452650393</v>
      </c>
      <c r="F250">
        <v>9.5657794402410001</v>
      </c>
      <c r="G250" t="s">
        <v>62</v>
      </c>
      <c r="H250">
        <v>8</v>
      </c>
      <c r="I250">
        <v>46</v>
      </c>
      <c r="J250">
        <v>3.7239438180054201</v>
      </c>
      <c r="K250" t="b">
        <f t="shared" si="15"/>
        <v>1</v>
      </c>
      <c r="L250">
        <f t="shared" si="16"/>
        <v>110.94137671089682</v>
      </c>
      <c r="M250">
        <f t="shared" si="17"/>
        <v>221.88275342179364</v>
      </c>
      <c r="N250">
        <f t="shared" si="18"/>
        <v>551.94714781540699</v>
      </c>
      <c r="O250" s="26">
        <f t="shared" si="19"/>
        <v>528.29227005188966</v>
      </c>
    </row>
    <row r="251" spans="1:15" x14ac:dyDescent="0.35">
      <c r="A251" t="s">
        <v>62</v>
      </c>
      <c r="B251">
        <v>8</v>
      </c>
      <c r="C251" t="s">
        <v>63</v>
      </c>
      <c r="D251">
        <v>47</v>
      </c>
      <c r="E251">
        <v>101.185231627435</v>
      </c>
      <c r="F251">
        <v>10.2189604742222</v>
      </c>
      <c r="G251" t="s">
        <v>62</v>
      </c>
      <c r="H251">
        <v>8</v>
      </c>
      <c r="I251">
        <v>47</v>
      </c>
      <c r="J251">
        <v>3.8723291009848402</v>
      </c>
      <c r="K251" t="b">
        <f t="shared" si="15"/>
        <v>1</v>
      </c>
      <c r="L251">
        <f t="shared" si="16"/>
        <v>115.27652120264204</v>
      </c>
      <c r="M251">
        <f t="shared" si="17"/>
        <v>230.55304240528409</v>
      </c>
      <c r="N251">
        <f t="shared" si="18"/>
        <v>573.51503085891557</v>
      </c>
      <c r="O251" s="26">
        <f t="shared" si="19"/>
        <v>548.93581525067646</v>
      </c>
    </row>
    <row r="252" spans="1:15" x14ac:dyDescent="0.35">
      <c r="A252" t="s">
        <v>62</v>
      </c>
      <c r="B252">
        <v>8</v>
      </c>
      <c r="C252" t="s">
        <v>63</v>
      </c>
      <c r="D252">
        <v>48</v>
      </c>
      <c r="E252">
        <v>104.682121936</v>
      </c>
      <c r="F252">
        <v>10.894343868474101</v>
      </c>
      <c r="G252" t="s">
        <v>62</v>
      </c>
      <c r="H252">
        <v>8</v>
      </c>
      <c r="I252">
        <v>48</v>
      </c>
      <c r="J252">
        <v>4.0200704040456197</v>
      </c>
      <c r="K252" t="b">
        <f t="shared" si="15"/>
        <v>1</v>
      </c>
      <c r="L252">
        <f t="shared" si="16"/>
        <v>119.59653620851972</v>
      </c>
      <c r="M252">
        <f t="shared" si="17"/>
        <v>239.19307241703945</v>
      </c>
      <c r="N252">
        <f t="shared" si="18"/>
        <v>595.00764282845626</v>
      </c>
      <c r="O252" s="26">
        <f t="shared" si="19"/>
        <v>569.50731527866537</v>
      </c>
    </row>
    <row r="253" spans="1:15" x14ac:dyDescent="0.35">
      <c r="A253" t="s">
        <v>62</v>
      </c>
      <c r="B253">
        <v>8</v>
      </c>
      <c r="C253" t="s">
        <v>63</v>
      </c>
      <c r="D253">
        <v>49</v>
      </c>
      <c r="E253">
        <v>108.138963819279</v>
      </c>
      <c r="F253">
        <v>11.5939169882546</v>
      </c>
      <c r="G253" t="s">
        <v>62</v>
      </c>
      <c r="H253">
        <v>8</v>
      </c>
      <c r="I253">
        <v>49</v>
      </c>
      <c r="J253">
        <v>4.1668625593718502</v>
      </c>
      <c r="K253" t="b">
        <f t="shared" si="15"/>
        <v>1</v>
      </c>
      <c r="L253">
        <f t="shared" si="16"/>
        <v>123.89974336690545</v>
      </c>
      <c r="M253">
        <f t="shared" si="17"/>
        <v>247.79948673381091</v>
      </c>
      <c r="N253">
        <f t="shared" si="18"/>
        <v>616.41663366619628</v>
      </c>
      <c r="O253" s="26">
        <f t="shared" si="19"/>
        <v>589.99877793764506</v>
      </c>
    </row>
    <row r="254" spans="1:15" x14ac:dyDescent="0.35">
      <c r="A254" t="s">
        <v>62</v>
      </c>
      <c r="B254">
        <v>8</v>
      </c>
      <c r="C254" t="s">
        <v>63</v>
      </c>
      <c r="D254">
        <v>50</v>
      </c>
      <c r="E254">
        <v>111.58382791438</v>
      </c>
      <c r="F254">
        <v>12.2396834561024</v>
      </c>
      <c r="G254" t="s">
        <v>62</v>
      </c>
      <c r="H254">
        <v>8</v>
      </c>
      <c r="I254">
        <v>50</v>
      </c>
      <c r="J254">
        <v>4.3128805648638098</v>
      </c>
      <c r="K254" t="b">
        <f t="shared" si="15"/>
        <v>1</v>
      </c>
      <c r="L254">
        <f t="shared" si="16"/>
        <v>128.13639193534621</v>
      </c>
      <c r="M254">
        <f t="shared" si="17"/>
        <v>256.27278387069242</v>
      </c>
      <c r="N254">
        <f t="shared" si="18"/>
        <v>637.49448724052843</v>
      </c>
      <c r="O254" s="26">
        <f t="shared" si="19"/>
        <v>610.1732949302201</v>
      </c>
    </row>
    <row r="255" spans="1:15" x14ac:dyDescent="0.35">
      <c r="A255" t="s">
        <v>62</v>
      </c>
      <c r="B255">
        <v>8</v>
      </c>
      <c r="C255" t="s">
        <v>63</v>
      </c>
      <c r="D255">
        <v>51</v>
      </c>
      <c r="E255">
        <v>115.02563676425299</v>
      </c>
      <c r="F255">
        <v>12.8777711678466</v>
      </c>
      <c r="G255" t="s">
        <v>62</v>
      </c>
      <c r="H255">
        <v>8</v>
      </c>
      <c r="I255">
        <v>51</v>
      </c>
      <c r="J255">
        <v>4.4583484701389002</v>
      </c>
      <c r="K255" t="b">
        <f t="shared" si="15"/>
        <v>1</v>
      </c>
      <c r="L255">
        <f t="shared" si="16"/>
        <v>132.36175640223848</v>
      </c>
      <c r="M255">
        <f t="shared" si="17"/>
        <v>264.72351280447697</v>
      </c>
      <c r="N255">
        <f t="shared" si="18"/>
        <v>658.51620100616162</v>
      </c>
      <c r="O255" s="26">
        <f t="shared" si="19"/>
        <v>630.2940781058976</v>
      </c>
    </row>
    <row r="256" spans="1:15" x14ac:dyDescent="0.35">
      <c r="A256" t="s">
        <v>62</v>
      </c>
      <c r="B256">
        <v>8</v>
      </c>
      <c r="C256" t="s">
        <v>63</v>
      </c>
      <c r="D256">
        <v>52</v>
      </c>
      <c r="E256">
        <v>118.444755816696</v>
      </c>
      <c r="F256">
        <v>13.526184214405299</v>
      </c>
      <c r="G256" t="s">
        <v>62</v>
      </c>
      <c r="H256">
        <v>8</v>
      </c>
      <c r="I256">
        <v>52</v>
      </c>
      <c r="J256">
        <v>4.6031402867476396</v>
      </c>
      <c r="K256" t="b">
        <f t="shared" si="15"/>
        <v>1</v>
      </c>
      <c r="L256">
        <f t="shared" si="16"/>
        <v>136.57408031784894</v>
      </c>
      <c r="M256">
        <f t="shared" si="17"/>
        <v>273.14816063569788</v>
      </c>
      <c r="N256">
        <f t="shared" si="18"/>
        <v>679.47303640720861</v>
      </c>
      <c r="O256" s="26">
        <f t="shared" si="19"/>
        <v>650.35276341832832</v>
      </c>
    </row>
    <row r="257" spans="1:15" x14ac:dyDescent="0.35">
      <c r="A257" t="s">
        <v>62</v>
      </c>
      <c r="B257">
        <v>8</v>
      </c>
      <c r="C257" t="s">
        <v>63</v>
      </c>
      <c r="D257">
        <v>53</v>
      </c>
      <c r="E257">
        <v>121.83320839457799</v>
      </c>
      <c r="F257">
        <v>14.1916059214998</v>
      </c>
      <c r="G257" t="s">
        <v>62</v>
      </c>
      <c r="H257">
        <v>8</v>
      </c>
      <c r="I257">
        <v>53</v>
      </c>
      <c r="J257">
        <v>4.7470663132750701</v>
      </c>
      <c r="K257" t="b">
        <f t="shared" si="15"/>
        <v>1</v>
      </c>
      <c r="L257">
        <f t="shared" si="16"/>
        <v>140.77188062935286</v>
      </c>
      <c r="M257">
        <f t="shared" si="17"/>
        <v>281.54376125870573</v>
      </c>
      <c r="N257">
        <f t="shared" si="18"/>
        <v>700.35761507140728</v>
      </c>
      <c r="O257" s="26">
        <f t="shared" si="19"/>
        <v>670.34228871120411</v>
      </c>
    </row>
    <row r="258" spans="1:15" x14ac:dyDescent="0.35">
      <c r="A258" t="s">
        <v>62</v>
      </c>
      <c r="B258">
        <v>8</v>
      </c>
      <c r="C258" t="s">
        <v>63</v>
      </c>
      <c r="D258">
        <v>54</v>
      </c>
      <c r="E258">
        <v>125.187677385067</v>
      </c>
      <c r="F258">
        <v>14.876214927298101</v>
      </c>
      <c r="G258" t="s">
        <v>62</v>
      </c>
      <c r="H258">
        <v>8</v>
      </c>
      <c r="I258">
        <v>54</v>
      </c>
      <c r="J258">
        <v>4.8899578771030701</v>
      </c>
      <c r="K258" t="b">
        <f t="shared" ref="K258:K321" si="20">H258=B258</f>
        <v>1</v>
      </c>
      <c r="L258">
        <f t="shared" ref="L258:L321" si="21">E258+F258+J258</f>
        <v>144.95385018946817</v>
      </c>
      <c r="M258">
        <f t="shared" ref="M258:M321" si="22">L258*2</f>
        <v>289.90770037893634</v>
      </c>
      <c r="N258">
        <f t="shared" ref="N258:N321" si="23">M258/(1-0.598)</f>
        <v>721.16343377844862</v>
      </c>
      <c r="O258" s="26">
        <f t="shared" ref="O258:O321" si="24">M258/0.42</f>
        <v>690.25642947365793</v>
      </c>
    </row>
    <row r="259" spans="1:15" x14ac:dyDescent="0.35">
      <c r="A259" t="s">
        <v>62</v>
      </c>
      <c r="B259">
        <v>8</v>
      </c>
      <c r="C259" t="s">
        <v>63</v>
      </c>
      <c r="D259">
        <v>55</v>
      </c>
      <c r="E259">
        <v>128.47714716347801</v>
      </c>
      <c r="F259">
        <v>15.5034702981092</v>
      </c>
      <c r="G259" t="s">
        <v>62</v>
      </c>
      <c r="H259">
        <v>8</v>
      </c>
      <c r="I259">
        <v>55</v>
      </c>
      <c r="J259">
        <v>5.0312840645219001</v>
      </c>
      <c r="K259" t="b">
        <f t="shared" si="20"/>
        <v>1</v>
      </c>
      <c r="L259">
        <f t="shared" si="21"/>
        <v>149.01190152610911</v>
      </c>
      <c r="M259">
        <f t="shared" si="22"/>
        <v>298.02380305221823</v>
      </c>
      <c r="N259">
        <f t="shared" si="23"/>
        <v>741.35274391099063</v>
      </c>
      <c r="O259" s="26">
        <f t="shared" si="24"/>
        <v>709.58048345766247</v>
      </c>
    </row>
    <row r="260" spans="1:15" x14ac:dyDescent="0.35">
      <c r="A260" t="s">
        <v>62</v>
      </c>
      <c r="B260">
        <v>8</v>
      </c>
      <c r="C260" t="s">
        <v>63</v>
      </c>
      <c r="D260">
        <v>56</v>
      </c>
      <c r="E260">
        <v>131.767437748676</v>
      </c>
      <c r="F260">
        <v>16.1201501546795</v>
      </c>
      <c r="G260" t="s">
        <v>62</v>
      </c>
      <c r="H260">
        <v>8</v>
      </c>
      <c r="I260">
        <v>56</v>
      </c>
      <c r="J260">
        <v>5.1715893337186403</v>
      </c>
      <c r="K260" t="b">
        <f t="shared" si="20"/>
        <v>1</v>
      </c>
      <c r="L260">
        <f t="shared" si="21"/>
        <v>153.05917723707412</v>
      </c>
      <c r="M260">
        <f t="shared" si="22"/>
        <v>306.11835447414825</v>
      </c>
      <c r="N260">
        <f t="shared" si="23"/>
        <v>761.48844396554284</v>
      </c>
      <c r="O260" s="26">
        <f t="shared" si="24"/>
        <v>728.85322493844819</v>
      </c>
    </row>
    <row r="261" spans="1:15" x14ac:dyDescent="0.35">
      <c r="A261" t="s">
        <v>62</v>
      </c>
      <c r="B261">
        <v>8</v>
      </c>
      <c r="C261" t="s">
        <v>63</v>
      </c>
      <c r="D261">
        <v>57</v>
      </c>
      <c r="E261">
        <v>135.039423888307</v>
      </c>
      <c r="F261">
        <v>16.743921958087999</v>
      </c>
      <c r="G261" t="s">
        <v>62</v>
      </c>
      <c r="H261">
        <v>8</v>
      </c>
      <c r="I261">
        <v>57</v>
      </c>
      <c r="J261">
        <v>5.3109567339167798</v>
      </c>
      <c r="K261" t="b">
        <f t="shared" si="20"/>
        <v>1</v>
      </c>
      <c r="L261">
        <f t="shared" si="21"/>
        <v>157.09430258031179</v>
      </c>
      <c r="M261">
        <f t="shared" si="22"/>
        <v>314.18860516062358</v>
      </c>
      <c r="N261">
        <f t="shared" si="23"/>
        <v>781.56369442941184</v>
      </c>
      <c r="O261" s="26">
        <f t="shared" si="24"/>
        <v>748.06810752529429</v>
      </c>
    </row>
    <row r="262" spans="1:15" x14ac:dyDescent="0.35">
      <c r="A262" t="s">
        <v>62</v>
      </c>
      <c r="B262">
        <v>8</v>
      </c>
      <c r="C262" t="s">
        <v>63</v>
      </c>
      <c r="D262">
        <v>58</v>
      </c>
      <c r="E262">
        <v>138.285649248618</v>
      </c>
      <c r="F262">
        <v>17.3811401900067</v>
      </c>
      <c r="G262" t="s">
        <v>62</v>
      </c>
      <c r="H262">
        <v>8</v>
      </c>
      <c r="I262">
        <v>58</v>
      </c>
      <c r="J262">
        <v>5.4493385587120402</v>
      </c>
      <c r="K262" t="b">
        <f t="shared" si="20"/>
        <v>1</v>
      </c>
      <c r="L262">
        <f t="shared" si="21"/>
        <v>161.11612799733675</v>
      </c>
      <c r="M262">
        <f t="shared" si="22"/>
        <v>322.23225599467349</v>
      </c>
      <c r="N262">
        <f t="shared" si="23"/>
        <v>801.5727761061529</v>
      </c>
      <c r="O262" s="26">
        <f t="shared" si="24"/>
        <v>767.21965713017505</v>
      </c>
    </row>
    <row r="263" spans="1:15" x14ac:dyDescent="0.35">
      <c r="A263" t="s">
        <v>62</v>
      </c>
      <c r="B263">
        <v>8</v>
      </c>
      <c r="C263" t="s">
        <v>63</v>
      </c>
      <c r="D263">
        <v>59</v>
      </c>
      <c r="E263">
        <v>141.50316963971801</v>
      </c>
      <c r="F263">
        <v>18.033804105230701</v>
      </c>
      <c r="G263" t="s">
        <v>62</v>
      </c>
      <c r="H263">
        <v>8</v>
      </c>
      <c r="I263">
        <v>59</v>
      </c>
      <c r="J263">
        <v>5.5866650053384097</v>
      </c>
      <c r="K263" t="b">
        <f t="shared" si="20"/>
        <v>1</v>
      </c>
      <c r="L263">
        <f t="shared" si="21"/>
        <v>165.12363875028711</v>
      </c>
      <c r="M263">
        <f t="shared" si="22"/>
        <v>330.24727750057423</v>
      </c>
      <c r="N263">
        <f t="shared" si="23"/>
        <v>821.51064054869209</v>
      </c>
      <c r="O263" s="26">
        <f t="shared" si="24"/>
        <v>786.30304166803387</v>
      </c>
    </row>
    <row r="264" spans="1:15" x14ac:dyDescent="0.35">
      <c r="A264" t="s">
        <v>62</v>
      </c>
      <c r="B264">
        <v>8</v>
      </c>
      <c r="C264" t="s">
        <v>63</v>
      </c>
      <c r="D264">
        <v>60</v>
      </c>
      <c r="E264">
        <v>144.59484395477699</v>
      </c>
      <c r="F264">
        <v>18.633078202234302</v>
      </c>
      <c r="G264" t="s">
        <v>62</v>
      </c>
      <c r="H264">
        <v>8</v>
      </c>
      <c r="I264">
        <v>60</v>
      </c>
      <c r="J264">
        <v>5.7215781814508802</v>
      </c>
      <c r="K264" t="b">
        <f t="shared" si="20"/>
        <v>1</v>
      </c>
      <c r="L264">
        <f t="shared" si="21"/>
        <v>168.94950033846214</v>
      </c>
      <c r="M264">
        <f t="shared" si="22"/>
        <v>337.89900067692429</v>
      </c>
      <c r="N264">
        <f t="shared" si="23"/>
        <v>840.54477780329421</v>
      </c>
      <c r="O264" s="26">
        <f t="shared" si="24"/>
        <v>804.52143018315314</v>
      </c>
    </row>
    <row r="265" spans="1:15" x14ac:dyDescent="0.35">
      <c r="A265" t="s">
        <v>62</v>
      </c>
      <c r="B265">
        <v>8</v>
      </c>
      <c r="C265" t="s">
        <v>63</v>
      </c>
      <c r="D265">
        <v>61</v>
      </c>
      <c r="E265">
        <v>147.687714007382</v>
      </c>
      <c r="F265">
        <v>19.222154969089399</v>
      </c>
      <c r="G265" t="s">
        <v>62</v>
      </c>
      <c r="H265">
        <v>8</v>
      </c>
      <c r="I265">
        <v>61</v>
      </c>
      <c r="J265">
        <v>5.8549219956901997</v>
      </c>
      <c r="K265" t="b">
        <f t="shared" si="20"/>
        <v>1</v>
      </c>
      <c r="L265">
        <f t="shared" si="21"/>
        <v>172.76479097216159</v>
      </c>
      <c r="M265">
        <f t="shared" si="22"/>
        <v>345.52958194432318</v>
      </c>
      <c r="N265">
        <f t="shared" si="23"/>
        <v>859.526323244585</v>
      </c>
      <c r="O265" s="26">
        <f t="shared" si="24"/>
        <v>822.68948081981716</v>
      </c>
    </row>
    <row r="266" spans="1:15" x14ac:dyDescent="0.35">
      <c r="A266" t="s">
        <v>62</v>
      </c>
      <c r="B266">
        <v>8</v>
      </c>
      <c r="C266" t="s">
        <v>63</v>
      </c>
      <c r="D266">
        <v>62</v>
      </c>
      <c r="E266">
        <v>150.76461865276599</v>
      </c>
      <c r="F266">
        <v>19.816904422001599</v>
      </c>
      <c r="G266" t="s">
        <v>62</v>
      </c>
      <c r="H266">
        <v>8</v>
      </c>
      <c r="I266">
        <v>62</v>
      </c>
      <c r="J266">
        <v>5.9869923551716999</v>
      </c>
      <c r="K266" t="b">
        <f t="shared" si="20"/>
        <v>1</v>
      </c>
      <c r="L266">
        <f t="shared" si="21"/>
        <v>176.56851542993928</v>
      </c>
      <c r="M266">
        <f t="shared" si="22"/>
        <v>353.13703085987856</v>
      </c>
      <c r="N266">
        <f t="shared" si="23"/>
        <v>878.4503255220859</v>
      </c>
      <c r="O266" s="26">
        <f t="shared" si="24"/>
        <v>840.80245442828232</v>
      </c>
    </row>
    <row r="267" spans="1:15" x14ac:dyDescent="0.35">
      <c r="A267" t="s">
        <v>62</v>
      </c>
      <c r="B267">
        <v>8</v>
      </c>
      <c r="C267" t="s">
        <v>63</v>
      </c>
      <c r="D267">
        <v>63</v>
      </c>
      <c r="E267">
        <v>153.819057186566</v>
      </c>
      <c r="F267">
        <v>20.422875050926699</v>
      </c>
      <c r="G267" t="s">
        <v>62</v>
      </c>
      <c r="H267">
        <v>8</v>
      </c>
      <c r="I267">
        <v>63</v>
      </c>
      <c r="J267">
        <v>6.1178899952574</v>
      </c>
      <c r="K267" t="b">
        <f t="shared" si="20"/>
        <v>1</v>
      </c>
      <c r="L267">
        <f t="shared" si="21"/>
        <v>180.3598222327501</v>
      </c>
      <c r="M267">
        <f t="shared" si="22"/>
        <v>360.71964446550021</v>
      </c>
      <c r="N267">
        <f t="shared" si="23"/>
        <v>897.3125484216423</v>
      </c>
      <c r="O267" s="26">
        <f t="shared" si="24"/>
        <v>858.85629634642908</v>
      </c>
    </row>
    <row r="268" spans="1:15" x14ac:dyDescent="0.35">
      <c r="A268" t="s">
        <v>62</v>
      </c>
      <c r="B268">
        <v>8</v>
      </c>
      <c r="C268" t="s">
        <v>63</v>
      </c>
      <c r="D268">
        <v>64</v>
      </c>
      <c r="E268">
        <v>156.84854270759101</v>
      </c>
      <c r="F268">
        <v>21.0417467460898</v>
      </c>
      <c r="G268" t="s">
        <v>62</v>
      </c>
      <c r="H268">
        <v>8</v>
      </c>
      <c r="I268">
        <v>64</v>
      </c>
      <c r="J268">
        <v>6.2476479699998002</v>
      </c>
      <c r="K268" t="b">
        <f t="shared" si="20"/>
        <v>1</v>
      </c>
      <c r="L268">
        <f t="shared" si="21"/>
        <v>184.1379374236806</v>
      </c>
      <c r="M268">
        <f t="shared" si="22"/>
        <v>368.27587484736119</v>
      </c>
      <c r="N268">
        <f t="shared" si="23"/>
        <v>916.10914141134617</v>
      </c>
      <c r="O268" s="26">
        <f t="shared" si="24"/>
        <v>876.84732106514571</v>
      </c>
    </row>
    <row r="269" spans="1:15" x14ac:dyDescent="0.35">
      <c r="A269" t="s">
        <v>62</v>
      </c>
      <c r="B269">
        <v>8</v>
      </c>
      <c r="C269" t="s">
        <v>63</v>
      </c>
      <c r="D269">
        <v>65</v>
      </c>
      <c r="E269">
        <v>159.686164326512</v>
      </c>
      <c r="F269">
        <v>21.596204474408299</v>
      </c>
      <c r="G269" t="s">
        <v>62</v>
      </c>
      <c r="H269">
        <v>8</v>
      </c>
      <c r="I269">
        <v>65</v>
      </c>
      <c r="J269">
        <v>6.3740338635025404</v>
      </c>
      <c r="K269" t="b">
        <f t="shared" si="20"/>
        <v>1</v>
      </c>
      <c r="L269">
        <f t="shared" si="21"/>
        <v>187.65640266442284</v>
      </c>
      <c r="M269">
        <f t="shared" si="22"/>
        <v>375.31280532884568</v>
      </c>
      <c r="N269">
        <f t="shared" si="23"/>
        <v>933.61394360409372</v>
      </c>
      <c r="O269" s="26">
        <f t="shared" si="24"/>
        <v>893.60191744963265</v>
      </c>
    </row>
    <row r="270" spans="1:15" x14ac:dyDescent="0.35">
      <c r="A270" t="s">
        <v>62</v>
      </c>
      <c r="B270">
        <v>8</v>
      </c>
      <c r="C270" t="s">
        <v>63</v>
      </c>
      <c r="D270">
        <v>66</v>
      </c>
      <c r="E270">
        <v>162.532033580437</v>
      </c>
      <c r="F270">
        <v>22.1352699437073</v>
      </c>
      <c r="G270" t="s">
        <v>62</v>
      </c>
      <c r="H270">
        <v>8</v>
      </c>
      <c r="I270">
        <v>66</v>
      </c>
      <c r="J270">
        <v>6.4983200693418501</v>
      </c>
      <c r="K270" t="b">
        <f t="shared" si="20"/>
        <v>1</v>
      </c>
      <c r="L270">
        <f t="shared" si="21"/>
        <v>191.16562359348615</v>
      </c>
      <c r="M270">
        <f t="shared" si="22"/>
        <v>382.33124718697229</v>
      </c>
      <c r="N270">
        <f t="shared" si="23"/>
        <v>951.07275419644839</v>
      </c>
      <c r="O270" s="26">
        <f t="shared" si="24"/>
        <v>910.31249330231503</v>
      </c>
    </row>
    <row r="271" spans="1:15" x14ac:dyDescent="0.35">
      <c r="A271" t="s">
        <v>62</v>
      </c>
      <c r="B271">
        <v>8</v>
      </c>
      <c r="C271" t="s">
        <v>63</v>
      </c>
      <c r="D271">
        <v>67</v>
      </c>
      <c r="E271">
        <v>165.36721847151199</v>
      </c>
      <c r="F271">
        <v>22.6766339888425</v>
      </c>
      <c r="G271" t="s">
        <v>62</v>
      </c>
      <c r="H271">
        <v>8</v>
      </c>
      <c r="I271">
        <v>67</v>
      </c>
      <c r="J271">
        <v>6.6210469009424902</v>
      </c>
      <c r="K271" t="b">
        <f t="shared" si="20"/>
        <v>1</v>
      </c>
      <c r="L271">
        <f t="shared" si="21"/>
        <v>194.66489936129699</v>
      </c>
      <c r="M271">
        <f t="shared" si="22"/>
        <v>389.32979872259398</v>
      </c>
      <c r="N271">
        <f t="shared" si="23"/>
        <v>968.48208637461187</v>
      </c>
      <c r="O271" s="26">
        <f t="shared" si="24"/>
        <v>926.97571124427145</v>
      </c>
    </row>
    <row r="272" spans="1:15" x14ac:dyDescent="0.35">
      <c r="A272" t="s">
        <v>62</v>
      </c>
      <c r="B272">
        <v>8</v>
      </c>
      <c r="C272" t="s">
        <v>63</v>
      </c>
      <c r="D272">
        <v>68</v>
      </c>
      <c r="E272">
        <v>168.18473859891</v>
      </c>
      <c r="F272">
        <v>23.226422571874501</v>
      </c>
      <c r="G272" t="s">
        <v>62</v>
      </c>
      <c r="H272">
        <v>8</v>
      </c>
      <c r="I272">
        <v>68</v>
      </c>
      <c r="J272">
        <v>6.7424651039108801</v>
      </c>
      <c r="K272" t="b">
        <f t="shared" si="20"/>
        <v>1</v>
      </c>
      <c r="L272">
        <f t="shared" si="21"/>
        <v>198.1536262746954</v>
      </c>
      <c r="M272">
        <f t="shared" si="22"/>
        <v>396.3072525493908</v>
      </c>
      <c r="N272">
        <f t="shared" si="23"/>
        <v>985.8389366900268</v>
      </c>
      <c r="O272" s="26">
        <f t="shared" si="24"/>
        <v>943.58869654616865</v>
      </c>
    </row>
    <row r="273" spans="1:15" x14ac:dyDescent="0.35">
      <c r="A273" t="s">
        <v>62</v>
      </c>
      <c r="B273">
        <v>8</v>
      </c>
      <c r="C273" t="s">
        <v>63</v>
      </c>
      <c r="D273">
        <v>69</v>
      </c>
      <c r="E273">
        <v>170.98201038561501</v>
      </c>
      <c r="F273">
        <v>23.786523342697802</v>
      </c>
      <c r="G273" t="s">
        <v>62</v>
      </c>
      <c r="H273">
        <v>8</v>
      </c>
      <c r="I273">
        <v>69</v>
      </c>
      <c r="J273">
        <v>6.8627049237987903</v>
      </c>
      <c r="K273" t="b">
        <f t="shared" si="20"/>
        <v>1</v>
      </c>
      <c r="L273">
        <f t="shared" si="21"/>
        <v>201.63123865211159</v>
      </c>
      <c r="M273">
        <f t="shared" si="22"/>
        <v>403.26247730422318</v>
      </c>
      <c r="N273">
        <f t="shared" si="23"/>
        <v>1003.1404908065252</v>
      </c>
      <c r="O273" s="26">
        <f t="shared" si="24"/>
        <v>960.1487554862457</v>
      </c>
    </row>
    <row r="274" spans="1:15" x14ac:dyDescent="0.35">
      <c r="A274" t="s">
        <v>62</v>
      </c>
      <c r="B274">
        <v>8</v>
      </c>
      <c r="C274" t="s">
        <v>63</v>
      </c>
      <c r="D274">
        <v>70</v>
      </c>
      <c r="E274">
        <v>173.499454655785</v>
      </c>
      <c r="F274">
        <v>24.2716247129744</v>
      </c>
      <c r="G274" t="s">
        <v>62</v>
      </c>
      <c r="H274">
        <v>8</v>
      </c>
      <c r="I274">
        <v>70</v>
      </c>
      <c r="J274">
        <v>6.97874667337351</v>
      </c>
      <c r="K274" t="b">
        <f t="shared" si="20"/>
        <v>1</v>
      </c>
      <c r="L274">
        <f t="shared" si="21"/>
        <v>204.7498260421329</v>
      </c>
      <c r="M274">
        <f t="shared" si="22"/>
        <v>409.49965208426579</v>
      </c>
      <c r="N274">
        <f t="shared" si="23"/>
        <v>1018.6558509558849</v>
      </c>
      <c r="O274" s="26">
        <f t="shared" si="24"/>
        <v>974.99917162920428</v>
      </c>
    </row>
    <row r="275" spans="1:15" x14ac:dyDescent="0.35">
      <c r="A275" t="s">
        <v>62</v>
      </c>
      <c r="B275">
        <v>8</v>
      </c>
      <c r="C275" t="s">
        <v>63</v>
      </c>
      <c r="D275">
        <v>71</v>
      </c>
      <c r="E275">
        <v>176.03205350841699</v>
      </c>
      <c r="F275">
        <v>24.7367432365448</v>
      </c>
      <c r="G275" t="s">
        <v>62</v>
      </c>
      <c r="H275">
        <v>8</v>
      </c>
      <c r="I275">
        <v>71</v>
      </c>
      <c r="J275">
        <v>7.0922478178286603</v>
      </c>
      <c r="K275" t="b">
        <f t="shared" si="20"/>
        <v>1</v>
      </c>
      <c r="L275">
        <f t="shared" si="21"/>
        <v>207.86104456279045</v>
      </c>
      <c r="M275">
        <f t="shared" si="22"/>
        <v>415.72208912558091</v>
      </c>
      <c r="N275">
        <f t="shared" si="23"/>
        <v>1034.1345500636339</v>
      </c>
      <c r="O275" s="26">
        <f t="shared" si="24"/>
        <v>989.81449791804982</v>
      </c>
    </row>
    <row r="276" spans="1:15" x14ac:dyDescent="0.35">
      <c r="A276" t="s">
        <v>62</v>
      </c>
      <c r="B276">
        <v>8</v>
      </c>
      <c r="C276" t="s">
        <v>63</v>
      </c>
      <c r="D276">
        <v>72</v>
      </c>
      <c r="E276">
        <v>178.55949683064</v>
      </c>
      <c r="F276">
        <v>25.201419324935799</v>
      </c>
      <c r="G276" t="s">
        <v>62</v>
      </c>
      <c r="H276">
        <v>8</v>
      </c>
      <c r="I276">
        <v>72</v>
      </c>
      <c r="J276">
        <v>7.2039655082977596</v>
      </c>
      <c r="K276" t="b">
        <f t="shared" si="20"/>
        <v>1</v>
      </c>
      <c r="L276">
        <f t="shared" si="21"/>
        <v>210.96488166387354</v>
      </c>
      <c r="M276">
        <f t="shared" si="22"/>
        <v>421.92976332774708</v>
      </c>
      <c r="N276">
        <f t="shared" si="23"/>
        <v>1049.5765256909131</v>
      </c>
      <c r="O276" s="26">
        <f t="shared" si="24"/>
        <v>1004.594674589874</v>
      </c>
    </row>
    <row r="277" spans="1:15" x14ac:dyDescent="0.35">
      <c r="A277" t="s">
        <v>62</v>
      </c>
      <c r="B277">
        <v>8</v>
      </c>
      <c r="C277" t="s">
        <v>63</v>
      </c>
      <c r="D277">
        <v>73</v>
      </c>
      <c r="E277">
        <v>181.074380674992</v>
      </c>
      <c r="F277">
        <v>25.672357689113301</v>
      </c>
      <c r="G277" t="s">
        <v>62</v>
      </c>
      <c r="H277">
        <v>8</v>
      </c>
      <c r="I277">
        <v>73</v>
      </c>
      <c r="J277">
        <v>7.3142827252483196</v>
      </c>
      <c r="K277" t="b">
        <f t="shared" si="20"/>
        <v>1</v>
      </c>
      <c r="L277">
        <f t="shared" si="21"/>
        <v>214.06102108935363</v>
      </c>
      <c r="M277">
        <f t="shared" si="22"/>
        <v>428.12204217870726</v>
      </c>
      <c r="N277">
        <f t="shared" si="23"/>
        <v>1064.9802044246449</v>
      </c>
      <c r="O277" s="26">
        <f t="shared" si="24"/>
        <v>1019.3381956635887</v>
      </c>
    </row>
    <row r="278" spans="1:15" x14ac:dyDescent="0.35">
      <c r="A278" t="s">
        <v>62</v>
      </c>
      <c r="B278">
        <v>8</v>
      </c>
      <c r="C278" t="s">
        <v>63</v>
      </c>
      <c r="D278">
        <v>74</v>
      </c>
      <c r="E278">
        <v>183.57403159209599</v>
      </c>
      <c r="F278">
        <v>26.151648934371099</v>
      </c>
      <c r="G278" t="s">
        <v>62</v>
      </c>
      <c r="H278">
        <v>8</v>
      </c>
      <c r="I278">
        <v>74</v>
      </c>
      <c r="J278">
        <v>7.4234151238549604</v>
      </c>
      <c r="K278" t="b">
        <f t="shared" si="20"/>
        <v>1</v>
      </c>
      <c r="L278">
        <f t="shared" si="21"/>
        <v>217.14909565032207</v>
      </c>
      <c r="M278">
        <f t="shared" si="22"/>
        <v>434.29819130064413</v>
      </c>
      <c r="N278">
        <f t="shared" si="23"/>
        <v>1080.3437594543386</v>
      </c>
      <c r="O278" s="26">
        <f t="shared" si="24"/>
        <v>1034.0433126205812</v>
      </c>
    </row>
    <row r="279" spans="1:15" x14ac:dyDescent="0.35">
      <c r="A279" t="s">
        <v>62</v>
      </c>
      <c r="B279">
        <v>8</v>
      </c>
      <c r="C279" t="s">
        <v>63</v>
      </c>
      <c r="D279">
        <v>75</v>
      </c>
      <c r="E279">
        <v>185.763444612867</v>
      </c>
      <c r="F279">
        <v>26.550803501137299</v>
      </c>
      <c r="G279" t="s">
        <v>62</v>
      </c>
      <c r="H279">
        <v>8</v>
      </c>
      <c r="I279">
        <v>75</v>
      </c>
      <c r="J279">
        <v>7.5274748872213202</v>
      </c>
      <c r="K279" t="b">
        <f t="shared" si="20"/>
        <v>1</v>
      </c>
      <c r="L279">
        <f t="shared" si="21"/>
        <v>219.84172300122563</v>
      </c>
      <c r="M279">
        <f t="shared" si="22"/>
        <v>439.68344600245126</v>
      </c>
      <c r="N279">
        <f t="shared" si="23"/>
        <v>1093.7399154289831</v>
      </c>
      <c r="O279" s="26">
        <f t="shared" si="24"/>
        <v>1046.865347624884</v>
      </c>
    </row>
    <row r="280" spans="1:15" x14ac:dyDescent="0.35">
      <c r="A280" t="s">
        <v>62</v>
      </c>
      <c r="B280">
        <v>8</v>
      </c>
      <c r="C280" t="s">
        <v>63</v>
      </c>
      <c r="D280">
        <v>76</v>
      </c>
      <c r="E280">
        <v>187.973428222716</v>
      </c>
      <c r="F280">
        <v>26.927664558072198</v>
      </c>
      <c r="G280" t="s">
        <v>62</v>
      </c>
      <c r="H280">
        <v>8</v>
      </c>
      <c r="I280">
        <v>76</v>
      </c>
      <c r="J280">
        <v>7.62849619575716</v>
      </c>
      <c r="K280" t="b">
        <f t="shared" si="20"/>
        <v>1</v>
      </c>
      <c r="L280">
        <f t="shared" si="21"/>
        <v>222.52958897654534</v>
      </c>
      <c r="M280">
        <f t="shared" si="22"/>
        <v>445.05917795309068</v>
      </c>
      <c r="N280">
        <f t="shared" si="23"/>
        <v>1107.1123829678872</v>
      </c>
      <c r="O280" s="26">
        <f t="shared" si="24"/>
        <v>1059.6647094121206</v>
      </c>
    </row>
    <row r="281" spans="1:15" x14ac:dyDescent="0.35">
      <c r="A281" t="s">
        <v>62</v>
      </c>
      <c r="B281">
        <v>8</v>
      </c>
      <c r="C281" t="s">
        <v>63</v>
      </c>
      <c r="D281">
        <v>77</v>
      </c>
      <c r="E281">
        <v>190.18280132746699</v>
      </c>
      <c r="F281">
        <v>27.302471918261698</v>
      </c>
      <c r="G281" t="s">
        <v>62</v>
      </c>
      <c r="H281">
        <v>8</v>
      </c>
      <c r="I281">
        <v>77</v>
      </c>
      <c r="J281">
        <v>7.7274623781850797</v>
      </c>
      <c r="K281" t="b">
        <f t="shared" si="20"/>
        <v>1</v>
      </c>
      <c r="L281">
        <f t="shared" si="21"/>
        <v>225.21273562391374</v>
      </c>
      <c r="M281">
        <f t="shared" si="22"/>
        <v>450.42547124782749</v>
      </c>
      <c r="N281">
        <f t="shared" si="23"/>
        <v>1120.4613712632524</v>
      </c>
      <c r="O281" s="26">
        <f t="shared" si="24"/>
        <v>1072.4415982091132</v>
      </c>
    </row>
    <row r="282" spans="1:15" x14ac:dyDescent="0.35">
      <c r="A282" t="s">
        <v>62</v>
      </c>
      <c r="B282">
        <v>8</v>
      </c>
      <c r="C282" t="s">
        <v>63</v>
      </c>
      <c r="D282">
        <v>78</v>
      </c>
      <c r="E282">
        <v>192.38405501846401</v>
      </c>
      <c r="F282">
        <v>27.682093392970302</v>
      </c>
      <c r="G282" t="s">
        <v>62</v>
      </c>
      <c r="H282">
        <v>8</v>
      </c>
      <c r="I282">
        <v>78</v>
      </c>
      <c r="J282">
        <v>7.8248993267994402</v>
      </c>
      <c r="K282" t="b">
        <f t="shared" si="20"/>
        <v>1</v>
      </c>
      <c r="L282">
        <f t="shared" si="21"/>
        <v>227.89104773823377</v>
      </c>
      <c r="M282">
        <f t="shared" si="22"/>
        <v>455.78209547646753</v>
      </c>
      <c r="N282">
        <f t="shared" si="23"/>
        <v>1133.7863071553918</v>
      </c>
      <c r="O282" s="26">
        <f t="shared" si="24"/>
        <v>1085.1954654201609</v>
      </c>
    </row>
    <row r="283" spans="1:15" x14ac:dyDescent="0.35">
      <c r="A283" t="s">
        <v>62</v>
      </c>
      <c r="B283">
        <v>8</v>
      </c>
      <c r="C283" t="s">
        <v>63</v>
      </c>
      <c r="D283">
        <v>79</v>
      </c>
      <c r="E283">
        <v>194.574528837103</v>
      </c>
      <c r="F283">
        <v>28.068669035053599</v>
      </c>
      <c r="G283" t="s">
        <v>62</v>
      </c>
      <c r="H283">
        <v>8</v>
      </c>
      <c r="I283">
        <v>79</v>
      </c>
      <c r="J283">
        <v>7.92111631919897</v>
      </c>
      <c r="K283" t="b">
        <f t="shared" si="20"/>
        <v>1</v>
      </c>
      <c r="L283">
        <f t="shared" si="21"/>
        <v>230.56431419135558</v>
      </c>
      <c r="M283">
        <f t="shared" si="22"/>
        <v>461.12862838271116</v>
      </c>
      <c r="N283">
        <f t="shared" si="23"/>
        <v>1147.0861402555004</v>
      </c>
      <c r="O283" s="26">
        <f t="shared" si="24"/>
        <v>1097.9253056731218</v>
      </c>
    </row>
    <row r="284" spans="1:15" x14ac:dyDescent="0.35">
      <c r="A284" t="s">
        <v>62</v>
      </c>
      <c r="B284">
        <v>8</v>
      </c>
      <c r="C284" t="s">
        <v>63</v>
      </c>
      <c r="D284">
        <v>80</v>
      </c>
      <c r="E284">
        <v>196.43712985597</v>
      </c>
      <c r="F284">
        <v>28.374403577896199</v>
      </c>
      <c r="G284" t="s">
        <v>62</v>
      </c>
      <c r="H284">
        <v>8</v>
      </c>
      <c r="I284">
        <v>80</v>
      </c>
      <c r="J284">
        <v>8.0119862110531308</v>
      </c>
      <c r="K284" t="b">
        <f t="shared" si="20"/>
        <v>1</v>
      </c>
      <c r="L284">
        <f t="shared" si="21"/>
        <v>232.82351964491934</v>
      </c>
      <c r="M284">
        <f t="shared" si="22"/>
        <v>465.64703928983869</v>
      </c>
      <c r="N284">
        <f t="shared" si="23"/>
        <v>1158.3259683826832</v>
      </c>
      <c r="O284" s="26">
        <f t="shared" si="24"/>
        <v>1108.6834268805683</v>
      </c>
    </row>
    <row r="285" spans="1:15" x14ac:dyDescent="0.35">
      <c r="A285" t="s">
        <v>62</v>
      </c>
      <c r="B285">
        <v>8</v>
      </c>
      <c r="C285" t="s">
        <v>63</v>
      </c>
      <c r="D285">
        <v>81</v>
      </c>
      <c r="E285">
        <v>198.323595245577</v>
      </c>
      <c r="F285">
        <v>28.657497273828501</v>
      </c>
      <c r="G285" t="s">
        <v>62</v>
      </c>
      <c r="H285">
        <v>8</v>
      </c>
      <c r="I285">
        <v>81</v>
      </c>
      <c r="J285">
        <v>8.0996784241660702</v>
      </c>
      <c r="K285" t="b">
        <f t="shared" si="20"/>
        <v>1</v>
      </c>
      <c r="L285">
        <f t="shared" si="21"/>
        <v>235.08077094357157</v>
      </c>
      <c r="M285">
        <f t="shared" si="22"/>
        <v>470.16154188714313</v>
      </c>
      <c r="N285">
        <f t="shared" si="23"/>
        <v>1169.5560743461272</v>
      </c>
      <c r="O285" s="26">
        <f t="shared" si="24"/>
        <v>1119.4322425884361</v>
      </c>
    </row>
    <row r="286" spans="1:15" x14ac:dyDescent="0.35">
      <c r="A286" t="s">
        <v>62</v>
      </c>
      <c r="B286">
        <v>8</v>
      </c>
      <c r="C286" t="s">
        <v>63</v>
      </c>
      <c r="D286">
        <v>82</v>
      </c>
      <c r="E286">
        <v>200.212918243948</v>
      </c>
      <c r="F286">
        <v>28.938041393563999</v>
      </c>
      <c r="G286" t="s">
        <v>62</v>
      </c>
      <c r="H286">
        <v>8</v>
      </c>
      <c r="I286">
        <v>82</v>
      </c>
      <c r="J286">
        <v>8.1852650963640308</v>
      </c>
      <c r="K286" t="b">
        <f t="shared" si="20"/>
        <v>1</v>
      </c>
      <c r="L286">
        <f t="shared" si="21"/>
        <v>237.33622473387601</v>
      </c>
      <c r="M286">
        <f t="shared" si="22"/>
        <v>474.67244946775202</v>
      </c>
      <c r="N286">
        <f t="shared" si="23"/>
        <v>1180.7772374819701</v>
      </c>
      <c r="O286" s="26">
        <f t="shared" si="24"/>
        <v>1130.172498732743</v>
      </c>
    </row>
    <row r="287" spans="1:15" x14ac:dyDescent="0.35">
      <c r="A287" t="s">
        <v>62</v>
      </c>
      <c r="B287">
        <v>8</v>
      </c>
      <c r="C287" t="s">
        <v>63</v>
      </c>
      <c r="D287">
        <v>83</v>
      </c>
      <c r="E287">
        <v>202.097756226993</v>
      </c>
      <c r="F287">
        <v>29.2227705739135</v>
      </c>
      <c r="G287" t="s">
        <v>62</v>
      </c>
      <c r="H287">
        <v>8</v>
      </c>
      <c r="I287">
        <v>83</v>
      </c>
      <c r="J287">
        <v>8.2693325051317998</v>
      </c>
      <c r="K287" t="b">
        <f t="shared" si="20"/>
        <v>1</v>
      </c>
      <c r="L287">
        <f t="shared" si="21"/>
        <v>239.58985930603831</v>
      </c>
      <c r="M287">
        <f t="shared" si="22"/>
        <v>479.17971861207661</v>
      </c>
      <c r="N287">
        <f t="shared" si="23"/>
        <v>1191.989349781285</v>
      </c>
      <c r="O287" s="26">
        <f t="shared" si="24"/>
        <v>1140.9040919335157</v>
      </c>
    </row>
    <row r="288" spans="1:15" x14ac:dyDescent="0.35">
      <c r="A288" t="s">
        <v>62</v>
      </c>
      <c r="B288">
        <v>8</v>
      </c>
      <c r="C288" t="s">
        <v>63</v>
      </c>
      <c r="D288">
        <v>84</v>
      </c>
      <c r="E288">
        <v>203.97554514885499</v>
      </c>
      <c r="F288">
        <v>29.5137623782223</v>
      </c>
      <c r="G288" t="s">
        <v>62</v>
      </c>
      <c r="H288">
        <v>8</v>
      </c>
      <c r="I288">
        <v>84</v>
      </c>
      <c r="J288">
        <v>8.3522316930367193</v>
      </c>
      <c r="K288" t="b">
        <f t="shared" si="20"/>
        <v>1</v>
      </c>
      <c r="L288">
        <f t="shared" si="21"/>
        <v>241.84153922011402</v>
      </c>
      <c r="M288">
        <f t="shared" si="22"/>
        <v>483.68307844022803</v>
      </c>
      <c r="N288">
        <f t="shared" si="23"/>
        <v>1203.1917374135026</v>
      </c>
      <c r="O288" s="26">
        <f t="shared" si="24"/>
        <v>1151.6263772386383</v>
      </c>
    </row>
    <row r="289" spans="1:15" x14ac:dyDescent="0.35">
      <c r="A289" t="s">
        <v>62</v>
      </c>
      <c r="B289">
        <v>8</v>
      </c>
      <c r="C289" t="s">
        <v>63</v>
      </c>
      <c r="D289">
        <v>85</v>
      </c>
      <c r="E289">
        <v>205.595690906698</v>
      </c>
      <c r="F289">
        <v>29.7340628262689</v>
      </c>
      <c r="G289" t="s">
        <v>62</v>
      </c>
      <c r="H289">
        <v>8</v>
      </c>
      <c r="I289">
        <v>85</v>
      </c>
      <c r="J289">
        <v>8.4307735994827002</v>
      </c>
      <c r="K289" t="b">
        <f t="shared" si="20"/>
        <v>1</v>
      </c>
      <c r="L289">
        <f t="shared" si="21"/>
        <v>243.76052733244961</v>
      </c>
      <c r="M289">
        <f t="shared" si="22"/>
        <v>487.52105466489922</v>
      </c>
      <c r="N289">
        <f t="shared" si="23"/>
        <v>1212.7389419524857</v>
      </c>
      <c r="O289" s="26">
        <f t="shared" si="24"/>
        <v>1160.7644158688076</v>
      </c>
    </row>
    <row r="290" spans="1:15" x14ac:dyDescent="0.35">
      <c r="A290" t="s">
        <v>62</v>
      </c>
      <c r="B290">
        <v>8</v>
      </c>
      <c r="C290" t="s">
        <v>63</v>
      </c>
      <c r="D290">
        <v>86</v>
      </c>
      <c r="E290">
        <v>207.23853151570199</v>
      </c>
      <c r="F290">
        <v>29.935326652574201</v>
      </c>
      <c r="G290" t="s">
        <v>62</v>
      </c>
      <c r="H290">
        <v>8</v>
      </c>
      <c r="I290">
        <v>86</v>
      </c>
      <c r="J290">
        <v>8.5067556082608107</v>
      </c>
      <c r="K290" t="b">
        <f t="shared" si="20"/>
        <v>1</v>
      </c>
      <c r="L290">
        <f t="shared" si="21"/>
        <v>245.680613776537</v>
      </c>
      <c r="M290">
        <f t="shared" si="22"/>
        <v>491.361227553074</v>
      </c>
      <c r="N290">
        <f t="shared" si="23"/>
        <v>1222.2916108285422</v>
      </c>
      <c r="O290" s="26">
        <f t="shared" si="24"/>
        <v>1169.9076846501762</v>
      </c>
    </row>
    <row r="291" spans="1:15" x14ac:dyDescent="0.35">
      <c r="A291" t="s">
        <v>62</v>
      </c>
      <c r="B291">
        <v>8</v>
      </c>
      <c r="C291" t="s">
        <v>63</v>
      </c>
      <c r="D291">
        <v>87</v>
      </c>
      <c r="E291">
        <v>208.88561477665399</v>
      </c>
      <c r="F291">
        <v>30.135154734592899</v>
      </c>
      <c r="G291" t="s">
        <v>62</v>
      </c>
      <c r="H291">
        <v>8</v>
      </c>
      <c r="I291">
        <v>87</v>
      </c>
      <c r="J291">
        <v>8.58105650998648</v>
      </c>
      <c r="K291" t="b">
        <f t="shared" si="20"/>
        <v>1</v>
      </c>
      <c r="L291">
        <f t="shared" si="21"/>
        <v>247.60182602123336</v>
      </c>
      <c r="M291">
        <f t="shared" si="22"/>
        <v>495.20365204246673</v>
      </c>
      <c r="N291">
        <f t="shared" si="23"/>
        <v>1231.8498807026535</v>
      </c>
      <c r="O291" s="26">
        <f t="shared" si="24"/>
        <v>1179.0563143868255</v>
      </c>
    </row>
    <row r="292" spans="1:15" x14ac:dyDescent="0.35">
      <c r="A292" t="s">
        <v>62</v>
      </c>
      <c r="B292">
        <v>8</v>
      </c>
      <c r="C292" t="s">
        <v>63</v>
      </c>
      <c r="D292">
        <v>88</v>
      </c>
      <c r="E292">
        <v>210.53056460618001</v>
      </c>
      <c r="F292">
        <v>30.339351632185799</v>
      </c>
      <c r="G292" t="s">
        <v>62</v>
      </c>
      <c r="H292">
        <v>8</v>
      </c>
      <c r="I292">
        <v>88</v>
      </c>
      <c r="J292">
        <v>8.6541553643833602</v>
      </c>
      <c r="K292" t="b">
        <f t="shared" si="20"/>
        <v>1</v>
      </c>
      <c r="L292">
        <f t="shared" si="21"/>
        <v>249.52407160274919</v>
      </c>
      <c r="M292">
        <f t="shared" si="22"/>
        <v>499.04814320549838</v>
      </c>
      <c r="N292">
        <f t="shared" si="23"/>
        <v>1241.413291555966</v>
      </c>
      <c r="O292" s="26">
        <f t="shared" si="24"/>
        <v>1188.2098647749963</v>
      </c>
    </row>
    <row r="293" spans="1:15" x14ac:dyDescent="0.35">
      <c r="A293" t="s">
        <v>62</v>
      </c>
      <c r="B293">
        <v>8</v>
      </c>
      <c r="C293" t="s">
        <v>63</v>
      </c>
      <c r="D293">
        <v>89</v>
      </c>
      <c r="E293">
        <v>212.17118238512799</v>
      </c>
      <c r="F293">
        <v>30.5496552032224</v>
      </c>
      <c r="G293" t="s">
        <v>62</v>
      </c>
      <c r="H293">
        <v>8</v>
      </c>
      <c r="I293">
        <v>89</v>
      </c>
      <c r="J293">
        <v>8.7263400245178406</v>
      </c>
      <c r="K293" t="b">
        <f t="shared" si="20"/>
        <v>1</v>
      </c>
      <c r="L293">
        <f t="shared" si="21"/>
        <v>251.44717761286822</v>
      </c>
      <c r="M293">
        <f t="shared" si="22"/>
        <v>502.89435522573643</v>
      </c>
      <c r="N293">
        <f t="shared" si="23"/>
        <v>1250.9809831485979</v>
      </c>
      <c r="O293" s="26">
        <f t="shared" si="24"/>
        <v>1197.3675124422296</v>
      </c>
    </row>
    <row r="294" spans="1:15" x14ac:dyDescent="0.35">
      <c r="A294" t="s">
        <v>62</v>
      </c>
      <c r="B294">
        <v>8</v>
      </c>
      <c r="C294" t="s">
        <v>63</v>
      </c>
      <c r="D294">
        <v>90</v>
      </c>
      <c r="E294">
        <v>213.580018872739</v>
      </c>
      <c r="F294">
        <v>30.7521695943929</v>
      </c>
      <c r="G294" t="s">
        <v>62</v>
      </c>
      <c r="H294">
        <v>8</v>
      </c>
      <c r="I294">
        <v>90</v>
      </c>
      <c r="J294">
        <v>8.7946967700545606</v>
      </c>
      <c r="K294" t="b">
        <f t="shared" si="20"/>
        <v>1</v>
      </c>
      <c r="L294">
        <f t="shared" si="21"/>
        <v>253.12688523718649</v>
      </c>
      <c r="M294">
        <f t="shared" si="22"/>
        <v>506.25377047437297</v>
      </c>
      <c r="N294">
        <f t="shared" si="23"/>
        <v>1259.3377374984402</v>
      </c>
      <c r="O294" s="26">
        <f t="shared" si="24"/>
        <v>1205.3661201770785</v>
      </c>
    </row>
    <row r="295" spans="1:15" x14ac:dyDescent="0.35">
      <c r="A295" t="s">
        <v>62</v>
      </c>
      <c r="B295">
        <v>8</v>
      </c>
      <c r="C295" t="s">
        <v>63</v>
      </c>
      <c r="D295">
        <v>91</v>
      </c>
      <c r="E295">
        <v>214.98866786428201</v>
      </c>
      <c r="F295">
        <v>30.9560415284386</v>
      </c>
      <c r="G295" t="s">
        <v>62</v>
      </c>
      <c r="H295">
        <v>8</v>
      </c>
      <c r="I295">
        <v>91</v>
      </c>
      <c r="J295">
        <v>8.8605321897645997</v>
      </c>
      <c r="K295" t="b">
        <f t="shared" si="20"/>
        <v>1</v>
      </c>
      <c r="L295">
        <f t="shared" si="21"/>
        <v>254.80524158248519</v>
      </c>
      <c r="M295">
        <f t="shared" si="22"/>
        <v>509.61048316497039</v>
      </c>
      <c r="N295">
        <f t="shared" si="23"/>
        <v>1267.6877690670904</v>
      </c>
      <c r="O295" s="26">
        <f t="shared" si="24"/>
        <v>1213.3582932499296</v>
      </c>
    </row>
    <row r="296" spans="1:15" x14ac:dyDescent="0.35">
      <c r="A296" t="s">
        <v>62</v>
      </c>
      <c r="B296">
        <v>8</v>
      </c>
      <c r="C296" t="s">
        <v>63</v>
      </c>
      <c r="D296">
        <v>92</v>
      </c>
      <c r="E296">
        <v>216.39378203535099</v>
      </c>
      <c r="F296">
        <v>31.164183597855398</v>
      </c>
      <c r="G296" t="s">
        <v>62</v>
      </c>
      <c r="H296">
        <v>8</v>
      </c>
      <c r="I296">
        <v>92</v>
      </c>
      <c r="J296">
        <v>8.9246183534466699</v>
      </c>
      <c r="K296" t="b">
        <f t="shared" si="20"/>
        <v>1</v>
      </c>
      <c r="L296">
        <f t="shared" si="21"/>
        <v>256.48258398665303</v>
      </c>
      <c r="M296">
        <f t="shared" si="22"/>
        <v>512.96516797330605</v>
      </c>
      <c r="N296">
        <f t="shared" si="23"/>
        <v>1276.0327561525025</v>
      </c>
      <c r="O296" s="26">
        <f t="shared" si="24"/>
        <v>1221.3456380316811</v>
      </c>
    </row>
    <row r="297" spans="1:15" x14ac:dyDescent="0.35">
      <c r="A297" t="s">
        <v>62</v>
      </c>
      <c r="B297">
        <v>8</v>
      </c>
      <c r="C297" t="s">
        <v>63</v>
      </c>
      <c r="D297">
        <v>93</v>
      </c>
      <c r="E297">
        <v>217.79420951882</v>
      </c>
      <c r="F297">
        <v>31.3773783675482</v>
      </c>
      <c r="G297" t="s">
        <v>62</v>
      </c>
      <c r="H297">
        <v>8</v>
      </c>
      <c r="I297">
        <v>93</v>
      </c>
      <c r="J297">
        <v>8.9874336356306195</v>
      </c>
      <c r="K297" t="b">
        <f t="shared" si="20"/>
        <v>1</v>
      </c>
      <c r="L297">
        <f t="shared" si="21"/>
        <v>258.1590215219988</v>
      </c>
      <c r="M297">
        <f t="shared" si="22"/>
        <v>516.31804304399759</v>
      </c>
      <c r="N297">
        <f t="shared" si="23"/>
        <v>1284.3732414029789</v>
      </c>
      <c r="O297" s="26">
        <f t="shared" si="24"/>
        <v>1229.32867391428</v>
      </c>
    </row>
    <row r="298" spans="1:15" x14ac:dyDescent="0.35">
      <c r="A298" t="s">
        <v>62</v>
      </c>
      <c r="B298">
        <v>8</v>
      </c>
      <c r="C298" t="s">
        <v>63</v>
      </c>
      <c r="D298">
        <v>94</v>
      </c>
      <c r="E298">
        <v>219.18955172360899</v>
      </c>
      <c r="F298">
        <v>31.595688519327702</v>
      </c>
      <c r="G298" t="s">
        <v>62</v>
      </c>
      <c r="H298">
        <v>8</v>
      </c>
      <c r="I298">
        <v>94</v>
      </c>
      <c r="J298">
        <v>9.04928646457358</v>
      </c>
      <c r="K298" t="b">
        <f t="shared" si="20"/>
        <v>1</v>
      </c>
      <c r="L298">
        <f t="shared" si="21"/>
        <v>259.83452670751024</v>
      </c>
      <c r="M298">
        <f t="shared" si="22"/>
        <v>519.66905341502047</v>
      </c>
      <c r="N298">
        <f t="shared" si="23"/>
        <v>1292.7090880970657</v>
      </c>
      <c r="O298" s="26">
        <f t="shared" si="24"/>
        <v>1237.3072700357632</v>
      </c>
    </row>
    <row r="299" spans="1:15" x14ac:dyDescent="0.35">
      <c r="A299" t="s">
        <v>62</v>
      </c>
      <c r="B299">
        <v>8</v>
      </c>
      <c r="C299" t="s">
        <v>63</v>
      </c>
      <c r="D299">
        <v>95</v>
      </c>
      <c r="E299">
        <v>220.36901361629299</v>
      </c>
      <c r="F299">
        <v>31.764298948592899</v>
      </c>
      <c r="G299" t="s">
        <v>62</v>
      </c>
      <c r="H299">
        <v>8</v>
      </c>
      <c r="I299">
        <v>95</v>
      </c>
      <c r="J299">
        <v>9.1075015621631099</v>
      </c>
      <c r="K299" t="b">
        <f t="shared" si="20"/>
        <v>1</v>
      </c>
      <c r="L299">
        <f t="shared" si="21"/>
        <v>261.24081412704902</v>
      </c>
      <c r="M299">
        <f t="shared" si="22"/>
        <v>522.48162825409804</v>
      </c>
      <c r="N299">
        <f t="shared" si="23"/>
        <v>1299.7055429206418</v>
      </c>
      <c r="O299" s="26">
        <f t="shared" si="24"/>
        <v>1244.0038767954716</v>
      </c>
    </row>
    <row r="300" spans="1:15" x14ac:dyDescent="0.35">
      <c r="A300" t="s">
        <v>62</v>
      </c>
      <c r="B300">
        <v>8</v>
      </c>
      <c r="C300" t="s">
        <v>63</v>
      </c>
      <c r="D300">
        <v>96</v>
      </c>
      <c r="E300">
        <v>221.56445180648001</v>
      </c>
      <c r="F300">
        <v>31.9198797383469</v>
      </c>
      <c r="G300" t="s">
        <v>62</v>
      </c>
      <c r="H300">
        <v>8</v>
      </c>
      <c r="I300">
        <v>96</v>
      </c>
      <c r="J300">
        <v>9.1635407347028099</v>
      </c>
      <c r="K300" t="b">
        <f t="shared" si="20"/>
        <v>1</v>
      </c>
      <c r="L300">
        <f t="shared" si="21"/>
        <v>262.64787227952974</v>
      </c>
      <c r="M300">
        <f t="shared" si="22"/>
        <v>525.29574455905947</v>
      </c>
      <c r="N300">
        <f t="shared" si="23"/>
        <v>1306.7058322364662</v>
      </c>
      <c r="O300" s="26">
        <f t="shared" si="24"/>
        <v>1250.7041537120465</v>
      </c>
    </row>
    <row r="301" spans="1:15" x14ac:dyDescent="0.35">
      <c r="A301" t="s">
        <v>62</v>
      </c>
      <c r="B301">
        <v>8</v>
      </c>
      <c r="C301" t="s">
        <v>63</v>
      </c>
      <c r="D301">
        <v>97</v>
      </c>
      <c r="E301">
        <v>222.76296201420101</v>
      </c>
      <c r="F301">
        <v>32.0747025261429</v>
      </c>
      <c r="G301" t="s">
        <v>62</v>
      </c>
      <c r="H301">
        <v>8</v>
      </c>
      <c r="I301">
        <v>97</v>
      </c>
      <c r="J301">
        <v>9.2181463968492192</v>
      </c>
      <c r="K301" t="b">
        <f t="shared" si="20"/>
        <v>1</v>
      </c>
      <c r="L301">
        <f t="shared" si="21"/>
        <v>264.05581093719309</v>
      </c>
      <c r="M301">
        <f t="shared" si="22"/>
        <v>528.11162187438617</v>
      </c>
      <c r="N301">
        <f t="shared" si="23"/>
        <v>1313.7105021750899</v>
      </c>
      <c r="O301" s="26">
        <f t="shared" si="24"/>
        <v>1257.4086235104432</v>
      </c>
    </row>
    <row r="302" spans="1:15" x14ac:dyDescent="0.35">
      <c r="A302" t="s">
        <v>62</v>
      </c>
      <c r="B302">
        <v>8</v>
      </c>
      <c r="C302" t="s">
        <v>63</v>
      </c>
      <c r="D302">
        <v>98</v>
      </c>
      <c r="E302">
        <v>223.960153758155</v>
      </c>
      <c r="F302">
        <v>32.232729764232303</v>
      </c>
      <c r="G302" t="s">
        <v>62</v>
      </c>
      <c r="H302">
        <v>8</v>
      </c>
      <c r="I302">
        <v>98</v>
      </c>
      <c r="J302">
        <v>9.2717360887104192</v>
      </c>
      <c r="K302" t="b">
        <f t="shared" si="20"/>
        <v>1</v>
      </c>
      <c r="L302">
        <f t="shared" si="21"/>
        <v>265.46461961109776</v>
      </c>
      <c r="M302">
        <f t="shared" si="22"/>
        <v>530.92923922219552</v>
      </c>
      <c r="N302">
        <f t="shared" si="23"/>
        <v>1320.7195005527251</v>
      </c>
      <c r="O302" s="26">
        <f t="shared" si="24"/>
        <v>1264.1172362433226</v>
      </c>
    </row>
    <row r="303" spans="1:15" x14ac:dyDescent="0.35">
      <c r="A303" t="s">
        <v>62</v>
      </c>
      <c r="B303">
        <v>8</v>
      </c>
      <c r="C303" t="s">
        <v>63</v>
      </c>
      <c r="D303">
        <v>99</v>
      </c>
      <c r="E303">
        <v>225.15453491260101</v>
      </c>
      <c r="F303">
        <v>32.395106264752997</v>
      </c>
      <c r="G303" t="s">
        <v>62</v>
      </c>
      <c r="H303">
        <v>8</v>
      </c>
      <c r="I303">
        <v>99</v>
      </c>
      <c r="J303">
        <v>9.3245656641760597</v>
      </c>
      <c r="K303" t="b">
        <f t="shared" si="20"/>
        <v>1</v>
      </c>
      <c r="L303">
        <f t="shared" si="21"/>
        <v>266.87420684153011</v>
      </c>
      <c r="M303">
        <f t="shared" si="22"/>
        <v>533.74841368306022</v>
      </c>
      <c r="N303">
        <f t="shared" si="23"/>
        <v>1327.7323723459208</v>
      </c>
      <c r="O303" s="26">
        <f t="shared" si="24"/>
        <v>1270.8295563882386</v>
      </c>
    </row>
    <row r="304" spans="1:15" x14ac:dyDescent="0.35">
      <c r="A304" t="s">
        <v>62</v>
      </c>
      <c r="B304">
        <v>8</v>
      </c>
      <c r="C304" t="s">
        <v>63</v>
      </c>
      <c r="D304">
        <v>100</v>
      </c>
      <c r="E304">
        <v>226.27508864137101</v>
      </c>
      <c r="F304">
        <v>32.4704220637284</v>
      </c>
      <c r="G304" t="s">
        <v>62</v>
      </c>
      <c r="H304">
        <v>8</v>
      </c>
      <c r="I304">
        <v>100</v>
      </c>
      <c r="J304">
        <v>9.3758381522879102</v>
      </c>
      <c r="K304" t="b">
        <f t="shared" si="20"/>
        <v>1</v>
      </c>
      <c r="L304">
        <f t="shared" si="21"/>
        <v>268.12134885738732</v>
      </c>
      <c r="M304">
        <f t="shared" si="22"/>
        <v>536.24269771477464</v>
      </c>
      <c r="N304">
        <f t="shared" si="23"/>
        <v>1333.9370589919765</v>
      </c>
      <c r="O304" s="26">
        <f t="shared" si="24"/>
        <v>1276.7683278923207</v>
      </c>
    </row>
    <row r="305" spans="1:15" x14ac:dyDescent="0.35">
      <c r="A305" t="s">
        <v>62</v>
      </c>
      <c r="B305">
        <v>10</v>
      </c>
      <c r="C305" t="s">
        <v>63</v>
      </c>
      <c r="D305">
        <v>0</v>
      </c>
      <c r="E305">
        <v>0</v>
      </c>
      <c r="F305">
        <v>0</v>
      </c>
      <c r="G305" t="s">
        <v>62</v>
      </c>
      <c r="H305">
        <v>10</v>
      </c>
      <c r="I305">
        <v>0</v>
      </c>
      <c r="J305">
        <v>0</v>
      </c>
      <c r="K305" t="b">
        <f t="shared" si="20"/>
        <v>1</v>
      </c>
      <c r="L305">
        <f t="shared" si="21"/>
        <v>0</v>
      </c>
      <c r="M305">
        <f t="shared" si="22"/>
        <v>0</v>
      </c>
      <c r="N305">
        <f t="shared" si="23"/>
        <v>0</v>
      </c>
      <c r="O305" s="26">
        <f t="shared" si="24"/>
        <v>0</v>
      </c>
    </row>
    <row r="306" spans="1:15" x14ac:dyDescent="0.35">
      <c r="A306" t="s">
        <v>62</v>
      </c>
      <c r="B306">
        <v>10</v>
      </c>
      <c r="C306" t="s">
        <v>63</v>
      </c>
      <c r="D306">
        <v>1</v>
      </c>
      <c r="E306">
        <v>0.101231781634869</v>
      </c>
      <c r="F306" s="19">
        <v>4.0196713292441999E-4</v>
      </c>
      <c r="G306" t="s">
        <v>62</v>
      </c>
      <c r="H306">
        <v>10</v>
      </c>
      <c r="I306">
        <v>1</v>
      </c>
      <c r="J306">
        <v>1.36830073860814E-3</v>
      </c>
      <c r="K306" t="b">
        <f t="shared" si="20"/>
        <v>1</v>
      </c>
      <c r="L306">
        <f t="shared" si="21"/>
        <v>0.10300204950640156</v>
      </c>
      <c r="M306">
        <f t="shared" si="22"/>
        <v>0.20600409901280312</v>
      </c>
      <c r="N306">
        <f t="shared" si="23"/>
        <v>0.51244800749453512</v>
      </c>
      <c r="O306" s="26">
        <f t="shared" si="24"/>
        <v>0.49048595003048362</v>
      </c>
    </row>
    <row r="307" spans="1:15" x14ac:dyDescent="0.35">
      <c r="A307" t="s">
        <v>62</v>
      </c>
      <c r="B307">
        <v>10</v>
      </c>
      <c r="C307" t="s">
        <v>63</v>
      </c>
      <c r="D307">
        <v>2</v>
      </c>
      <c r="E307">
        <v>0.227771508678458</v>
      </c>
      <c r="F307">
        <v>1.2943341680166499E-3</v>
      </c>
      <c r="G307" t="s">
        <v>62</v>
      </c>
      <c r="H307">
        <v>10</v>
      </c>
      <c r="I307">
        <v>2</v>
      </c>
      <c r="J307">
        <v>3.9578832195849203E-3</v>
      </c>
      <c r="K307" t="b">
        <f t="shared" si="20"/>
        <v>1</v>
      </c>
      <c r="L307">
        <f t="shared" si="21"/>
        <v>0.23302372606605956</v>
      </c>
      <c r="M307">
        <f t="shared" si="22"/>
        <v>0.46604745213211912</v>
      </c>
      <c r="N307">
        <f t="shared" si="23"/>
        <v>1.1593220202291519</v>
      </c>
      <c r="O307" s="26">
        <f t="shared" si="24"/>
        <v>1.1096367907907598</v>
      </c>
    </row>
    <row r="308" spans="1:15" x14ac:dyDescent="0.35">
      <c r="A308" t="s">
        <v>62</v>
      </c>
      <c r="B308">
        <v>10</v>
      </c>
      <c r="C308" t="s">
        <v>63</v>
      </c>
      <c r="D308">
        <v>3</v>
      </c>
      <c r="E308">
        <v>0.38594616748294103</v>
      </c>
      <c r="F308">
        <v>2.7880038372505201E-3</v>
      </c>
      <c r="G308" t="s">
        <v>62</v>
      </c>
      <c r="H308">
        <v>10</v>
      </c>
      <c r="I308">
        <v>3</v>
      </c>
      <c r="J308">
        <v>7.7737767878741102E-3</v>
      </c>
      <c r="K308" t="b">
        <f t="shared" si="20"/>
        <v>1</v>
      </c>
      <c r="L308">
        <f t="shared" si="21"/>
        <v>0.39650794810806567</v>
      </c>
      <c r="M308">
        <f t="shared" si="22"/>
        <v>0.79301589621613133</v>
      </c>
      <c r="N308">
        <f t="shared" si="23"/>
        <v>1.9726763587465952</v>
      </c>
      <c r="O308" s="26">
        <f t="shared" si="24"/>
        <v>1.8881330862288841</v>
      </c>
    </row>
    <row r="309" spans="1:15" x14ac:dyDescent="0.35">
      <c r="A309" t="s">
        <v>62</v>
      </c>
      <c r="B309">
        <v>10</v>
      </c>
      <c r="C309" t="s">
        <v>63</v>
      </c>
      <c r="D309">
        <v>4</v>
      </c>
      <c r="E309">
        <v>0.583664490988547</v>
      </c>
      <c r="F309">
        <v>5.0219554729004001E-3</v>
      </c>
      <c r="G309" t="s">
        <v>62</v>
      </c>
      <c r="H309">
        <v>10</v>
      </c>
      <c r="I309">
        <v>4</v>
      </c>
      <c r="J309">
        <v>1.2934473683006599E-2</v>
      </c>
      <c r="K309" t="b">
        <f t="shared" si="20"/>
        <v>1</v>
      </c>
      <c r="L309">
        <f t="shared" si="21"/>
        <v>0.60162092014445401</v>
      </c>
      <c r="M309">
        <f t="shared" si="22"/>
        <v>1.203241840288908</v>
      </c>
      <c r="N309">
        <f t="shared" si="23"/>
        <v>2.9931389061913132</v>
      </c>
      <c r="O309" s="26">
        <f t="shared" si="24"/>
        <v>2.8648615244974001</v>
      </c>
    </row>
    <row r="310" spans="1:15" x14ac:dyDescent="0.35">
      <c r="A310" t="s">
        <v>62</v>
      </c>
      <c r="B310">
        <v>10</v>
      </c>
      <c r="C310" t="s">
        <v>63</v>
      </c>
      <c r="D310">
        <v>5</v>
      </c>
      <c r="E310">
        <v>0.83081239537055296</v>
      </c>
      <c r="F310">
        <v>8.1702536300970498E-3</v>
      </c>
      <c r="G310" t="s">
        <v>62</v>
      </c>
      <c r="H310">
        <v>10</v>
      </c>
      <c r="I310">
        <v>5</v>
      </c>
      <c r="J310">
        <v>1.9655686957098101E-2</v>
      </c>
      <c r="K310" t="b">
        <f t="shared" si="20"/>
        <v>1</v>
      </c>
      <c r="L310">
        <f t="shared" si="21"/>
        <v>0.85863833595774808</v>
      </c>
      <c r="M310">
        <f t="shared" si="22"/>
        <v>1.7172766719154962</v>
      </c>
      <c r="N310">
        <f t="shared" si="23"/>
        <v>4.2718325172027267</v>
      </c>
      <c r="O310" s="26">
        <f t="shared" si="24"/>
        <v>4.0887539807511812</v>
      </c>
    </row>
    <row r="311" spans="1:15" x14ac:dyDescent="0.35">
      <c r="A311" t="s">
        <v>62</v>
      </c>
      <c r="B311">
        <v>10</v>
      </c>
      <c r="C311" t="s">
        <v>63</v>
      </c>
      <c r="D311">
        <v>6</v>
      </c>
      <c r="E311">
        <v>1.13974727584806</v>
      </c>
      <c r="F311">
        <v>1.2450809180848101E-2</v>
      </c>
      <c r="G311" t="s">
        <v>62</v>
      </c>
      <c r="H311">
        <v>10</v>
      </c>
      <c r="I311">
        <v>6</v>
      </c>
      <c r="J311">
        <v>2.82484635888204E-2</v>
      </c>
      <c r="K311" t="b">
        <f t="shared" si="20"/>
        <v>1</v>
      </c>
      <c r="L311">
        <f t="shared" si="21"/>
        <v>1.1804465486177287</v>
      </c>
      <c r="M311">
        <f t="shared" si="22"/>
        <v>2.3608930972354574</v>
      </c>
      <c r="N311">
        <f t="shared" si="23"/>
        <v>5.8728684010832266</v>
      </c>
      <c r="O311" s="26">
        <f t="shared" si="24"/>
        <v>5.6211740410368032</v>
      </c>
    </row>
    <row r="312" spans="1:15" x14ac:dyDescent="0.35">
      <c r="A312" t="s">
        <v>62</v>
      </c>
      <c r="B312">
        <v>10</v>
      </c>
      <c r="C312" t="s">
        <v>63</v>
      </c>
      <c r="D312">
        <v>7</v>
      </c>
      <c r="E312">
        <v>1.5259158764449401</v>
      </c>
      <c r="F312">
        <v>1.81363309879146E-2</v>
      </c>
      <c r="G312" t="s">
        <v>62</v>
      </c>
      <c r="H312">
        <v>10</v>
      </c>
      <c r="I312">
        <v>7</v>
      </c>
      <c r="J312">
        <v>3.9127476038432599E-2</v>
      </c>
      <c r="K312" t="b">
        <f t="shared" si="20"/>
        <v>1</v>
      </c>
      <c r="L312">
        <f t="shared" si="21"/>
        <v>1.5831796834712872</v>
      </c>
      <c r="M312">
        <f t="shared" si="22"/>
        <v>3.1663593669425745</v>
      </c>
      <c r="N312">
        <f t="shared" si="23"/>
        <v>7.8765158381656075</v>
      </c>
      <c r="O312" s="26">
        <f t="shared" si="24"/>
        <v>7.538950873672797</v>
      </c>
    </row>
    <row r="313" spans="1:15" x14ac:dyDescent="0.35">
      <c r="A313" t="s">
        <v>62</v>
      </c>
      <c r="B313">
        <v>10</v>
      </c>
      <c r="C313" t="s">
        <v>63</v>
      </c>
      <c r="D313">
        <v>8</v>
      </c>
      <c r="E313">
        <v>2.0086266271910498</v>
      </c>
      <c r="F313">
        <v>2.5568015794316501E-2</v>
      </c>
      <c r="G313" t="s">
        <v>62</v>
      </c>
      <c r="H313">
        <v>10</v>
      </c>
      <c r="I313">
        <v>8</v>
      </c>
      <c r="J313">
        <v>5.2827583362221701E-2</v>
      </c>
      <c r="K313" t="b">
        <f t="shared" si="20"/>
        <v>1</v>
      </c>
      <c r="L313">
        <f t="shared" si="21"/>
        <v>2.0870222263475879</v>
      </c>
      <c r="M313">
        <f t="shared" si="22"/>
        <v>4.1740444526951759</v>
      </c>
      <c r="N313">
        <f t="shared" si="23"/>
        <v>10.383195155958148</v>
      </c>
      <c r="O313" s="26">
        <f t="shared" si="24"/>
        <v>9.9382010778456564</v>
      </c>
    </row>
    <row r="314" spans="1:15" x14ac:dyDescent="0.35">
      <c r="A314" t="s">
        <v>62</v>
      </c>
      <c r="B314">
        <v>10</v>
      </c>
      <c r="C314" t="s">
        <v>63</v>
      </c>
      <c r="D314">
        <v>9</v>
      </c>
      <c r="E314">
        <v>2.61201506562369</v>
      </c>
      <c r="F314">
        <v>3.5172660873460597E-2</v>
      </c>
      <c r="G314" t="s">
        <v>62</v>
      </c>
      <c r="H314">
        <v>10</v>
      </c>
      <c r="I314">
        <v>9</v>
      </c>
      <c r="J314">
        <v>7.00281667868837E-2</v>
      </c>
      <c r="K314" t="b">
        <f t="shared" si="20"/>
        <v>1</v>
      </c>
      <c r="L314">
        <f t="shared" si="21"/>
        <v>2.7172158932840342</v>
      </c>
      <c r="M314">
        <f t="shared" si="22"/>
        <v>5.4344317865680685</v>
      </c>
      <c r="N314">
        <f t="shared" si="23"/>
        <v>13.518487031263851</v>
      </c>
      <c r="O314" s="26">
        <f t="shared" si="24"/>
        <v>12.939123301352545</v>
      </c>
    </row>
    <row r="315" spans="1:15" x14ac:dyDescent="0.35">
      <c r="A315" t="s">
        <v>62</v>
      </c>
      <c r="B315">
        <v>10</v>
      </c>
      <c r="C315" t="s">
        <v>63</v>
      </c>
      <c r="D315">
        <v>10</v>
      </c>
      <c r="E315">
        <v>3.3662506136644801</v>
      </c>
      <c r="F315">
        <v>4.7484055121398201E-2</v>
      </c>
      <c r="G315" t="s">
        <v>62</v>
      </c>
      <c r="H315">
        <v>10</v>
      </c>
      <c r="I315">
        <v>10</v>
      </c>
      <c r="J315">
        <v>9.1585702406685995E-2</v>
      </c>
      <c r="K315" t="b">
        <f t="shared" si="20"/>
        <v>1</v>
      </c>
      <c r="L315">
        <f t="shared" si="21"/>
        <v>3.5053203711925645</v>
      </c>
      <c r="M315">
        <f t="shared" si="22"/>
        <v>7.0106407423851289</v>
      </c>
      <c r="N315">
        <f t="shared" si="23"/>
        <v>17.439404831803802</v>
      </c>
      <c r="O315" s="26">
        <f t="shared" si="24"/>
        <v>16.692001767583641</v>
      </c>
    </row>
    <row r="316" spans="1:15" x14ac:dyDescent="0.35">
      <c r="A316" t="s">
        <v>62</v>
      </c>
      <c r="B316">
        <v>10</v>
      </c>
      <c r="C316" t="s">
        <v>63</v>
      </c>
      <c r="D316">
        <v>11</v>
      </c>
      <c r="E316">
        <v>4.3090450487154701</v>
      </c>
      <c r="F316">
        <v>6.3169718193357496E-2</v>
      </c>
      <c r="G316" t="s">
        <v>62</v>
      </c>
      <c r="H316">
        <v>10</v>
      </c>
      <c r="I316">
        <v>11</v>
      </c>
      <c r="J316">
        <v>0.11857576936432</v>
      </c>
      <c r="K316" t="b">
        <f t="shared" si="20"/>
        <v>1</v>
      </c>
      <c r="L316">
        <f t="shared" si="21"/>
        <v>4.4907905362731473</v>
      </c>
      <c r="M316">
        <f t="shared" si="22"/>
        <v>8.9815810725462946</v>
      </c>
      <c r="N316">
        <f t="shared" si="23"/>
        <v>22.342241473995756</v>
      </c>
      <c r="O316" s="26">
        <f t="shared" si="24"/>
        <v>21.384716839395939</v>
      </c>
    </row>
    <row r="317" spans="1:15" x14ac:dyDescent="0.35">
      <c r="A317" t="s">
        <v>62</v>
      </c>
      <c r="B317">
        <v>10</v>
      </c>
      <c r="C317" t="s">
        <v>63</v>
      </c>
      <c r="D317">
        <v>12</v>
      </c>
      <c r="E317">
        <v>5.4875380925292099</v>
      </c>
      <c r="F317">
        <v>8.3064324687482705E-2</v>
      </c>
      <c r="G317" t="s">
        <v>62</v>
      </c>
      <c r="H317">
        <v>10</v>
      </c>
      <c r="I317">
        <v>12</v>
      </c>
      <c r="J317">
        <v>0.15234634805481501</v>
      </c>
      <c r="K317" t="b">
        <f t="shared" si="20"/>
        <v>1</v>
      </c>
      <c r="L317">
        <f t="shared" si="21"/>
        <v>5.7229487652715072</v>
      </c>
      <c r="M317">
        <f t="shared" si="22"/>
        <v>11.445897530543014</v>
      </c>
      <c r="N317">
        <f t="shared" si="23"/>
        <v>28.472381916773667</v>
      </c>
      <c r="O317" s="26">
        <f t="shared" si="24"/>
        <v>27.252136977483367</v>
      </c>
    </row>
    <row r="318" spans="1:15" x14ac:dyDescent="0.35">
      <c r="A318" t="s">
        <v>62</v>
      </c>
      <c r="B318">
        <v>10</v>
      </c>
      <c r="C318" t="s">
        <v>63</v>
      </c>
      <c r="D318">
        <v>13</v>
      </c>
      <c r="E318">
        <v>6.9606543972963903</v>
      </c>
      <c r="F318">
        <v>0.10821148462969001</v>
      </c>
      <c r="G318" t="s">
        <v>62</v>
      </c>
      <c r="H318">
        <v>10</v>
      </c>
      <c r="I318">
        <v>13</v>
      </c>
      <c r="J318">
        <v>0.19458493247949099</v>
      </c>
      <c r="K318" t="b">
        <f t="shared" si="20"/>
        <v>1</v>
      </c>
      <c r="L318">
        <f t="shared" si="21"/>
        <v>7.2634508144055712</v>
      </c>
      <c r="M318">
        <f t="shared" si="22"/>
        <v>14.526901628811142</v>
      </c>
      <c r="N318">
        <f t="shared" si="23"/>
        <v>36.136571215948116</v>
      </c>
      <c r="O318" s="26">
        <f t="shared" si="24"/>
        <v>34.587861020978913</v>
      </c>
    </row>
    <row r="319" spans="1:15" x14ac:dyDescent="0.35">
      <c r="A319" t="s">
        <v>62</v>
      </c>
      <c r="B319">
        <v>10</v>
      </c>
      <c r="C319" t="s">
        <v>63</v>
      </c>
      <c r="D319">
        <v>14</v>
      </c>
      <c r="E319">
        <v>8.8020497782553502</v>
      </c>
      <c r="F319">
        <v>0.13991596932726399</v>
      </c>
      <c r="G319" t="s">
        <v>62</v>
      </c>
      <c r="H319">
        <v>10</v>
      </c>
      <c r="I319">
        <v>14</v>
      </c>
      <c r="J319">
        <v>0.247402731533644</v>
      </c>
      <c r="K319" t="b">
        <f t="shared" si="20"/>
        <v>1</v>
      </c>
      <c r="L319">
        <f t="shared" si="21"/>
        <v>9.1893684791162578</v>
      </c>
      <c r="M319">
        <f t="shared" si="22"/>
        <v>18.378736958232516</v>
      </c>
      <c r="N319">
        <f t="shared" si="23"/>
        <v>45.718251139881879</v>
      </c>
      <c r="O319" s="26">
        <f t="shared" si="24"/>
        <v>43.758897519601227</v>
      </c>
    </row>
    <row r="320" spans="1:15" x14ac:dyDescent="0.35">
      <c r="A320" t="s">
        <v>62</v>
      </c>
      <c r="B320">
        <v>10</v>
      </c>
      <c r="C320" t="s">
        <v>63</v>
      </c>
      <c r="D320">
        <v>15</v>
      </c>
      <c r="E320">
        <v>11.081227500000001</v>
      </c>
      <c r="F320">
        <v>0.179719387747446</v>
      </c>
      <c r="G320" t="s">
        <v>62</v>
      </c>
      <c r="H320">
        <v>10</v>
      </c>
      <c r="I320">
        <v>15</v>
      </c>
      <c r="J320">
        <v>0.313135102246201</v>
      </c>
      <c r="K320" t="b">
        <f t="shared" si="20"/>
        <v>1</v>
      </c>
      <c r="L320">
        <f t="shared" si="21"/>
        <v>11.574081989993648</v>
      </c>
      <c r="M320">
        <f t="shared" si="22"/>
        <v>23.148163979987295</v>
      </c>
      <c r="N320">
        <f t="shared" si="23"/>
        <v>57.582497462654956</v>
      </c>
      <c r="O320" s="26">
        <f t="shared" si="24"/>
        <v>55.114676142826895</v>
      </c>
    </row>
    <row r="321" spans="1:15" x14ac:dyDescent="0.35">
      <c r="A321" t="s">
        <v>62</v>
      </c>
      <c r="B321">
        <v>10</v>
      </c>
      <c r="C321" t="s">
        <v>63</v>
      </c>
      <c r="D321">
        <v>16</v>
      </c>
      <c r="E321">
        <v>13.49019</v>
      </c>
      <c r="F321">
        <v>0.227894116115022</v>
      </c>
      <c r="G321" t="s">
        <v>62</v>
      </c>
      <c r="H321">
        <v>10</v>
      </c>
      <c r="I321">
        <v>16</v>
      </c>
      <c r="J321">
        <v>0.38916891948853</v>
      </c>
      <c r="K321" t="b">
        <f t="shared" si="20"/>
        <v>1</v>
      </c>
      <c r="L321">
        <f t="shared" si="21"/>
        <v>14.107253035603552</v>
      </c>
      <c r="M321">
        <f t="shared" si="22"/>
        <v>28.214506071207104</v>
      </c>
      <c r="N321">
        <f t="shared" si="23"/>
        <v>70.18533848558981</v>
      </c>
      <c r="O321" s="26">
        <f t="shared" si="24"/>
        <v>67.17739540763597</v>
      </c>
    </row>
    <row r="322" spans="1:15" x14ac:dyDescent="0.35">
      <c r="A322" t="s">
        <v>62</v>
      </c>
      <c r="B322">
        <v>10</v>
      </c>
      <c r="C322" t="s">
        <v>63</v>
      </c>
      <c r="D322">
        <v>17</v>
      </c>
      <c r="E322">
        <v>15.8991525</v>
      </c>
      <c r="F322">
        <v>0.28418901513157202</v>
      </c>
      <c r="G322" t="s">
        <v>62</v>
      </c>
      <c r="H322">
        <v>10</v>
      </c>
      <c r="I322">
        <v>17</v>
      </c>
      <c r="J322">
        <v>0.47212954509299898</v>
      </c>
      <c r="K322" t="b">
        <f t="shared" ref="K322:K385" si="25">H322=B322</f>
        <v>1</v>
      </c>
      <c r="L322">
        <f t="shared" ref="L322:L385" si="26">E322+F322+J322</f>
        <v>16.655471060224571</v>
      </c>
      <c r="M322">
        <f t="shared" ref="M322:M385" si="27">L322*2</f>
        <v>33.310942120449141</v>
      </c>
      <c r="N322">
        <f t="shared" ref="N322:N385" si="28">M322/(1-0.598)</f>
        <v>82.863040100619756</v>
      </c>
      <c r="O322" s="26">
        <f t="shared" ref="O322:O385" si="29">M322/0.42</f>
        <v>79.311766953450345</v>
      </c>
    </row>
    <row r="323" spans="1:15" x14ac:dyDescent="0.35">
      <c r="A323" t="s">
        <v>62</v>
      </c>
      <c r="B323">
        <v>10</v>
      </c>
      <c r="C323" t="s">
        <v>63</v>
      </c>
      <c r="D323">
        <v>18</v>
      </c>
      <c r="E323">
        <v>18.308115000000001</v>
      </c>
      <c r="F323">
        <v>0.34836047967762401</v>
      </c>
      <c r="G323" t="s">
        <v>62</v>
      </c>
      <c r="H323">
        <v>10</v>
      </c>
      <c r="I323">
        <v>18</v>
      </c>
      <c r="J323">
        <v>0.55986330201249301</v>
      </c>
      <c r="K323" t="b">
        <f t="shared" si="25"/>
        <v>1</v>
      </c>
      <c r="L323">
        <f t="shared" si="26"/>
        <v>19.216338781690116</v>
      </c>
      <c r="M323">
        <f t="shared" si="27"/>
        <v>38.432677563380231</v>
      </c>
      <c r="N323">
        <f t="shared" si="28"/>
        <v>95.603675530796593</v>
      </c>
      <c r="O323" s="26">
        <f t="shared" si="29"/>
        <v>91.506375150905313</v>
      </c>
    </row>
    <row r="324" spans="1:15" x14ac:dyDescent="0.35">
      <c r="A324" t="s">
        <v>62</v>
      </c>
      <c r="B324">
        <v>10</v>
      </c>
      <c r="C324" t="s">
        <v>63</v>
      </c>
      <c r="D324">
        <v>19</v>
      </c>
      <c r="E324">
        <v>20.717077499999998</v>
      </c>
      <c r="F324">
        <v>0.420172212787296</v>
      </c>
      <c r="G324" t="s">
        <v>62</v>
      </c>
      <c r="H324">
        <v>10</v>
      </c>
      <c r="I324">
        <v>19</v>
      </c>
      <c r="J324">
        <v>0.65096224272952197</v>
      </c>
      <c r="K324" t="b">
        <f t="shared" si="25"/>
        <v>1</v>
      </c>
      <c r="L324">
        <f t="shared" si="26"/>
        <v>21.788211955516818</v>
      </c>
      <c r="M324">
        <f t="shared" si="27"/>
        <v>43.576423911033636</v>
      </c>
      <c r="N324">
        <f t="shared" si="28"/>
        <v>108.39906445530755</v>
      </c>
      <c r="O324" s="26">
        <f t="shared" si="29"/>
        <v>103.75339026436581</v>
      </c>
    </row>
    <row r="325" spans="1:15" x14ac:dyDescent="0.35">
      <c r="A325" t="s">
        <v>62</v>
      </c>
      <c r="B325">
        <v>10</v>
      </c>
      <c r="C325" t="s">
        <v>63</v>
      </c>
      <c r="D325">
        <v>20</v>
      </c>
      <c r="E325">
        <v>23.12604</v>
      </c>
      <c r="F325">
        <v>0.49939500640367701</v>
      </c>
      <c r="G325" t="s">
        <v>62</v>
      </c>
      <c r="H325">
        <v>10</v>
      </c>
      <c r="I325">
        <v>20</v>
      </c>
      <c r="J325">
        <v>0.74448268126108996</v>
      </c>
      <c r="K325" t="b">
        <f t="shared" si="25"/>
        <v>1</v>
      </c>
      <c r="L325">
        <f t="shared" si="26"/>
        <v>24.369917687664767</v>
      </c>
      <c r="M325">
        <f t="shared" si="27"/>
        <v>48.739835375329534</v>
      </c>
      <c r="N325">
        <f t="shared" si="28"/>
        <v>121.24337158042172</v>
      </c>
      <c r="O325" s="26">
        <f t="shared" si="29"/>
        <v>116.04722708411794</v>
      </c>
    </row>
    <row r="326" spans="1:15" x14ac:dyDescent="0.35">
      <c r="A326" t="s">
        <v>62</v>
      </c>
      <c r="B326">
        <v>10</v>
      </c>
      <c r="C326" t="s">
        <v>63</v>
      </c>
      <c r="D326">
        <v>21</v>
      </c>
      <c r="E326">
        <v>26.551853999999999</v>
      </c>
      <c r="F326">
        <v>0.58984420221156697</v>
      </c>
      <c r="G326" t="s">
        <v>62</v>
      </c>
      <c r="H326">
        <v>10</v>
      </c>
      <c r="I326">
        <v>21</v>
      </c>
      <c r="J326">
        <v>0.853520628291489</v>
      </c>
      <c r="K326" t="b">
        <f t="shared" si="25"/>
        <v>1</v>
      </c>
      <c r="L326">
        <f t="shared" si="26"/>
        <v>27.995218830503052</v>
      </c>
      <c r="M326">
        <f t="shared" si="27"/>
        <v>55.990437661006105</v>
      </c>
      <c r="N326">
        <f t="shared" si="28"/>
        <v>139.27969567414453</v>
      </c>
      <c r="O326" s="26">
        <f t="shared" si="29"/>
        <v>133.31056585953834</v>
      </c>
    </row>
    <row r="327" spans="1:15" x14ac:dyDescent="0.35">
      <c r="A327" t="s">
        <v>62</v>
      </c>
      <c r="B327">
        <v>10</v>
      </c>
      <c r="C327" t="s">
        <v>63</v>
      </c>
      <c r="D327">
        <v>22</v>
      </c>
      <c r="E327">
        <v>29.977667999999898</v>
      </c>
      <c r="F327">
        <v>0.69118300814522005</v>
      </c>
      <c r="G327" t="s">
        <v>62</v>
      </c>
      <c r="H327">
        <v>10</v>
      </c>
      <c r="I327">
        <v>22</v>
      </c>
      <c r="J327">
        <v>0.97270747210950903</v>
      </c>
      <c r="K327" t="b">
        <f t="shared" si="25"/>
        <v>1</v>
      </c>
      <c r="L327">
        <f t="shared" si="26"/>
        <v>31.641558480254627</v>
      </c>
      <c r="M327">
        <f t="shared" si="27"/>
        <v>63.283116960509254</v>
      </c>
      <c r="N327">
        <f t="shared" si="28"/>
        <v>157.42068895649066</v>
      </c>
      <c r="O327" s="26">
        <f t="shared" si="29"/>
        <v>150.67408800121251</v>
      </c>
    </row>
    <row r="328" spans="1:15" x14ac:dyDescent="0.35">
      <c r="A328" t="s">
        <v>62</v>
      </c>
      <c r="B328">
        <v>10</v>
      </c>
      <c r="C328" t="s">
        <v>63</v>
      </c>
      <c r="D328">
        <v>23</v>
      </c>
      <c r="E328">
        <v>33.403481999999997</v>
      </c>
      <c r="F328">
        <v>0.80308473590086304</v>
      </c>
      <c r="G328" t="s">
        <v>62</v>
      </c>
      <c r="H328">
        <v>10</v>
      </c>
      <c r="I328">
        <v>23</v>
      </c>
      <c r="J328">
        <v>1.0986997047539699</v>
      </c>
      <c r="K328" t="b">
        <f t="shared" si="25"/>
        <v>1</v>
      </c>
      <c r="L328">
        <f t="shared" si="26"/>
        <v>35.305266440654826</v>
      </c>
      <c r="M328">
        <f t="shared" si="27"/>
        <v>70.610532881309652</v>
      </c>
      <c r="N328">
        <f t="shared" si="28"/>
        <v>175.64809174455135</v>
      </c>
      <c r="O328" s="26">
        <f t="shared" si="29"/>
        <v>168.12031638407061</v>
      </c>
    </row>
    <row r="329" spans="1:15" x14ac:dyDescent="0.35">
      <c r="A329" t="s">
        <v>62</v>
      </c>
      <c r="B329">
        <v>10</v>
      </c>
      <c r="C329" t="s">
        <v>63</v>
      </c>
      <c r="D329">
        <v>24</v>
      </c>
      <c r="E329">
        <v>36.829295999999999</v>
      </c>
      <c r="F329">
        <v>0.92523249782383699</v>
      </c>
      <c r="G329" t="s">
        <v>62</v>
      </c>
      <c r="H329">
        <v>10</v>
      </c>
      <c r="I329">
        <v>24</v>
      </c>
      <c r="J329">
        <v>1.22936898026115</v>
      </c>
      <c r="K329" t="b">
        <f t="shared" si="25"/>
        <v>1</v>
      </c>
      <c r="L329">
        <f t="shared" si="26"/>
        <v>38.983897478084984</v>
      </c>
      <c r="M329">
        <f t="shared" si="27"/>
        <v>77.967794956169968</v>
      </c>
      <c r="N329">
        <f t="shared" si="28"/>
        <v>193.94973869694022</v>
      </c>
      <c r="O329" s="26">
        <f t="shared" si="29"/>
        <v>185.63760703849994</v>
      </c>
    </row>
    <row r="330" spans="1:15" x14ac:dyDescent="0.35">
      <c r="A330" t="s">
        <v>62</v>
      </c>
      <c r="B330">
        <v>10</v>
      </c>
      <c r="C330" t="s">
        <v>63</v>
      </c>
      <c r="D330">
        <v>25</v>
      </c>
      <c r="E330">
        <v>40.255110000000002</v>
      </c>
      <c r="F330">
        <v>1.0573189128891201</v>
      </c>
      <c r="G330" t="s">
        <v>62</v>
      </c>
      <c r="H330">
        <v>10</v>
      </c>
      <c r="I330">
        <v>25</v>
      </c>
      <c r="J330">
        <v>1.3633277057273701</v>
      </c>
      <c r="K330" t="b">
        <f t="shared" si="25"/>
        <v>1</v>
      </c>
      <c r="L330">
        <f t="shared" si="26"/>
        <v>42.675756618616496</v>
      </c>
      <c r="M330">
        <f t="shared" si="27"/>
        <v>85.351513237232993</v>
      </c>
      <c r="N330">
        <f t="shared" si="28"/>
        <v>212.31719710754476</v>
      </c>
      <c r="O330" s="26">
        <f t="shared" si="29"/>
        <v>203.21788866007856</v>
      </c>
    </row>
    <row r="331" spans="1:15" x14ac:dyDescent="0.35">
      <c r="A331" t="s">
        <v>62</v>
      </c>
      <c r="B331">
        <v>10</v>
      </c>
      <c r="C331" t="s">
        <v>63</v>
      </c>
      <c r="D331">
        <v>26</v>
      </c>
      <c r="E331">
        <v>44.499671999999997</v>
      </c>
      <c r="F331">
        <v>1.20229687350245</v>
      </c>
      <c r="G331" t="s">
        <v>62</v>
      </c>
      <c r="H331">
        <v>10</v>
      </c>
      <c r="I331">
        <v>26</v>
      </c>
      <c r="J331">
        <v>1.5107150290010101</v>
      </c>
      <c r="K331" t="b">
        <f t="shared" si="25"/>
        <v>1</v>
      </c>
      <c r="L331">
        <f t="shared" si="26"/>
        <v>47.212683902503457</v>
      </c>
      <c r="M331">
        <f t="shared" si="27"/>
        <v>94.425367805006914</v>
      </c>
      <c r="N331">
        <f t="shared" si="28"/>
        <v>234.88897463932068</v>
      </c>
      <c r="O331" s="26">
        <f t="shared" si="29"/>
        <v>224.82230429763553</v>
      </c>
    </row>
    <row r="332" spans="1:15" x14ac:dyDescent="0.35">
      <c r="A332" t="s">
        <v>62</v>
      </c>
      <c r="B332">
        <v>10</v>
      </c>
      <c r="C332" t="s">
        <v>63</v>
      </c>
      <c r="D332">
        <v>27</v>
      </c>
      <c r="E332">
        <v>48.744233999999999</v>
      </c>
      <c r="F332">
        <v>1.3597796332973799</v>
      </c>
      <c r="G332" t="s">
        <v>62</v>
      </c>
      <c r="H332">
        <v>10</v>
      </c>
      <c r="I332">
        <v>27</v>
      </c>
      <c r="J332">
        <v>1.66693979145543</v>
      </c>
      <c r="K332" t="b">
        <f t="shared" si="25"/>
        <v>1</v>
      </c>
      <c r="L332">
        <f t="shared" si="26"/>
        <v>51.770953424752804</v>
      </c>
      <c r="M332">
        <f t="shared" si="27"/>
        <v>103.54190684950561</v>
      </c>
      <c r="N332">
        <f t="shared" si="28"/>
        <v>257.5669324614567</v>
      </c>
      <c r="O332" s="26">
        <f t="shared" si="29"/>
        <v>246.52834964168002</v>
      </c>
    </row>
    <row r="333" spans="1:15" x14ac:dyDescent="0.35">
      <c r="A333" t="s">
        <v>62</v>
      </c>
      <c r="B333">
        <v>10</v>
      </c>
      <c r="C333" t="s">
        <v>63</v>
      </c>
      <c r="D333">
        <v>28</v>
      </c>
      <c r="E333">
        <v>52.768406006478997</v>
      </c>
      <c r="F333">
        <v>1.72688081494879</v>
      </c>
      <c r="G333" t="s">
        <v>62</v>
      </c>
      <c r="H333">
        <v>10</v>
      </c>
      <c r="I333">
        <v>28</v>
      </c>
      <c r="J333">
        <v>1.82614873726808</v>
      </c>
      <c r="K333" t="b">
        <f t="shared" si="25"/>
        <v>1</v>
      </c>
      <c r="L333">
        <f t="shared" si="26"/>
        <v>56.321435558695867</v>
      </c>
      <c r="M333">
        <f t="shared" si="27"/>
        <v>112.64287111739173</v>
      </c>
      <c r="N333">
        <f t="shared" si="28"/>
        <v>280.20614705818838</v>
      </c>
      <c r="O333" s="26">
        <f t="shared" si="29"/>
        <v>268.19731218426602</v>
      </c>
    </row>
    <row r="334" spans="1:15" x14ac:dyDescent="0.35">
      <c r="A334" t="s">
        <v>62</v>
      </c>
      <c r="B334">
        <v>10</v>
      </c>
      <c r="C334" t="s">
        <v>63</v>
      </c>
      <c r="D334">
        <v>29</v>
      </c>
      <c r="E334">
        <v>56.691227495081598</v>
      </c>
      <c r="F334">
        <v>2.1869964679754901</v>
      </c>
      <c r="G334" t="s">
        <v>62</v>
      </c>
      <c r="H334">
        <v>10</v>
      </c>
      <c r="I334">
        <v>29</v>
      </c>
      <c r="J334">
        <v>1.98619636216588</v>
      </c>
      <c r="K334" t="b">
        <f t="shared" si="25"/>
        <v>1</v>
      </c>
      <c r="L334">
        <f t="shared" si="26"/>
        <v>60.864420325222966</v>
      </c>
      <c r="M334">
        <f t="shared" si="27"/>
        <v>121.72884065044593</v>
      </c>
      <c r="N334">
        <f t="shared" si="28"/>
        <v>302.80806131951721</v>
      </c>
      <c r="O334" s="26">
        <f t="shared" si="29"/>
        <v>289.83057297725225</v>
      </c>
    </row>
    <row r="335" spans="1:15" x14ac:dyDescent="0.35">
      <c r="A335" t="s">
        <v>62</v>
      </c>
      <c r="B335">
        <v>10</v>
      </c>
      <c r="C335" t="s">
        <v>63</v>
      </c>
      <c r="D335">
        <v>30</v>
      </c>
      <c r="E335">
        <v>60.536409665175199</v>
      </c>
      <c r="F335">
        <v>2.7145476585752499</v>
      </c>
      <c r="G335" t="s">
        <v>62</v>
      </c>
      <c r="H335">
        <v>10</v>
      </c>
      <c r="I335">
        <v>30</v>
      </c>
      <c r="J335">
        <v>2.1459693687563002</v>
      </c>
      <c r="K335" t="b">
        <f t="shared" si="25"/>
        <v>1</v>
      </c>
      <c r="L335">
        <f t="shared" si="26"/>
        <v>65.396926692506753</v>
      </c>
      <c r="M335">
        <f t="shared" si="27"/>
        <v>130.79385338501351</v>
      </c>
      <c r="N335">
        <f t="shared" si="28"/>
        <v>325.35784424132709</v>
      </c>
      <c r="O335" s="26">
        <f t="shared" si="29"/>
        <v>311.41393663098455</v>
      </c>
    </row>
    <row r="336" spans="1:15" x14ac:dyDescent="0.35">
      <c r="A336" t="s">
        <v>62</v>
      </c>
      <c r="B336">
        <v>10</v>
      </c>
      <c r="C336" t="s">
        <v>63</v>
      </c>
      <c r="D336">
        <v>31</v>
      </c>
      <c r="E336">
        <v>64.8342660175677</v>
      </c>
      <c r="F336">
        <v>3.2901701459996602</v>
      </c>
      <c r="G336" t="s">
        <v>62</v>
      </c>
      <c r="H336">
        <v>10</v>
      </c>
      <c r="I336">
        <v>31</v>
      </c>
      <c r="J336">
        <v>2.3118595303046101</v>
      </c>
      <c r="K336" t="b">
        <f t="shared" si="25"/>
        <v>1</v>
      </c>
      <c r="L336">
        <f t="shared" si="26"/>
        <v>70.436295693871983</v>
      </c>
      <c r="M336">
        <f t="shared" si="27"/>
        <v>140.87259138774397</v>
      </c>
      <c r="N336">
        <f t="shared" si="28"/>
        <v>350.42933181030833</v>
      </c>
      <c r="O336" s="26">
        <f t="shared" si="29"/>
        <v>335.4109318755809</v>
      </c>
    </row>
    <row r="337" spans="1:15" x14ac:dyDescent="0.35">
      <c r="A337" t="s">
        <v>62</v>
      </c>
      <c r="B337">
        <v>10</v>
      </c>
      <c r="C337" t="s">
        <v>63</v>
      </c>
      <c r="D337">
        <v>32</v>
      </c>
      <c r="E337">
        <v>69.073323430870104</v>
      </c>
      <c r="F337">
        <v>3.9130939634756601</v>
      </c>
      <c r="G337" t="s">
        <v>62</v>
      </c>
      <c r="H337">
        <v>10</v>
      </c>
      <c r="I337">
        <v>32</v>
      </c>
      <c r="J337">
        <v>2.48100624772131</v>
      </c>
      <c r="K337" t="b">
        <f t="shared" si="25"/>
        <v>1</v>
      </c>
      <c r="L337">
        <f t="shared" si="26"/>
        <v>75.467423642067075</v>
      </c>
      <c r="M337">
        <f t="shared" si="27"/>
        <v>150.93484728413415</v>
      </c>
      <c r="N337">
        <f t="shared" si="28"/>
        <v>375.45981911476156</v>
      </c>
      <c r="O337" s="26">
        <f t="shared" si="29"/>
        <v>359.36868400984321</v>
      </c>
    </row>
    <row r="338" spans="1:15" x14ac:dyDescent="0.35">
      <c r="A338" t="s">
        <v>62</v>
      </c>
      <c r="B338">
        <v>10</v>
      </c>
      <c r="C338" t="s">
        <v>63</v>
      </c>
      <c r="D338">
        <v>33</v>
      </c>
      <c r="E338">
        <v>73.251603118211705</v>
      </c>
      <c r="F338">
        <v>4.5829537187900797</v>
      </c>
      <c r="G338" t="s">
        <v>62</v>
      </c>
      <c r="H338">
        <v>10</v>
      </c>
      <c r="I338">
        <v>33</v>
      </c>
      <c r="J338">
        <v>2.6515716486997798</v>
      </c>
      <c r="K338" t="b">
        <f t="shared" si="25"/>
        <v>1</v>
      </c>
      <c r="L338">
        <f t="shared" si="26"/>
        <v>80.48612848570157</v>
      </c>
      <c r="M338">
        <f t="shared" si="27"/>
        <v>160.97225697140314</v>
      </c>
      <c r="N338">
        <f t="shared" si="28"/>
        <v>400.42849992886352</v>
      </c>
      <c r="O338" s="26">
        <f t="shared" si="29"/>
        <v>383.26727850334083</v>
      </c>
    </row>
    <row r="339" spans="1:15" x14ac:dyDescent="0.35">
      <c r="A339" t="s">
        <v>62</v>
      </c>
      <c r="B339">
        <v>10</v>
      </c>
      <c r="C339" t="s">
        <v>63</v>
      </c>
      <c r="D339">
        <v>34</v>
      </c>
      <c r="E339">
        <v>77.367073875042905</v>
      </c>
      <c r="F339">
        <v>5.2994329093763204</v>
      </c>
      <c r="G339" t="s">
        <v>62</v>
      </c>
      <c r="H339">
        <v>10</v>
      </c>
      <c r="I339">
        <v>34</v>
      </c>
      <c r="J339">
        <v>2.8223371505600099</v>
      </c>
      <c r="K339" t="b">
        <f t="shared" si="25"/>
        <v>1</v>
      </c>
      <c r="L339">
        <f t="shared" si="26"/>
        <v>85.488843934979229</v>
      </c>
      <c r="M339">
        <f t="shared" si="27"/>
        <v>170.97768786995846</v>
      </c>
      <c r="N339">
        <f t="shared" si="28"/>
        <v>425.31763151730956</v>
      </c>
      <c r="O339" s="26">
        <f t="shared" si="29"/>
        <v>407.08973302371061</v>
      </c>
    </row>
    <row r="340" spans="1:15" x14ac:dyDescent="0.35">
      <c r="A340" t="s">
        <v>62</v>
      </c>
      <c r="B340">
        <v>10</v>
      </c>
      <c r="C340" t="s">
        <v>63</v>
      </c>
      <c r="D340">
        <v>35</v>
      </c>
      <c r="E340">
        <v>81.417828361262707</v>
      </c>
      <c r="F340">
        <v>6.0621036792248901</v>
      </c>
      <c r="G340" t="s">
        <v>62</v>
      </c>
      <c r="H340">
        <v>10</v>
      </c>
      <c r="I340">
        <v>35</v>
      </c>
      <c r="J340">
        <v>2.99246799754322</v>
      </c>
      <c r="K340" t="b">
        <f t="shared" si="25"/>
        <v>1</v>
      </c>
      <c r="L340">
        <f t="shared" si="26"/>
        <v>90.472400038030813</v>
      </c>
      <c r="M340">
        <f t="shared" si="27"/>
        <v>180.94480007606163</v>
      </c>
      <c r="N340">
        <f t="shared" si="28"/>
        <v>450.11144297527767</v>
      </c>
      <c r="O340" s="26">
        <f t="shared" si="29"/>
        <v>430.8209525620515</v>
      </c>
    </row>
    <row r="341" spans="1:15" x14ac:dyDescent="0.35">
      <c r="A341" t="s">
        <v>62</v>
      </c>
      <c r="B341">
        <v>10</v>
      </c>
      <c r="C341" t="s">
        <v>63</v>
      </c>
      <c r="D341">
        <v>36</v>
      </c>
      <c r="E341">
        <v>85.754182927711099</v>
      </c>
      <c r="F341">
        <v>6.8005603224351896</v>
      </c>
      <c r="G341" t="s">
        <v>62</v>
      </c>
      <c r="H341">
        <v>10</v>
      </c>
      <c r="I341">
        <v>36</v>
      </c>
      <c r="J341">
        <v>3.16613209461747</v>
      </c>
      <c r="K341" t="b">
        <f t="shared" si="25"/>
        <v>1</v>
      </c>
      <c r="L341">
        <f t="shared" si="26"/>
        <v>95.720875344763755</v>
      </c>
      <c r="M341">
        <f t="shared" si="27"/>
        <v>191.44175068952751</v>
      </c>
      <c r="N341">
        <f t="shared" si="28"/>
        <v>476.22326042171022</v>
      </c>
      <c r="O341" s="26">
        <f t="shared" si="29"/>
        <v>455.81369211792264</v>
      </c>
    </row>
    <row r="342" spans="1:15" x14ac:dyDescent="0.35">
      <c r="A342" t="s">
        <v>62</v>
      </c>
      <c r="B342">
        <v>10</v>
      </c>
      <c r="C342" t="s">
        <v>63</v>
      </c>
      <c r="D342">
        <v>37</v>
      </c>
      <c r="E342">
        <v>90.061311667538902</v>
      </c>
      <c r="F342">
        <v>7.55364222955708</v>
      </c>
      <c r="G342" t="s">
        <v>62</v>
      </c>
      <c r="H342">
        <v>10</v>
      </c>
      <c r="I342">
        <v>37</v>
      </c>
      <c r="J342">
        <v>3.34172195046443</v>
      </c>
      <c r="K342" t="b">
        <f t="shared" si="25"/>
        <v>1</v>
      </c>
      <c r="L342">
        <f t="shared" si="26"/>
        <v>100.95667584756042</v>
      </c>
      <c r="M342">
        <f t="shared" si="27"/>
        <v>201.91335169512084</v>
      </c>
      <c r="N342">
        <f t="shared" si="28"/>
        <v>502.27201914209161</v>
      </c>
      <c r="O342" s="26">
        <f t="shared" si="29"/>
        <v>480.74607546457344</v>
      </c>
    </row>
    <row r="343" spans="1:15" x14ac:dyDescent="0.35">
      <c r="A343" t="s">
        <v>62</v>
      </c>
      <c r="B343">
        <v>10</v>
      </c>
      <c r="C343" t="s">
        <v>63</v>
      </c>
      <c r="D343">
        <v>38</v>
      </c>
      <c r="E343">
        <v>94.320275576031307</v>
      </c>
      <c r="F343">
        <v>8.3377215596887808</v>
      </c>
      <c r="G343" t="s">
        <v>62</v>
      </c>
      <c r="H343">
        <v>10</v>
      </c>
      <c r="I343">
        <v>38</v>
      </c>
      <c r="J343">
        <v>3.5179699112984899</v>
      </c>
      <c r="K343" t="b">
        <f t="shared" si="25"/>
        <v>1</v>
      </c>
      <c r="L343">
        <f t="shared" si="26"/>
        <v>106.17596704701857</v>
      </c>
      <c r="M343">
        <f t="shared" si="27"/>
        <v>212.35193409403715</v>
      </c>
      <c r="N343">
        <f t="shared" si="28"/>
        <v>528.23864202496804</v>
      </c>
      <c r="O343" s="26">
        <f t="shared" si="29"/>
        <v>505.59984308104083</v>
      </c>
    </row>
    <row r="344" spans="1:15" x14ac:dyDescent="0.35">
      <c r="A344" t="s">
        <v>62</v>
      </c>
      <c r="B344">
        <v>10</v>
      </c>
      <c r="C344" t="s">
        <v>63</v>
      </c>
      <c r="D344">
        <v>39</v>
      </c>
      <c r="E344">
        <v>98.522308423376103</v>
      </c>
      <c r="F344">
        <v>9.1592524274016096</v>
      </c>
      <c r="G344" t="s">
        <v>62</v>
      </c>
      <c r="H344">
        <v>10</v>
      </c>
      <c r="I344">
        <v>39</v>
      </c>
      <c r="J344">
        <v>3.6939415160364599</v>
      </c>
      <c r="K344" t="b">
        <f t="shared" si="25"/>
        <v>1</v>
      </c>
      <c r="L344">
        <f t="shared" si="26"/>
        <v>111.37550236681417</v>
      </c>
      <c r="M344">
        <f t="shared" si="27"/>
        <v>222.75100473362835</v>
      </c>
      <c r="N344">
        <f t="shared" si="28"/>
        <v>554.10697694932423</v>
      </c>
      <c r="O344" s="26">
        <f t="shared" si="29"/>
        <v>530.35953508006753</v>
      </c>
    </row>
    <row r="345" spans="1:15" x14ac:dyDescent="0.35">
      <c r="A345" t="s">
        <v>62</v>
      </c>
      <c r="B345">
        <v>10</v>
      </c>
      <c r="C345" t="s">
        <v>63</v>
      </c>
      <c r="D345">
        <v>40</v>
      </c>
      <c r="E345">
        <v>102.663097046286</v>
      </c>
      <c r="F345">
        <v>10.0203736043083</v>
      </c>
      <c r="G345" t="s">
        <v>62</v>
      </c>
      <c r="H345">
        <v>10</v>
      </c>
      <c r="I345">
        <v>40</v>
      </c>
      <c r="J345">
        <v>3.86896406060547</v>
      </c>
      <c r="K345" t="b">
        <f t="shared" si="25"/>
        <v>1</v>
      </c>
      <c r="L345">
        <f t="shared" si="26"/>
        <v>116.55243471119977</v>
      </c>
      <c r="M345">
        <f t="shared" si="27"/>
        <v>233.10486942239953</v>
      </c>
      <c r="N345">
        <f t="shared" si="28"/>
        <v>579.86285925970026</v>
      </c>
      <c r="O345" s="26">
        <f t="shared" si="29"/>
        <v>555.0115938628561</v>
      </c>
    </row>
    <row r="346" spans="1:15" x14ac:dyDescent="0.35">
      <c r="A346" t="s">
        <v>62</v>
      </c>
      <c r="B346">
        <v>10</v>
      </c>
      <c r="C346" t="s">
        <v>63</v>
      </c>
      <c r="D346">
        <v>41</v>
      </c>
      <c r="E346">
        <v>106.94391866823899</v>
      </c>
      <c r="F346">
        <v>10.8229145329882</v>
      </c>
      <c r="G346" t="s">
        <v>62</v>
      </c>
      <c r="H346">
        <v>10</v>
      </c>
      <c r="I346">
        <v>41</v>
      </c>
      <c r="J346">
        <v>4.0453064628051196</v>
      </c>
      <c r="K346" t="b">
        <f t="shared" si="25"/>
        <v>1</v>
      </c>
      <c r="L346">
        <f t="shared" si="26"/>
        <v>121.81213966403232</v>
      </c>
      <c r="M346">
        <f t="shared" si="27"/>
        <v>243.62427932806463</v>
      </c>
      <c r="N346">
        <f t="shared" si="28"/>
        <v>606.0305455922005</v>
      </c>
      <c r="O346" s="26">
        <f t="shared" si="29"/>
        <v>580.05780792396342</v>
      </c>
    </row>
    <row r="347" spans="1:15" x14ac:dyDescent="0.35">
      <c r="A347" t="s">
        <v>62</v>
      </c>
      <c r="B347">
        <v>10</v>
      </c>
      <c r="C347" t="s">
        <v>63</v>
      </c>
      <c r="D347">
        <v>42</v>
      </c>
      <c r="E347">
        <v>111.211065792733</v>
      </c>
      <c r="F347">
        <v>11.623853342262301</v>
      </c>
      <c r="G347" t="s">
        <v>62</v>
      </c>
      <c r="H347">
        <v>10</v>
      </c>
      <c r="I347">
        <v>42</v>
      </c>
      <c r="J347">
        <v>4.22232847218954</v>
      </c>
      <c r="K347" t="b">
        <f t="shared" si="25"/>
        <v>1</v>
      </c>
      <c r="L347">
        <f t="shared" si="26"/>
        <v>127.05724760718483</v>
      </c>
      <c r="M347">
        <f t="shared" si="27"/>
        <v>254.11449521436967</v>
      </c>
      <c r="N347">
        <f t="shared" si="28"/>
        <v>632.12560998599417</v>
      </c>
      <c r="O347" s="26">
        <f t="shared" si="29"/>
        <v>605.03451241516586</v>
      </c>
    </row>
    <row r="348" spans="1:15" x14ac:dyDescent="0.35">
      <c r="A348" t="s">
        <v>62</v>
      </c>
      <c r="B348">
        <v>10</v>
      </c>
      <c r="C348" t="s">
        <v>63</v>
      </c>
      <c r="D348">
        <v>43</v>
      </c>
      <c r="E348">
        <v>115.439384768777</v>
      </c>
      <c r="F348">
        <v>12.445882137964899</v>
      </c>
      <c r="G348" t="s">
        <v>62</v>
      </c>
      <c r="H348">
        <v>10</v>
      </c>
      <c r="I348">
        <v>43</v>
      </c>
      <c r="J348">
        <v>4.3992873721320596</v>
      </c>
      <c r="K348" t="b">
        <f t="shared" si="25"/>
        <v>1</v>
      </c>
      <c r="L348">
        <f t="shared" si="26"/>
        <v>132.28455427887397</v>
      </c>
      <c r="M348">
        <f t="shared" si="27"/>
        <v>264.56910855774794</v>
      </c>
      <c r="N348">
        <f t="shared" si="28"/>
        <v>658.13211084016893</v>
      </c>
      <c r="O348" s="26">
        <f t="shared" si="29"/>
        <v>629.92644894701891</v>
      </c>
    </row>
    <row r="349" spans="1:15" x14ac:dyDescent="0.35">
      <c r="A349" t="s">
        <v>62</v>
      </c>
      <c r="B349">
        <v>10</v>
      </c>
      <c r="C349" t="s">
        <v>63</v>
      </c>
      <c r="D349">
        <v>44</v>
      </c>
      <c r="E349">
        <v>119.61830859516699</v>
      </c>
      <c r="F349">
        <v>13.2975174833055</v>
      </c>
      <c r="G349" t="s">
        <v>62</v>
      </c>
      <c r="H349">
        <v>10</v>
      </c>
      <c r="I349">
        <v>44</v>
      </c>
      <c r="J349">
        <v>4.57556267475782</v>
      </c>
      <c r="K349" t="b">
        <f t="shared" si="25"/>
        <v>1</v>
      </c>
      <c r="L349">
        <f t="shared" si="26"/>
        <v>137.49138875323032</v>
      </c>
      <c r="M349">
        <f t="shared" si="27"/>
        <v>274.98277750646065</v>
      </c>
      <c r="N349">
        <f t="shared" si="28"/>
        <v>684.03675996632001</v>
      </c>
      <c r="O349" s="26">
        <f t="shared" si="29"/>
        <v>654.72089882490639</v>
      </c>
    </row>
    <row r="350" spans="1:15" x14ac:dyDescent="0.35">
      <c r="A350" t="s">
        <v>62</v>
      </c>
      <c r="B350">
        <v>10</v>
      </c>
      <c r="C350" t="s">
        <v>63</v>
      </c>
      <c r="D350">
        <v>45</v>
      </c>
      <c r="E350">
        <v>123.743248527384</v>
      </c>
      <c r="F350">
        <v>14.181496652186301</v>
      </c>
      <c r="G350" t="s">
        <v>62</v>
      </c>
      <c r="H350">
        <v>10</v>
      </c>
      <c r="I350">
        <v>45</v>
      </c>
      <c r="J350">
        <v>4.7506857732242302</v>
      </c>
      <c r="K350" t="b">
        <f t="shared" si="25"/>
        <v>1</v>
      </c>
      <c r="L350">
        <f t="shared" si="26"/>
        <v>142.67543095279453</v>
      </c>
      <c r="M350">
        <f t="shared" si="27"/>
        <v>285.35086190558906</v>
      </c>
      <c r="N350">
        <f t="shared" si="28"/>
        <v>709.82801469052004</v>
      </c>
      <c r="O350" s="26">
        <f t="shared" si="29"/>
        <v>679.40681406092631</v>
      </c>
    </row>
    <row r="351" spans="1:15" x14ac:dyDescent="0.35">
      <c r="A351" t="s">
        <v>62</v>
      </c>
      <c r="B351">
        <v>10</v>
      </c>
      <c r="C351" t="s">
        <v>63</v>
      </c>
      <c r="D351">
        <v>46</v>
      </c>
      <c r="E351">
        <v>127.89586216823599</v>
      </c>
      <c r="F351">
        <v>14.9908076416413</v>
      </c>
      <c r="G351" t="s">
        <v>62</v>
      </c>
      <c r="H351">
        <v>10</v>
      </c>
      <c r="I351">
        <v>46</v>
      </c>
      <c r="J351">
        <v>4.92544738473027</v>
      </c>
      <c r="K351" t="b">
        <f t="shared" si="25"/>
        <v>1</v>
      </c>
      <c r="L351">
        <f t="shared" si="26"/>
        <v>147.81211719460757</v>
      </c>
      <c r="M351">
        <f t="shared" si="27"/>
        <v>295.62423438921513</v>
      </c>
      <c r="N351">
        <f t="shared" si="28"/>
        <v>735.38366763486351</v>
      </c>
      <c r="O351" s="26">
        <f t="shared" si="29"/>
        <v>703.86722473622649</v>
      </c>
    </row>
    <row r="352" spans="1:15" x14ac:dyDescent="0.35">
      <c r="A352" t="s">
        <v>62</v>
      </c>
      <c r="B352">
        <v>10</v>
      </c>
      <c r="C352" t="s">
        <v>63</v>
      </c>
      <c r="D352">
        <v>47</v>
      </c>
      <c r="E352">
        <v>132.04400002768801</v>
      </c>
      <c r="F352">
        <v>15.7900905681452</v>
      </c>
      <c r="G352" t="s">
        <v>62</v>
      </c>
      <c r="H352">
        <v>10</v>
      </c>
      <c r="I352">
        <v>47</v>
      </c>
      <c r="J352">
        <v>5.0999078510285303</v>
      </c>
      <c r="K352" t="b">
        <f t="shared" si="25"/>
        <v>1</v>
      </c>
      <c r="L352">
        <f t="shared" si="26"/>
        <v>152.93399844686172</v>
      </c>
      <c r="M352">
        <f t="shared" si="27"/>
        <v>305.86799689372344</v>
      </c>
      <c r="N352">
        <f t="shared" si="28"/>
        <v>760.86566391473491</v>
      </c>
      <c r="O352" s="26">
        <f t="shared" si="29"/>
        <v>728.25713546124632</v>
      </c>
    </row>
    <row r="353" spans="1:15" x14ac:dyDescent="0.35">
      <c r="A353" t="s">
        <v>62</v>
      </c>
      <c r="B353">
        <v>10</v>
      </c>
      <c r="C353" t="s">
        <v>63</v>
      </c>
      <c r="D353">
        <v>48</v>
      </c>
      <c r="E353">
        <v>136.16075062878099</v>
      </c>
      <c r="F353">
        <v>16.6039915965255</v>
      </c>
      <c r="G353" t="s">
        <v>62</v>
      </c>
      <c r="H353">
        <v>10</v>
      </c>
      <c r="I353">
        <v>48</v>
      </c>
      <c r="J353">
        <v>5.2737409672807596</v>
      </c>
      <c r="K353" t="b">
        <f t="shared" si="25"/>
        <v>1</v>
      </c>
      <c r="L353">
        <f t="shared" si="26"/>
        <v>158.03848319258725</v>
      </c>
      <c r="M353">
        <f t="shared" si="27"/>
        <v>316.0769663851745</v>
      </c>
      <c r="N353">
        <f t="shared" si="28"/>
        <v>786.26111041088177</v>
      </c>
      <c r="O353" s="26">
        <f t="shared" si="29"/>
        <v>752.56420567898692</v>
      </c>
    </row>
    <row r="354" spans="1:15" x14ac:dyDescent="0.35">
      <c r="A354" t="s">
        <v>62</v>
      </c>
      <c r="B354">
        <v>10</v>
      </c>
      <c r="C354" t="s">
        <v>63</v>
      </c>
      <c r="D354">
        <v>49</v>
      </c>
      <c r="E354">
        <v>140.23544890355501</v>
      </c>
      <c r="F354">
        <v>17.441401998751299</v>
      </c>
      <c r="G354" t="s">
        <v>62</v>
      </c>
      <c r="H354">
        <v>10</v>
      </c>
      <c r="I354">
        <v>49</v>
      </c>
      <c r="J354">
        <v>5.4465927245073802</v>
      </c>
      <c r="K354" t="b">
        <f t="shared" si="25"/>
        <v>1</v>
      </c>
      <c r="L354">
        <f t="shared" si="26"/>
        <v>163.1234436268137</v>
      </c>
      <c r="M354">
        <f t="shared" si="27"/>
        <v>326.24688725362739</v>
      </c>
      <c r="N354">
        <f t="shared" si="28"/>
        <v>811.55942102892379</v>
      </c>
      <c r="O354" s="26">
        <f t="shared" si="29"/>
        <v>776.77830298482718</v>
      </c>
    </row>
    <row r="355" spans="1:15" x14ac:dyDescent="0.35">
      <c r="A355" t="s">
        <v>62</v>
      </c>
      <c r="B355">
        <v>10</v>
      </c>
      <c r="C355" t="s">
        <v>63</v>
      </c>
      <c r="D355">
        <v>50</v>
      </c>
      <c r="E355">
        <v>144.26378766170001</v>
      </c>
      <c r="F355">
        <v>18.305077651427901</v>
      </c>
      <c r="G355" t="s">
        <v>62</v>
      </c>
      <c r="H355">
        <v>10</v>
      </c>
      <c r="I355">
        <v>50</v>
      </c>
      <c r="J355">
        <v>5.61817392569509</v>
      </c>
      <c r="K355" t="b">
        <f t="shared" si="25"/>
        <v>1</v>
      </c>
      <c r="L355">
        <f t="shared" si="26"/>
        <v>168.18703923882299</v>
      </c>
      <c r="M355">
        <f t="shared" si="27"/>
        <v>336.37407847764598</v>
      </c>
      <c r="N355">
        <f t="shared" si="28"/>
        <v>836.75143899911927</v>
      </c>
      <c r="O355" s="26">
        <f t="shared" si="29"/>
        <v>800.89066304201424</v>
      </c>
    </row>
    <row r="356" spans="1:15" x14ac:dyDescent="0.35">
      <c r="A356" t="s">
        <v>62</v>
      </c>
      <c r="B356">
        <v>10</v>
      </c>
      <c r="C356" t="s">
        <v>63</v>
      </c>
      <c r="D356">
        <v>51</v>
      </c>
      <c r="E356">
        <v>148.205342098514</v>
      </c>
      <c r="F356">
        <v>19.094247718134501</v>
      </c>
      <c r="G356" t="s">
        <v>62</v>
      </c>
      <c r="H356">
        <v>10</v>
      </c>
      <c r="I356">
        <v>51</v>
      </c>
      <c r="J356">
        <v>5.7877462511345703</v>
      </c>
      <c r="K356" t="b">
        <f t="shared" si="25"/>
        <v>1</v>
      </c>
      <c r="L356">
        <f t="shared" si="26"/>
        <v>173.08733606778307</v>
      </c>
      <c r="M356">
        <f t="shared" si="27"/>
        <v>346.17467213556614</v>
      </c>
      <c r="N356">
        <f t="shared" si="28"/>
        <v>861.131025212851</v>
      </c>
      <c r="O356" s="26">
        <f t="shared" si="29"/>
        <v>824.2254098465861</v>
      </c>
    </row>
    <row r="357" spans="1:15" x14ac:dyDescent="0.35">
      <c r="A357" t="s">
        <v>62</v>
      </c>
      <c r="B357">
        <v>10</v>
      </c>
      <c r="C357" t="s">
        <v>63</v>
      </c>
      <c r="D357">
        <v>52</v>
      </c>
      <c r="E357">
        <v>152.14488463936601</v>
      </c>
      <c r="F357">
        <v>19.871714658821901</v>
      </c>
      <c r="G357" t="s">
        <v>62</v>
      </c>
      <c r="H357">
        <v>10</v>
      </c>
      <c r="I357">
        <v>52</v>
      </c>
      <c r="J357">
        <v>5.9559738646491001</v>
      </c>
      <c r="K357" t="b">
        <f t="shared" si="25"/>
        <v>1</v>
      </c>
      <c r="L357">
        <f t="shared" si="26"/>
        <v>177.97257316283702</v>
      </c>
      <c r="M357">
        <f t="shared" si="27"/>
        <v>355.94514632567405</v>
      </c>
      <c r="N357">
        <f t="shared" si="28"/>
        <v>885.43568737729856</v>
      </c>
      <c r="O357" s="26">
        <f t="shared" si="29"/>
        <v>847.48844363255728</v>
      </c>
    </row>
    <row r="358" spans="1:15" x14ac:dyDescent="0.35">
      <c r="A358" t="s">
        <v>62</v>
      </c>
      <c r="B358">
        <v>10</v>
      </c>
      <c r="C358" t="s">
        <v>63</v>
      </c>
      <c r="D358">
        <v>53</v>
      </c>
      <c r="E358">
        <v>156.057286354583</v>
      </c>
      <c r="F358">
        <v>20.660580751787101</v>
      </c>
      <c r="G358" t="s">
        <v>62</v>
      </c>
      <c r="H358">
        <v>10</v>
      </c>
      <c r="I358">
        <v>53</v>
      </c>
      <c r="J358">
        <v>6.12293121028919</v>
      </c>
      <c r="K358" t="b">
        <f t="shared" si="25"/>
        <v>1</v>
      </c>
      <c r="L358">
        <f t="shared" si="26"/>
        <v>182.84079831665929</v>
      </c>
      <c r="M358">
        <f t="shared" si="27"/>
        <v>365.68159663331858</v>
      </c>
      <c r="N358">
        <f t="shared" si="28"/>
        <v>909.65571301820535</v>
      </c>
      <c r="O358" s="26">
        <f t="shared" si="29"/>
        <v>870.6704681745681</v>
      </c>
    </row>
    <row r="359" spans="1:15" x14ac:dyDescent="0.35">
      <c r="A359" t="s">
        <v>62</v>
      </c>
      <c r="B359">
        <v>10</v>
      </c>
      <c r="C359" t="s">
        <v>63</v>
      </c>
      <c r="D359">
        <v>54</v>
      </c>
      <c r="E359">
        <v>159.93297441175901</v>
      </c>
      <c r="F359">
        <v>21.4688881008768</v>
      </c>
      <c r="G359" t="s">
        <v>62</v>
      </c>
      <c r="H359">
        <v>10</v>
      </c>
      <c r="I359">
        <v>54</v>
      </c>
      <c r="J359">
        <v>6.2885345811653401</v>
      </c>
      <c r="K359" t="b">
        <f t="shared" si="25"/>
        <v>1</v>
      </c>
      <c r="L359">
        <f t="shared" si="26"/>
        <v>187.69039709380115</v>
      </c>
      <c r="M359">
        <f t="shared" si="27"/>
        <v>375.38079418760231</v>
      </c>
      <c r="N359">
        <f t="shared" si="28"/>
        <v>933.78307011841366</v>
      </c>
      <c r="O359" s="26">
        <f t="shared" si="29"/>
        <v>893.76379568476739</v>
      </c>
    </row>
    <row r="360" spans="1:15" x14ac:dyDescent="0.35">
      <c r="A360" t="s">
        <v>62</v>
      </c>
      <c r="B360">
        <v>10</v>
      </c>
      <c r="C360" t="s">
        <v>63</v>
      </c>
      <c r="D360">
        <v>55</v>
      </c>
      <c r="E360">
        <v>163.76825144447599</v>
      </c>
      <c r="F360">
        <v>22.2990184645173</v>
      </c>
      <c r="G360" t="s">
        <v>62</v>
      </c>
      <c r="H360">
        <v>10</v>
      </c>
      <c r="I360">
        <v>55</v>
      </c>
      <c r="J360">
        <v>6.4526794590037504</v>
      </c>
      <c r="K360" t="b">
        <f t="shared" si="25"/>
        <v>1</v>
      </c>
      <c r="L360">
        <f t="shared" si="26"/>
        <v>192.51994936799704</v>
      </c>
      <c r="M360">
        <f t="shared" si="27"/>
        <v>385.03989873599409</v>
      </c>
      <c r="N360">
        <f t="shared" si="28"/>
        <v>957.81069337311953</v>
      </c>
      <c r="O360" s="26">
        <f t="shared" si="29"/>
        <v>916.76166365712879</v>
      </c>
    </row>
    <row r="361" spans="1:15" x14ac:dyDescent="0.35">
      <c r="A361" t="s">
        <v>62</v>
      </c>
      <c r="B361">
        <v>10</v>
      </c>
      <c r="C361" t="s">
        <v>63</v>
      </c>
      <c r="D361">
        <v>56</v>
      </c>
      <c r="E361">
        <v>167.44670481323499</v>
      </c>
      <c r="F361">
        <v>23.034450151791301</v>
      </c>
      <c r="G361" t="s">
        <v>62</v>
      </c>
      <c r="H361">
        <v>10</v>
      </c>
      <c r="I361">
        <v>56</v>
      </c>
      <c r="J361">
        <v>6.6137238031607204</v>
      </c>
      <c r="K361" t="b">
        <f t="shared" si="25"/>
        <v>1</v>
      </c>
      <c r="L361">
        <f t="shared" si="26"/>
        <v>197.09487876818702</v>
      </c>
      <c r="M361">
        <f t="shared" si="27"/>
        <v>394.18975753637403</v>
      </c>
      <c r="N361">
        <f t="shared" si="28"/>
        <v>980.57153616013431</v>
      </c>
      <c r="O361" s="26">
        <f t="shared" si="29"/>
        <v>938.54704175327151</v>
      </c>
    </row>
    <row r="362" spans="1:15" x14ac:dyDescent="0.35">
      <c r="A362" t="s">
        <v>62</v>
      </c>
      <c r="B362">
        <v>10</v>
      </c>
      <c r="C362" t="s">
        <v>63</v>
      </c>
      <c r="D362">
        <v>57</v>
      </c>
      <c r="E362">
        <v>171.133842617852</v>
      </c>
      <c r="F362">
        <v>23.748834668858301</v>
      </c>
      <c r="G362" t="s">
        <v>62</v>
      </c>
      <c r="H362">
        <v>10</v>
      </c>
      <c r="I362">
        <v>57</v>
      </c>
      <c r="J362">
        <v>6.7728689683340804</v>
      </c>
      <c r="K362" t="b">
        <f t="shared" si="25"/>
        <v>1</v>
      </c>
      <c r="L362">
        <f t="shared" si="26"/>
        <v>201.65554625504438</v>
      </c>
      <c r="M362">
        <f t="shared" si="27"/>
        <v>403.31109251008877</v>
      </c>
      <c r="N362">
        <f t="shared" si="28"/>
        <v>1003.2614241544496</v>
      </c>
      <c r="O362" s="26">
        <f t="shared" si="29"/>
        <v>960.26450597640189</v>
      </c>
    </row>
    <row r="363" spans="1:15" x14ac:dyDescent="0.35">
      <c r="A363" t="s">
        <v>62</v>
      </c>
      <c r="B363">
        <v>10</v>
      </c>
      <c r="C363" t="s">
        <v>63</v>
      </c>
      <c r="D363">
        <v>58</v>
      </c>
      <c r="E363">
        <v>174.76151179537101</v>
      </c>
      <c r="F363">
        <v>24.4686264618095</v>
      </c>
      <c r="G363" t="s">
        <v>62</v>
      </c>
      <c r="H363">
        <v>10</v>
      </c>
      <c r="I363">
        <v>58</v>
      </c>
      <c r="J363">
        <v>6.9304849365508998</v>
      </c>
      <c r="K363" t="b">
        <f t="shared" si="25"/>
        <v>1</v>
      </c>
      <c r="L363">
        <f t="shared" si="26"/>
        <v>206.1606231937314</v>
      </c>
      <c r="M363">
        <f t="shared" si="27"/>
        <v>412.32124638746279</v>
      </c>
      <c r="N363">
        <f t="shared" si="28"/>
        <v>1025.6747422573701</v>
      </c>
      <c r="O363" s="26">
        <f t="shared" si="29"/>
        <v>981.71725330348283</v>
      </c>
    </row>
    <row r="364" spans="1:15" x14ac:dyDescent="0.35">
      <c r="A364" t="s">
        <v>62</v>
      </c>
      <c r="B364">
        <v>10</v>
      </c>
      <c r="C364" t="s">
        <v>63</v>
      </c>
      <c r="D364">
        <v>59</v>
      </c>
      <c r="E364">
        <v>178.36096710864399</v>
      </c>
      <c r="F364">
        <v>25.202902911403601</v>
      </c>
      <c r="G364" t="s">
        <v>62</v>
      </c>
      <c r="H364">
        <v>10</v>
      </c>
      <c r="I364">
        <v>59</v>
      </c>
      <c r="J364">
        <v>7.0866679308070903</v>
      </c>
      <c r="K364" t="b">
        <f t="shared" si="25"/>
        <v>1</v>
      </c>
      <c r="L364">
        <f t="shared" si="26"/>
        <v>210.6505379508547</v>
      </c>
      <c r="M364">
        <f t="shared" si="27"/>
        <v>421.3010759017094</v>
      </c>
      <c r="N364">
        <f t="shared" si="28"/>
        <v>1048.0126266211676</v>
      </c>
      <c r="O364" s="26">
        <f t="shared" si="29"/>
        <v>1003.0977997659747</v>
      </c>
    </row>
    <row r="365" spans="1:15" x14ac:dyDescent="0.35">
      <c r="A365" t="s">
        <v>62</v>
      </c>
      <c r="B365">
        <v>10</v>
      </c>
      <c r="C365" t="s">
        <v>63</v>
      </c>
      <c r="D365">
        <v>60</v>
      </c>
      <c r="E365">
        <v>181.92841167083</v>
      </c>
      <c r="F365">
        <v>25.954397967282901</v>
      </c>
      <c r="G365" t="s">
        <v>62</v>
      </c>
      <c r="H365">
        <v>10</v>
      </c>
      <c r="I365">
        <v>60</v>
      </c>
      <c r="J365">
        <v>7.24143121862679</v>
      </c>
      <c r="K365" t="b">
        <f t="shared" si="25"/>
        <v>1</v>
      </c>
      <c r="L365">
        <f t="shared" si="26"/>
        <v>215.1242408567397</v>
      </c>
      <c r="M365">
        <f t="shared" si="27"/>
        <v>430.24848171347941</v>
      </c>
      <c r="N365">
        <f t="shared" si="28"/>
        <v>1070.2698550086552</v>
      </c>
      <c r="O365" s="26">
        <f t="shared" si="29"/>
        <v>1024.4011469368559</v>
      </c>
    </row>
    <row r="366" spans="1:15" x14ac:dyDescent="0.35">
      <c r="A366" t="s">
        <v>62</v>
      </c>
      <c r="B366">
        <v>10</v>
      </c>
      <c r="C366" t="s">
        <v>63</v>
      </c>
      <c r="D366">
        <v>61</v>
      </c>
      <c r="E366">
        <v>185.25363147203001</v>
      </c>
      <c r="F366">
        <v>26.6155105618592</v>
      </c>
      <c r="G366" t="s">
        <v>62</v>
      </c>
      <c r="H366">
        <v>10</v>
      </c>
      <c r="I366">
        <v>61</v>
      </c>
      <c r="J366">
        <v>7.3919116981134998</v>
      </c>
      <c r="K366" t="b">
        <f t="shared" si="25"/>
        <v>1</v>
      </c>
      <c r="L366">
        <f t="shared" si="26"/>
        <v>219.26105373200269</v>
      </c>
      <c r="M366">
        <f t="shared" si="27"/>
        <v>438.52210746400539</v>
      </c>
      <c r="N366">
        <f t="shared" si="28"/>
        <v>1090.8510135920531</v>
      </c>
      <c r="O366" s="26">
        <f t="shared" si="29"/>
        <v>1044.1002558666796</v>
      </c>
    </row>
    <row r="367" spans="1:15" x14ac:dyDescent="0.35">
      <c r="A367" t="s">
        <v>62</v>
      </c>
      <c r="B367">
        <v>10</v>
      </c>
      <c r="C367" t="s">
        <v>63</v>
      </c>
      <c r="D367">
        <v>62</v>
      </c>
      <c r="E367">
        <v>188.59127227910699</v>
      </c>
      <c r="F367">
        <v>27.255735559233599</v>
      </c>
      <c r="G367" t="s">
        <v>62</v>
      </c>
      <c r="H367">
        <v>10</v>
      </c>
      <c r="I367">
        <v>62</v>
      </c>
      <c r="J367">
        <v>7.5397548345513403</v>
      </c>
      <c r="K367" t="b">
        <f t="shared" si="25"/>
        <v>1</v>
      </c>
      <c r="L367">
        <f t="shared" si="26"/>
        <v>223.3867626728919</v>
      </c>
      <c r="M367">
        <f t="shared" si="27"/>
        <v>446.77352534578381</v>
      </c>
      <c r="N367">
        <f t="shared" si="28"/>
        <v>1111.3769287208552</v>
      </c>
      <c r="O367" s="26">
        <f t="shared" si="29"/>
        <v>1063.746488918533</v>
      </c>
    </row>
    <row r="368" spans="1:15" x14ac:dyDescent="0.35">
      <c r="A368" t="s">
        <v>62</v>
      </c>
      <c r="B368">
        <v>10</v>
      </c>
      <c r="C368" t="s">
        <v>63</v>
      </c>
      <c r="D368">
        <v>63</v>
      </c>
      <c r="E368">
        <v>191.915546477421</v>
      </c>
      <c r="F368">
        <v>27.899441799145201</v>
      </c>
      <c r="G368" t="s">
        <v>62</v>
      </c>
      <c r="H368">
        <v>10</v>
      </c>
      <c r="I368">
        <v>63</v>
      </c>
      <c r="J368">
        <v>7.6856377638087503</v>
      </c>
      <c r="K368" t="b">
        <f t="shared" si="25"/>
        <v>1</v>
      </c>
      <c r="L368">
        <f t="shared" si="26"/>
        <v>227.50062604037495</v>
      </c>
      <c r="M368">
        <f t="shared" si="27"/>
        <v>455.00125208074991</v>
      </c>
      <c r="N368">
        <f t="shared" si="28"/>
        <v>1131.8439106486314</v>
      </c>
      <c r="O368" s="26">
        <f t="shared" si="29"/>
        <v>1083.336314477976</v>
      </c>
    </row>
    <row r="369" spans="1:15" x14ac:dyDescent="0.35">
      <c r="A369" t="s">
        <v>62</v>
      </c>
      <c r="B369">
        <v>10</v>
      </c>
      <c r="C369" t="s">
        <v>63</v>
      </c>
      <c r="D369">
        <v>64</v>
      </c>
      <c r="E369">
        <v>195.217228678899</v>
      </c>
      <c r="F369">
        <v>28.554803426656399</v>
      </c>
      <c r="G369" t="s">
        <v>62</v>
      </c>
      <c r="H369">
        <v>10</v>
      </c>
      <c r="I369">
        <v>64</v>
      </c>
      <c r="J369">
        <v>7.8298668286960904</v>
      </c>
      <c r="K369" t="b">
        <f t="shared" si="25"/>
        <v>1</v>
      </c>
      <c r="L369">
        <f t="shared" si="26"/>
        <v>231.60189893425149</v>
      </c>
      <c r="M369">
        <f t="shared" si="27"/>
        <v>463.20379786850299</v>
      </c>
      <c r="N369">
        <f t="shared" si="28"/>
        <v>1152.2482534042363</v>
      </c>
      <c r="O369" s="26">
        <f t="shared" si="29"/>
        <v>1102.8661854011975</v>
      </c>
    </row>
    <row r="370" spans="1:15" x14ac:dyDescent="0.35">
      <c r="A370" t="s">
        <v>62</v>
      </c>
      <c r="B370">
        <v>10</v>
      </c>
      <c r="C370" t="s">
        <v>63</v>
      </c>
      <c r="D370">
        <v>65</v>
      </c>
      <c r="E370">
        <v>198.49301732599699</v>
      </c>
      <c r="F370">
        <v>29.224225454581202</v>
      </c>
      <c r="G370" t="s">
        <v>62</v>
      </c>
      <c r="H370">
        <v>10</v>
      </c>
      <c r="I370">
        <v>65</v>
      </c>
      <c r="J370">
        <v>7.97259881222136</v>
      </c>
      <c r="K370" t="b">
        <f t="shared" si="25"/>
        <v>1</v>
      </c>
      <c r="L370">
        <f t="shared" si="26"/>
        <v>235.68984159279955</v>
      </c>
      <c r="M370">
        <f t="shared" si="27"/>
        <v>471.37968318559911</v>
      </c>
      <c r="N370">
        <f t="shared" si="28"/>
        <v>1172.5862765810923</v>
      </c>
      <c r="O370" s="26">
        <f t="shared" si="29"/>
        <v>1122.3325790133313</v>
      </c>
    </row>
    <row r="371" spans="1:15" x14ac:dyDescent="0.35">
      <c r="A371" t="s">
        <v>62</v>
      </c>
      <c r="B371">
        <v>10</v>
      </c>
      <c r="C371" t="s">
        <v>63</v>
      </c>
      <c r="D371">
        <v>66</v>
      </c>
      <c r="E371">
        <v>201.48062675224099</v>
      </c>
      <c r="F371">
        <v>29.795743749442298</v>
      </c>
      <c r="G371" t="s">
        <v>62</v>
      </c>
      <c r="H371">
        <v>10</v>
      </c>
      <c r="I371">
        <v>66</v>
      </c>
      <c r="J371">
        <v>8.1103540381583006</v>
      </c>
      <c r="K371" t="b">
        <f t="shared" si="25"/>
        <v>1</v>
      </c>
      <c r="L371">
        <f t="shared" si="26"/>
        <v>239.38672453984159</v>
      </c>
      <c r="M371">
        <f t="shared" si="27"/>
        <v>478.77344907968319</v>
      </c>
      <c r="N371">
        <f t="shared" si="28"/>
        <v>1190.9787290539382</v>
      </c>
      <c r="O371" s="26">
        <f t="shared" si="29"/>
        <v>1139.9367835230553</v>
      </c>
    </row>
    <row r="372" spans="1:15" x14ac:dyDescent="0.35">
      <c r="A372" t="s">
        <v>62</v>
      </c>
      <c r="B372">
        <v>10</v>
      </c>
      <c r="C372" t="s">
        <v>63</v>
      </c>
      <c r="D372">
        <v>67</v>
      </c>
      <c r="E372">
        <v>204.48757709922199</v>
      </c>
      <c r="F372">
        <v>30.342744602290001</v>
      </c>
      <c r="G372" t="s">
        <v>62</v>
      </c>
      <c r="H372">
        <v>10</v>
      </c>
      <c r="I372">
        <v>67</v>
      </c>
      <c r="J372">
        <v>8.2451087659564894</v>
      </c>
      <c r="K372" t="b">
        <f t="shared" si="25"/>
        <v>1</v>
      </c>
      <c r="L372">
        <f t="shared" si="26"/>
        <v>243.07543046746849</v>
      </c>
      <c r="M372">
        <f t="shared" si="27"/>
        <v>486.15086093493699</v>
      </c>
      <c r="N372">
        <f t="shared" si="28"/>
        <v>1209.3304998381516</v>
      </c>
      <c r="O372" s="26">
        <f t="shared" si="29"/>
        <v>1157.5020498450881</v>
      </c>
    </row>
    <row r="373" spans="1:15" x14ac:dyDescent="0.35">
      <c r="A373" t="s">
        <v>62</v>
      </c>
      <c r="B373">
        <v>10</v>
      </c>
      <c r="C373" t="s">
        <v>63</v>
      </c>
      <c r="D373">
        <v>68</v>
      </c>
      <c r="E373">
        <v>207.48725117544399</v>
      </c>
      <c r="F373">
        <v>30.890509672425502</v>
      </c>
      <c r="G373" t="s">
        <v>62</v>
      </c>
      <c r="H373">
        <v>10</v>
      </c>
      <c r="I373">
        <v>68</v>
      </c>
      <c r="J373">
        <v>8.3777377507595006</v>
      </c>
      <c r="K373" t="b">
        <f t="shared" si="25"/>
        <v>1</v>
      </c>
      <c r="L373">
        <f t="shared" si="26"/>
        <v>246.755498598629</v>
      </c>
      <c r="M373">
        <f t="shared" si="27"/>
        <v>493.51099719725801</v>
      </c>
      <c r="N373">
        <f t="shared" si="28"/>
        <v>1227.639296510592</v>
      </c>
      <c r="O373" s="26">
        <f t="shared" si="29"/>
        <v>1175.0261838029953</v>
      </c>
    </row>
    <row r="374" spans="1:15" x14ac:dyDescent="0.35">
      <c r="A374" t="s">
        <v>62</v>
      </c>
      <c r="B374">
        <v>10</v>
      </c>
      <c r="C374" t="s">
        <v>63</v>
      </c>
      <c r="D374">
        <v>69</v>
      </c>
      <c r="E374">
        <v>210.470330188519</v>
      </c>
      <c r="F374">
        <v>31.447416014417001</v>
      </c>
      <c r="G374" t="s">
        <v>62</v>
      </c>
      <c r="H374">
        <v>10</v>
      </c>
      <c r="I374">
        <v>69</v>
      </c>
      <c r="J374">
        <v>8.5086738862251394</v>
      </c>
      <c r="K374" t="b">
        <f t="shared" si="25"/>
        <v>1</v>
      </c>
      <c r="L374">
        <f t="shared" si="26"/>
        <v>250.42642008916113</v>
      </c>
      <c r="M374">
        <f t="shared" si="27"/>
        <v>500.85284017832225</v>
      </c>
      <c r="N374">
        <f t="shared" si="28"/>
        <v>1245.9025875082643</v>
      </c>
      <c r="O374" s="26">
        <f t="shared" si="29"/>
        <v>1192.5067623293387</v>
      </c>
    </row>
    <row r="375" spans="1:15" x14ac:dyDescent="0.35">
      <c r="A375" t="s">
        <v>62</v>
      </c>
      <c r="B375">
        <v>10</v>
      </c>
      <c r="C375" t="s">
        <v>63</v>
      </c>
      <c r="D375">
        <v>70</v>
      </c>
      <c r="E375">
        <v>213.433555999486</v>
      </c>
      <c r="F375">
        <v>32.015939256768597</v>
      </c>
      <c r="G375" t="s">
        <v>62</v>
      </c>
      <c r="H375">
        <v>10</v>
      </c>
      <c r="I375">
        <v>70</v>
      </c>
      <c r="J375">
        <v>8.6381584816212396</v>
      </c>
      <c r="K375" t="b">
        <f t="shared" si="25"/>
        <v>1</v>
      </c>
      <c r="L375">
        <f t="shared" si="26"/>
        <v>254.08765373787585</v>
      </c>
      <c r="M375">
        <f t="shared" si="27"/>
        <v>508.17530747575171</v>
      </c>
      <c r="N375">
        <f t="shared" si="28"/>
        <v>1264.1176802879395</v>
      </c>
      <c r="O375" s="26">
        <f t="shared" si="29"/>
        <v>1209.9412082755994</v>
      </c>
    </row>
    <row r="376" spans="1:15" x14ac:dyDescent="0.35">
      <c r="A376" t="s">
        <v>62</v>
      </c>
      <c r="B376">
        <v>10</v>
      </c>
      <c r="C376" t="s">
        <v>63</v>
      </c>
      <c r="D376">
        <v>71</v>
      </c>
      <c r="E376">
        <v>216.08509004356</v>
      </c>
      <c r="F376">
        <v>32.491626082248303</v>
      </c>
      <c r="G376" t="s">
        <v>62</v>
      </c>
      <c r="H376">
        <v>10</v>
      </c>
      <c r="I376">
        <v>71</v>
      </c>
      <c r="J376">
        <v>8.7623651333572603</v>
      </c>
      <c r="K376" t="b">
        <f t="shared" si="25"/>
        <v>1</v>
      </c>
      <c r="L376">
        <f t="shared" si="26"/>
        <v>257.33908125916554</v>
      </c>
      <c r="M376">
        <f t="shared" si="27"/>
        <v>514.67816251833108</v>
      </c>
      <c r="N376">
        <f t="shared" si="28"/>
        <v>1280.2939366127639</v>
      </c>
      <c r="O376" s="26">
        <f t="shared" si="29"/>
        <v>1225.4241964722169</v>
      </c>
    </row>
    <row r="377" spans="1:15" x14ac:dyDescent="0.35">
      <c r="A377" t="s">
        <v>62</v>
      </c>
      <c r="B377">
        <v>10</v>
      </c>
      <c r="C377" t="s">
        <v>63</v>
      </c>
      <c r="D377">
        <v>72</v>
      </c>
      <c r="E377">
        <v>218.75780381276201</v>
      </c>
      <c r="F377">
        <v>32.943928044783704</v>
      </c>
      <c r="G377" t="s">
        <v>62</v>
      </c>
      <c r="H377">
        <v>10</v>
      </c>
      <c r="I377">
        <v>72</v>
      </c>
      <c r="J377">
        <v>8.8833971058810697</v>
      </c>
      <c r="K377" t="b">
        <f t="shared" si="25"/>
        <v>1</v>
      </c>
      <c r="L377">
        <f t="shared" si="26"/>
        <v>260.58512896342677</v>
      </c>
      <c r="M377">
        <f t="shared" si="27"/>
        <v>521.17025792685354</v>
      </c>
      <c r="N377">
        <f t="shared" si="28"/>
        <v>1296.4434276787401</v>
      </c>
      <c r="O377" s="26">
        <f t="shared" si="29"/>
        <v>1240.8815664925085</v>
      </c>
    </row>
    <row r="378" spans="1:15" x14ac:dyDescent="0.35">
      <c r="A378" t="s">
        <v>62</v>
      </c>
      <c r="B378">
        <v>10</v>
      </c>
      <c r="C378" t="s">
        <v>63</v>
      </c>
      <c r="D378">
        <v>73</v>
      </c>
      <c r="E378">
        <v>221.42694595445599</v>
      </c>
      <c r="F378">
        <v>33.396369695704102</v>
      </c>
      <c r="G378" t="s">
        <v>62</v>
      </c>
      <c r="H378">
        <v>10</v>
      </c>
      <c r="I378">
        <v>73</v>
      </c>
      <c r="J378">
        <v>9.0022349105733408</v>
      </c>
      <c r="K378" t="b">
        <f t="shared" si="25"/>
        <v>1</v>
      </c>
      <c r="L378">
        <f t="shared" si="26"/>
        <v>263.8255505607334</v>
      </c>
      <c r="M378">
        <f t="shared" si="27"/>
        <v>527.65110112146681</v>
      </c>
      <c r="N378">
        <f t="shared" si="28"/>
        <v>1312.5649281628528</v>
      </c>
      <c r="O378" s="26">
        <f t="shared" si="29"/>
        <v>1256.3121455273019</v>
      </c>
    </row>
    <row r="379" spans="1:15" x14ac:dyDescent="0.35">
      <c r="A379" t="s">
        <v>62</v>
      </c>
      <c r="B379">
        <v>10</v>
      </c>
      <c r="C379" t="s">
        <v>63</v>
      </c>
      <c r="D379">
        <v>74</v>
      </c>
      <c r="E379">
        <v>224.08399983343699</v>
      </c>
      <c r="F379">
        <v>33.856621258250101</v>
      </c>
      <c r="G379" t="s">
        <v>62</v>
      </c>
      <c r="H379">
        <v>10</v>
      </c>
      <c r="I379">
        <v>74</v>
      </c>
      <c r="J379">
        <v>9.1193906969326193</v>
      </c>
      <c r="K379" t="b">
        <f t="shared" si="25"/>
        <v>1</v>
      </c>
      <c r="L379">
        <f t="shared" si="26"/>
        <v>267.0600117886197</v>
      </c>
      <c r="M379">
        <f t="shared" si="27"/>
        <v>534.12002357723941</v>
      </c>
      <c r="N379">
        <f t="shared" si="28"/>
        <v>1328.6567750677596</v>
      </c>
      <c r="O379" s="26">
        <f t="shared" si="29"/>
        <v>1271.71434185057</v>
      </c>
    </row>
    <row r="380" spans="1:15" x14ac:dyDescent="0.35">
      <c r="A380" t="s">
        <v>62</v>
      </c>
      <c r="B380">
        <v>10</v>
      </c>
      <c r="C380" t="s">
        <v>63</v>
      </c>
      <c r="D380">
        <v>75</v>
      </c>
      <c r="E380">
        <v>226.726040303834</v>
      </c>
      <c r="F380">
        <v>34.326912197558102</v>
      </c>
      <c r="G380" t="s">
        <v>62</v>
      </c>
      <c r="H380">
        <v>10</v>
      </c>
      <c r="I380">
        <v>75</v>
      </c>
      <c r="J380">
        <v>9.2351625685516208</v>
      </c>
      <c r="K380" t="b">
        <f t="shared" si="25"/>
        <v>1</v>
      </c>
      <c r="L380">
        <f t="shared" si="26"/>
        <v>270.28811506994373</v>
      </c>
      <c r="M380">
        <f t="shared" si="27"/>
        <v>540.57623013988746</v>
      </c>
      <c r="N380">
        <f t="shared" si="28"/>
        <v>1344.7169903977299</v>
      </c>
      <c r="O380" s="26">
        <f t="shared" si="29"/>
        <v>1287.0862622378272</v>
      </c>
    </row>
    <row r="381" spans="1:15" x14ac:dyDescent="0.35">
      <c r="A381" t="s">
        <v>62</v>
      </c>
      <c r="B381">
        <v>10</v>
      </c>
      <c r="C381" t="s">
        <v>63</v>
      </c>
      <c r="D381">
        <v>76</v>
      </c>
      <c r="E381">
        <v>229.073954987044</v>
      </c>
      <c r="F381">
        <v>34.717176177610703</v>
      </c>
      <c r="G381" t="s">
        <v>62</v>
      </c>
      <c r="H381">
        <v>10</v>
      </c>
      <c r="I381">
        <v>76</v>
      </c>
      <c r="J381">
        <v>9.3459364014992303</v>
      </c>
      <c r="K381" t="b">
        <f t="shared" si="25"/>
        <v>1</v>
      </c>
      <c r="L381">
        <f t="shared" si="26"/>
        <v>273.13706756615392</v>
      </c>
      <c r="M381">
        <f t="shared" si="27"/>
        <v>546.27413513230783</v>
      </c>
      <c r="N381">
        <f t="shared" si="28"/>
        <v>1358.890883413701</v>
      </c>
      <c r="O381" s="26">
        <f t="shared" si="29"/>
        <v>1300.6527026959711</v>
      </c>
    </row>
    <row r="382" spans="1:15" x14ac:dyDescent="0.35">
      <c r="A382" t="s">
        <v>62</v>
      </c>
      <c r="B382">
        <v>10</v>
      </c>
      <c r="C382" t="s">
        <v>63</v>
      </c>
      <c r="D382">
        <v>77</v>
      </c>
      <c r="E382">
        <v>231.44137388339999</v>
      </c>
      <c r="F382">
        <v>35.087942986777897</v>
      </c>
      <c r="G382" t="s">
        <v>62</v>
      </c>
      <c r="H382">
        <v>10</v>
      </c>
      <c r="I382">
        <v>77</v>
      </c>
      <c r="J382">
        <v>9.4536905114570899</v>
      </c>
      <c r="K382" t="b">
        <f t="shared" si="25"/>
        <v>1</v>
      </c>
      <c r="L382">
        <f t="shared" si="26"/>
        <v>275.98300738163493</v>
      </c>
      <c r="M382">
        <f t="shared" si="27"/>
        <v>551.96601476326987</v>
      </c>
      <c r="N382">
        <f t="shared" si="28"/>
        <v>1373.049787968333</v>
      </c>
      <c r="O382" s="26">
        <f t="shared" si="29"/>
        <v>1314.2047970554045</v>
      </c>
    </row>
    <row r="383" spans="1:15" x14ac:dyDescent="0.35">
      <c r="A383" t="s">
        <v>62</v>
      </c>
      <c r="B383">
        <v>10</v>
      </c>
      <c r="C383" t="s">
        <v>63</v>
      </c>
      <c r="D383">
        <v>78</v>
      </c>
      <c r="E383">
        <v>233.80701509756801</v>
      </c>
      <c r="F383">
        <v>35.459396825813599</v>
      </c>
      <c r="G383" t="s">
        <v>62</v>
      </c>
      <c r="H383">
        <v>10</v>
      </c>
      <c r="I383">
        <v>78</v>
      </c>
      <c r="J383">
        <v>9.5593760164258992</v>
      </c>
      <c r="K383" t="b">
        <f t="shared" si="25"/>
        <v>1</v>
      </c>
      <c r="L383">
        <f t="shared" si="26"/>
        <v>278.82578793980753</v>
      </c>
      <c r="M383">
        <f t="shared" si="27"/>
        <v>557.65157587961505</v>
      </c>
      <c r="N383">
        <f t="shared" si="28"/>
        <v>1387.1929748249129</v>
      </c>
      <c r="O383" s="26">
        <f t="shared" si="29"/>
        <v>1327.7418473324169</v>
      </c>
    </row>
    <row r="384" spans="1:15" x14ac:dyDescent="0.35">
      <c r="A384" t="s">
        <v>62</v>
      </c>
      <c r="B384">
        <v>10</v>
      </c>
      <c r="C384" t="s">
        <v>63</v>
      </c>
      <c r="D384">
        <v>79</v>
      </c>
      <c r="E384">
        <v>236.16365846699901</v>
      </c>
      <c r="F384">
        <v>35.837999560216403</v>
      </c>
      <c r="G384" t="s">
        <v>62</v>
      </c>
      <c r="H384">
        <v>10</v>
      </c>
      <c r="I384">
        <v>79</v>
      </c>
      <c r="J384">
        <v>9.6635050634300104</v>
      </c>
      <c r="K384" t="b">
        <f t="shared" si="25"/>
        <v>1</v>
      </c>
      <c r="L384">
        <f t="shared" si="26"/>
        <v>281.66516309064542</v>
      </c>
      <c r="M384">
        <f t="shared" si="27"/>
        <v>563.33032618129084</v>
      </c>
      <c r="N384">
        <f t="shared" si="28"/>
        <v>1401.3192193564448</v>
      </c>
      <c r="O384" s="26">
        <f t="shared" si="29"/>
        <v>1341.2626813840259</v>
      </c>
    </row>
    <row r="385" spans="1:15" x14ac:dyDescent="0.35">
      <c r="A385" t="s">
        <v>62</v>
      </c>
      <c r="B385">
        <v>10</v>
      </c>
      <c r="C385" t="s">
        <v>63</v>
      </c>
      <c r="D385">
        <v>80</v>
      </c>
      <c r="E385">
        <v>238.508859290251</v>
      </c>
      <c r="F385">
        <v>36.2255712922952</v>
      </c>
      <c r="G385" t="s">
        <v>62</v>
      </c>
      <c r="H385">
        <v>10</v>
      </c>
      <c r="I385">
        <v>80</v>
      </c>
      <c r="J385">
        <v>9.7663828387507206</v>
      </c>
      <c r="K385" t="b">
        <f t="shared" si="25"/>
        <v>1</v>
      </c>
      <c r="L385">
        <f t="shared" si="26"/>
        <v>284.50081342129693</v>
      </c>
      <c r="M385">
        <f t="shared" si="27"/>
        <v>569.00162684259385</v>
      </c>
      <c r="N385">
        <f t="shared" si="28"/>
        <v>1415.4269324442632</v>
      </c>
      <c r="O385" s="26">
        <f t="shared" si="29"/>
        <v>1354.765778196652</v>
      </c>
    </row>
    <row r="386" spans="1:15" x14ac:dyDescent="0.35">
      <c r="A386" t="s">
        <v>62</v>
      </c>
      <c r="B386">
        <v>10</v>
      </c>
      <c r="C386" t="s">
        <v>63</v>
      </c>
      <c r="D386">
        <v>81</v>
      </c>
      <c r="E386">
        <v>240.542413423829</v>
      </c>
      <c r="F386">
        <v>36.557680517570702</v>
      </c>
      <c r="G386" t="s">
        <v>62</v>
      </c>
      <c r="H386">
        <v>10</v>
      </c>
      <c r="I386">
        <v>81</v>
      </c>
      <c r="J386">
        <v>9.8641116708623002</v>
      </c>
      <c r="K386" t="b">
        <f t="shared" ref="K386:K449" si="30">H386=B386</f>
        <v>1</v>
      </c>
      <c r="L386">
        <f t="shared" ref="L386:L449" si="31">E386+F386+J386</f>
        <v>286.96420561226199</v>
      </c>
      <c r="M386">
        <f t="shared" ref="M386:M449" si="32">L386*2</f>
        <v>573.92841122452398</v>
      </c>
      <c r="N386">
        <f t="shared" ref="N386:N449" si="33">M386/(1-0.598)</f>
        <v>1427.682614986378</v>
      </c>
      <c r="O386" s="26">
        <f t="shared" ref="O386:O449" si="34">M386/0.42</f>
        <v>1366.4962172012476</v>
      </c>
    </row>
    <row r="387" spans="1:15" x14ac:dyDescent="0.35">
      <c r="A387" t="s">
        <v>62</v>
      </c>
      <c r="B387">
        <v>10</v>
      </c>
      <c r="C387" t="s">
        <v>63</v>
      </c>
      <c r="D387">
        <v>82</v>
      </c>
      <c r="E387">
        <v>242.588266019343</v>
      </c>
      <c r="F387">
        <v>36.877874642580501</v>
      </c>
      <c r="G387" t="s">
        <v>62</v>
      </c>
      <c r="H387">
        <v>10</v>
      </c>
      <c r="I387">
        <v>82</v>
      </c>
      <c r="J387">
        <v>9.9586290838448406</v>
      </c>
      <c r="K387" t="b">
        <f t="shared" si="30"/>
        <v>1</v>
      </c>
      <c r="L387">
        <f t="shared" si="31"/>
        <v>289.42476974576834</v>
      </c>
      <c r="M387">
        <f t="shared" si="32"/>
        <v>578.84953949153669</v>
      </c>
      <c r="N387">
        <f t="shared" si="33"/>
        <v>1439.9242275908873</v>
      </c>
      <c r="O387" s="26">
        <f t="shared" si="34"/>
        <v>1378.2131892655636</v>
      </c>
    </row>
    <row r="388" spans="1:15" x14ac:dyDescent="0.35">
      <c r="A388" t="s">
        <v>62</v>
      </c>
      <c r="B388">
        <v>10</v>
      </c>
      <c r="C388" t="s">
        <v>63</v>
      </c>
      <c r="D388">
        <v>83</v>
      </c>
      <c r="E388">
        <v>244.63123838525399</v>
      </c>
      <c r="F388">
        <v>37.200428544050801</v>
      </c>
      <c r="G388" t="s">
        <v>62</v>
      </c>
      <c r="H388">
        <v>10</v>
      </c>
      <c r="I388">
        <v>83</v>
      </c>
      <c r="J388">
        <v>10.0509407900652</v>
      </c>
      <c r="K388" t="b">
        <f t="shared" si="30"/>
        <v>1</v>
      </c>
      <c r="L388">
        <f t="shared" si="31"/>
        <v>291.88260771937001</v>
      </c>
      <c r="M388">
        <f t="shared" si="32"/>
        <v>583.76521543874003</v>
      </c>
      <c r="N388">
        <f t="shared" si="33"/>
        <v>1452.152277210796</v>
      </c>
      <c r="O388" s="26">
        <f t="shared" si="34"/>
        <v>1389.9171796160476</v>
      </c>
    </row>
    <row r="389" spans="1:15" x14ac:dyDescent="0.35">
      <c r="A389" t="s">
        <v>62</v>
      </c>
      <c r="B389">
        <v>10</v>
      </c>
      <c r="C389" t="s">
        <v>63</v>
      </c>
      <c r="D389">
        <v>84</v>
      </c>
      <c r="E389">
        <v>246.66623454307501</v>
      </c>
      <c r="F389">
        <v>37.529787760574898</v>
      </c>
      <c r="G389" t="s">
        <v>62</v>
      </c>
      <c r="H389">
        <v>10</v>
      </c>
      <c r="I389">
        <v>84</v>
      </c>
      <c r="J389">
        <v>10.1416207702606</v>
      </c>
      <c r="K389" t="b">
        <f t="shared" si="30"/>
        <v>1</v>
      </c>
      <c r="L389">
        <f t="shared" si="31"/>
        <v>294.3376430739105</v>
      </c>
      <c r="M389">
        <f t="shared" si="32"/>
        <v>588.675286147821</v>
      </c>
      <c r="N389">
        <f t="shared" si="33"/>
        <v>1464.3663834522908</v>
      </c>
      <c r="O389" s="26">
        <f t="shared" si="34"/>
        <v>1401.6078241614787</v>
      </c>
    </row>
    <row r="390" spans="1:15" x14ac:dyDescent="0.35">
      <c r="A390" t="s">
        <v>62</v>
      </c>
      <c r="B390">
        <v>10</v>
      </c>
      <c r="C390" t="s">
        <v>63</v>
      </c>
      <c r="D390">
        <v>85</v>
      </c>
      <c r="E390">
        <v>248.69154260396999</v>
      </c>
      <c r="F390">
        <v>37.867115399247702</v>
      </c>
      <c r="G390" t="s">
        <v>62</v>
      </c>
      <c r="H390">
        <v>10</v>
      </c>
      <c r="I390">
        <v>85</v>
      </c>
      <c r="J390">
        <v>10.2310229009524</v>
      </c>
      <c r="K390" t="b">
        <f t="shared" si="30"/>
        <v>1</v>
      </c>
      <c r="L390">
        <f t="shared" si="31"/>
        <v>296.7896809041701</v>
      </c>
      <c r="M390">
        <f t="shared" si="32"/>
        <v>593.5793618083402</v>
      </c>
      <c r="N390">
        <f t="shared" si="33"/>
        <v>1476.5655766376622</v>
      </c>
      <c r="O390" s="26">
        <f t="shared" si="34"/>
        <v>1413.2841947817624</v>
      </c>
    </row>
    <row r="391" spans="1:15" x14ac:dyDescent="0.35">
      <c r="A391" t="s">
        <v>62</v>
      </c>
      <c r="B391">
        <v>10</v>
      </c>
      <c r="C391" t="s">
        <v>63</v>
      </c>
      <c r="D391">
        <v>86</v>
      </c>
      <c r="E391">
        <v>250.462102117809</v>
      </c>
      <c r="F391">
        <v>38.123878226551497</v>
      </c>
      <c r="G391" t="s">
        <v>62</v>
      </c>
      <c r="H391">
        <v>10</v>
      </c>
      <c r="I391">
        <v>86</v>
      </c>
      <c r="J391">
        <v>10.316034849063</v>
      </c>
      <c r="K391" t="b">
        <f t="shared" si="30"/>
        <v>1</v>
      </c>
      <c r="L391">
        <f t="shared" si="31"/>
        <v>298.90201519342349</v>
      </c>
      <c r="M391">
        <f t="shared" si="32"/>
        <v>597.80403038684699</v>
      </c>
      <c r="N391">
        <f t="shared" si="33"/>
        <v>1487.0747024548432</v>
      </c>
      <c r="O391" s="26">
        <f t="shared" si="34"/>
        <v>1423.3429294924929</v>
      </c>
    </row>
    <row r="392" spans="1:15" x14ac:dyDescent="0.35">
      <c r="A392" t="s">
        <v>62</v>
      </c>
      <c r="B392">
        <v>10</v>
      </c>
      <c r="C392" t="s">
        <v>63</v>
      </c>
      <c r="D392">
        <v>87</v>
      </c>
      <c r="E392">
        <v>252.256346307288</v>
      </c>
      <c r="F392">
        <v>38.360356579189101</v>
      </c>
      <c r="G392" t="s">
        <v>62</v>
      </c>
      <c r="H392">
        <v>10</v>
      </c>
      <c r="I392">
        <v>87</v>
      </c>
      <c r="J392">
        <v>10.398476731633901</v>
      </c>
      <c r="K392" t="b">
        <f t="shared" si="30"/>
        <v>1</v>
      </c>
      <c r="L392">
        <f t="shared" si="31"/>
        <v>301.01517961811101</v>
      </c>
      <c r="M392">
        <f t="shared" si="32"/>
        <v>602.03035923622201</v>
      </c>
      <c r="N392">
        <f t="shared" si="33"/>
        <v>1497.5879582990597</v>
      </c>
      <c r="O392" s="26">
        <f t="shared" si="34"/>
        <v>1433.4056172291</v>
      </c>
    </row>
    <row r="393" spans="1:15" x14ac:dyDescent="0.35">
      <c r="A393" t="s">
        <v>62</v>
      </c>
      <c r="B393">
        <v>10</v>
      </c>
      <c r="C393" t="s">
        <v>63</v>
      </c>
      <c r="D393">
        <v>88</v>
      </c>
      <c r="E393">
        <v>254.053561539951</v>
      </c>
      <c r="F393">
        <v>38.596248970297701</v>
      </c>
      <c r="G393" t="s">
        <v>62</v>
      </c>
      <c r="H393">
        <v>10</v>
      </c>
      <c r="I393">
        <v>88</v>
      </c>
      <c r="J393">
        <v>10.4792114368556</v>
      </c>
      <c r="K393" t="b">
        <f t="shared" si="30"/>
        <v>1</v>
      </c>
      <c r="L393">
        <f t="shared" si="31"/>
        <v>303.12902194710432</v>
      </c>
      <c r="M393">
        <f t="shared" si="32"/>
        <v>606.25804389420864</v>
      </c>
      <c r="N393">
        <f t="shared" si="33"/>
        <v>1508.104586801514</v>
      </c>
      <c r="O393" s="26">
        <f t="shared" si="34"/>
        <v>1443.4715330814493</v>
      </c>
    </row>
    <row r="394" spans="1:15" x14ac:dyDescent="0.35">
      <c r="A394" t="s">
        <v>62</v>
      </c>
      <c r="B394">
        <v>10</v>
      </c>
      <c r="C394" t="s">
        <v>63</v>
      </c>
      <c r="D394">
        <v>89</v>
      </c>
      <c r="E394">
        <v>255.84687271802099</v>
      </c>
      <c r="F394">
        <v>38.837758562489199</v>
      </c>
      <c r="G394" t="s">
        <v>62</v>
      </c>
      <c r="H394">
        <v>10</v>
      </c>
      <c r="I394">
        <v>89</v>
      </c>
      <c r="J394">
        <v>10.5587015092174</v>
      </c>
      <c r="K394" t="b">
        <f t="shared" si="30"/>
        <v>1</v>
      </c>
      <c r="L394">
        <f t="shared" si="31"/>
        <v>305.24333278972756</v>
      </c>
      <c r="M394">
        <f t="shared" si="32"/>
        <v>610.48666557945512</v>
      </c>
      <c r="N394">
        <f t="shared" si="33"/>
        <v>1518.62354621755</v>
      </c>
      <c r="O394" s="26">
        <f t="shared" si="34"/>
        <v>1453.5396799510836</v>
      </c>
    </row>
    <row r="395" spans="1:15" x14ac:dyDescent="0.35">
      <c r="A395" t="s">
        <v>62</v>
      </c>
      <c r="B395">
        <v>10</v>
      </c>
      <c r="C395" t="s">
        <v>63</v>
      </c>
      <c r="D395">
        <v>90</v>
      </c>
      <c r="E395">
        <v>257.63400239485799</v>
      </c>
      <c r="F395">
        <v>39.0866216625082</v>
      </c>
      <c r="G395" t="s">
        <v>62</v>
      </c>
      <c r="H395">
        <v>10</v>
      </c>
      <c r="I395">
        <v>90</v>
      </c>
      <c r="J395">
        <v>10.637223321698499</v>
      </c>
      <c r="K395" t="b">
        <f t="shared" si="30"/>
        <v>1</v>
      </c>
      <c r="L395">
        <f t="shared" si="31"/>
        <v>307.35784737906471</v>
      </c>
      <c r="M395">
        <f t="shared" si="32"/>
        <v>614.71569475812942</v>
      </c>
      <c r="N395">
        <f t="shared" si="33"/>
        <v>1529.1435192988292</v>
      </c>
      <c r="O395" s="26">
        <f t="shared" si="34"/>
        <v>1463.6087970431654</v>
      </c>
    </row>
    <row r="396" spans="1:15" x14ac:dyDescent="0.35">
      <c r="A396" t="s">
        <v>62</v>
      </c>
      <c r="B396">
        <v>10</v>
      </c>
      <c r="C396" t="s">
        <v>63</v>
      </c>
      <c r="D396">
        <v>91</v>
      </c>
      <c r="E396">
        <v>259.15425797034402</v>
      </c>
      <c r="F396">
        <v>39.281440369805701</v>
      </c>
      <c r="G396" t="s">
        <v>62</v>
      </c>
      <c r="H396">
        <v>10</v>
      </c>
      <c r="I396">
        <v>91</v>
      </c>
      <c r="J396">
        <v>10.711401104931699</v>
      </c>
      <c r="K396" t="b">
        <f t="shared" si="30"/>
        <v>1</v>
      </c>
      <c r="L396">
        <f t="shared" si="31"/>
        <v>309.14709944508144</v>
      </c>
      <c r="M396">
        <f t="shared" si="32"/>
        <v>618.29419889016287</v>
      </c>
      <c r="N396">
        <f t="shared" si="33"/>
        <v>1538.0452708710518</v>
      </c>
      <c r="O396" s="26">
        <f t="shared" si="34"/>
        <v>1472.1290449765784</v>
      </c>
    </row>
    <row r="397" spans="1:15" x14ac:dyDescent="0.35">
      <c r="A397" t="s">
        <v>62</v>
      </c>
      <c r="B397">
        <v>10</v>
      </c>
      <c r="C397" t="s">
        <v>63</v>
      </c>
      <c r="D397">
        <v>92</v>
      </c>
      <c r="E397">
        <v>260.69048428987003</v>
      </c>
      <c r="F397">
        <v>39.464343636727001</v>
      </c>
      <c r="G397" t="s">
        <v>62</v>
      </c>
      <c r="H397">
        <v>10</v>
      </c>
      <c r="I397">
        <v>92</v>
      </c>
      <c r="J397">
        <v>10.7829453581839</v>
      </c>
      <c r="K397" t="b">
        <f t="shared" si="30"/>
        <v>1</v>
      </c>
      <c r="L397">
        <f t="shared" si="31"/>
        <v>310.93777328478092</v>
      </c>
      <c r="M397">
        <f t="shared" si="32"/>
        <v>621.87554656956183</v>
      </c>
      <c r="N397">
        <f t="shared" si="33"/>
        <v>1546.9540959441836</v>
      </c>
      <c r="O397" s="26">
        <f t="shared" si="34"/>
        <v>1480.6560632608616</v>
      </c>
    </row>
    <row r="398" spans="1:15" x14ac:dyDescent="0.35">
      <c r="A398" t="s">
        <v>62</v>
      </c>
      <c r="B398">
        <v>10</v>
      </c>
      <c r="C398" t="s">
        <v>63</v>
      </c>
      <c r="D398">
        <v>93</v>
      </c>
      <c r="E398">
        <v>262.22828546547697</v>
      </c>
      <c r="F398">
        <v>39.648896206927297</v>
      </c>
      <c r="G398" t="s">
        <v>62</v>
      </c>
      <c r="H398">
        <v>10</v>
      </c>
      <c r="I398">
        <v>93</v>
      </c>
      <c r="J398">
        <v>10.852731766865601</v>
      </c>
      <c r="K398" t="b">
        <f t="shared" si="30"/>
        <v>1</v>
      </c>
      <c r="L398">
        <f t="shared" si="31"/>
        <v>312.72991343926986</v>
      </c>
      <c r="M398">
        <f t="shared" si="32"/>
        <v>625.45982687853973</v>
      </c>
      <c r="N398">
        <f t="shared" si="33"/>
        <v>1555.8702161157703</v>
      </c>
      <c r="O398" s="26">
        <f t="shared" si="34"/>
        <v>1489.1900639965231</v>
      </c>
    </row>
    <row r="399" spans="1:15" x14ac:dyDescent="0.35">
      <c r="A399" t="s">
        <v>62</v>
      </c>
      <c r="B399">
        <v>10</v>
      </c>
      <c r="C399" t="s">
        <v>63</v>
      </c>
      <c r="D399">
        <v>94</v>
      </c>
      <c r="E399">
        <v>263.762923688098</v>
      </c>
      <c r="F399">
        <v>39.839253643516798</v>
      </c>
      <c r="G399" t="s">
        <v>62</v>
      </c>
      <c r="H399">
        <v>10</v>
      </c>
      <c r="I399">
        <v>94</v>
      </c>
      <c r="J399">
        <v>10.9212569707539</v>
      </c>
      <c r="K399" t="b">
        <f t="shared" si="30"/>
        <v>1</v>
      </c>
      <c r="L399">
        <f t="shared" si="31"/>
        <v>314.52343430236874</v>
      </c>
      <c r="M399">
        <f t="shared" si="32"/>
        <v>629.04686860473748</v>
      </c>
      <c r="N399">
        <f t="shared" si="33"/>
        <v>1564.7932054844216</v>
      </c>
      <c r="O399" s="26">
        <f t="shared" si="34"/>
        <v>1497.7306395350893</v>
      </c>
    </row>
    <row r="400" spans="1:15" x14ac:dyDescent="0.35">
      <c r="A400" t="s">
        <v>62</v>
      </c>
      <c r="B400">
        <v>10</v>
      </c>
      <c r="C400" t="s">
        <v>63</v>
      </c>
      <c r="D400">
        <v>95</v>
      </c>
      <c r="E400">
        <v>265.29284271306</v>
      </c>
      <c r="F400">
        <v>40.0364876167909</v>
      </c>
      <c r="G400" t="s">
        <v>62</v>
      </c>
      <c r="H400">
        <v>10</v>
      </c>
      <c r="I400">
        <v>95</v>
      </c>
      <c r="J400">
        <v>10.988826875323699</v>
      </c>
      <c r="K400" t="b">
        <f t="shared" si="30"/>
        <v>1</v>
      </c>
      <c r="L400">
        <f t="shared" si="31"/>
        <v>316.3181572051746</v>
      </c>
      <c r="M400">
        <f t="shared" si="32"/>
        <v>632.6363144103492</v>
      </c>
      <c r="N400">
        <f t="shared" si="33"/>
        <v>1573.7221751501222</v>
      </c>
      <c r="O400" s="26">
        <f t="shared" si="34"/>
        <v>1506.2769390722601</v>
      </c>
    </row>
    <row r="401" spans="1:15" x14ac:dyDescent="0.35">
      <c r="A401" t="s">
        <v>62</v>
      </c>
      <c r="B401">
        <v>10</v>
      </c>
      <c r="C401" t="s">
        <v>63</v>
      </c>
      <c r="D401">
        <v>96</v>
      </c>
      <c r="E401">
        <v>266.565067002452</v>
      </c>
      <c r="F401">
        <v>40.172224898594997</v>
      </c>
      <c r="G401" t="s">
        <v>62</v>
      </c>
      <c r="H401">
        <v>10</v>
      </c>
      <c r="I401">
        <v>96</v>
      </c>
      <c r="J401">
        <v>11.052188997869001</v>
      </c>
      <c r="K401" t="b">
        <f t="shared" si="30"/>
        <v>1</v>
      </c>
      <c r="L401">
        <f t="shared" si="31"/>
        <v>317.789480898916</v>
      </c>
      <c r="M401">
        <f t="shared" si="32"/>
        <v>635.57896179783199</v>
      </c>
      <c r="N401">
        <f t="shared" si="33"/>
        <v>1581.0421935269451</v>
      </c>
      <c r="O401" s="26">
        <f t="shared" si="34"/>
        <v>1513.2832423757905</v>
      </c>
    </row>
    <row r="402" spans="1:15" x14ac:dyDescent="0.35">
      <c r="A402" t="s">
        <v>62</v>
      </c>
      <c r="B402">
        <v>10</v>
      </c>
      <c r="C402" t="s">
        <v>63</v>
      </c>
      <c r="D402">
        <v>97</v>
      </c>
      <c r="E402">
        <v>267.857236678162</v>
      </c>
      <c r="F402">
        <v>40.293673544177203</v>
      </c>
      <c r="G402" t="s">
        <v>62</v>
      </c>
      <c r="H402">
        <v>10</v>
      </c>
      <c r="I402">
        <v>97</v>
      </c>
      <c r="J402">
        <v>11.1130613061763</v>
      </c>
      <c r="K402" t="b">
        <f t="shared" si="30"/>
        <v>1</v>
      </c>
      <c r="L402">
        <f t="shared" si="31"/>
        <v>319.26397152851547</v>
      </c>
      <c r="M402">
        <f t="shared" si="32"/>
        <v>638.52794305703094</v>
      </c>
      <c r="N402">
        <f t="shared" si="33"/>
        <v>1588.3779678035594</v>
      </c>
      <c r="O402" s="26">
        <f t="shared" si="34"/>
        <v>1520.3046263262643</v>
      </c>
    </row>
    <row r="403" spans="1:15" x14ac:dyDescent="0.35">
      <c r="A403" t="s">
        <v>62</v>
      </c>
      <c r="B403">
        <v>10</v>
      </c>
      <c r="C403" t="s">
        <v>63</v>
      </c>
      <c r="D403">
        <v>98</v>
      </c>
      <c r="E403">
        <v>269.15335665506501</v>
      </c>
      <c r="F403">
        <v>40.415963945412003</v>
      </c>
      <c r="G403" t="s">
        <v>62</v>
      </c>
      <c r="H403">
        <v>10</v>
      </c>
      <c r="I403">
        <v>98</v>
      </c>
      <c r="J403">
        <v>11.1723032721841</v>
      </c>
      <c r="K403" t="b">
        <f t="shared" si="30"/>
        <v>1</v>
      </c>
      <c r="L403">
        <f t="shared" si="31"/>
        <v>320.74162387266108</v>
      </c>
      <c r="M403">
        <f t="shared" si="32"/>
        <v>641.48324774532216</v>
      </c>
      <c r="N403">
        <f t="shared" si="33"/>
        <v>1595.7294720032889</v>
      </c>
      <c r="O403" s="26">
        <f t="shared" si="34"/>
        <v>1527.3410660602908</v>
      </c>
    </row>
    <row r="404" spans="1:15" x14ac:dyDescent="0.35">
      <c r="A404" t="s">
        <v>62</v>
      </c>
      <c r="B404">
        <v>10</v>
      </c>
      <c r="C404" t="s">
        <v>63</v>
      </c>
      <c r="D404">
        <v>99</v>
      </c>
      <c r="E404">
        <v>270.44819958798701</v>
      </c>
      <c r="F404">
        <v>40.543736063109002</v>
      </c>
      <c r="G404" t="s">
        <v>62</v>
      </c>
      <c r="H404">
        <v>10</v>
      </c>
      <c r="I404">
        <v>99</v>
      </c>
      <c r="J404">
        <v>11.230395104974001</v>
      </c>
      <c r="K404" t="b">
        <f t="shared" si="30"/>
        <v>1</v>
      </c>
      <c r="L404">
        <f t="shared" si="31"/>
        <v>322.22233075606999</v>
      </c>
      <c r="M404">
        <f t="shared" si="32"/>
        <v>644.44466151213999</v>
      </c>
      <c r="N404">
        <f t="shared" si="33"/>
        <v>1603.0961729157709</v>
      </c>
      <c r="O404" s="26">
        <f t="shared" si="34"/>
        <v>1534.3920512193811</v>
      </c>
    </row>
    <row r="405" spans="1:15" x14ac:dyDescent="0.35">
      <c r="A405" t="s">
        <v>62</v>
      </c>
      <c r="B405">
        <v>10</v>
      </c>
      <c r="C405" t="s">
        <v>63</v>
      </c>
      <c r="D405">
        <v>100</v>
      </c>
      <c r="E405">
        <v>271.74005962620703</v>
      </c>
      <c r="F405">
        <v>40.678214695993702</v>
      </c>
      <c r="G405" t="s">
        <v>62</v>
      </c>
      <c r="H405">
        <v>10</v>
      </c>
      <c r="I405">
        <v>100</v>
      </c>
      <c r="J405">
        <v>11.287630422296701</v>
      </c>
      <c r="K405" t="b">
        <f t="shared" si="30"/>
        <v>1</v>
      </c>
      <c r="L405">
        <f t="shared" si="31"/>
        <v>323.70590474449739</v>
      </c>
      <c r="M405">
        <f t="shared" si="32"/>
        <v>647.41180948899478</v>
      </c>
      <c r="N405">
        <f t="shared" si="33"/>
        <v>1610.4771380323252</v>
      </c>
      <c r="O405" s="26">
        <f t="shared" si="34"/>
        <v>1541.4566892595114</v>
      </c>
    </row>
    <row r="406" spans="1:15" x14ac:dyDescent="0.35">
      <c r="A406" t="s">
        <v>62</v>
      </c>
      <c r="B406">
        <v>12</v>
      </c>
      <c r="C406" t="s">
        <v>63</v>
      </c>
      <c r="D406">
        <v>0</v>
      </c>
      <c r="E406">
        <v>0</v>
      </c>
      <c r="F406">
        <v>0</v>
      </c>
      <c r="G406" t="s">
        <v>62</v>
      </c>
      <c r="H406">
        <v>12</v>
      </c>
      <c r="I406">
        <v>0</v>
      </c>
      <c r="J406">
        <v>0</v>
      </c>
      <c r="K406" t="b">
        <f t="shared" si="30"/>
        <v>1</v>
      </c>
      <c r="L406">
        <f t="shared" si="31"/>
        <v>0</v>
      </c>
      <c r="M406">
        <f t="shared" si="32"/>
        <v>0</v>
      </c>
      <c r="N406">
        <f t="shared" si="33"/>
        <v>0</v>
      </c>
      <c r="O406" s="26">
        <f t="shared" si="34"/>
        <v>0</v>
      </c>
    </row>
    <row r="407" spans="1:15" x14ac:dyDescent="0.35">
      <c r="A407" t="s">
        <v>62</v>
      </c>
      <c r="B407">
        <v>12</v>
      </c>
      <c r="C407" t="s">
        <v>63</v>
      </c>
      <c r="D407">
        <v>1</v>
      </c>
      <c r="E407">
        <v>0.14943111761057601</v>
      </c>
      <c r="F407" s="19">
        <v>5.9335513951802002E-4</v>
      </c>
      <c r="G407" t="s">
        <v>62</v>
      </c>
      <c r="H407">
        <v>12</v>
      </c>
      <c r="I407">
        <v>1</v>
      </c>
      <c r="J407">
        <v>2.01978771187765E-3</v>
      </c>
      <c r="K407" t="b">
        <f t="shared" si="30"/>
        <v>1</v>
      </c>
      <c r="L407">
        <f t="shared" si="31"/>
        <v>0.1520442604619717</v>
      </c>
      <c r="M407">
        <f t="shared" si="32"/>
        <v>0.3040885209239434</v>
      </c>
      <c r="N407">
        <f t="shared" si="33"/>
        <v>0.75643910677597859</v>
      </c>
      <c r="O407" s="26">
        <f t="shared" si="34"/>
        <v>0.72402028791415096</v>
      </c>
    </row>
    <row r="408" spans="1:15" x14ac:dyDescent="0.35">
      <c r="A408" t="s">
        <v>62</v>
      </c>
      <c r="B408">
        <v>12</v>
      </c>
      <c r="C408" t="s">
        <v>63</v>
      </c>
      <c r="D408">
        <v>2</v>
      </c>
      <c r="E408">
        <v>0.33622001462379703</v>
      </c>
      <c r="F408">
        <v>1.91060354924802E-3</v>
      </c>
      <c r="G408" t="s">
        <v>62</v>
      </c>
      <c r="H408">
        <v>12</v>
      </c>
      <c r="I408">
        <v>2</v>
      </c>
      <c r="J408">
        <v>5.8423442057745903E-3</v>
      </c>
      <c r="K408" t="b">
        <f t="shared" si="30"/>
        <v>1</v>
      </c>
      <c r="L408">
        <f t="shared" si="31"/>
        <v>0.34397296237881964</v>
      </c>
      <c r="M408">
        <f t="shared" si="32"/>
        <v>0.68794592475763927</v>
      </c>
      <c r="N408">
        <f t="shared" si="33"/>
        <v>1.7113082705413911</v>
      </c>
      <c r="O408" s="26">
        <f t="shared" si="34"/>
        <v>1.6379664875181887</v>
      </c>
    </row>
    <row r="409" spans="1:15" x14ac:dyDescent="0.35">
      <c r="A409" t="s">
        <v>62</v>
      </c>
      <c r="B409">
        <v>12</v>
      </c>
      <c r="C409" t="s">
        <v>63</v>
      </c>
      <c r="D409">
        <v>3</v>
      </c>
      <c r="E409">
        <v>0.56970613589032304</v>
      </c>
      <c r="F409">
        <v>4.11545191218304E-3</v>
      </c>
      <c r="G409" t="s">
        <v>62</v>
      </c>
      <c r="H409">
        <v>12</v>
      </c>
      <c r="I409">
        <v>3</v>
      </c>
      <c r="J409">
        <v>1.1475093441080501E-2</v>
      </c>
      <c r="K409" t="b">
        <f t="shared" si="30"/>
        <v>1</v>
      </c>
      <c r="L409">
        <f t="shared" si="31"/>
        <v>0.58529668124358658</v>
      </c>
      <c r="M409">
        <f t="shared" si="32"/>
        <v>1.1705933624871732</v>
      </c>
      <c r="N409">
        <f t="shared" si="33"/>
        <v>2.9119237872815251</v>
      </c>
      <c r="O409" s="26">
        <f t="shared" si="34"/>
        <v>2.7871270535408885</v>
      </c>
    </row>
    <row r="410" spans="1:15" x14ac:dyDescent="0.35">
      <c r="A410" t="s">
        <v>62</v>
      </c>
      <c r="B410">
        <v>12</v>
      </c>
      <c r="C410" t="s">
        <v>63</v>
      </c>
      <c r="D410">
        <v>4</v>
      </c>
      <c r="E410">
        <v>0.86156378747348095</v>
      </c>
      <c r="F410">
        <v>7.4130515811011303E-3</v>
      </c>
      <c r="G410" t="s">
        <v>62</v>
      </c>
      <c r="H410">
        <v>12</v>
      </c>
      <c r="I410">
        <v>4</v>
      </c>
      <c r="J410">
        <v>1.90929451891667E-2</v>
      </c>
      <c r="K410" t="b">
        <f t="shared" si="30"/>
        <v>1</v>
      </c>
      <c r="L410">
        <f t="shared" si="31"/>
        <v>0.88806978424374883</v>
      </c>
      <c r="M410">
        <f t="shared" si="32"/>
        <v>1.7761395684874977</v>
      </c>
      <c r="N410">
        <f t="shared" si="33"/>
        <v>4.4182576330534769</v>
      </c>
      <c r="O410" s="26">
        <f t="shared" si="34"/>
        <v>4.2289037344940423</v>
      </c>
    </row>
    <row r="411" spans="1:15" x14ac:dyDescent="0.35">
      <c r="A411" t="s">
        <v>62</v>
      </c>
      <c r="B411">
        <v>12</v>
      </c>
      <c r="C411" t="s">
        <v>63</v>
      </c>
      <c r="D411">
        <v>5</v>
      </c>
      <c r="E411">
        <v>1.22638585195242</v>
      </c>
      <c r="F411">
        <v>1.20603442060406E-2</v>
      </c>
      <c r="G411" t="s">
        <v>62</v>
      </c>
      <c r="H411">
        <v>12</v>
      </c>
      <c r="I411">
        <v>5</v>
      </c>
      <c r="J411">
        <v>2.9014319633302501E-2</v>
      </c>
      <c r="K411" t="b">
        <f t="shared" si="30"/>
        <v>1</v>
      </c>
      <c r="L411">
        <f t="shared" si="31"/>
        <v>1.2674605157917631</v>
      </c>
      <c r="M411">
        <f t="shared" si="32"/>
        <v>2.5349210315835262</v>
      </c>
      <c r="N411">
        <f t="shared" si="33"/>
        <v>6.3057737104067817</v>
      </c>
      <c r="O411" s="26">
        <f t="shared" si="34"/>
        <v>6.0355262656750623</v>
      </c>
    </row>
    <row r="412" spans="1:15" x14ac:dyDescent="0.35">
      <c r="A412" t="s">
        <v>62</v>
      </c>
      <c r="B412">
        <v>12</v>
      </c>
      <c r="C412" t="s">
        <v>63</v>
      </c>
      <c r="D412">
        <v>6</v>
      </c>
      <c r="E412">
        <v>1.68241343255111</v>
      </c>
      <c r="F412">
        <v>1.8378994234842998E-2</v>
      </c>
      <c r="G412" t="s">
        <v>62</v>
      </c>
      <c r="H412">
        <v>12</v>
      </c>
      <c r="I412">
        <v>6</v>
      </c>
      <c r="J412">
        <v>4.1698362082418297E-2</v>
      </c>
      <c r="K412" t="b">
        <f t="shared" si="30"/>
        <v>1</v>
      </c>
      <c r="L412">
        <f t="shared" si="31"/>
        <v>1.7424907888683712</v>
      </c>
      <c r="M412">
        <f t="shared" si="32"/>
        <v>3.4849815777367423</v>
      </c>
      <c r="N412">
        <f t="shared" si="33"/>
        <v>8.6691084023302043</v>
      </c>
      <c r="O412" s="26">
        <f t="shared" si="34"/>
        <v>8.2975751850874815</v>
      </c>
    </row>
    <row r="413" spans="1:15" x14ac:dyDescent="0.35">
      <c r="A413" t="s">
        <v>62</v>
      </c>
      <c r="B413">
        <v>12</v>
      </c>
      <c r="C413" t="s">
        <v>63</v>
      </c>
      <c r="D413">
        <v>7</v>
      </c>
      <c r="E413">
        <v>2.2524479082994602</v>
      </c>
      <c r="F413">
        <v>2.6771554991045301E-2</v>
      </c>
      <c r="G413" t="s">
        <v>62</v>
      </c>
      <c r="H413">
        <v>12</v>
      </c>
      <c r="I413">
        <v>7</v>
      </c>
      <c r="J413">
        <v>5.7757182371766497E-2</v>
      </c>
      <c r="K413" t="b">
        <f t="shared" si="30"/>
        <v>1</v>
      </c>
      <c r="L413">
        <f t="shared" si="31"/>
        <v>2.336976645662272</v>
      </c>
      <c r="M413">
        <f t="shared" si="32"/>
        <v>4.6739532913245441</v>
      </c>
      <c r="N413">
        <f t="shared" si="33"/>
        <v>11.626749480906826</v>
      </c>
      <c r="O413" s="26">
        <f t="shared" si="34"/>
        <v>11.128460217439391</v>
      </c>
    </row>
    <row r="414" spans="1:15" x14ac:dyDescent="0.35">
      <c r="A414" t="s">
        <v>62</v>
      </c>
      <c r="B414">
        <v>12</v>
      </c>
      <c r="C414" t="s">
        <v>63</v>
      </c>
      <c r="D414">
        <v>8</v>
      </c>
      <c r="E414">
        <v>2.96499100298491</v>
      </c>
      <c r="F414">
        <v>3.7741676709891502E-2</v>
      </c>
      <c r="G414" t="s">
        <v>62</v>
      </c>
      <c r="H414">
        <v>12</v>
      </c>
      <c r="I414">
        <v>8</v>
      </c>
      <c r="J414">
        <v>7.79803011958798E-2</v>
      </c>
      <c r="K414" t="b">
        <f t="shared" si="30"/>
        <v>1</v>
      </c>
      <c r="L414">
        <f t="shared" si="31"/>
        <v>3.0807129808906817</v>
      </c>
      <c r="M414">
        <f t="shared" si="32"/>
        <v>6.1614259617813634</v>
      </c>
      <c r="N414">
        <f t="shared" si="33"/>
        <v>15.32693025318747</v>
      </c>
      <c r="O414" s="26">
        <f t="shared" si="34"/>
        <v>14.670061813765152</v>
      </c>
    </row>
    <row r="415" spans="1:15" x14ac:dyDescent="0.35">
      <c r="A415" t="s">
        <v>62</v>
      </c>
      <c r="B415">
        <v>12</v>
      </c>
      <c r="C415" t="s">
        <v>63</v>
      </c>
      <c r="D415">
        <v>9</v>
      </c>
      <c r="E415">
        <v>3.8556698713416999</v>
      </c>
      <c r="F415">
        <v>5.1919367008834601E-2</v>
      </c>
      <c r="G415" t="s">
        <v>62</v>
      </c>
      <c r="H415">
        <v>12</v>
      </c>
      <c r="I415">
        <v>9</v>
      </c>
      <c r="J415">
        <v>0.10337057254338899</v>
      </c>
      <c r="K415" t="b">
        <f t="shared" si="30"/>
        <v>1</v>
      </c>
      <c r="L415">
        <f t="shared" si="31"/>
        <v>4.0109598108939233</v>
      </c>
      <c r="M415">
        <f t="shared" si="32"/>
        <v>8.0219196217878466</v>
      </c>
      <c r="N415">
        <f t="shared" si="33"/>
        <v>19.955023934795637</v>
      </c>
      <c r="O415" s="26">
        <f t="shared" si="34"/>
        <v>19.099808623304398</v>
      </c>
    </row>
    <row r="416" spans="1:15" x14ac:dyDescent="0.35">
      <c r="A416" t="s">
        <v>62</v>
      </c>
      <c r="B416">
        <v>12</v>
      </c>
      <c r="C416" t="s">
        <v>63</v>
      </c>
      <c r="D416">
        <v>10</v>
      </c>
      <c r="E416">
        <v>4.96901845678771</v>
      </c>
      <c r="F416">
        <v>7.0092566888387497E-2</v>
      </c>
      <c r="G416" t="s">
        <v>62</v>
      </c>
      <c r="H416">
        <v>12</v>
      </c>
      <c r="I416">
        <v>10</v>
      </c>
      <c r="J416">
        <v>0.13519226518351199</v>
      </c>
      <c r="K416" t="b">
        <f t="shared" si="30"/>
        <v>1</v>
      </c>
      <c r="L416">
        <f t="shared" si="31"/>
        <v>5.1743032888596092</v>
      </c>
      <c r="M416">
        <f t="shared" si="32"/>
        <v>10.348606577719218</v>
      </c>
      <c r="N416">
        <f t="shared" si="33"/>
        <v>25.742802432137356</v>
      </c>
      <c r="O416" s="26">
        <f t="shared" si="34"/>
        <v>24.639539470760045</v>
      </c>
    </row>
    <row r="417" spans="1:15" x14ac:dyDescent="0.35">
      <c r="A417" t="s">
        <v>62</v>
      </c>
      <c r="B417">
        <v>12</v>
      </c>
      <c r="C417" t="s">
        <v>63</v>
      </c>
      <c r="D417">
        <v>11</v>
      </c>
      <c r="E417">
        <v>6.3607041885952098</v>
      </c>
      <c r="F417">
        <v>9.3246621133526206E-2</v>
      </c>
      <c r="G417" t="s">
        <v>62</v>
      </c>
      <c r="H417">
        <v>12</v>
      </c>
      <c r="I417">
        <v>11</v>
      </c>
      <c r="J417">
        <v>0.175033072138887</v>
      </c>
      <c r="K417" t="b">
        <f t="shared" si="30"/>
        <v>1</v>
      </c>
      <c r="L417">
        <f t="shared" si="31"/>
        <v>6.6289838818676232</v>
      </c>
      <c r="M417">
        <f t="shared" si="32"/>
        <v>13.257967763735246</v>
      </c>
      <c r="N417">
        <f t="shared" si="33"/>
        <v>32.980019312774246</v>
      </c>
      <c r="O417" s="26">
        <f t="shared" si="34"/>
        <v>31.566589913655349</v>
      </c>
    </row>
    <row r="418" spans="1:15" x14ac:dyDescent="0.35">
      <c r="A418" t="s">
        <v>62</v>
      </c>
      <c r="B418">
        <v>12</v>
      </c>
      <c r="C418" t="s">
        <v>63</v>
      </c>
      <c r="D418">
        <v>12</v>
      </c>
      <c r="E418">
        <v>8.1003113533546092</v>
      </c>
      <c r="F418">
        <v>0.122613616703776</v>
      </c>
      <c r="G418" t="s">
        <v>62</v>
      </c>
      <c r="H418">
        <v>12</v>
      </c>
      <c r="I418">
        <v>12</v>
      </c>
      <c r="J418">
        <v>0.22488278568317899</v>
      </c>
      <c r="K418" t="b">
        <f t="shared" si="30"/>
        <v>1</v>
      </c>
      <c r="L418">
        <f t="shared" si="31"/>
        <v>8.4478077557415645</v>
      </c>
      <c r="M418">
        <f t="shared" si="32"/>
        <v>16.895615511483129</v>
      </c>
      <c r="N418">
        <f t="shared" si="33"/>
        <v>42.02889430717196</v>
      </c>
      <c r="O418" s="26">
        <f t="shared" si="34"/>
        <v>40.227655979721739</v>
      </c>
    </row>
    <row r="419" spans="1:15" x14ac:dyDescent="0.35">
      <c r="A419" t="s">
        <v>62</v>
      </c>
      <c r="B419">
        <v>12</v>
      </c>
      <c r="C419" t="s">
        <v>63</v>
      </c>
      <c r="D419">
        <v>13</v>
      </c>
      <c r="E419">
        <v>10.2748203093038</v>
      </c>
      <c r="F419">
        <v>0.15973405609750099</v>
      </c>
      <c r="G419" t="s">
        <v>62</v>
      </c>
      <c r="H419">
        <v>12</v>
      </c>
      <c r="I419">
        <v>13</v>
      </c>
      <c r="J419">
        <v>0.28723236379920802</v>
      </c>
      <c r="K419" t="b">
        <f t="shared" si="30"/>
        <v>1</v>
      </c>
      <c r="L419">
        <f t="shared" si="31"/>
        <v>10.72178672920051</v>
      </c>
      <c r="M419">
        <f t="shared" si="32"/>
        <v>21.443573458401019</v>
      </c>
      <c r="N419">
        <f t="shared" si="33"/>
        <v>53.342222533335864</v>
      </c>
      <c r="O419" s="26">
        <f t="shared" si="34"/>
        <v>51.056127281907187</v>
      </c>
    </row>
    <row r="420" spans="1:15" x14ac:dyDescent="0.35">
      <c r="A420" t="s">
        <v>62</v>
      </c>
      <c r="B420">
        <v>12</v>
      </c>
      <c r="C420" t="s">
        <v>63</v>
      </c>
      <c r="D420">
        <v>14</v>
      </c>
      <c r="E420">
        <v>12.992956504240301</v>
      </c>
      <c r="F420">
        <v>0.206533949422642</v>
      </c>
      <c r="G420" t="s">
        <v>62</v>
      </c>
      <c r="H420">
        <v>12</v>
      </c>
      <c r="I420">
        <v>14</v>
      </c>
      <c r="J420">
        <v>0.36519822209913</v>
      </c>
      <c r="K420" t="b">
        <f t="shared" si="30"/>
        <v>1</v>
      </c>
      <c r="L420">
        <f t="shared" si="31"/>
        <v>13.564688675762072</v>
      </c>
      <c r="M420">
        <f t="shared" si="32"/>
        <v>27.129377351524145</v>
      </c>
      <c r="N420">
        <f t="shared" si="33"/>
        <v>67.486013312249113</v>
      </c>
      <c r="O420" s="26">
        <f t="shared" si="34"/>
        <v>64.59375559886702</v>
      </c>
    </row>
    <row r="421" spans="1:15" x14ac:dyDescent="0.35">
      <c r="A421" t="s">
        <v>62</v>
      </c>
      <c r="B421">
        <v>12</v>
      </c>
      <c r="C421" t="s">
        <v>63</v>
      </c>
      <c r="D421">
        <v>15</v>
      </c>
      <c r="E421">
        <v>16.329722727272699</v>
      </c>
      <c r="F421">
        <v>0.26517934457632603</v>
      </c>
      <c r="G421" t="s">
        <v>62</v>
      </c>
      <c r="H421">
        <v>12</v>
      </c>
      <c r="I421">
        <v>15</v>
      </c>
      <c r="J421">
        <v>0.46185468702271498</v>
      </c>
      <c r="K421" t="b">
        <f t="shared" si="30"/>
        <v>1</v>
      </c>
      <c r="L421">
        <f t="shared" si="31"/>
        <v>17.056756758871739</v>
      </c>
      <c r="M421">
        <f t="shared" si="32"/>
        <v>34.113513517743478</v>
      </c>
      <c r="N421">
        <f t="shared" si="33"/>
        <v>84.859486362545965</v>
      </c>
      <c r="O421" s="26">
        <f t="shared" si="34"/>
        <v>81.222651232722569</v>
      </c>
    </row>
    <row r="422" spans="1:15" x14ac:dyDescent="0.35">
      <c r="A422" t="s">
        <v>62</v>
      </c>
      <c r="B422">
        <v>12</v>
      </c>
      <c r="C422" t="s">
        <v>63</v>
      </c>
      <c r="D422">
        <v>16</v>
      </c>
      <c r="E422">
        <v>19.804131818181698</v>
      </c>
      <c r="F422">
        <v>0.33586142332994501</v>
      </c>
      <c r="G422" t="s">
        <v>62</v>
      </c>
      <c r="H422">
        <v>12</v>
      </c>
      <c r="I422">
        <v>16</v>
      </c>
      <c r="J422">
        <v>0.57274873495093803</v>
      </c>
      <c r="K422" t="b">
        <f t="shared" si="30"/>
        <v>1</v>
      </c>
      <c r="L422">
        <f t="shared" si="31"/>
        <v>20.712741976462581</v>
      </c>
      <c r="M422">
        <f t="shared" si="32"/>
        <v>41.425483952925163</v>
      </c>
      <c r="N422">
        <f t="shared" si="33"/>
        <v>103.04846754458995</v>
      </c>
      <c r="O422" s="26">
        <f t="shared" si="34"/>
        <v>98.632104649821812</v>
      </c>
    </row>
    <row r="423" spans="1:15" x14ac:dyDescent="0.35">
      <c r="A423" t="s">
        <v>62</v>
      </c>
      <c r="B423">
        <v>12</v>
      </c>
      <c r="C423" t="s">
        <v>63</v>
      </c>
      <c r="D423">
        <v>17</v>
      </c>
      <c r="E423">
        <v>23.2785409090908</v>
      </c>
      <c r="F423">
        <v>0.41821908517550099</v>
      </c>
      <c r="G423" t="s">
        <v>62</v>
      </c>
      <c r="H423">
        <v>12</v>
      </c>
      <c r="I423">
        <v>17</v>
      </c>
      <c r="J423">
        <v>0.69324140594323203</v>
      </c>
      <c r="K423" t="b">
        <f t="shared" si="30"/>
        <v>1</v>
      </c>
      <c r="L423">
        <f t="shared" si="31"/>
        <v>24.390001400209535</v>
      </c>
      <c r="M423">
        <f t="shared" si="32"/>
        <v>48.780002800419069</v>
      </c>
      <c r="N423">
        <f t="shared" si="33"/>
        <v>121.34329054830613</v>
      </c>
      <c r="O423" s="26">
        <f t="shared" si="34"/>
        <v>116.1428638105216</v>
      </c>
    </row>
    <row r="424" spans="1:15" x14ac:dyDescent="0.35">
      <c r="A424" t="s">
        <v>62</v>
      </c>
      <c r="B424">
        <v>12</v>
      </c>
      <c r="C424" t="s">
        <v>63</v>
      </c>
      <c r="D424">
        <v>18</v>
      </c>
      <c r="E424">
        <v>26.752949999999998</v>
      </c>
      <c r="F424">
        <v>0.51190206262023596</v>
      </c>
      <c r="G424" t="s">
        <v>62</v>
      </c>
      <c r="H424">
        <v>12</v>
      </c>
      <c r="I424">
        <v>18</v>
      </c>
      <c r="J424">
        <v>0.820364857452341</v>
      </c>
      <c r="K424" t="b">
        <f t="shared" si="30"/>
        <v>1</v>
      </c>
      <c r="L424">
        <f t="shared" si="31"/>
        <v>28.085216920072575</v>
      </c>
      <c r="M424">
        <f t="shared" si="32"/>
        <v>56.170433840145151</v>
      </c>
      <c r="N424">
        <f t="shared" si="33"/>
        <v>139.72744736354514</v>
      </c>
      <c r="O424" s="26">
        <f t="shared" si="34"/>
        <v>133.73912819082179</v>
      </c>
    </row>
    <row r="425" spans="1:15" x14ac:dyDescent="0.35">
      <c r="A425" t="s">
        <v>62</v>
      </c>
      <c r="B425">
        <v>12</v>
      </c>
      <c r="C425" t="s">
        <v>63</v>
      </c>
      <c r="D425">
        <v>19</v>
      </c>
      <c r="E425">
        <v>30.925692000000002</v>
      </c>
      <c r="F425">
        <v>0.61934350874162902</v>
      </c>
      <c r="G425" t="s">
        <v>62</v>
      </c>
      <c r="H425">
        <v>12</v>
      </c>
      <c r="I425">
        <v>19</v>
      </c>
      <c r="J425">
        <v>0.96161285748692704</v>
      </c>
      <c r="K425" t="b">
        <f t="shared" si="30"/>
        <v>1</v>
      </c>
      <c r="L425">
        <f t="shared" si="31"/>
        <v>32.506648366228561</v>
      </c>
      <c r="M425">
        <f t="shared" si="32"/>
        <v>65.013296732457121</v>
      </c>
      <c r="N425">
        <f t="shared" si="33"/>
        <v>161.72461873745553</v>
      </c>
      <c r="O425" s="26">
        <f t="shared" si="34"/>
        <v>154.79356364870745</v>
      </c>
    </row>
    <row r="426" spans="1:15" x14ac:dyDescent="0.35">
      <c r="A426" t="s">
        <v>62</v>
      </c>
      <c r="B426">
        <v>12</v>
      </c>
      <c r="C426" t="s">
        <v>63</v>
      </c>
      <c r="D426">
        <v>20</v>
      </c>
      <c r="E426">
        <v>35.098433999999997</v>
      </c>
      <c r="F426">
        <v>0.74013066947938</v>
      </c>
      <c r="G426" t="s">
        <v>62</v>
      </c>
      <c r="H426">
        <v>12</v>
      </c>
      <c r="I426">
        <v>20</v>
      </c>
      <c r="J426">
        <v>1.1123042095889799</v>
      </c>
      <c r="K426" t="b">
        <f t="shared" si="30"/>
        <v>1</v>
      </c>
      <c r="L426">
        <f t="shared" si="31"/>
        <v>36.950868879068352</v>
      </c>
      <c r="M426">
        <f t="shared" si="32"/>
        <v>73.901737758136704</v>
      </c>
      <c r="N426">
        <f t="shared" si="33"/>
        <v>183.83516855257886</v>
      </c>
      <c r="O426" s="26">
        <f t="shared" si="34"/>
        <v>175.95651847175407</v>
      </c>
    </row>
    <row r="427" spans="1:15" x14ac:dyDescent="0.35">
      <c r="A427" t="s">
        <v>62</v>
      </c>
      <c r="B427">
        <v>12</v>
      </c>
      <c r="C427" t="s">
        <v>63</v>
      </c>
      <c r="D427">
        <v>21</v>
      </c>
      <c r="E427">
        <v>39.271175999999997</v>
      </c>
      <c r="F427">
        <v>0.87386317339499897</v>
      </c>
      <c r="G427" t="s">
        <v>62</v>
      </c>
      <c r="H427">
        <v>12</v>
      </c>
      <c r="I427">
        <v>21</v>
      </c>
      <c r="J427">
        <v>1.26946710035252</v>
      </c>
      <c r="K427" t="b">
        <f t="shared" si="30"/>
        <v>1</v>
      </c>
      <c r="L427">
        <f t="shared" si="31"/>
        <v>41.41450627374752</v>
      </c>
      <c r="M427">
        <f t="shared" si="32"/>
        <v>82.82901254749504</v>
      </c>
      <c r="N427">
        <f t="shared" si="33"/>
        <v>206.04231976988814</v>
      </c>
      <c r="O427" s="26">
        <f t="shared" si="34"/>
        <v>197.21193463689295</v>
      </c>
    </row>
    <row r="428" spans="1:15" x14ac:dyDescent="0.35">
      <c r="A428" t="s">
        <v>62</v>
      </c>
      <c r="B428">
        <v>12</v>
      </c>
      <c r="C428" t="s">
        <v>63</v>
      </c>
      <c r="D428">
        <v>22</v>
      </c>
      <c r="E428">
        <v>43.443917999999996</v>
      </c>
      <c r="F428">
        <v>1.0201526601931501</v>
      </c>
      <c r="G428" t="s">
        <v>62</v>
      </c>
      <c r="H428">
        <v>12</v>
      </c>
      <c r="I428">
        <v>22</v>
      </c>
      <c r="J428">
        <v>1.4311696379997301</v>
      </c>
      <c r="K428" t="b">
        <f t="shared" si="30"/>
        <v>1</v>
      </c>
      <c r="L428">
        <f t="shared" si="31"/>
        <v>45.895240298192874</v>
      </c>
      <c r="M428">
        <f t="shared" si="32"/>
        <v>91.790480596385748</v>
      </c>
      <c r="N428">
        <f t="shared" si="33"/>
        <v>228.33452884673071</v>
      </c>
      <c r="O428" s="26">
        <f t="shared" si="34"/>
        <v>218.54876332472799</v>
      </c>
    </row>
    <row r="429" spans="1:15" x14ac:dyDescent="0.35">
      <c r="A429" t="s">
        <v>62</v>
      </c>
      <c r="B429">
        <v>12</v>
      </c>
      <c r="C429" t="s">
        <v>63</v>
      </c>
      <c r="D429">
        <v>23</v>
      </c>
      <c r="E429">
        <v>47.616660000000003</v>
      </c>
      <c r="F429">
        <v>1.1786224203873501</v>
      </c>
      <c r="G429" t="s">
        <v>62</v>
      </c>
      <c r="H429">
        <v>12</v>
      </c>
      <c r="I429">
        <v>23</v>
      </c>
      <c r="J429">
        <v>1.5961243529365401</v>
      </c>
      <c r="K429" t="b">
        <f t="shared" si="30"/>
        <v>1</v>
      </c>
      <c r="L429">
        <f t="shared" si="31"/>
        <v>50.391406773323894</v>
      </c>
      <c r="M429">
        <f t="shared" si="32"/>
        <v>100.78281354664779</v>
      </c>
      <c r="N429">
        <f t="shared" si="33"/>
        <v>250.70351628519347</v>
      </c>
      <c r="O429" s="26">
        <f t="shared" si="34"/>
        <v>239.95907987297093</v>
      </c>
    </row>
    <row r="430" spans="1:15" x14ac:dyDescent="0.35">
      <c r="A430" t="s">
        <v>62</v>
      </c>
      <c r="B430">
        <v>12</v>
      </c>
      <c r="C430" t="s">
        <v>63</v>
      </c>
      <c r="D430">
        <v>24</v>
      </c>
      <c r="E430">
        <v>52.679969999999997</v>
      </c>
      <c r="F430">
        <v>1.35244327777573</v>
      </c>
      <c r="G430" t="s">
        <v>62</v>
      </c>
      <c r="H430">
        <v>12</v>
      </c>
      <c r="I430">
        <v>24</v>
      </c>
      <c r="J430">
        <v>1.77548906601948</v>
      </c>
      <c r="K430" t="b">
        <f t="shared" si="30"/>
        <v>1</v>
      </c>
      <c r="L430">
        <f t="shared" si="31"/>
        <v>55.807902343795206</v>
      </c>
      <c r="M430">
        <f t="shared" si="32"/>
        <v>111.61580468759041</v>
      </c>
      <c r="N430">
        <f t="shared" si="33"/>
        <v>277.6512554417672</v>
      </c>
      <c r="O430" s="26">
        <f t="shared" si="34"/>
        <v>265.75191592283431</v>
      </c>
    </row>
    <row r="431" spans="1:15" x14ac:dyDescent="0.35">
      <c r="A431" t="s">
        <v>62</v>
      </c>
      <c r="B431">
        <v>12</v>
      </c>
      <c r="C431" t="s">
        <v>63</v>
      </c>
      <c r="D431">
        <v>25</v>
      </c>
      <c r="E431">
        <v>57.7122374277007</v>
      </c>
      <c r="F431">
        <v>1.56897156725524</v>
      </c>
      <c r="G431" t="s">
        <v>62</v>
      </c>
      <c r="H431">
        <v>12</v>
      </c>
      <c r="I431">
        <v>25</v>
      </c>
      <c r="J431">
        <v>1.9639262646323601</v>
      </c>
      <c r="K431" t="b">
        <f t="shared" si="30"/>
        <v>1</v>
      </c>
      <c r="L431">
        <f t="shared" si="31"/>
        <v>61.245135259588302</v>
      </c>
      <c r="M431">
        <f t="shared" si="32"/>
        <v>122.4902705191766</v>
      </c>
      <c r="N431">
        <f t="shared" si="33"/>
        <v>304.70216547058857</v>
      </c>
      <c r="O431" s="26">
        <f t="shared" si="34"/>
        <v>291.6435012361348</v>
      </c>
    </row>
    <row r="432" spans="1:15" x14ac:dyDescent="0.35">
      <c r="A432" t="s">
        <v>62</v>
      </c>
      <c r="B432">
        <v>12</v>
      </c>
      <c r="C432" t="s">
        <v>63</v>
      </c>
      <c r="D432">
        <v>26</v>
      </c>
      <c r="E432">
        <v>62.440869459989401</v>
      </c>
      <c r="F432">
        <v>2.0706796556783602</v>
      </c>
      <c r="G432" t="s">
        <v>62</v>
      </c>
      <c r="H432">
        <v>12</v>
      </c>
      <c r="I432">
        <v>26</v>
      </c>
      <c r="J432">
        <v>2.1544004729118398</v>
      </c>
      <c r="K432" t="b">
        <f t="shared" si="30"/>
        <v>1</v>
      </c>
      <c r="L432">
        <f t="shared" si="31"/>
        <v>66.665949588579608</v>
      </c>
      <c r="M432">
        <f t="shared" si="32"/>
        <v>133.33189917715922</v>
      </c>
      <c r="N432">
        <f t="shared" si="33"/>
        <v>331.6713909879582</v>
      </c>
      <c r="O432" s="26">
        <f t="shared" si="34"/>
        <v>317.45690280276006</v>
      </c>
    </row>
    <row r="433" spans="1:15" x14ac:dyDescent="0.35">
      <c r="A433" t="s">
        <v>62</v>
      </c>
      <c r="B433">
        <v>12</v>
      </c>
      <c r="C433" t="s">
        <v>63</v>
      </c>
      <c r="D433">
        <v>27</v>
      </c>
      <c r="E433">
        <v>67.000238823452804</v>
      </c>
      <c r="F433">
        <v>2.72359886618966</v>
      </c>
      <c r="G433" t="s">
        <v>62</v>
      </c>
      <c r="H433">
        <v>12</v>
      </c>
      <c r="I433">
        <v>27</v>
      </c>
      <c r="J433">
        <v>2.3442082580306698</v>
      </c>
      <c r="K433" t="b">
        <f t="shared" si="30"/>
        <v>1</v>
      </c>
      <c r="L433">
        <f t="shared" si="31"/>
        <v>72.068045947673141</v>
      </c>
      <c r="M433">
        <f t="shared" si="32"/>
        <v>144.13609189534628</v>
      </c>
      <c r="N433">
        <f t="shared" si="33"/>
        <v>358.54749227698079</v>
      </c>
      <c r="O433" s="26">
        <f t="shared" si="34"/>
        <v>343.1811711793959</v>
      </c>
    </row>
    <row r="434" spans="1:15" x14ac:dyDescent="0.35">
      <c r="A434" t="s">
        <v>62</v>
      </c>
      <c r="B434">
        <v>12</v>
      </c>
      <c r="C434" t="s">
        <v>63</v>
      </c>
      <c r="D434">
        <v>28</v>
      </c>
      <c r="E434">
        <v>71.435282323269902</v>
      </c>
      <c r="F434">
        <v>3.4803302218692398</v>
      </c>
      <c r="G434" t="s">
        <v>62</v>
      </c>
      <c r="H434">
        <v>12</v>
      </c>
      <c r="I434">
        <v>28</v>
      </c>
      <c r="J434">
        <v>2.5321487325115499</v>
      </c>
      <c r="K434" t="b">
        <f t="shared" si="30"/>
        <v>1</v>
      </c>
      <c r="L434">
        <f t="shared" si="31"/>
        <v>77.447761277650685</v>
      </c>
      <c r="M434">
        <f t="shared" si="32"/>
        <v>154.89552255530137</v>
      </c>
      <c r="N434">
        <f t="shared" si="33"/>
        <v>385.31224516244117</v>
      </c>
      <c r="O434" s="26">
        <f t="shared" si="34"/>
        <v>368.79886322690805</v>
      </c>
    </row>
    <row r="435" spans="1:15" x14ac:dyDescent="0.35">
      <c r="A435" t="s">
        <v>62</v>
      </c>
      <c r="B435">
        <v>12</v>
      </c>
      <c r="C435" t="s">
        <v>63</v>
      </c>
      <c r="D435">
        <v>29</v>
      </c>
      <c r="E435">
        <v>76.380981323230401</v>
      </c>
      <c r="F435">
        <v>4.2518187405417303</v>
      </c>
      <c r="G435" t="s">
        <v>62</v>
      </c>
      <c r="H435">
        <v>12</v>
      </c>
      <c r="I435">
        <v>29</v>
      </c>
      <c r="J435">
        <v>2.7259551514292899</v>
      </c>
      <c r="K435" t="b">
        <f t="shared" si="30"/>
        <v>1</v>
      </c>
      <c r="L435">
        <f t="shared" si="31"/>
        <v>83.358755215201427</v>
      </c>
      <c r="M435">
        <f t="shared" si="32"/>
        <v>166.71751043040285</v>
      </c>
      <c r="N435">
        <f t="shared" si="33"/>
        <v>414.72017520000708</v>
      </c>
      <c r="O435" s="26">
        <f t="shared" si="34"/>
        <v>396.94645340572112</v>
      </c>
    </row>
    <row r="436" spans="1:15" x14ac:dyDescent="0.35">
      <c r="A436" t="s">
        <v>62</v>
      </c>
      <c r="B436">
        <v>12</v>
      </c>
      <c r="C436" t="s">
        <v>63</v>
      </c>
      <c r="D436">
        <v>30</v>
      </c>
      <c r="E436">
        <v>81.270056957035294</v>
      </c>
      <c r="F436">
        <v>5.0631727276814402</v>
      </c>
      <c r="G436" t="s">
        <v>62</v>
      </c>
      <c r="H436">
        <v>12</v>
      </c>
      <c r="I436">
        <v>30</v>
      </c>
      <c r="J436">
        <v>2.9228617123746199</v>
      </c>
      <c r="K436" t="b">
        <f t="shared" si="30"/>
        <v>1</v>
      </c>
      <c r="L436">
        <f t="shared" si="31"/>
        <v>89.256091397091367</v>
      </c>
      <c r="M436">
        <f t="shared" si="32"/>
        <v>178.51218279418273</v>
      </c>
      <c r="N436">
        <f t="shared" si="33"/>
        <v>444.06015620443463</v>
      </c>
      <c r="O436" s="26">
        <f t="shared" si="34"/>
        <v>425.02900665281607</v>
      </c>
    </row>
    <row r="437" spans="1:15" x14ac:dyDescent="0.35">
      <c r="A437" t="s">
        <v>62</v>
      </c>
      <c r="B437">
        <v>12</v>
      </c>
      <c r="C437" t="s">
        <v>63</v>
      </c>
      <c r="D437">
        <v>31</v>
      </c>
      <c r="E437">
        <v>86.087807240094605</v>
      </c>
      <c r="F437">
        <v>5.9257934949940498</v>
      </c>
      <c r="G437" t="s">
        <v>62</v>
      </c>
      <c r="H437">
        <v>12</v>
      </c>
      <c r="I437">
        <v>31</v>
      </c>
      <c r="J437">
        <v>3.12092409806632</v>
      </c>
      <c r="K437" t="b">
        <f t="shared" si="30"/>
        <v>1</v>
      </c>
      <c r="L437">
        <f t="shared" si="31"/>
        <v>95.134524833154984</v>
      </c>
      <c r="M437">
        <f t="shared" si="32"/>
        <v>190.26904966630997</v>
      </c>
      <c r="N437">
        <f t="shared" si="33"/>
        <v>473.30609369728847</v>
      </c>
      <c r="O437" s="26">
        <f t="shared" si="34"/>
        <v>453.02154682454756</v>
      </c>
    </row>
    <row r="438" spans="1:15" x14ac:dyDescent="0.35">
      <c r="A438" t="s">
        <v>62</v>
      </c>
      <c r="B438">
        <v>12</v>
      </c>
      <c r="C438" t="s">
        <v>63</v>
      </c>
      <c r="D438">
        <v>32</v>
      </c>
      <c r="E438">
        <v>90.826305003023606</v>
      </c>
      <c r="F438">
        <v>6.84444342350913</v>
      </c>
      <c r="G438" t="s">
        <v>62</v>
      </c>
      <c r="H438">
        <v>12</v>
      </c>
      <c r="I438">
        <v>32</v>
      </c>
      <c r="J438">
        <v>3.3187798623925802</v>
      </c>
      <c r="K438" t="b">
        <f t="shared" si="30"/>
        <v>1</v>
      </c>
      <c r="L438">
        <f t="shared" si="31"/>
        <v>100.98952828892531</v>
      </c>
      <c r="M438">
        <f t="shared" si="32"/>
        <v>201.97905657785063</v>
      </c>
      <c r="N438">
        <f t="shared" si="33"/>
        <v>502.4354641240065</v>
      </c>
      <c r="O438" s="26">
        <f t="shared" si="34"/>
        <v>480.90251566154916</v>
      </c>
    </row>
    <row r="439" spans="1:15" x14ac:dyDescent="0.35">
      <c r="A439" t="s">
        <v>62</v>
      </c>
      <c r="B439">
        <v>12</v>
      </c>
      <c r="C439" t="s">
        <v>63</v>
      </c>
      <c r="D439">
        <v>33</v>
      </c>
      <c r="E439">
        <v>95.480918738635395</v>
      </c>
      <c r="F439">
        <v>7.8206830122438102</v>
      </c>
      <c r="G439" t="s">
        <v>62</v>
      </c>
      <c r="H439">
        <v>12</v>
      </c>
      <c r="I439">
        <v>33</v>
      </c>
      <c r="J439">
        <v>3.5154668832031999</v>
      </c>
      <c r="K439" t="b">
        <f t="shared" si="30"/>
        <v>1</v>
      </c>
      <c r="L439">
        <f t="shared" si="31"/>
        <v>106.8170686340824</v>
      </c>
      <c r="M439">
        <f t="shared" si="32"/>
        <v>213.63413726816481</v>
      </c>
      <c r="N439">
        <f t="shared" si="33"/>
        <v>531.42820215961387</v>
      </c>
      <c r="O439" s="26">
        <f t="shared" si="34"/>
        <v>508.65270778134482</v>
      </c>
    </row>
    <row r="440" spans="1:15" x14ac:dyDescent="0.35">
      <c r="A440" t="s">
        <v>62</v>
      </c>
      <c r="B440">
        <v>12</v>
      </c>
      <c r="C440" t="s">
        <v>63</v>
      </c>
      <c r="D440">
        <v>34</v>
      </c>
      <c r="E440">
        <v>100.48262262896201</v>
      </c>
      <c r="F440">
        <v>8.7500630515464</v>
      </c>
      <c r="G440" t="s">
        <v>62</v>
      </c>
      <c r="H440">
        <v>12</v>
      </c>
      <c r="I440">
        <v>34</v>
      </c>
      <c r="J440">
        <v>3.7161613058540199</v>
      </c>
      <c r="K440" t="b">
        <f t="shared" si="30"/>
        <v>1</v>
      </c>
      <c r="L440">
        <f t="shared" si="31"/>
        <v>112.94884698636243</v>
      </c>
      <c r="M440">
        <f t="shared" si="32"/>
        <v>225.89769397272485</v>
      </c>
      <c r="N440">
        <f t="shared" si="33"/>
        <v>561.93456212120611</v>
      </c>
      <c r="O440" s="26">
        <f t="shared" si="34"/>
        <v>537.85165231601161</v>
      </c>
    </row>
    <row r="441" spans="1:15" x14ac:dyDescent="0.35">
      <c r="A441" t="s">
        <v>62</v>
      </c>
      <c r="B441">
        <v>12</v>
      </c>
      <c r="C441" t="s">
        <v>63</v>
      </c>
      <c r="D441">
        <v>35</v>
      </c>
      <c r="E441">
        <v>105.452360651597</v>
      </c>
      <c r="F441">
        <v>9.6914614475839898</v>
      </c>
      <c r="G441" t="s">
        <v>62</v>
      </c>
      <c r="H441">
        <v>12</v>
      </c>
      <c r="I441">
        <v>35</v>
      </c>
      <c r="J441">
        <v>3.91903392562498</v>
      </c>
      <c r="K441" t="b">
        <f t="shared" si="30"/>
        <v>1</v>
      </c>
      <c r="L441">
        <f t="shared" si="31"/>
        <v>119.06285602480597</v>
      </c>
      <c r="M441">
        <f t="shared" si="32"/>
        <v>238.12571204961193</v>
      </c>
      <c r="N441">
        <f t="shared" si="33"/>
        <v>592.35251753634805</v>
      </c>
      <c r="O441" s="26">
        <f t="shared" si="34"/>
        <v>566.96598107050465</v>
      </c>
    </row>
    <row r="442" spans="1:15" x14ac:dyDescent="0.35">
      <c r="A442" t="s">
        <v>62</v>
      </c>
      <c r="B442">
        <v>12</v>
      </c>
      <c r="C442" t="s">
        <v>63</v>
      </c>
      <c r="D442">
        <v>36</v>
      </c>
      <c r="E442">
        <v>110.362259384339</v>
      </c>
      <c r="F442">
        <v>10.6693856362823</v>
      </c>
      <c r="G442" t="s">
        <v>62</v>
      </c>
      <c r="H442">
        <v>12</v>
      </c>
      <c r="I442">
        <v>36</v>
      </c>
      <c r="J442">
        <v>4.1225631795013502</v>
      </c>
      <c r="K442" t="b">
        <f t="shared" si="30"/>
        <v>1</v>
      </c>
      <c r="L442">
        <f t="shared" si="31"/>
        <v>125.15420820012265</v>
      </c>
      <c r="M442">
        <f t="shared" si="32"/>
        <v>250.30841640024531</v>
      </c>
      <c r="N442">
        <f t="shared" si="33"/>
        <v>622.65775223941614</v>
      </c>
      <c r="O442" s="26">
        <f t="shared" si="34"/>
        <v>595.97242000058407</v>
      </c>
    </row>
    <row r="443" spans="1:15" x14ac:dyDescent="0.35">
      <c r="A443" t="s">
        <v>62</v>
      </c>
      <c r="B443">
        <v>12</v>
      </c>
      <c r="C443" t="s">
        <v>63</v>
      </c>
      <c r="D443">
        <v>37</v>
      </c>
      <c r="E443">
        <v>115.199845231065</v>
      </c>
      <c r="F443">
        <v>11.693346227167</v>
      </c>
      <c r="G443" t="s">
        <v>62</v>
      </c>
      <c r="H443">
        <v>12</v>
      </c>
      <c r="I443">
        <v>37</v>
      </c>
      <c r="J443">
        <v>4.3256056543400501</v>
      </c>
      <c r="K443" t="b">
        <f t="shared" si="30"/>
        <v>1</v>
      </c>
      <c r="L443">
        <f t="shared" si="31"/>
        <v>131.21879711257205</v>
      </c>
      <c r="M443">
        <f t="shared" si="32"/>
        <v>262.4375942251441</v>
      </c>
      <c r="N443">
        <f t="shared" si="33"/>
        <v>652.82983638095538</v>
      </c>
      <c r="O443" s="26">
        <f t="shared" si="34"/>
        <v>624.85141482177164</v>
      </c>
    </row>
    <row r="444" spans="1:15" x14ac:dyDescent="0.35">
      <c r="A444" t="s">
        <v>62</v>
      </c>
      <c r="B444">
        <v>12</v>
      </c>
      <c r="C444" t="s">
        <v>63</v>
      </c>
      <c r="D444">
        <v>38</v>
      </c>
      <c r="E444">
        <v>119.959291828975</v>
      </c>
      <c r="F444">
        <v>12.7664218970185</v>
      </c>
      <c r="G444" t="s">
        <v>62</v>
      </c>
      <c r="H444">
        <v>12</v>
      </c>
      <c r="I444">
        <v>38</v>
      </c>
      <c r="J444">
        <v>4.5273343768116501</v>
      </c>
      <c r="K444" t="b">
        <f t="shared" si="30"/>
        <v>1</v>
      </c>
      <c r="L444">
        <f t="shared" si="31"/>
        <v>137.25304810280514</v>
      </c>
      <c r="M444">
        <f t="shared" si="32"/>
        <v>274.50609620561028</v>
      </c>
      <c r="N444">
        <f t="shared" si="33"/>
        <v>682.85098558609513</v>
      </c>
      <c r="O444" s="26">
        <f t="shared" si="34"/>
        <v>653.58594334669112</v>
      </c>
    </row>
    <row r="445" spans="1:15" x14ac:dyDescent="0.35">
      <c r="A445" t="s">
        <v>62</v>
      </c>
      <c r="B445">
        <v>12</v>
      </c>
      <c r="C445" t="s">
        <v>63</v>
      </c>
      <c r="D445">
        <v>39</v>
      </c>
      <c r="E445">
        <v>124.88650164377199</v>
      </c>
      <c r="F445">
        <v>13.7564536405058</v>
      </c>
      <c r="G445" t="s">
        <v>62</v>
      </c>
      <c r="H445">
        <v>12</v>
      </c>
      <c r="I445">
        <v>39</v>
      </c>
      <c r="J445">
        <v>4.7305204968597803</v>
      </c>
      <c r="K445" t="b">
        <f t="shared" si="30"/>
        <v>1</v>
      </c>
      <c r="L445">
        <f t="shared" si="31"/>
        <v>143.37347578113759</v>
      </c>
      <c r="M445">
        <f t="shared" si="32"/>
        <v>286.74695156227517</v>
      </c>
      <c r="N445">
        <f t="shared" si="33"/>
        <v>713.30087453302281</v>
      </c>
      <c r="O445" s="26">
        <f t="shared" si="34"/>
        <v>682.73083705303611</v>
      </c>
    </row>
    <row r="446" spans="1:15" x14ac:dyDescent="0.35">
      <c r="A446" t="s">
        <v>62</v>
      </c>
      <c r="B446">
        <v>12</v>
      </c>
      <c r="C446" t="s">
        <v>63</v>
      </c>
      <c r="D446">
        <v>40</v>
      </c>
      <c r="E446">
        <v>129.79854610822699</v>
      </c>
      <c r="F446">
        <v>14.7413484547736</v>
      </c>
      <c r="G446" t="s">
        <v>62</v>
      </c>
      <c r="H446">
        <v>12</v>
      </c>
      <c r="I446">
        <v>40</v>
      </c>
      <c r="J446">
        <v>4.9344486483266596</v>
      </c>
      <c r="K446" t="b">
        <f t="shared" si="30"/>
        <v>1</v>
      </c>
      <c r="L446">
        <f t="shared" si="31"/>
        <v>149.47434321132724</v>
      </c>
      <c r="M446">
        <f t="shared" si="32"/>
        <v>298.94868642265448</v>
      </c>
      <c r="N446">
        <f t="shared" si="33"/>
        <v>743.65344881257329</v>
      </c>
      <c r="O446" s="26">
        <f t="shared" si="34"/>
        <v>711.78258672060588</v>
      </c>
    </row>
    <row r="447" spans="1:15" x14ac:dyDescent="0.35">
      <c r="A447" t="s">
        <v>62</v>
      </c>
      <c r="B447">
        <v>12</v>
      </c>
      <c r="C447" t="s">
        <v>63</v>
      </c>
      <c r="D447">
        <v>41</v>
      </c>
      <c r="E447">
        <v>134.66172566792801</v>
      </c>
      <c r="F447">
        <v>15.751626014796701</v>
      </c>
      <c r="G447" t="s">
        <v>62</v>
      </c>
      <c r="H447">
        <v>12</v>
      </c>
      <c r="I447">
        <v>41</v>
      </c>
      <c r="J447">
        <v>5.1382154504636102</v>
      </c>
      <c r="K447" t="b">
        <f t="shared" si="30"/>
        <v>1</v>
      </c>
      <c r="L447">
        <f t="shared" si="31"/>
        <v>155.55156713318831</v>
      </c>
      <c r="M447">
        <f t="shared" si="32"/>
        <v>311.10313426637663</v>
      </c>
      <c r="N447">
        <f t="shared" si="33"/>
        <v>773.88839369745426</v>
      </c>
      <c r="O447" s="26">
        <f t="shared" si="34"/>
        <v>740.72174825327772</v>
      </c>
    </row>
    <row r="448" spans="1:15" x14ac:dyDescent="0.35">
      <c r="A448" t="s">
        <v>62</v>
      </c>
      <c r="B448">
        <v>12</v>
      </c>
      <c r="C448" t="s">
        <v>63</v>
      </c>
      <c r="D448">
        <v>42</v>
      </c>
      <c r="E448">
        <v>139.462223173631</v>
      </c>
      <c r="F448">
        <v>16.798505395286298</v>
      </c>
      <c r="G448" t="s">
        <v>62</v>
      </c>
      <c r="H448">
        <v>12</v>
      </c>
      <c r="I448">
        <v>42</v>
      </c>
      <c r="J448">
        <v>5.34105467851965</v>
      </c>
      <c r="K448" t="b">
        <f t="shared" si="30"/>
        <v>1</v>
      </c>
      <c r="L448">
        <f t="shared" si="31"/>
        <v>161.60178324743694</v>
      </c>
      <c r="M448">
        <f t="shared" si="32"/>
        <v>323.20356649487388</v>
      </c>
      <c r="N448">
        <f t="shared" si="33"/>
        <v>803.98897138028326</v>
      </c>
      <c r="O448" s="26">
        <f t="shared" si="34"/>
        <v>769.53230117827115</v>
      </c>
    </row>
    <row r="449" spans="1:15" x14ac:dyDescent="0.35">
      <c r="A449" t="s">
        <v>62</v>
      </c>
      <c r="B449">
        <v>12</v>
      </c>
      <c r="C449" t="s">
        <v>63</v>
      </c>
      <c r="D449">
        <v>43</v>
      </c>
      <c r="E449">
        <v>144.194249474022</v>
      </c>
      <c r="F449">
        <v>17.8854568031777</v>
      </c>
      <c r="G449" t="s">
        <v>62</v>
      </c>
      <c r="H449">
        <v>12</v>
      </c>
      <c r="I449">
        <v>43</v>
      </c>
      <c r="J449">
        <v>5.5423872237716001</v>
      </c>
      <c r="K449" t="b">
        <f t="shared" si="30"/>
        <v>1</v>
      </c>
      <c r="L449">
        <f t="shared" si="31"/>
        <v>167.62209350097132</v>
      </c>
      <c r="M449">
        <f t="shared" si="32"/>
        <v>335.24418700194263</v>
      </c>
      <c r="N449">
        <f t="shared" si="33"/>
        <v>833.94076368642436</v>
      </c>
      <c r="O449" s="26">
        <f t="shared" si="34"/>
        <v>798.20044524272055</v>
      </c>
    </row>
    <row r="450" spans="1:15" x14ac:dyDescent="0.35">
      <c r="A450" t="s">
        <v>62</v>
      </c>
      <c r="B450">
        <v>12</v>
      </c>
      <c r="C450" t="s">
        <v>63</v>
      </c>
      <c r="D450">
        <v>44</v>
      </c>
      <c r="E450">
        <v>148.94431388794999</v>
      </c>
      <c r="F450">
        <v>18.8619546755491</v>
      </c>
      <c r="G450" t="s">
        <v>62</v>
      </c>
      <c r="H450">
        <v>12</v>
      </c>
      <c r="I450">
        <v>44</v>
      </c>
      <c r="J450">
        <v>5.7429964429607097</v>
      </c>
      <c r="K450" t="b">
        <f t="shared" ref="K450:K513" si="35">H450=B450</f>
        <v>1</v>
      </c>
      <c r="L450">
        <f t="shared" ref="L450:L513" si="36">E450+F450+J450</f>
        <v>173.54926500645979</v>
      </c>
      <c r="M450">
        <f t="shared" ref="M450:M513" si="37">L450*2</f>
        <v>347.09853001291958</v>
      </c>
      <c r="N450">
        <f t="shared" ref="N450:N506" si="38">M450/(1-0.598)</f>
        <v>863.42917913661586</v>
      </c>
      <c r="O450" s="26">
        <f t="shared" ref="O450:O506" si="39">M450/0.42</f>
        <v>826.42507145933234</v>
      </c>
    </row>
    <row r="451" spans="1:15" x14ac:dyDescent="0.35">
      <c r="A451" t="s">
        <v>62</v>
      </c>
      <c r="B451">
        <v>12</v>
      </c>
      <c r="C451" t="s">
        <v>63</v>
      </c>
      <c r="D451">
        <v>45</v>
      </c>
      <c r="E451">
        <v>153.69510188118301</v>
      </c>
      <c r="F451">
        <v>19.819682161453098</v>
      </c>
      <c r="G451" t="s">
        <v>62</v>
      </c>
      <c r="H451">
        <v>12</v>
      </c>
      <c r="I451">
        <v>45</v>
      </c>
      <c r="J451">
        <v>5.9431359706408999</v>
      </c>
      <c r="K451" t="b">
        <f t="shared" si="35"/>
        <v>1</v>
      </c>
      <c r="L451">
        <f t="shared" si="36"/>
        <v>179.457920013277</v>
      </c>
      <c r="M451">
        <f t="shared" si="37"/>
        <v>358.91584002655401</v>
      </c>
      <c r="N451">
        <f t="shared" si="38"/>
        <v>892.82547270287057</v>
      </c>
      <c r="O451" s="26">
        <f t="shared" si="39"/>
        <v>854.56152387274767</v>
      </c>
    </row>
    <row r="452" spans="1:15" x14ac:dyDescent="0.35">
      <c r="A452" t="s">
        <v>62</v>
      </c>
      <c r="B452">
        <v>12</v>
      </c>
      <c r="C452" t="s">
        <v>63</v>
      </c>
      <c r="D452">
        <v>46</v>
      </c>
      <c r="E452">
        <v>158.40930177672601</v>
      </c>
      <c r="F452">
        <v>20.793023251850101</v>
      </c>
      <c r="G452" t="s">
        <v>62</v>
      </c>
      <c r="H452">
        <v>12</v>
      </c>
      <c r="I452">
        <v>46</v>
      </c>
      <c r="J452">
        <v>6.1424613929524101</v>
      </c>
      <c r="K452" t="b">
        <f t="shared" si="35"/>
        <v>1</v>
      </c>
      <c r="L452">
        <f t="shared" si="36"/>
        <v>185.34478642152854</v>
      </c>
      <c r="M452">
        <f t="shared" si="37"/>
        <v>370.68957284305708</v>
      </c>
      <c r="N452">
        <f t="shared" si="38"/>
        <v>922.1133652812365</v>
      </c>
      <c r="O452" s="26">
        <f t="shared" si="39"/>
        <v>882.59422105489784</v>
      </c>
    </row>
    <row r="453" spans="1:15" x14ac:dyDescent="0.35">
      <c r="A453" t="s">
        <v>62</v>
      </c>
      <c r="B453">
        <v>12</v>
      </c>
      <c r="C453" t="s">
        <v>63</v>
      </c>
      <c r="D453">
        <v>47</v>
      </c>
      <c r="E453">
        <v>163.07251008133699</v>
      </c>
      <c r="F453">
        <v>21.7941667228638</v>
      </c>
      <c r="G453" t="s">
        <v>62</v>
      </c>
      <c r="H453">
        <v>12</v>
      </c>
      <c r="I453">
        <v>47</v>
      </c>
      <c r="J453">
        <v>6.3405571494761599</v>
      </c>
      <c r="K453" t="b">
        <f t="shared" si="35"/>
        <v>1</v>
      </c>
      <c r="L453">
        <f t="shared" si="36"/>
        <v>191.20723395367693</v>
      </c>
      <c r="M453">
        <f t="shared" si="37"/>
        <v>382.41446790735387</v>
      </c>
      <c r="N453">
        <f t="shared" si="38"/>
        <v>951.27977091381558</v>
      </c>
      <c r="O453" s="26">
        <f t="shared" si="39"/>
        <v>910.51063787465205</v>
      </c>
    </row>
    <row r="454" spans="1:15" x14ac:dyDescent="0.35">
      <c r="A454" t="s">
        <v>62</v>
      </c>
      <c r="B454">
        <v>12</v>
      </c>
      <c r="C454" t="s">
        <v>63</v>
      </c>
      <c r="D454">
        <v>48</v>
      </c>
      <c r="E454">
        <v>167.67913239562901</v>
      </c>
      <c r="F454">
        <v>22.826808778468799</v>
      </c>
      <c r="G454" t="s">
        <v>62</v>
      </c>
      <c r="H454">
        <v>12</v>
      </c>
      <c r="I454">
        <v>48</v>
      </c>
      <c r="J454">
        <v>6.5370773878748398</v>
      </c>
      <c r="K454" t="b">
        <f t="shared" si="35"/>
        <v>1</v>
      </c>
      <c r="L454">
        <f t="shared" si="36"/>
        <v>197.04301856197264</v>
      </c>
      <c r="M454">
        <f t="shared" si="37"/>
        <v>394.08603712394529</v>
      </c>
      <c r="N454">
        <f t="shared" si="38"/>
        <v>980.3135251839434</v>
      </c>
      <c r="O454" s="26">
        <f t="shared" si="39"/>
        <v>938.30008839034599</v>
      </c>
    </row>
    <row r="455" spans="1:15" x14ac:dyDescent="0.35">
      <c r="A455" t="s">
        <v>62</v>
      </c>
      <c r="B455">
        <v>12</v>
      </c>
      <c r="C455" t="s">
        <v>63</v>
      </c>
      <c r="D455">
        <v>49</v>
      </c>
      <c r="E455">
        <v>172.11418414736301</v>
      </c>
      <c r="F455">
        <v>23.754415885989498</v>
      </c>
      <c r="G455" t="s">
        <v>62</v>
      </c>
      <c r="H455">
        <v>12</v>
      </c>
      <c r="I455">
        <v>49</v>
      </c>
      <c r="J455">
        <v>6.73041739796904</v>
      </c>
      <c r="K455" t="b">
        <f t="shared" si="35"/>
        <v>1</v>
      </c>
      <c r="L455">
        <f t="shared" si="36"/>
        <v>202.59901743132153</v>
      </c>
      <c r="M455">
        <f t="shared" si="37"/>
        <v>405.19803486264306</v>
      </c>
      <c r="N455">
        <f t="shared" si="38"/>
        <v>1007.9553106035896</v>
      </c>
      <c r="O455" s="26">
        <f t="shared" si="39"/>
        <v>964.75722586343591</v>
      </c>
    </row>
    <row r="456" spans="1:15" x14ac:dyDescent="0.35">
      <c r="A456" t="s">
        <v>62</v>
      </c>
      <c r="B456">
        <v>12</v>
      </c>
      <c r="C456" t="s">
        <v>63</v>
      </c>
      <c r="D456">
        <v>50</v>
      </c>
      <c r="E456">
        <v>176.51273982052101</v>
      </c>
      <c r="F456">
        <v>24.663265020843198</v>
      </c>
      <c r="G456" t="s">
        <v>62</v>
      </c>
      <c r="H456">
        <v>12</v>
      </c>
      <c r="I456">
        <v>50</v>
      </c>
      <c r="J456">
        <v>6.9217108137488204</v>
      </c>
      <c r="K456" t="b">
        <f t="shared" si="35"/>
        <v>1</v>
      </c>
      <c r="L456">
        <f t="shared" si="36"/>
        <v>208.09771565511303</v>
      </c>
      <c r="M456">
        <f t="shared" si="37"/>
        <v>416.19543131022607</v>
      </c>
      <c r="N456">
        <f t="shared" si="38"/>
        <v>1035.3120181846418</v>
      </c>
      <c r="O456" s="26">
        <f t="shared" si="39"/>
        <v>990.94150311958595</v>
      </c>
    </row>
    <row r="457" spans="1:15" x14ac:dyDescent="0.35">
      <c r="A457" t="s">
        <v>62</v>
      </c>
      <c r="B457">
        <v>12</v>
      </c>
      <c r="C457" t="s">
        <v>63</v>
      </c>
      <c r="D457">
        <v>51</v>
      </c>
      <c r="E457">
        <v>180.88026862984501</v>
      </c>
      <c r="F457">
        <v>25.584530270802901</v>
      </c>
      <c r="G457" t="s">
        <v>62</v>
      </c>
      <c r="H457">
        <v>12</v>
      </c>
      <c r="I457">
        <v>51</v>
      </c>
      <c r="J457">
        <v>7.1112075230559997</v>
      </c>
      <c r="K457" t="b">
        <f t="shared" si="35"/>
        <v>1</v>
      </c>
      <c r="L457">
        <f t="shared" si="36"/>
        <v>213.57600642370392</v>
      </c>
      <c r="M457">
        <f t="shared" si="37"/>
        <v>427.15201284740783</v>
      </c>
      <c r="N457">
        <f t="shared" si="38"/>
        <v>1062.5671961378303</v>
      </c>
      <c r="O457" s="26">
        <f t="shared" si="39"/>
        <v>1017.0286020176377</v>
      </c>
    </row>
    <row r="458" spans="1:15" x14ac:dyDescent="0.35">
      <c r="A458" t="s">
        <v>62</v>
      </c>
      <c r="B458">
        <v>12</v>
      </c>
      <c r="C458" t="s">
        <v>63</v>
      </c>
      <c r="D458">
        <v>52</v>
      </c>
      <c r="E458">
        <v>185.204359229375</v>
      </c>
      <c r="F458">
        <v>26.528870854563699</v>
      </c>
      <c r="G458" t="s">
        <v>62</v>
      </c>
      <c r="H458">
        <v>12</v>
      </c>
      <c r="I458">
        <v>52</v>
      </c>
      <c r="J458">
        <v>7.2988943126861701</v>
      </c>
      <c r="K458" t="b">
        <f t="shared" si="35"/>
        <v>1</v>
      </c>
      <c r="L458">
        <f t="shared" si="36"/>
        <v>219.03212439662488</v>
      </c>
      <c r="M458">
        <f t="shared" si="37"/>
        <v>438.06424879324976</v>
      </c>
      <c r="N458">
        <f t="shared" si="38"/>
        <v>1089.7120616747507</v>
      </c>
      <c r="O458" s="26">
        <f t="shared" si="39"/>
        <v>1043.0101161744042</v>
      </c>
    </row>
    <row r="459" spans="1:15" x14ac:dyDescent="0.35">
      <c r="A459" t="s">
        <v>62</v>
      </c>
      <c r="B459">
        <v>12</v>
      </c>
      <c r="C459" t="s">
        <v>63</v>
      </c>
      <c r="D459">
        <v>53</v>
      </c>
      <c r="E459">
        <v>189.48036681864301</v>
      </c>
      <c r="F459">
        <v>27.499381338041601</v>
      </c>
      <c r="G459" t="s">
        <v>62</v>
      </c>
      <c r="H459">
        <v>12</v>
      </c>
      <c r="I459">
        <v>53</v>
      </c>
      <c r="J459">
        <v>7.4846988725583996</v>
      </c>
      <c r="K459" t="b">
        <f t="shared" si="35"/>
        <v>1</v>
      </c>
      <c r="L459">
        <f t="shared" si="36"/>
        <v>224.46444702924299</v>
      </c>
      <c r="M459">
        <f t="shared" si="37"/>
        <v>448.92889405848598</v>
      </c>
      <c r="N459">
        <f t="shared" si="38"/>
        <v>1116.7385424340446</v>
      </c>
      <c r="O459" s="26">
        <f t="shared" si="39"/>
        <v>1068.8783191868715</v>
      </c>
    </row>
    <row r="460" spans="1:15" x14ac:dyDescent="0.35">
      <c r="A460" t="s">
        <v>62</v>
      </c>
      <c r="B460">
        <v>12</v>
      </c>
      <c r="C460" t="s">
        <v>63</v>
      </c>
      <c r="D460">
        <v>54</v>
      </c>
      <c r="E460">
        <v>193.533099521065</v>
      </c>
      <c r="F460">
        <v>28.343349072618601</v>
      </c>
      <c r="G460" t="s">
        <v>62</v>
      </c>
      <c r="H460">
        <v>12</v>
      </c>
      <c r="I460">
        <v>54</v>
      </c>
      <c r="J460">
        <v>7.6661783892999198</v>
      </c>
      <c r="K460" t="b">
        <f t="shared" si="35"/>
        <v>1</v>
      </c>
      <c r="L460">
        <f t="shared" si="36"/>
        <v>229.54262698298351</v>
      </c>
      <c r="M460">
        <f t="shared" si="37"/>
        <v>459.08525396596701</v>
      </c>
      <c r="N460">
        <f t="shared" si="38"/>
        <v>1142.0031193183258</v>
      </c>
      <c r="O460" s="26">
        <f t="shared" si="39"/>
        <v>1093.0601284903978</v>
      </c>
    </row>
    <row r="461" spans="1:15" x14ac:dyDescent="0.35">
      <c r="A461" t="s">
        <v>62</v>
      </c>
      <c r="B461">
        <v>12</v>
      </c>
      <c r="C461" t="s">
        <v>63</v>
      </c>
      <c r="D461">
        <v>55</v>
      </c>
      <c r="E461">
        <v>197.602244991882</v>
      </c>
      <c r="F461">
        <v>29.1584556765423</v>
      </c>
      <c r="G461" t="s">
        <v>62</v>
      </c>
      <c r="H461">
        <v>12</v>
      </c>
      <c r="I461">
        <v>55</v>
      </c>
      <c r="J461">
        <v>7.8450403248947396</v>
      </c>
      <c r="K461" t="b">
        <f t="shared" si="35"/>
        <v>1</v>
      </c>
      <c r="L461">
        <f t="shared" si="36"/>
        <v>234.60574099331905</v>
      </c>
      <c r="M461">
        <f t="shared" si="37"/>
        <v>469.21148198663809</v>
      </c>
      <c r="N461">
        <f t="shared" si="38"/>
        <v>1167.1927412602936</v>
      </c>
      <c r="O461" s="26">
        <f t="shared" si="39"/>
        <v>1117.1701952062813</v>
      </c>
    </row>
    <row r="462" spans="1:15" x14ac:dyDescent="0.35">
      <c r="A462" t="s">
        <v>62</v>
      </c>
      <c r="B462">
        <v>12</v>
      </c>
      <c r="C462" t="s">
        <v>63</v>
      </c>
      <c r="D462">
        <v>56</v>
      </c>
      <c r="E462">
        <v>201.65137214885999</v>
      </c>
      <c r="F462">
        <v>29.979113581758099</v>
      </c>
      <c r="G462" t="s">
        <v>62</v>
      </c>
      <c r="H462">
        <v>12</v>
      </c>
      <c r="I462">
        <v>56</v>
      </c>
      <c r="J462">
        <v>8.0218579191694097</v>
      </c>
      <c r="K462" t="b">
        <f t="shared" si="35"/>
        <v>1</v>
      </c>
      <c r="L462">
        <f t="shared" si="36"/>
        <v>239.6523436497875</v>
      </c>
      <c r="M462">
        <f t="shared" si="37"/>
        <v>479.30468729957499</v>
      </c>
      <c r="N462">
        <f t="shared" si="38"/>
        <v>1192.3002171631217</v>
      </c>
      <c r="O462" s="26">
        <f t="shared" si="39"/>
        <v>1141.2016364275596</v>
      </c>
    </row>
    <row r="463" spans="1:15" x14ac:dyDescent="0.35">
      <c r="A463" t="s">
        <v>62</v>
      </c>
      <c r="B463">
        <v>12</v>
      </c>
      <c r="C463" t="s">
        <v>63</v>
      </c>
      <c r="D463">
        <v>57</v>
      </c>
      <c r="E463">
        <v>205.667402567881</v>
      </c>
      <c r="F463">
        <v>30.816897496193299</v>
      </c>
      <c r="G463" t="s">
        <v>62</v>
      </c>
      <c r="H463">
        <v>12</v>
      </c>
      <c r="I463">
        <v>57</v>
      </c>
      <c r="J463">
        <v>8.1968199869504303</v>
      </c>
      <c r="K463" t="b">
        <f t="shared" si="35"/>
        <v>1</v>
      </c>
      <c r="L463">
        <f t="shared" si="36"/>
        <v>244.68112005102472</v>
      </c>
      <c r="M463">
        <f t="shared" si="37"/>
        <v>489.36224010204944</v>
      </c>
      <c r="N463">
        <f t="shared" si="38"/>
        <v>1217.3190052289785</v>
      </c>
      <c r="O463" s="26">
        <f t="shared" si="39"/>
        <v>1165.1481907191653</v>
      </c>
    </row>
    <row r="464" spans="1:15" x14ac:dyDescent="0.35">
      <c r="A464" t="s">
        <v>62</v>
      </c>
      <c r="B464">
        <v>12</v>
      </c>
      <c r="C464" t="s">
        <v>63</v>
      </c>
      <c r="D464">
        <v>58</v>
      </c>
      <c r="E464">
        <v>209.645648780355</v>
      </c>
      <c r="F464">
        <v>31.675209762209199</v>
      </c>
      <c r="G464" t="s">
        <v>62</v>
      </c>
      <c r="H464">
        <v>12</v>
      </c>
      <c r="I464">
        <v>58</v>
      </c>
      <c r="J464">
        <v>8.3699891371204806</v>
      </c>
      <c r="K464" t="b">
        <f t="shared" si="35"/>
        <v>1</v>
      </c>
      <c r="L464">
        <f t="shared" si="36"/>
        <v>249.69084767968468</v>
      </c>
      <c r="M464">
        <f t="shared" si="37"/>
        <v>499.38169535936936</v>
      </c>
      <c r="N464">
        <f t="shared" si="38"/>
        <v>1242.2430232820132</v>
      </c>
      <c r="O464" s="26">
        <f t="shared" si="39"/>
        <v>1189.0040365699272</v>
      </c>
    </row>
    <row r="465" spans="1:15" x14ac:dyDescent="0.35">
      <c r="A465" t="s">
        <v>62</v>
      </c>
      <c r="B465">
        <v>12</v>
      </c>
      <c r="C465" t="s">
        <v>63</v>
      </c>
      <c r="D465">
        <v>59</v>
      </c>
      <c r="E465">
        <v>213.34142117467101</v>
      </c>
      <c r="F465">
        <v>32.419358017442299</v>
      </c>
      <c r="G465" t="s">
        <v>62</v>
      </c>
      <c r="H465">
        <v>12</v>
      </c>
      <c r="I465">
        <v>59</v>
      </c>
      <c r="J465">
        <v>8.5380648433431308</v>
      </c>
      <c r="K465" t="b">
        <f t="shared" si="35"/>
        <v>1</v>
      </c>
      <c r="L465">
        <f t="shared" si="36"/>
        <v>254.29884403545645</v>
      </c>
      <c r="M465">
        <f t="shared" si="37"/>
        <v>508.59768807091291</v>
      </c>
      <c r="N465">
        <f t="shared" si="38"/>
        <v>1265.1683782858529</v>
      </c>
      <c r="O465" s="26">
        <f t="shared" si="39"/>
        <v>1210.9468763593165</v>
      </c>
    </row>
    <row r="466" spans="1:15" x14ac:dyDescent="0.35">
      <c r="A466" t="s">
        <v>62</v>
      </c>
      <c r="B466">
        <v>12</v>
      </c>
      <c r="C466" t="s">
        <v>63</v>
      </c>
      <c r="D466">
        <v>60</v>
      </c>
      <c r="E466">
        <v>217.05381094213001</v>
      </c>
      <c r="F466">
        <v>33.137595391060202</v>
      </c>
      <c r="G466" t="s">
        <v>62</v>
      </c>
      <c r="H466">
        <v>12</v>
      </c>
      <c r="I466">
        <v>60</v>
      </c>
      <c r="J466">
        <v>8.7030215393969392</v>
      </c>
      <c r="K466" t="b">
        <f t="shared" si="35"/>
        <v>1</v>
      </c>
      <c r="L466">
        <f t="shared" si="36"/>
        <v>258.89442787258719</v>
      </c>
      <c r="M466">
        <f t="shared" si="37"/>
        <v>517.78885574517437</v>
      </c>
      <c r="N466">
        <f t="shared" si="38"/>
        <v>1288.0319794656077</v>
      </c>
      <c r="O466" s="26">
        <f t="shared" si="39"/>
        <v>1232.8306089170819</v>
      </c>
    </row>
    <row r="467" spans="1:15" x14ac:dyDescent="0.35">
      <c r="A467" t="s">
        <v>62</v>
      </c>
      <c r="B467">
        <v>12</v>
      </c>
      <c r="C467" t="s">
        <v>63</v>
      </c>
      <c r="D467">
        <v>61</v>
      </c>
      <c r="E467">
        <v>220.75072867652199</v>
      </c>
      <c r="F467">
        <v>33.860235757465198</v>
      </c>
      <c r="G467" t="s">
        <v>62</v>
      </c>
      <c r="H467">
        <v>12</v>
      </c>
      <c r="I467">
        <v>61</v>
      </c>
      <c r="J467">
        <v>8.8656586249151506</v>
      </c>
      <c r="K467" t="b">
        <f t="shared" si="35"/>
        <v>1</v>
      </c>
      <c r="L467">
        <f t="shared" si="36"/>
        <v>263.47662305890236</v>
      </c>
      <c r="M467">
        <f t="shared" si="37"/>
        <v>526.95324611780472</v>
      </c>
      <c r="N467">
        <f t="shared" si="38"/>
        <v>1310.8289704423003</v>
      </c>
      <c r="O467" s="26">
        <f t="shared" si="39"/>
        <v>1254.6505859947731</v>
      </c>
    </row>
    <row r="468" spans="1:15" x14ac:dyDescent="0.35">
      <c r="A468" t="s">
        <v>62</v>
      </c>
      <c r="B468">
        <v>12</v>
      </c>
      <c r="C468" t="s">
        <v>63</v>
      </c>
      <c r="D468">
        <v>62</v>
      </c>
      <c r="E468">
        <v>224.420943954363</v>
      </c>
      <c r="F468">
        <v>34.597215532012498</v>
      </c>
      <c r="G468" t="s">
        <v>62</v>
      </c>
      <c r="H468">
        <v>12</v>
      </c>
      <c r="I468">
        <v>62</v>
      </c>
      <c r="J468">
        <v>9.0263348750383194</v>
      </c>
      <c r="K468" t="b">
        <f t="shared" si="35"/>
        <v>1</v>
      </c>
      <c r="L468">
        <f t="shared" si="36"/>
        <v>268.04449436141385</v>
      </c>
      <c r="M468">
        <f t="shared" si="37"/>
        <v>536.08898872282771</v>
      </c>
      <c r="N468">
        <f t="shared" si="38"/>
        <v>1333.5546983154918</v>
      </c>
      <c r="O468" s="26">
        <f t="shared" si="39"/>
        <v>1276.4023541019708</v>
      </c>
    </row>
    <row r="469" spans="1:15" x14ac:dyDescent="0.35">
      <c r="A469" t="s">
        <v>62</v>
      </c>
      <c r="B469">
        <v>12</v>
      </c>
      <c r="C469" t="s">
        <v>63</v>
      </c>
      <c r="D469">
        <v>63</v>
      </c>
      <c r="E469">
        <v>228.06053882256001</v>
      </c>
      <c r="F469">
        <v>35.351357465630002</v>
      </c>
      <c r="G469" t="s">
        <v>62</v>
      </c>
      <c r="H469">
        <v>12</v>
      </c>
      <c r="I469">
        <v>63</v>
      </c>
      <c r="J469">
        <v>9.1852344947709703</v>
      </c>
      <c r="K469" t="b">
        <f t="shared" si="35"/>
        <v>1</v>
      </c>
      <c r="L469">
        <f t="shared" si="36"/>
        <v>272.59713078296096</v>
      </c>
      <c r="M469">
        <f t="shared" si="37"/>
        <v>545.19426156592192</v>
      </c>
      <c r="N469">
        <f t="shared" si="38"/>
        <v>1356.2046307609996</v>
      </c>
      <c r="O469" s="26">
        <f t="shared" si="39"/>
        <v>1298.0815751569569</v>
      </c>
    </row>
    <row r="470" spans="1:15" x14ac:dyDescent="0.35">
      <c r="A470" t="s">
        <v>62</v>
      </c>
      <c r="B470">
        <v>12</v>
      </c>
      <c r="C470" t="s">
        <v>63</v>
      </c>
      <c r="D470">
        <v>64</v>
      </c>
      <c r="E470">
        <v>231.40848649084199</v>
      </c>
      <c r="F470">
        <v>36.002929961341998</v>
      </c>
      <c r="G470" t="s">
        <v>62</v>
      </c>
      <c r="H470">
        <v>12</v>
      </c>
      <c r="I470">
        <v>64</v>
      </c>
      <c r="J470">
        <v>9.3389147059454896</v>
      </c>
      <c r="K470" t="b">
        <f t="shared" si="35"/>
        <v>1</v>
      </c>
      <c r="L470">
        <f t="shared" si="36"/>
        <v>276.75033115812948</v>
      </c>
      <c r="M470">
        <f t="shared" si="37"/>
        <v>553.50066231625897</v>
      </c>
      <c r="N470">
        <f t="shared" si="38"/>
        <v>1376.8673191946739</v>
      </c>
      <c r="O470" s="26">
        <f t="shared" si="39"/>
        <v>1317.8587198006167</v>
      </c>
    </row>
    <row r="471" spans="1:15" x14ac:dyDescent="0.35">
      <c r="A471" t="s">
        <v>62</v>
      </c>
      <c r="B471">
        <v>12</v>
      </c>
      <c r="C471" t="s">
        <v>63</v>
      </c>
      <c r="D471">
        <v>65</v>
      </c>
      <c r="E471">
        <v>234.77294391529301</v>
      </c>
      <c r="F471">
        <v>36.631391120878099</v>
      </c>
      <c r="G471" t="s">
        <v>62</v>
      </c>
      <c r="H471">
        <v>12</v>
      </c>
      <c r="I471">
        <v>65</v>
      </c>
      <c r="J471">
        <v>9.4893859208777993</v>
      </c>
      <c r="K471" t="b">
        <f t="shared" si="35"/>
        <v>1</v>
      </c>
      <c r="L471">
        <f t="shared" si="36"/>
        <v>280.89372095704891</v>
      </c>
      <c r="M471">
        <f t="shared" si="37"/>
        <v>561.78744191409783</v>
      </c>
      <c r="N471">
        <f t="shared" si="38"/>
        <v>1397.4811987912881</v>
      </c>
      <c r="O471" s="26">
        <f t="shared" si="39"/>
        <v>1337.5891474145187</v>
      </c>
    </row>
    <row r="472" spans="1:15" x14ac:dyDescent="0.35">
      <c r="A472" t="s">
        <v>62</v>
      </c>
      <c r="B472">
        <v>12</v>
      </c>
      <c r="C472" t="s">
        <v>63</v>
      </c>
      <c r="D472">
        <v>66</v>
      </c>
      <c r="E472">
        <v>238.125611858208</v>
      </c>
      <c r="F472">
        <v>37.263468035516603</v>
      </c>
      <c r="G472" t="s">
        <v>62</v>
      </c>
      <c r="H472">
        <v>12</v>
      </c>
      <c r="I472">
        <v>66</v>
      </c>
      <c r="J472">
        <v>9.6375234362401692</v>
      </c>
      <c r="K472" t="b">
        <f t="shared" si="35"/>
        <v>1</v>
      </c>
      <c r="L472">
        <f t="shared" si="36"/>
        <v>285.02660332996476</v>
      </c>
      <c r="M472">
        <f t="shared" si="37"/>
        <v>570.05320665992951</v>
      </c>
      <c r="N472">
        <f t="shared" si="38"/>
        <v>1418.0428026366405</v>
      </c>
      <c r="O472" s="26">
        <f t="shared" si="39"/>
        <v>1357.269539666499</v>
      </c>
    </row>
    <row r="473" spans="1:15" x14ac:dyDescent="0.35">
      <c r="A473" t="s">
        <v>62</v>
      </c>
      <c r="B473">
        <v>12</v>
      </c>
      <c r="C473" t="s">
        <v>63</v>
      </c>
      <c r="D473">
        <v>67</v>
      </c>
      <c r="E473">
        <v>241.45679184241601</v>
      </c>
      <c r="F473">
        <v>37.907732116397398</v>
      </c>
      <c r="G473" t="s">
        <v>62</v>
      </c>
      <c r="H473">
        <v>12</v>
      </c>
      <c r="I473">
        <v>67</v>
      </c>
      <c r="J473">
        <v>9.7837567795417204</v>
      </c>
      <c r="K473" t="b">
        <f t="shared" si="35"/>
        <v>1</v>
      </c>
      <c r="L473">
        <f t="shared" si="36"/>
        <v>289.14828073835508</v>
      </c>
      <c r="M473">
        <f t="shared" si="37"/>
        <v>578.29656147671017</v>
      </c>
      <c r="N473">
        <f t="shared" si="38"/>
        <v>1438.5486603898262</v>
      </c>
      <c r="O473" s="26">
        <f t="shared" si="39"/>
        <v>1376.8965749445481</v>
      </c>
    </row>
    <row r="474" spans="1:15" x14ac:dyDescent="0.35">
      <c r="A474" t="s">
        <v>62</v>
      </c>
      <c r="B474">
        <v>12</v>
      </c>
      <c r="C474" t="s">
        <v>63</v>
      </c>
      <c r="D474">
        <v>68</v>
      </c>
      <c r="E474">
        <v>244.763174896876</v>
      </c>
      <c r="F474">
        <v>38.566545258089597</v>
      </c>
      <c r="G474" t="s">
        <v>62</v>
      </c>
      <c r="H474">
        <v>12</v>
      </c>
      <c r="I474">
        <v>68</v>
      </c>
      <c r="J474">
        <v>9.9283254508862306</v>
      </c>
      <c r="K474" t="b">
        <f t="shared" si="35"/>
        <v>1</v>
      </c>
      <c r="L474">
        <f t="shared" si="36"/>
        <v>293.25804560585181</v>
      </c>
      <c r="M474">
        <f t="shared" si="37"/>
        <v>586.51609121170361</v>
      </c>
      <c r="N474">
        <f t="shared" si="38"/>
        <v>1458.9952517704069</v>
      </c>
      <c r="O474" s="26">
        <f t="shared" si="39"/>
        <v>1396.4668838373896</v>
      </c>
    </row>
    <row r="475" spans="1:15" x14ac:dyDescent="0.35">
      <c r="A475" t="s">
        <v>62</v>
      </c>
      <c r="B475">
        <v>12</v>
      </c>
      <c r="C475" t="s">
        <v>63</v>
      </c>
      <c r="D475">
        <v>69</v>
      </c>
      <c r="E475">
        <v>247.80813977593101</v>
      </c>
      <c r="F475">
        <v>39.130483690988299</v>
      </c>
      <c r="G475" t="s">
        <v>62</v>
      </c>
      <c r="H475">
        <v>12</v>
      </c>
      <c r="I475">
        <v>69</v>
      </c>
      <c r="J475">
        <v>10.068157768172901</v>
      </c>
      <c r="K475" t="b">
        <f t="shared" si="35"/>
        <v>1</v>
      </c>
      <c r="L475">
        <f t="shared" si="36"/>
        <v>297.00678123509221</v>
      </c>
      <c r="M475">
        <f t="shared" si="37"/>
        <v>594.01356247018441</v>
      </c>
      <c r="N475">
        <f t="shared" si="38"/>
        <v>1477.6456777865283</v>
      </c>
      <c r="O475" s="26">
        <f t="shared" si="39"/>
        <v>1414.3180058813914</v>
      </c>
    </row>
    <row r="476" spans="1:15" x14ac:dyDescent="0.35">
      <c r="A476" t="s">
        <v>62</v>
      </c>
      <c r="B476">
        <v>12</v>
      </c>
      <c r="C476" t="s">
        <v>63</v>
      </c>
      <c r="D476">
        <v>70</v>
      </c>
      <c r="E476">
        <v>250.87038625729201</v>
      </c>
      <c r="F476">
        <v>39.673155252762498</v>
      </c>
      <c r="G476" t="s">
        <v>62</v>
      </c>
      <c r="H476">
        <v>12</v>
      </c>
      <c r="I476">
        <v>70</v>
      </c>
      <c r="J476">
        <v>10.2051015465264</v>
      </c>
      <c r="K476" t="b">
        <f t="shared" si="35"/>
        <v>1</v>
      </c>
      <c r="L476">
        <f t="shared" si="36"/>
        <v>300.74864305658093</v>
      </c>
      <c r="M476">
        <f t="shared" si="37"/>
        <v>601.49728611316186</v>
      </c>
      <c r="N476">
        <f t="shared" si="38"/>
        <v>1496.261905754134</v>
      </c>
      <c r="O476" s="26">
        <f t="shared" si="39"/>
        <v>1432.1363955075283</v>
      </c>
    </row>
    <row r="477" spans="1:15" x14ac:dyDescent="0.35">
      <c r="A477" t="s">
        <v>62</v>
      </c>
      <c r="B477">
        <v>12</v>
      </c>
      <c r="C477" t="s">
        <v>63</v>
      </c>
      <c r="D477">
        <v>71</v>
      </c>
      <c r="E477">
        <v>253.924144954572</v>
      </c>
      <c r="F477">
        <v>40.218895644983199</v>
      </c>
      <c r="G477" t="s">
        <v>62</v>
      </c>
      <c r="H477">
        <v>12</v>
      </c>
      <c r="I477">
        <v>71</v>
      </c>
      <c r="J477">
        <v>10.3399672827878</v>
      </c>
      <c r="K477" t="b">
        <f t="shared" si="35"/>
        <v>1</v>
      </c>
      <c r="L477">
        <f t="shared" si="36"/>
        <v>304.48300788234303</v>
      </c>
      <c r="M477">
        <f t="shared" si="37"/>
        <v>608.96601576468606</v>
      </c>
      <c r="N477">
        <f t="shared" si="38"/>
        <v>1514.8408352355373</v>
      </c>
      <c r="O477" s="26">
        <f t="shared" si="39"/>
        <v>1449.9190851540145</v>
      </c>
    </row>
    <row r="478" spans="1:15" x14ac:dyDescent="0.35">
      <c r="A478" t="s">
        <v>62</v>
      </c>
      <c r="B478">
        <v>12</v>
      </c>
      <c r="C478" t="s">
        <v>63</v>
      </c>
      <c r="D478">
        <v>72</v>
      </c>
      <c r="E478">
        <v>256.96073504341501</v>
      </c>
      <c r="F478">
        <v>40.775372293697203</v>
      </c>
      <c r="G478" t="s">
        <v>62</v>
      </c>
      <c r="H478">
        <v>12</v>
      </c>
      <c r="I478">
        <v>72</v>
      </c>
      <c r="J478">
        <v>10.473158707475701</v>
      </c>
      <c r="K478" t="b">
        <f t="shared" si="35"/>
        <v>1</v>
      </c>
      <c r="L478">
        <f t="shared" si="36"/>
        <v>308.20926604458793</v>
      </c>
      <c r="M478">
        <f t="shared" si="37"/>
        <v>616.41853208917587</v>
      </c>
      <c r="N478">
        <f t="shared" si="38"/>
        <v>1533.3794330576513</v>
      </c>
      <c r="O478" s="26">
        <f t="shared" si="39"/>
        <v>1467.6631716408949</v>
      </c>
    </row>
    <row r="479" spans="1:15" x14ac:dyDescent="0.35">
      <c r="A479" t="s">
        <v>62</v>
      </c>
      <c r="B479">
        <v>12</v>
      </c>
      <c r="C479" t="s">
        <v>63</v>
      </c>
      <c r="D479">
        <v>73</v>
      </c>
      <c r="E479">
        <v>259.97724665720102</v>
      </c>
      <c r="F479">
        <v>41.344648634331399</v>
      </c>
      <c r="G479" t="s">
        <v>62</v>
      </c>
      <c r="H479">
        <v>12</v>
      </c>
      <c r="I479">
        <v>73</v>
      </c>
      <c r="J479">
        <v>10.604904897751799</v>
      </c>
      <c r="K479" t="b">
        <f t="shared" si="35"/>
        <v>1</v>
      </c>
      <c r="L479">
        <f t="shared" si="36"/>
        <v>311.92680018928422</v>
      </c>
      <c r="M479">
        <f t="shared" si="37"/>
        <v>623.85360037856844</v>
      </c>
      <c r="N479">
        <f t="shared" si="38"/>
        <v>1551.8746278073841</v>
      </c>
      <c r="O479" s="26">
        <f t="shared" si="39"/>
        <v>1485.3657151870677</v>
      </c>
    </row>
    <row r="480" spans="1:15" x14ac:dyDescent="0.35">
      <c r="A480" t="s">
        <v>62</v>
      </c>
      <c r="B480">
        <v>12</v>
      </c>
      <c r="C480" t="s">
        <v>63</v>
      </c>
      <c r="D480">
        <v>74</v>
      </c>
      <c r="E480">
        <v>262.75402959559301</v>
      </c>
      <c r="F480">
        <v>41.808456522185999</v>
      </c>
      <c r="G480" t="s">
        <v>62</v>
      </c>
      <c r="H480">
        <v>12</v>
      </c>
      <c r="I480">
        <v>74</v>
      </c>
      <c r="J480">
        <v>10.7323598049209</v>
      </c>
      <c r="K480" t="b">
        <f t="shared" si="35"/>
        <v>1</v>
      </c>
      <c r="L480">
        <f t="shared" si="36"/>
        <v>315.29484592269995</v>
      </c>
      <c r="M480">
        <f t="shared" si="37"/>
        <v>630.5896918453999</v>
      </c>
      <c r="N480">
        <f t="shared" si="38"/>
        <v>1568.6310742422882</v>
      </c>
      <c r="O480" s="26">
        <f t="shared" si="39"/>
        <v>1501.4040282033332</v>
      </c>
    </row>
    <row r="481" spans="1:15" x14ac:dyDescent="0.35">
      <c r="A481" t="s">
        <v>62</v>
      </c>
      <c r="B481">
        <v>12</v>
      </c>
      <c r="C481" t="s">
        <v>63</v>
      </c>
      <c r="D481">
        <v>75</v>
      </c>
      <c r="E481">
        <v>265.55604446938298</v>
      </c>
      <c r="F481">
        <v>42.246934429546698</v>
      </c>
      <c r="G481" t="s">
        <v>62</v>
      </c>
      <c r="H481">
        <v>12</v>
      </c>
      <c r="I481">
        <v>75</v>
      </c>
      <c r="J481">
        <v>10.8573283758102</v>
      </c>
      <c r="K481" t="b">
        <f t="shared" si="35"/>
        <v>1</v>
      </c>
      <c r="L481">
        <f t="shared" si="36"/>
        <v>318.66030727473986</v>
      </c>
      <c r="M481">
        <f t="shared" si="37"/>
        <v>637.32061454947973</v>
      </c>
      <c r="N481">
        <f t="shared" si="38"/>
        <v>1585.3746630584071</v>
      </c>
      <c r="O481" s="26">
        <f t="shared" si="39"/>
        <v>1517.4300346416185</v>
      </c>
    </row>
    <row r="482" spans="1:15" x14ac:dyDescent="0.35">
      <c r="A482" t="s">
        <v>62</v>
      </c>
      <c r="B482">
        <v>12</v>
      </c>
      <c r="C482" t="s">
        <v>63</v>
      </c>
      <c r="D482">
        <v>76</v>
      </c>
      <c r="E482">
        <v>268.35569895157897</v>
      </c>
      <c r="F482">
        <v>42.6862664934158</v>
      </c>
      <c r="G482" t="s">
        <v>62</v>
      </c>
      <c r="H482">
        <v>12</v>
      </c>
      <c r="I482">
        <v>76</v>
      </c>
      <c r="J482">
        <v>10.9805709734269</v>
      </c>
      <c r="K482" t="b">
        <f t="shared" si="35"/>
        <v>1</v>
      </c>
      <c r="L482">
        <f t="shared" si="36"/>
        <v>322.02253641842168</v>
      </c>
      <c r="M482">
        <f t="shared" si="37"/>
        <v>644.04507283684336</v>
      </c>
      <c r="N482">
        <f t="shared" si="38"/>
        <v>1602.1021712359286</v>
      </c>
      <c r="O482" s="26">
        <f t="shared" si="39"/>
        <v>1533.4406496115319</v>
      </c>
    </row>
    <row r="483" spans="1:15" x14ac:dyDescent="0.35">
      <c r="A483" t="s">
        <v>62</v>
      </c>
      <c r="B483">
        <v>12</v>
      </c>
      <c r="C483" t="s">
        <v>63</v>
      </c>
      <c r="D483">
        <v>77</v>
      </c>
      <c r="E483">
        <v>271.14384580019498</v>
      </c>
      <c r="F483">
        <v>43.134650628847403</v>
      </c>
      <c r="G483" t="s">
        <v>62</v>
      </c>
      <c r="H483">
        <v>12</v>
      </c>
      <c r="I483">
        <v>77</v>
      </c>
      <c r="J483">
        <v>11.102453950951199</v>
      </c>
      <c r="K483" t="b">
        <f t="shared" si="35"/>
        <v>1</v>
      </c>
      <c r="L483">
        <f t="shared" si="36"/>
        <v>325.38095037999358</v>
      </c>
      <c r="M483">
        <f t="shared" si="37"/>
        <v>650.76190075998716</v>
      </c>
      <c r="N483">
        <f t="shared" si="38"/>
        <v>1618.8106984079282</v>
      </c>
      <c r="O483" s="26">
        <f t="shared" si="39"/>
        <v>1549.4330970475885</v>
      </c>
    </row>
    <row r="484" spans="1:15" x14ac:dyDescent="0.35">
      <c r="A484" t="s">
        <v>62</v>
      </c>
      <c r="B484">
        <v>12</v>
      </c>
      <c r="C484" t="s">
        <v>63</v>
      </c>
      <c r="D484">
        <v>78</v>
      </c>
      <c r="E484">
        <v>273.917476618536</v>
      </c>
      <c r="F484">
        <v>43.594322676797198</v>
      </c>
      <c r="G484" t="s">
        <v>62</v>
      </c>
      <c r="H484">
        <v>12</v>
      </c>
      <c r="I484">
        <v>78</v>
      </c>
      <c r="J484">
        <v>11.2231813665027</v>
      </c>
      <c r="K484" t="b">
        <f t="shared" si="35"/>
        <v>1</v>
      </c>
      <c r="L484">
        <f t="shared" si="36"/>
        <v>328.73498066183595</v>
      </c>
      <c r="M484">
        <f t="shared" si="37"/>
        <v>657.4699613236719</v>
      </c>
      <c r="N484">
        <f t="shared" si="38"/>
        <v>1635.4974162280394</v>
      </c>
      <c r="O484" s="26">
        <f t="shared" si="39"/>
        <v>1565.4046698182665</v>
      </c>
    </row>
    <row r="485" spans="1:15" x14ac:dyDescent="0.35">
      <c r="A485" t="s">
        <v>62</v>
      </c>
      <c r="B485">
        <v>12</v>
      </c>
      <c r="C485" t="s">
        <v>63</v>
      </c>
      <c r="D485">
        <v>79</v>
      </c>
      <c r="E485">
        <v>276.36375589942202</v>
      </c>
      <c r="F485">
        <v>44.012188008619098</v>
      </c>
      <c r="G485" t="s">
        <v>62</v>
      </c>
      <c r="H485">
        <v>12</v>
      </c>
      <c r="I485">
        <v>79</v>
      </c>
      <c r="J485">
        <v>11.3386165109891</v>
      </c>
      <c r="K485" t="b">
        <f t="shared" si="35"/>
        <v>1</v>
      </c>
      <c r="L485">
        <f t="shared" si="36"/>
        <v>331.71456041903019</v>
      </c>
      <c r="M485">
        <f t="shared" si="37"/>
        <v>663.42912083806038</v>
      </c>
      <c r="N485">
        <f t="shared" si="38"/>
        <v>1650.321196114578</v>
      </c>
      <c r="O485" s="26">
        <f t="shared" si="39"/>
        <v>1579.5931448525248</v>
      </c>
    </row>
    <row r="486" spans="1:15" x14ac:dyDescent="0.35">
      <c r="A486" t="s">
        <v>62</v>
      </c>
      <c r="B486">
        <v>12</v>
      </c>
      <c r="C486" t="s">
        <v>63</v>
      </c>
      <c r="D486">
        <v>80</v>
      </c>
      <c r="E486">
        <v>278.813595761096</v>
      </c>
      <c r="F486">
        <v>44.424811394502598</v>
      </c>
      <c r="G486" t="s">
        <v>62</v>
      </c>
      <c r="H486">
        <v>12</v>
      </c>
      <c r="I486">
        <v>80</v>
      </c>
      <c r="J486">
        <v>11.4506366437036</v>
      </c>
      <c r="K486" t="b">
        <f t="shared" si="35"/>
        <v>1</v>
      </c>
      <c r="L486">
        <f t="shared" si="36"/>
        <v>334.68904379930217</v>
      </c>
      <c r="M486">
        <f t="shared" si="37"/>
        <v>669.37808759860434</v>
      </c>
      <c r="N486">
        <f t="shared" si="38"/>
        <v>1665.1196208920505</v>
      </c>
      <c r="O486" s="26">
        <f t="shared" si="39"/>
        <v>1593.7573514252485</v>
      </c>
    </row>
    <row r="487" spans="1:15" x14ac:dyDescent="0.35">
      <c r="A487" t="s">
        <v>62</v>
      </c>
      <c r="B487">
        <v>12</v>
      </c>
      <c r="C487" t="s">
        <v>63</v>
      </c>
      <c r="D487">
        <v>81</v>
      </c>
      <c r="E487">
        <v>281.25442590031201</v>
      </c>
      <c r="F487">
        <v>44.843772480376103</v>
      </c>
      <c r="G487" t="s">
        <v>62</v>
      </c>
      <c r="H487">
        <v>12</v>
      </c>
      <c r="I487">
        <v>81</v>
      </c>
      <c r="J487">
        <v>11.5602406064811</v>
      </c>
      <c r="K487" t="b">
        <f t="shared" si="35"/>
        <v>1</v>
      </c>
      <c r="L487">
        <f t="shared" si="36"/>
        <v>337.65843898716923</v>
      </c>
      <c r="M487">
        <f t="shared" si="37"/>
        <v>675.31687797433847</v>
      </c>
      <c r="N487">
        <f t="shared" si="38"/>
        <v>1679.8927312794488</v>
      </c>
      <c r="O487" s="26">
        <f t="shared" si="39"/>
        <v>1607.8973285103298</v>
      </c>
    </row>
    <row r="488" spans="1:15" x14ac:dyDescent="0.35">
      <c r="A488" t="s">
        <v>62</v>
      </c>
      <c r="B488">
        <v>12</v>
      </c>
      <c r="C488" t="s">
        <v>63</v>
      </c>
      <c r="D488">
        <v>82</v>
      </c>
      <c r="E488">
        <v>283.682115112747</v>
      </c>
      <c r="F488">
        <v>45.272440978916798</v>
      </c>
      <c r="G488" t="s">
        <v>62</v>
      </c>
      <c r="H488">
        <v>12</v>
      </c>
      <c r="I488">
        <v>82</v>
      </c>
      <c r="J488">
        <v>11.668007848242199</v>
      </c>
      <c r="K488" t="b">
        <f t="shared" si="35"/>
        <v>1</v>
      </c>
      <c r="L488">
        <f t="shared" si="36"/>
        <v>340.622563939906</v>
      </c>
      <c r="M488">
        <f t="shared" si="37"/>
        <v>681.245127879812</v>
      </c>
      <c r="N488">
        <f t="shared" si="38"/>
        <v>1694.639621591572</v>
      </c>
      <c r="O488" s="26">
        <f t="shared" si="39"/>
        <v>1622.0122092376478</v>
      </c>
    </row>
    <row r="489" spans="1:15" x14ac:dyDescent="0.35">
      <c r="A489" t="s">
        <v>62</v>
      </c>
      <c r="B489">
        <v>12</v>
      </c>
      <c r="C489" t="s">
        <v>63</v>
      </c>
      <c r="D489">
        <v>83</v>
      </c>
      <c r="E489">
        <v>286.095307224782</v>
      </c>
      <c r="F489">
        <v>45.7115076132377</v>
      </c>
      <c r="G489" t="s">
        <v>62</v>
      </c>
      <c r="H489">
        <v>12</v>
      </c>
      <c r="I489">
        <v>83</v>
      </c>
      <c r="J489">
        <v>11.774298216769999</v>
      </c>
      <c r="K489" t="b">
        <f t="shared" si="35"/>
        <v>1</v>
      </c>
      <c r="L489">
        <f t="shared" si="36"/>
        <v>343.58111305478968</v>
      </c>
      <c r="M489">
        <f t="shared" si="37"/>
        <v>687.16222610957936</v>
      </c>
      <c r="N489">
        <f t="shared" si="38"/>
        <v>1709.3587714168641</v>
      </c>
      <c r="O489" s="26">
        <f t="shared" si="39"/>
        <v>1636.1005383561414</v>
      </c>
    </row>
    <row r="490" spans="1:15" x14ac:dyDescent="0.35">
      <c r="A490" t="s">
        <v>62</v>
      </c>
      <c r="B490">
        <v>12</v>
      </c>
      <c r="C490" t="s">
        <v>63</v>
      </c>
      <c r="D490">
        <v>84</v>
      </c>
      <c r="E490">
        <v>288.17547126009902</v>
      </c>
      <c r="F490">
        <v>46.022570670405699</v>
      </c>
      <c r="G490" t="s">
        <v>62</v>
      </c>
      <c r="H490">
        <v>12</v>
      </c>
      <c r="I490">
        <v>84</v>
      </c>
      <c r="J490">
        <v>11.8749967553451</v>
      </c>
      <c r="K490" t="b">
        <f t="shared" si="35"/>
        <v>1</v>
      </c>
      <c r="L490">
        <f t="shared" si="36"/>
        <v>346.07303868584978</v>
      </c>
      <c r="M490">
        <f t="shared" si="37"/>
        <v>692.14607737169956</v>
      </c>
      <c r="N490">
        <f t="shared" si="38"/>
        <v>1721.7564113723868</v>
      </c>
      <c r="O490" s="26">
        <f t="shared" si="39"/>
        <v>1647.9668508849991</v>
      </c>
    </row>
    <row r="491" spans="1:15" x14ac:dyDescent="0.35">
      <c r="A491" t="s">
        <v>62</v>
      </c>
      <c r="B491">
        <v>12</v>
      </c>
      <c r="C491" t="s">
        <v>63</v>
      </c>
      <c r="D491">
        <v>85</v>
      </c>
      <c r="E491">
        <v>290.29294911462802</v>
      </c>
      <c r="F491">
        <v>46.3006990674901</v>
      </c>
      <c r="G491" t="s">
        <v>62</v>
      </c>
      <c r="H491">
        <v>12</v>
      </c>
      <c r="I491">
        <v>85</v>
      </c>
      <c r="J491">
        <v>11.9725352296533</v>
      </c>
      <c r="K491" t="b">
        <f t="shared" si="35"/>
        <v>1</v>
      </c>
      <c r="L491">
        <f t="shared" si="36"/>
        <v>348.56618341177142</v>
      </c>
      <c r="M491">
        <f t="shared" si="37"/>
        <v>697.13236682354284</v>
      </c>
      <c r="N491">
        <f t="shared" si="38"/>
        <v>1734.1601164764745</v>
      </c>
      <c r="O491" s="26">
        <f t="shared" si="39"/>
        <v>1659.8389686274829</v>
      </c>
    </row>
    <row r="492" spans="1:15" x14ac:dyDescent="0.35">
      <c r="A492" t="s">
        <v>62</v>
      </c>
      <c r="B492">
        <v>12</v>
      </c>
      <c r="C492" t="s">
        <v>63</v>
      </c>
      <c r="D492">
        <v>86</v>
      </c>
      <c r="E492">
        <v>292.415807363699</v>
      </c>
      <c r="F492">
        <v>46.576367190265202</v>
      </c>
      <c r="G492" t="s">
        <v>62</v>
      </c>
      <c r="H492">
        <v>12</v>
      </c>
      <c r="I492">
        <v>86</v>
      </c>
      <c r="J492">
        <v>12.068005080179001</v>
      </c>
      <c r="K492" t="b">
        <f t="shared" si="35"/>
        <v>1</v>
      </c>
      <c r="L492">
        <f t="shared" si="36"/>
        <v>351.0601796341432</v>
      </c>
      <c r="M492">
        <f t="shared" si="37"/>
        <v>702.12035926828639</v>
      </c>
      <c r="N492">
        <f t="shared" si="38"/>
        <v>1746.5680578813094</v>
      </c>
      <c r="O492" s="26">
        <f t="shared" si="39"/>
        <v>1671.7151411149678</v>
      </c>
    </row>
    <row r="493" spans="1:15" x14ac:dyDescent="0.35">
      <c r="A493" t="s">
        <v>62</v>
      </c>
      <c r="B493">
        <v>12</v>
      </c>
      <c r="C493" t="s">
        <v>63</v>
      </c>
      <c r="D493">
        <v>87</v>
      </c>
      <c r="E493">
        <v>294.53368207008901</v>
      </c>
      <c r="F493">
        <v>46.8590251806297</v>
      </c>
      <c r="G493" t="s">
        <v>62</v>
      </c>
      <c r="H493">
        <v>12</v>
      </c>
      <c r="I493">
        <v>87</v>
      </c>
      <c r="J493">
        <v>12.1619664670835</v>
      </c>
      <c r="K493" t="b">
        <f t="shared" si="35"/>
        <v>1</v>
      </c>
      <c r="L493">
        <f t="shared" si="36"/>
        <v>353.55467371780225</v>
      </c>
      <c r="M493">
        <f t="shared" si="37"/>
        <v>707.10934743560449</v>
      </c>
      <c r="N493">
        <f t="shared" si="38"/>
        <v>1758.9784762079712</v>
      </c>
      <c r="O493" s="26">
        <f t="shared" si="39"/>
        <v>1683.5936843704869</v>
      </c>
    </row>
    <row r="494" spans="1:15" x14ac:dyDescent="0.35">
      <c r="A494" t="s">
        <v>62</v>
      </c>
      <c r="B494">
        <v>12</v>
      </c>
      <c r="C494" t="s">
        <v>63</v>
      </c>
      <c r="D494">
        <v>88</v>
      </c>
      <c r="E494">
        <v>296.64321983237801</v>
      </c>
      <c r="F494">
        <v>47.151311917962197</v>
      </c>
      <c r="G494" t="s">
        <v>62</v>
      </c>
      <c r="H494">
        <v>12</v>
      </c>
      <c r="I494">
        <v>88</v>
      </c>
      <c r="J494">
        <v>12.254745029051</v>
      </c>
      <c r="K494" t="b">
        <f t="shared" si="35"/>
        <v>1</v>
      </c>
      <c r="L494">
        <f t="shared" si="36"/>
        <v>356.04927677939116</v>
      </c>
      <c r="M494">
        <f t="shared" si="37"/>
        <v>712.09855355878233</v>
      </c>
      <c r="N494">
        <f t="shared" si="38"/>
        <v>1771.3894367133887</v>
      </c>
      <c r="O494" s="26">
        <f t="shared" si="39"/>
        <v>1695.4727465685294</v>
      </c>
    </row>
    <row r="495" spans="1:15" x14ac:dyDescent="0.35">
      <c r="A495" t="s">
        <v>62</v>
      </c>
      <c r="B495">
        <v>12</v>
      </c>
      <c r="C495" t="s">
        <v>63</v>
      </c>
      <c r="D495">
        <v>89</v>
      </c>
      <c r="E495">
        <v>298.33770779944302</v>
      </c>
      <c r="F495">
        <v>47.343110056561102</v>
      </c>
      <c r="G495" t="s">
        <v>62</v>
      </c>
      <c r="H495">
        <v>12</v>
      </c>
      <c r="I495">
        <v>89</v>
      </c>
      <c r="J495">
        <v>12.341001495384701</v>
      </c>
      <c r="K495" t="b">
        <f t="shared" si="35"/>
        <v>1</v>
      </c>
      <c r="L495">
        <f t="shared" si="36"/>
        <v>358.02181935138884</v>
      </c>
      <c r="M495">
        <f t="shared" si="37"/>
        <v>716.04363870277768</v>
      </c>
      <c r="N495">
        <f t="shared" si="38"/>
        <v>1781.2030813501931</v>
      </c>
      <c r="O495" s="26">
        <f t="shared" si="39"/>
        <v>1704.865806435185</v>
      </c>
    </row>
    <row r="496" spans="1:15" x14ac:dyDescent="0.35">
      <c r="A496" t="s">
        <v>62</v>
      </c>
      <c r="B496">
        <v>12</v>
      </c>
      <c r="C496" t="s">
        <v>63</v>
      </c>
      <c r="D496">
        <v>90</v>
      </c>
      <c r="E496">
        <v>300.06316883477598</v>
      </c>
      <c r="F496">
        <v>47.511025214247098</v>
      </c>
      <c r="G496" t="s">
        <v>62</v>
      </c>
      <c r="H496">
        <v>12</v>
      </c>
      <c r="I496">
        <v>90</v>
      </c>
      <c r="J496">
        <v>12.423418243423299</v>
      </c>
      <c r="K496" t="b">
        <f t="shared" si="35"/>
        <v>1</v>
      </c>
      <c r="L496">
        <f t="shared" si="36"/>
        <v>359.99761229244632</v>
      </c>
      <c r="M496">
        <f t="shared" si="37"/>
        <v>719.99522458489264</v>
      </c>
      <c r="N496">
        <f t="shared" si="38"/>
        <v>1791.0328969773448</v>
      </c>
      <c r="O496" s="26">
        <f t="shared" si="39"/>
        <v>1714.2743442497444</v>
      </c>
    </row>
    <row r="497" spans="1:15" x14ac:dyDescent="0.35">
      <c r="A497" t="s">
        <v>62</v>
      </c>
      <c r="B497">
        <v>12</v>
      </c>
      <c r="C497" t="s">
        <v>63</v>
      </c>
      <c r="D497">
        <v>91</v>
      </c>
      <c r="E497">
        <v>301.79407305850901</v>
      </c>
      <c r="F497">
        <v>47.679286028073797</v>
      </c>
      <c r="G497" t="s">
        <v>62</v>
      </c>
      <c r="H497">
        <v>12</v>
      </c>
      <c r="I497">
        <v>91</v>
      </c>
      <c r="J497">
        <v>12.5033244037787</v>
      </c>
      <c r="K497" t="b">
        <f t="shared" si="35"/>
        <v>1</v>
      </c>
      <c r="L497">
        <f t="shared" si="36"/>
        <v>361.97668349036155</v>
      </c>
      <c r="M497">
        <f t="shared" si="37"/>
        <v>723.9533669807231</v>
      </c>
      <c r="N497">
        <f t="shared" si="38"/>
        <v>1800.8790223401072</v>
      </c>
      <c r="O497" s="26">
        <f t="shared" si="39"/>
        <v>1723.6984928112456</v>
      </c>
    </row>
    <row r="498" spans="1:15" x14ac:dyDescent="0.35">
      <c r="A498" t="s">
        <v>62</v>
      </c>
      <c r="B498">
        <v>12</v>
      </c>
      <c r="C498" t="s">
        <v>63</v>
      </c>
      <c r="D498">
        <v>92</v>
      </c>
      <c r="E498">
        <v>303.52221139841299</v>
      </c>
      <c r="F498">
        <v>47.855250659861902</v>
      </c>
      <c r="G498" t="s">
        <v>62</v>
      </c>
      <c r="H498">
        <v>12</v>
      </c>
      <c r="I498">
        <v>92</v>
      </c>
      <c r="J498">
        <v>12.5814571909776</v>
      </c>
      <c r="K498" t="b">
        <f t="shared" si="35"/>
        <v>1</v>
      </c>
      <c r="L498">
        <f t="shared" si="36"/>
        <v>363.95891924925246</v>
      </c>
      <c r="M498">
        <f t="shared" si="37"/>
        <v>727.91783849850492</v>
      </c>
      <c r="N498">
        <f t="shared" si="38"/>
        <v>1810.7408917873256</v>
      </c>
      <c r="O498" s="26">
        <f t="shared" si="39"/>
        <v>1733.137710710726</v>
      </c>
    </row>
    <row r="499" spans="1:15" x14ac:dyDescent="0.35">
      <c r="A499" t="s">
        <v>62</v>
      </c>
      <c r="B499">
        <v>12</v>
      </c>
      <c r="C499" t="s">
        <v>63</v>
      </c>
      <c r="D499">
        <v>93</v>
      </c>
      <c r="E499">
        <v>305.244950564372</v>
      </c>
      <c r="F499">
        <v>48.040868367859701</v>
      </c>
      <c r="G499" t="s">
        <v>62</v>
      </c>
      <c r="H499">
        <v>12</v>
      </c>
      <c r="I499">
        <v>93</v>
      </c>
      <c r="J499">
        <v>12.6582646565108</v>
      </c>
      <c r="K499" t="b">
        <f t="shared" si="35"/>
        <v>1</v>
      </c>
      <c r="L499">
        <f t="shared" si="36"/>
        <v>365.9440835887425</v>
      </c>
      <c r="M499">
        <f t="shared" si="37"/>
        <v>731.888167177485</v>
      </c>
      <c r="N499">
        <f t="shared" si="38"/>
        <v>1820.6173312872761</v>
      </c>
      <c r="O499" s="26">
        <f t="shared" si="39"/>
        <v>1742.5908742321071</v>
      </c>
    </row>
    <row r="500" spans="1:15" x14ac:dyDescent="0.35">
      <c r="A500" t="s">
        <v>62</v>
      </c>
      <c r="B500">
        <v>12</v>
      </c>
      <c r="C500" t="s">
        <v>63</v>
      </c>
      <c r="D500">
        <v>94</v>
      </c>
      <c r="E500">
        <v>306.69650596077702</v>
      </c>
      <c r="F500">
        <v>48.172774404706701</v>
      </c>
      <c r="G500" t="s">
        <v>62</v>
      </c>
      <c r="H500">
        <v>12</v>
      </c>
      <c r="I500">
        <v>94</v>
      </c>
      <c r="J500">
        <v>12.730414547859199</v>
      </c>
      <c r="K500" t="b">
        <f t="shared" si="35"/>
        <v>1</v>
      </c>
      <c r="L500">
        <f t="shared" si="36"/>
        <v>367.59969491334294</v>
      </c>
      <c r="M500">
        <f t="shared" si="37"/>
        <v>735.19938982668589</v>
      </c>
      <c r="N500">
        <f t="shared" si="38"/>
        <v>1828.8542035489697</v>
      </c>
      <c r="O500" s="26">
        <f t="shared" si="39"/>
        <v>1750.4747376825856</v>
      </c>
    </row>
    <row r="501" spans="1:15" x14ac:dyDescent="0.35">
      <c r="A501" t="s">
        <v>62</v>
      </c>
      <c r="B501">
        <v>12</v>
      </c>
      <c r="C501" t="s">
        <v>63</v>
      </c>
      <c r="D501">
        <v>95</v>
      </c>
      <c r="E501">
        <v>308.164587427036</v>
      </c>
      <c r="F501">
        <v>48.295098082434997</v>
      </c>
      <c r="G501" t="s">
        <v>62</v>
      </c>
      <c r="H501">
        <v>12</v>
      </c>
      <c r="I501">
        <v>95</v>
      </c>
      <c r="J501">
        <v>12.799715623427099</v>
      </c>
      <c r="K501" t="b">
        <f t="shared" si="35"/>
        <v>1</v>
      </c>
      <c r="L501">
        <f t="shared" si="36"/>
        <v>369.25940113289812</v>
      </c>
      <c r="M501">
        <f t="shared" si="37"/>
        <v>738.51880226579624</v>
      </c>
      <c r="N501">
        <f t="shared" si="38"/>
        <v>1837.1114484223785</v>
      </c>
      <c r="O501" s="26">
        <f t="shared" si="39"/>
        <v>1758.3781006328481</v>
      </c>
    </row>
    <row r="502" spans="1:15" x14ac:dyDescent="0.35">
      <c r="A502" t="s">
        <v>62</v>
      </c>
      <c r="B502">
        <v>12</v>
      </c>
      <c r="C502" t="s">
        <v>63</v>
      </c>
      <c r="D502">
        <v>96</v>
      </c>
      <c r="E502">
        <v>309.63451946464602</v>
      </c>
      <c r="F502">
        <v>48.421537244865902</v>
      </c>
      <c r="G502" t="s">
        <v>62</v>
      </c>
      <c r="H502">
        <v>12</v>
      </c>
      <c r="I502">
        <v>96</v>
      </c>
      <c r="J502">
        <v>12.867105980093999</v>
      </c>
      <c r="K502" t="b">
        <f t="shared" si="35"/>
        <v>1</v>
      </c>
      <c r="L502">
        <f t="shared" si="36"/>
        <v>370.92316268960593</v>
      </c>
      <c r="M502">
        <f t="shared" si="37"/>
        <v>741.84632537921186</v>
      </c>
      <c r="N502">
        <f t="shared" si="38"/>
        <v>1845.388869102517</v>
      </c>
      <c r="O502" s="26">
        <f t="shared" si="39"/>
        <v>1766.3007747124093</v>
      </c>
    </row>
    <row r="503" spans="1:15" x14ac:dyDescent="0.35">
      <c r="A503" t="s">
        <v>62</v>
      </c>
      <c r="B503">
        <v>12</v>
      </c>
      <c r="C503" t="s">
        <v>63</v>
      </c>
      <c r="D503">
        <v>97</v>
      </c>
      <c r="E503">
        <v>311.10161797941203</v>
      </c>
      <c r="F503">
        <v>48.556072238373602</v>
      </c>
      <c r="G503" t="s">
        <v>62</v>
      </c>
      <c r="H503">
        <v>12</v>
      </c>
      <c r="I503">
        <v>97</v>
      </c>
      <c r="J503">
        <v>12.9331262855058</v>
      </c>
      <c r="K503" t="b">
        <f t="shared" si="35"/>
        <v>1</v>
      </c>
      <c r="L503">
        <f t="shared" si="36"/>
        <v>372.59081650329142</v>
      </c>
      <c r="M503">
        <f t="shared" si="37"/>
        <v>745.18163300658284</v>
      </c>
      <c r="N503">
        <f t="shared" si="38"/>
        <v>1853.6856542452308</v>
      </c>
      <c r="O503" s="26">
        <f t="shared" si="39"/>
        <v>1774.2419833490069</v>
      </c>
    </row>
    <row r="504" spans="1:15" x14ac:dyDescent="0.35">
      <c r="A504" t="s">
        <v>62</v>
      </c>
      <c r="B504">
        <v>12</v>
      </c>
      <c r="C504" t="s">
        <v>63</v>
      </c>
      <c r="D504">
        <v>98</v>
      </c>
      <c r="E504">
        <v>312.56439180394</v>
      </c>
      <c r="F504">
        <v>48.6995979963149</v>
      </c>
      <c r="G504" t="s">
        <v>62</v>
      </c>
      <c r="H504">
        <v>12</v>
      </c>
      <c r="I504">
        <v>98</v>
      </c>
      <c r="J504">
        <v>12.9981145144815</v>
      </c>
      <c r="K504" t="b">
        <f t="shared" si="35"/>
        <v>1</v>
      </c>
      <c r="L504">
        <f t="shared" si="36"/>
        <v>374.26210431473635</v>
      </c>
      <c r="M504">
        <f t="shared" si="37"/>
        <v>748.5242086294727</v>
      </c>
      <c r="N504">
        <f t="shared" si="38"/>
        <v>1862.0005189787878</v>
      </c>
      <c r="O504" s="26">
        <f t="shared" si="39"/>
        <v>1782.2004967368398</v>
      </c>
    </row>
    <row r="505" spans="1:15" x14ac:dyDescent="0.35">
      <c r="A505" t="s">
        <v>62</v>
      </c>
      <c r="B505">
        <v>12</v>
      </c>
      <c r="C505" t="s">
        <v>63</v>
      </c>
      <c r="D505">
        <v>99</v>
      </c>
      <c r="E505">
        <v>314.05925024371197</v>
      </c>
      <c r="F505">
        <v>48.6778907656577</v>
      </c>
      <c r="G505" t="s">
        <v>62</v>
      </c>
      <c r="H505">
        <v>12</v>
      </c>
      <c r="I505">
        <v>99</v>
      </c>
      <c r="J505">
        <v>13.062799042857501</v>
      </c>
      <c r="K505" t="b">
        <f t="shared" si="35"/>
        <v>1</v>
      </c>
      <c r="L505">
        <f t="shared" si="36"/>
        <v>375.79994005222716</v>
      </c>
      <c r="M505">
        <f t="shared" si="37"/>
        <v>751.59988010445431</v>
      </c>
      <c r="N505">
        <f t="shared" si="38"/>
        <v>1869.651443045906</v>
      </c>
      <c r="O505" s="26">
        <f t="shared" si="39"/>
        <v>1789.5235240582247</v>
      </c>
    </row>
    <row r="506" spans="1:15" x14ac:dyDescent="0.35">
      <c r="A506" t="s">
        <v>62</v>
      </c>
      <c r="B506">
        <v>12</v>
      </c>
      <c r="C506" t="s">
        <v>63</v>
      </c>
      <c r="D506">
        <v>100</v>
      </c>
      <c r="E506">
        <v>315.42333940046802</v>
      </c>
      <c r="F506">
        <v>48.733453595645599</v>
      </c>
      <c r="G506" t="s">
        <v>62</v>
      </c>
      <c r="H506">
        <v>12</v>
      </c>
      <c r="I506">
        <v>100</v>
      </c>
      <c r="J506">
        <v>13.1254334328539</v>
      </c>
      <c r="K506" t="b">
        <f t="shared" si="35"/>
        <v>1</v>
      </c>
      <c r="L506">
        <f t="shared" si="36"/>
        <v>377.28222642896753</v>
      </c>
      <c r="M506">
        <f t="shared" si="37"/>
        <v>754.56445285793507</v>
      </c>
      <c r="N506">
        <f t="shared" si="38"/>
        <v>1877.0260021341667</v>
      </c>
      <c r="O506" s="26">
        <f t="shared" si="39"/>
        <v>1796.5820306141311</v>
      </c>
    </row>
    <row r="507" spans="1:15" x14ac:dyDescent="0.35">
      <c r="A507" t="s">
        <v>64</v>
      </c>
      <c r="B507">
        <v>6</v>
      </c>
      <c r="C507" t="s">
        <v>63</v>
      </c>
      <c r="D507">
        <v>0</v>
      </c>
      <c r="E507">
        <v>0</v>
      </c>
      <c r="F507">
        <v>0</v>
      </c>
      <c r="G507" t="s">
        <v>64</v>
      </c>
      <c r="H507">
        <v>6</v>
      </c>
      <c r="I507">
        <v>0</v>
      </c>
      <c r="J507">
        <v>0</v>
      </c>
      <c r="K507" t="b">
        <f t="shared" si="35"/>
        <v>1</v>
      </c>
      <c r="L507">
        <f t="shared" si="36"/>
        <v>0</v>
      </c>
      <c r="M507">
        <f t="shared" si="37"/>
        <v>0</v>
      </c>
      <c r="N507">
        <f t="shared" ref="N507:N570" si="40">M507/(1-0.621)</f>
        <v>0</v>
      </c>
      <c r="O507" s="26">
        <f t="shared" ref="O507:O570" si="41">M507/0.33</f>
        <v>0</v>
      </c>
    </row>
    <row r="508" spans="1:15" x14ac:dyDescent="0.35">
      <c r="A508" t="s">
        <v>64</v>
      </c>
      <c r="B508">
        <v>6</v>
      </c>
      <c r="C508" t="s">
        <v>63</v>
      </c>
      <c r="D508">
        <v>1</v>
      </c>
      <c r="E508">
        <v>1.23983523582686E-2</v>
      </c>
      <c r="F508" s="19">
        <v>6.4403681703662297E-5</v>
      </c>
      <c r="G508" t="s">
        <v>64</v>
      </c>
      <c r="H508">
        <v>6</v>
      </c>
      <c r="I508">
        <v>1</v>
      </c>
      <c r="J508" s="19">
        <v>1.4025684563329999E-4</v>
      </c>
      <c r="K508" t="b">
        <f t="shared" si="35"/>
        <v>1</v>
      </c>
      <c r="L508" s="19">
        <f t="shared" si="36"/>
        <v>1.2603012885605561E-2</v>
      </c>
      <c r="M508">
        <f t="shared" si="37"/>
        <v>2.5206025771211123E-2</v>
      </c>
      <c r="N508">
        <f t="shared" si="40"/>
        <v>6.6506664303987134E-2</v>
      </c>
      <c r="O508" s="26">
        <f t="shared" si="41"/>
        <v>7.638189627639734E-2</v>
      </c>
    </row>
    <row r="509" spans="1:15" x14ac:dyDescent="0.35">
      <c r="A509" t="s">
        <v>64</v>
      </c>
      <c r="B509">
        <v>6</v>
      </c>
      <c r="C509" t="s">
        <v>63</v>
      </c>
      <c r="D509">
        <v>2</v>
      </c>
      <c r="E509">
        <v>2.7896292806104402E-2</v>
      </c>
      <c r="F509" s="19">
        <v>2.0737985508579001E-4</v>
      </c>
      <c r="G509" t="s">
        <v>64</v>
      </c>
      <c r="H509">
        <v>6</v>
      </c>
      <c r="I509">
        <v>2</v>
      </c>
      <c r="J509" s="19">
        <v>4.0378114050595998E-4</v>
      </c>
      <c r="K509" t="b">
        <f t="shared" si="35"/>
        <v>1</v>
      </c>
      <c r="L509">
        <f t="shared" si="36"/>
        <v>2.8507453801696152E-2</v>
      </c>
      <c r="M509">
        <f t="shared" si="37"/>
        <v>5.7014907603392305E-2</v>
      </c>
      <c r="N509">
        <f t="shared" si="40"/>
        <v>0.15043511241000607</v>
      </c>
      <c r="O509" s="26">
        <f t="shared" si="41"/>
        <v>0.17277244728300697</v>
      </c>
    </row>
    <row r="510" spans="1:15" x14ac:dyDescent="0.35">
      <c r="A510" t="s">
        <v>64</v>
      </c>
      <c r="B510">
        <v>6</v>
      </c>
      <c r="C510" t="s">
        <v>63</v>
      </c>
      <c r="D510">
        <v>3</v>
      </c>
      <c r="E510">
        <v>4.7268718365899298E-2</v>
      </c>
      <c r="F510" s="19">
        <v>4.4669749592843002E-4</v>
      </c>
      <c r="G510" t="s">
        <v>64</v>
      </c>
      <c r="H510">
        <v>6</v>
      </c>
      <c r="I510">
        <v>3</v>
      </c>
      <c r="J510" s="19">
        <v>7.8994023276215996E-4</v>
      </c>
      <c r="K510" t="b">
        <f t="shared" si="35"/>
        <v>1</v>
      </c>
      <c r="L510">
        <f t="shared" si="36"/>
        <v>4.8505356094589891E-2</v>
      </c>
      <c r="M510">
        <f t="shared" si="37"/>
        <v>9.7010712189179782E-2</v>
      </c>
      <c r="N510">
        <f t="shared" si="40"/>
        <v>0.25596493981313928</v>
      </c>
      <c r="O510" s="26">
        <f t="shared" si="41"/>
        <v>0.29397185511872659</v>
      </c>
    </row>
    <row r="511" spans="1:15" x14ac:dyDescent="0.35">
      <c r="A511" t="s">
        <v>64</v>
      </c>
      <c r="B511">
        <v>6</v>
      </c>
      <c r="C511" t="s">
        <v>63</v>
      </c>
      <c r="D511">
        <v>4</v>
      </c>
      <c r="E511">
        <v>7.1484250315642803E-2</v>
      </c>
      <c r="F511" s="19">
        <v>8.0462404837325005E-4</v>
      </c>
      <c r="G511" t="s">
        <v>64</v>
      </c>
      <c r="H511">
        <v>6</v>
      </c>
      <c r="I511">
        <v>4</v>
      </c>
      <c r="J511">
        <v>1.31006280029829E-3</v>
      </c>
      <c r="K511" t="b">
        <f t="shared" si="35"/>
        <v>1</v>
      </c>
      <c r="L511">
        <f t="shared" si="36"/>
        <v>7.3598937164314343E-2</v>
      </c>
      <c r="M511">
        <f t="shared" si="37"/>
        <v>0.14719787432862869</v>
      </c>
      <c r="N511">
        <f t="shared" si="40"/>
        <v>0.38838489268767462</v>
      </c>
      <c r="O511" s="26">
        <f t="shared" si="41"/>
        <v>0.44605416463220809</v>
      </c>
    </row>
    <row r="512" spans="1:15" x14ac:dyDescent="0.35">
      <c r="A512" t="s">
        <v>64</v>
      </c>
      <c r="B512">
        <v>6</v>
      </c>
      <c r="C512" t="s">
        <v>63</v>
      </c>
      <c r="D512">
        <v>5</v>
      </c>
      <c r="E512">
        <v>0.10175366525282201</v>
      </c>
      <c r="F512">
        <v>1.30904835527907E-3</v>
      </c>
      <c r="G512" t="s">
        <v>64</v>
      </c>
      <c r="H512">
        <v>6</v>
      </c>
      <c r="I512">
        <v>5</v>
      </c>
      <c r="J512">
        <v>1.9855174252183701E-3</v>
      </c>
      <c r="K512" t="b">
        <f t="shared" si="35"/>
        <v>1</v>
      </c>
      <c r="L512">
        <f t="shared" si="36"/>
        <v>0.10504823103331944</v>
      </c>
      <c r="M512">
        <f t="shared" si="37"/>
        <v>0.21009646206663887</v>
      </c>
      <c r="N512">
        <f t="shared" si="40"/>
        <v>0.55434422708875697</v>
      </c>
      <c r="O512" s="26">
        <f t="shared" si="41"/>
        <v>0.63665594565648143</v>
      </c>
    </row>
    <row r="513" spans="1:15" x14ac:dyDescent="0.35">
      <c r="A513" t="s">
        <v>64</v>
      </c>
      <c r="B513">
        <v>6</v>
      </c>
      <c r="C513" t="s">
        <v>63</v>
      </c>
      <c r="D513">
        <v>6</v>
      </c>
      <c r="E513">
        <v>0.13959043392429599</v>
      </c>
      <c r="F513">
        <v>1.9948843717706201E-3</v>
      </c>
      <c r="G513" t="s">
        <v>64</v>
      </c>
      <c r="H513">
        <v>6</v>
      </c>
      <c r="I513">
        <v>6</v>
      </c>
      <c r="J513">
        <v>2.8473609279533298E-3</v>
      </c>
      <c r="K513" t="b">
        <f t="shared" si="35"/>
        <v>1</v>
      </c>
      <c r="L513">
        <f t="shared" si="36"/>
        <v>0.14443267922401992</v>
      </c>
      <c r="M513">
        <f t="shared" si="37"/>
        <v>0.28886535844803984</v>
      </c>
      <c r="N513">
        <f t="shared" si="40"/>
        <v>0.76217772677583073</v>
      </c>
      <c r="O513" s="26">
        <f t="shared" si="41"/>
        <v>0.87534957105466615</v>
      </c>
    </row>
    <row r="514" spans="1:15" x14ac:dyDescent="0.35">
      <c r="A514" t="s">
        <v>64</v>
      </c>
      <c r="B514">
        <v>6</v>
      </c>
      <c r="C514" t="s">
        <v>63</v>
      </c>
      <c r="D514">
        <v>7</v>
      </c>
      <c r="E514">
        <v>0.186886394763639</v>
      </c>
      <c r="F514">
        <v>2.90582585625857E-3</v>
      </c>
      <c r="G514" t="s">
        <v>64</v>
      </c>
      <c r="H514">
        <v>6</v>
      </c>
      <c r="I514">
        <v>7</v>
      </c>
      <c r="J514">
        <v>3.93707926051764E-3</v>
      </c>
      <c r="K514" t="b">
        <f t="shared" ref="K514:K577" si="42">H514=B514</f>
        <v>1</v>
      </c>
      <c r="L514">
        <f t="shared" ref="L514:L577" si="43">E514+F514+J514</f>
        <v>0.19372929988041521</v>
      </c>
      <c r="M514">
        <f t="shared" ref="M514:M577" si="44">L514*2</f>
        <v>0.38745859976083041</v>
      </c>
      <c r="N514">
        <f t="shared" si="40"/>
        <v>1.022318205173695</v>
      </c>
      <c r="O514" s="26">
        <f t="shared" si="41"/>
        <v>1.1741169689722133</v>
      </c>
    </row>
    <row r="515" spans="1:15" x14ac:dyDescent="0.35">
      <c r="A515" t="s">
        <v>64</v>
      </c>
      <c r="B515">
        <v>6</v>
      </c>
      <c r="C515" t="s">
        <v>63</v>
      </c>
      <c r="D515">
        <v>8</v>
      </c>
      <c r="E515">
        <v>0.246006345812817</v>
      </c>
      <c r="F515">
        <v>4.0965397818258104E-3</v>
      </c>
      <c r="G515" t="s">
        <v>64</v>
      </c>
      <c r="H515">
        <v>6</v>
      </c>
      <c r="I515">
        <v>8</v>
      </c>
      <c r="J515">
        <v>5.3081965250418497E-3</v>
      </c>
      <c r="K515" t="b">
        <f t="shared" si="42"/>
        <v>1</v>
      </c>
      <c r="L515">
        <f t="shared" si="43"/>
        <v>0.25541108211968466</v>
      </c>
      <c r="M515">
        <f t="shared" si="44"/>
        <v>0.51082216423936933</v>
      </c>
      <c r="N515">
        <f t="shared" si="40"/>
        <v>1.3478157367793386</v>
      </c>
      <c r="O515" s="26">
        <f t="shared" si="41"/>
        <v>1.547945952240513</v>
      </c>
    </row>
    <row r="516" spans="1:15" x14ac:dyDescent="0.35">
      <c r="A516" t="s">
        <v>64</v>
      </c>
      <c r="B516">
        <v>6</v>
      </c>
      <c r="C516" t="s">
        <v>63</v>
      </c>
      <c r="D516">
        <v>9</v>
      </c>
      <c r="E516">
        <v>0.31990628462429099</v>
      </c>
      <c r="F516">
        <v>5.6354081466434497E-3</v>
      </c>
      <c r="G516" t="s">
        <v>64</v>
      </c>
      <c r="H516">
        <v>6</v>
      </c>
      <c r="I516">
        <v>9</v>
      </c>
      <c r="J516">
        <v>7.0286837464657399E-3</v>
      </c>
      <c r="K516" t="b">
        <f t="shared" si="42"/>
        <v>1</v>
      </c>
      <c r="L516">
        <f t="shared" si="43"/>
        <v>0.33257037651740018</v>
      </c>
      <c r="M516">
        <f t="shared" si="44"/>
        <v>0.66514075303480036</v>
      </c>
      <c r="N516">
        <f t="shared" si="40"/>
        <v>1.7549887942870721</v>
      </c>
      <c r="O516" s="26">
        <f t="shared" si="41"/>
        <v>2.015578039499395</v>
      </c>
    </row>
    <row r="517" spans="1:15" x14ac:dyDescent="0.35">
      <c r="A517" t="s">
        <v>64</v>
      </c>
      <c r="B517">
        <v>6</v>
      </c>
      <c r="C517" t="s">
        <v>63</v>
      </c>
      <c r="D517">
        <v>10</v>
      </c>
      <c r="E517">
        <v>0.412281208138632</v>
      </c>
      <c r="F517">
        <v>7.6079552817883197E-3</v>
      </c>
      <c r="G517" t="s">
        <v>64</v>
      </c>
      <c r="H517">
        <v>6</v>
      </c>
      <c r="I517">
        <v>10</v>
      </c>
      <c r="J517">
        <v>9.18420308396929E-3</v>
      </c>
      <c r="K517" t="b">
        <f t="shared" si="42"/>
        <v>1</v>
      </c>
      <c r="L517">
        <f t="shared" si="43"/>
        <v>0.4290733665043896</v>
      </c>
      <c r="M517">
        <f t="shared" si="44"/>
        <v>0.85814673300877919</v>
      </c>
      <c r="N517">
        <f t="shared" si="40"/>
        <v>2.2642394010785729</v>
      </c>
      <c r="O517" s="26">
        <f t="shared" si="41"/>
        <v>2.600444645481149</v>
      </c>
    </row>
    <row r="518" spans="1:15" x14ac:dyDescent="0.35">
      <c r="A518" t="s">
        <v>64</v>
      </c>
      <c r="B518">
        <v>6</v>
      </c>
      <c r="C518" t="s">
        <v>63</v>
      </c>
      <c r="D518">
        <v>11</v>
      </c>
      <c r="E518">
        <v>0.52774986253155898</v>
      </c>
      <c r="F518">
        <v>1.01211320294685E-2</v>
      </c>
      <c r="G518" t="s">
        <v>64</v>
      </c>
      <c r="H518">
        <v>6</v>
      </c>
      <c r="I518">
        <v>11</v>
      </c>
      <c r="J518">
        <v>1.18823013845252E-2</v>
      </c>
      <c r="K518" t="b">
        <f t="shared" si="42"/>
        <v>1</v>
      </c>
      <c r="L518">
        <f t="shared" si="43"/>
        <v>0.54975329594555267</v>
      </c>
      <c r="M518">
        <f t="shared" si="44"/>
        <v>1.0995065918911053</v>
      </c>
      <c r="N518">
        <f t="shared" si="40"/>
        <v>2.901072801823497</v>
      </c>
      <c r="O518" s="26">
        <f t="shared" si="41"/>
        <v>3.3318381572457736</v>
      </c>
    </row>
    <row r="519" spans="1:15" x14ac:dyDescent="0.35">
      <c r="A519" t="s">
        <v>64</v>
      </c>
      <c r="B519">
        <v>6</v>
      </c>
      <c r="C519" t="s">
        <v>63</v>
      </c>
      <c r="D519">
        <v>12</v>
      </c>
      <c r="E519">
        <v>0.672085680522718</v>
      </c>
      <c r="F519">
        <v>1.33086710079555E-2</v>
      </c>
      <c r="G519" t="s">
        <v>64</v>
      </c>
      <c r="H519">
        <v>6</v>
      </c>
      <c r="I519">
        <v>12</v>
      </c>
      <c r="J519">
        <v>1.52577351916715E-2</v>
      </c>
      <c r="K519" t="b">
        <f t="shared" si="42"/>
        <v>1</v>
      </c>
      <c r="L519">
        <f t="shared" si="43"/>
        <v>0.70065208672234502</v>
      </c>
      <c r="M519">
        <f t="shared" si="44"/>
        <v>1.40130417344469</v>
      </c>
      <c r="N519">
        <f t="shared" si="40"/>
        <v>3.6973724892999735</v>
      </c>
      <c r="O519" s="26">
        <f t="shared" si="41"/>
        <v>4.246376283165727</v>
      </c>
    </row>
    <row r="520" spans="1:15" x14ac:dyDescent="0.35">
      <c r="A520" t="s">
        <v>64</v>
      </c>
      <c r="B520">
        <v>6</v>
      </c>
      <c r="C520" t="s">
        <v>63</v>
      </c>
      <c r="D520">
        <v>13</v>
      </c>
      <c r="E520">
        <v>0.85250545301166503</v>
      </c>
      <c r="F520">
        <v>1.73377807336343E-2</v>
      </c>
      <c r="G520" t="s">
        <v>64</v>
      </c>
      <c r="H520">
        <v>6</v>
      </c>
      <c r="I520">
        <v>13</v>
      </c>
      <c r="J520">
        <v>1.9479177707218201E-2</v>
      </c>
      <c r="K520" t="b">
        <f t="shared" si="42"/>
        <v>1</v>
      </c>
      <c r="L520">
        <f t="shared" si="43"/>
        <v>0.88932241145251756</v>
      </c>
      <c r="M520">
        <f t="shared" si="44"/>
        <v>1.7786448229050351</v>
      </c>
      <c r="N520">
        <f t="shared" si="40"/>
        <v>4.6929942556861084</v>
      </c>
      <c r="O520" s="26">
        <f t="shared" si="41"/>
        <v>5.3898327966819242</v>
      </c>
    </row>
    <row r="521" spans="1:15" x14ac:dyDescent="0.35">
      <c r="A521" t="s">
        <v>64</v>
      </c>
      <c r="B521">
        <v>6</v>
      </c>
      <c r="C521" t="s">
        <v>63</v>
      </c>
      <c r="D521">
        <v>14</v>
      </c>
      <c r="E521">
        <v>1.07803016862284</v>
      </c>
      <c r="F521">
        <v>2.2417513313225699E-2</v>
      </c>
      <c r="G521" t="s">
        <v>64</v>
      </c>
      <c r="H521">
        <v>6</v>
      </c>
      <c r="I521">
        <v>14</v>
      </c>
      <c r="J521">
        <v>2.4757634032829299E-2</v>
      </c>
      <c r="K521" t="b">
        <f t="shared" si="42"/>
        <v>1</v>
      </c>
      <c r="L521">
        <f t="shared" si="43"/>
        <v>1.1252053159688948</v>
      </c>
      <c r="M521">
        <f t="shared" si="44"/>
        <v>2.2504106319377897</v>
      </c>
      <c r="N521">
        <f t="shared" si="40"/>
        <v>5.9377589233187065</v>
      </c>
      <c r="O521" s="26">
        <f t="shared" si="41"/>
        <v>6.819426157387241</v>
      </c>
    </row>
    <row r="522" spans="1:15" x14ac:dyDescent="0.35">
      <c r="A522" t="s">
        <v>64</v>
      </c>
      <c r="B522">
        <v>6</v>
      </c>
      <c r="C522" t="s">
        <v>63</v>
      </c>
      <c r="D522">
        <v>15</v>
      </c>
      <c r="E522">
        <v>1.35993606313683</v>
      </c>
      <c r="F522">
        <v>2.8809224097533101E-2</v>
      </c>
      <c r="G522" t="s">
        <v>64</v>
      </c>
      <c r="H522">
        <v>6</v>
      </c>
      <c r="I522">
        <v>15</v>
      </c>
      <c r="J522">
        <v>3.13569802728869E-2</v>
      </c>
      <c r="K522" t="b">
        <f t="shared" si="42"/>
        <v>1</v>
      </c>
      <c r="L522">
        <f t="shared" si="43"/>
        <v>1.4201022675072499</v>
      </c>
      <c r="M522">
        <f t="shared" si="44"/>
        <v>2.8402045350144998</v>
      </c>
      <c r="N522">
        <f t="shared" si="40"/>
        <v>7.4939433641543527</v>
      </c>
      <c r="O522" s="26">
        <f t="shared" si="41"/>
        <v>8.6066804091348477</v>
      </c>
    </row>
    <row r="523" spans="1:15" x14ac:dyDescent="0.35">
      <c r="A523" t="s">
        <v>64</v>
      </c>
      <c r="B523">
        <v>6</v>
      </c>
      <c r="C523" t="s">
        <v>63</v>
      </c>
      <c r="D523">
        <v>16</v>
      </c>
      <c r="E523">
        <v>1.7123184312793001</v>
      </c>
      <c r="F523">
        <v>3.6839646285941101E-2</v>
      </c>
      <c r="G523" t="s">
        <v>64</v>
      </c>
      <c r="H523">
        <v>6</v>
      </c>
      <c r="I523">
        <v>16</v>
      </c>
      <c r="J523">
        <v>3.9607150467391598E-2</v>
      </c>
      <c r="K523" t="b">
        <f t="shared" si="42"/>
        <v>1</v>
      </c>
      <c r="L523">
        <f t="shared" si="43"/>
        <v>1.7887652280326327</v>
      </c>
      <c r="M523">
        <f t="shared" si="44"/>
        <v>3.5775304560652654</v>
      </c>
      <c r="N523">
        <f t="shared" si="40"/>
        <v>9.4393943431801191</v>
      </c>
      <c r="O523" s="26">
        <f t="shared" si="41"/>
        <v>10.841001382015955</v>
      </c>
    </row>
    <row r="524" spans="1:15" x14ac:dyDescent="0.35">
      <c r="A524" t="s">
        <v>64</v>
      </c>
      <c r="B524">
        <v>6</v>
      </c>
      <c r="C524" t="s">
        <v>63</v>
      </c>
      <c r="D524">
        <v>17</v>
      </c>
      <c r="E524">
        <v>2.1527963914574002</v>
      </c>
      <c r="F524">
        <v>4.6917234218233898E-2</v>
      </c>
      <c r="G524" t="s">
        <v>64</v>
      </c>
      <c r="H524">
        <v>6</v>
      </c>
      <c r="I524">
        <v>17</v>
      </c>
      <c r="J524">
        <v>4.9920628971372102E-2</v>
      </c>
      <c r="K524" t="b">
        <f t="shared" si="42"/>
        <v>1</v>
      </c>
      <c r="L524">
        <f t="shared" si="43"/>
        <v>2.2496342546470061</v>
      </c>
      <c r="M524">
        <f t="shared" si="44"/>
        <v>4.4992685092940121</v>
      </c>
      <c r="N524">
        <f t="shared" si="40"/>
        <v>11.871420868849636</v>
      </c>
      <c r="O524" s="26">
        <f t="shared" si="41"/>
        <v>13.634146997860642</v>
      </c>
    </row>
    <row r="525" spans="1:15" x14ac:dyDescent="0.35">
      <c r="A525" t="s">
        <v>64</v>
      </c>
      <c r="B525">
        <v>6</v>
      </c>
      <c r="C525" t="s">
        <v>63</v>
      </c>
      <c r="D525">
        <v>18</v>
      </c>
      <c r="E525">
        <v>2.7033938416800201</v>
      </c>
      <c r="F525">
        <v>5.9552592524479399E-2</v>
      </c>
      <c r="G525" t="s">
        <v>64</v>
      </c>
      <c r="H525">
        <v>6</v>
      </c>
      <c r="I525">
        <v>18</v>
      </c>
      <c r="J525">
        <v>6.2813071890735803E-2</v>
      </c>
      <c r="K525" t="b">
        <f t="shared" si="42"/>
        <v>1</v>
      </c>
      <c r="L525">
        <f t="shared" si="43"/>
        <v>2.8257595060952352</v>
      </c>
      <c r="M525">
        <f t="shared" si="44"/>
        <v>5.6515190121904704</v>
      </c>
      <c r="N525">
        <f t="shared" si="40"/>
        <v>14.91165966277169</v>
      </c>
      <c r="O525" s="26">
        <f t="shared" si="41"/>
        <v>17.12581518845597</v>
      </c>
    </row>
    <row r="526" spans="1:15" x14ac:dyDescent="0.35">
      <c r="A526" t="s">
        <v>64</v>
      </c>
      <c r="B526">
        <v>6</v>
      </c>
      <c r="C526" t="s">
        <v>63</v>
      </c>
      <c r="D526">
        <v>19</v>
      </c>
      <c r="E526">
        <v>3.3916406544583002</v>
      </c>
      <c r="F526">
        <v>7.5384012596439398E-2</v>
      </c>
      <c r="G526" t="s">
        <v>64</v>
      </c>
      <c r="H526">
        <v>6</v>
      </c>
      <c r="I526">
        <v>19</v>
      </c>
      <c r="J526">
        <v>7.8929088052775806E-2</v>
      </c>
      <c r="K526" t="b">
        <f t="shared" si="42"/>
        <v>1</v>
      </c>
      <c r="L526">
        <f t="shared" si="43"/>
        <v>3.5459537551075155</v>
      </c>
      <c r="M526">
        <f t="shared" si="44"/>
        <v>7.0919075102150311</v>
      </c>
      <c r="N526">
        <f t="shared" si="40"/>
        <v>18.712157019037022</v>
      </c>
      <c r="O526" s="26">
        <f t="shared" si="41"/>
        <v>21.490628818833425</v>
      </c>
    </row>
    <row r="527" spans="1:15" x14ac:dyDescent="0.35">
      <c r="A527" t="s">
        <v>64</v>
      </c>
      <c r="B527">
        <v>6</v>
      </c>
      <c r="C527" t="s">
        <v>63</v>
      </c>
      <c r="D527">
        <v>20</v>
      </c>
      <c r="E527">
        <v>4.2519491704311401</v>
      </c>
      <c r="F527">
        <v>9.5209393209867696E-2</v>
      </c>
      <c r="G527" t="s">
        <v>64</v>
      </c>
      <c r="H527">
        <v>6</v>
      </c>
      <c r="I527">
        <v>20</v>
      </c>
      <c r="J527">
        <v>9.9074468206812302E-2</v>
      </c>
      <c r="K527" t="b">
        <f t="shared" si="42"/>
        <v>1</v>
      </c>
      <c r="L527">
        <f t="shared" si="43"/>
        <v>4.4462330318478198</v>
      </c>
      <c r="M527">
        <f t="shared" si="44"/>
        <v>8.8924660636956396</v>
      </c>
      <c r="N527">
        <f t="shared" si="40"/>
        <v>23.46297114431567</v>
      </c>
      <c r="O527" s="26">
        <f t="shared" si="41"/>
        <v>26.946866859683755</v>
      </c>
    </row>
    <row r="528" spans="1:15" x14ac:dyDescent="0.35">
      <c r="A528" t="s">
        <v>64</v>
      </c>
      <c r="B528">
        <v>6</v>
      </c>
      <c r="C528" t="s">
        <v>63</v>
      </c>
      <c r="D528">
        <v>21</v>
      </c>
      <c r="E528">
        <v>5.3273348153972</v>
      </c>
      <c r="F528">
        <v>0.120026141334427</v>
      </c>
      <c r="G528" t="s">
        <v>64</v>
      </c>
      <c r="H528">
        <v>6</v>
      </c>
      <c r="I528">
        <v>21</v>
      </c>
      <c r="J528">
        <v>0.12425647370209</v>
      </c>
      <c r="K528" t="b">
        <f t="shared" si="42"/>
        <v>1</v>
      </c>
      <c r="L528">
        <f t="shared" si="43"/>
        <v>5.5716174304337169</v>
      </c>
      <c r="M528">
        <f t="shared" si="44"/>
        <v>11.143234860867434</v>
      </c>
      <c r="N528">
        <f t="shared" si="40"/>
        <v>29.401675094637028</v>
      </c>
      <c r="O528" s="26">
        <f t="shared" si="41"/>
        <v>33.76737836626495</v>
      </c>
    </row>
    <row r="529" spans="1:15" x14ac:dyDescent="0.35">
      <c r="A529" t="s">
        <v>64</v>
      </c>
      <c r="B529">
        <v>6</v>
      </c>
      <c r="C529" t="s">
        <v>63</v>
      </c>
      <c r="D529">
        <v>22</v>
      </c>
      <c r="E529">
        <v>6.6715668716047603</v>
      </c>
      <c r="F529">
        <v>0.151081048177168</v>
      </c>
      <c r="G529" t="s">
        <v>64</v>
      </c>
      <c r="H529">
        <v>6</v>
      </c>
      <c r="I529">
        <v>22</v>
      </c>
      <c r="J529">
        <v>0.15573419894625801</v>
      </c>
      <c r="K529" t="b">
        <f t="shared" si="42"/>
        <v>1</v>
      </c>
      <c r="L529">
        <f t="shared" si="43"/>
        <v>6.9783821187281863</v>
      </c>
      <c r="M529">
        <f t="shared" si="44"/>
        <v>13.956764237456373</v>
      </c>
      <c r="N529">
        <f t="shared" si="40"/>
        <v>36.825235455030004</v>
      </c>
      <c r="O529" s="26">
        <f t="shared" si="41"/>
        <v>42.293224961989004</v>
      </c>
    </row>
    <row r="530" spans="1:15" x14ac:dyDescent="0.35">
      <c r="A530" t="s">
        <v>64</v>
      </c>
      <c r="B530">
        <v>6</v>
      </c>
      <c r="C530" t="s">
        <v>63</v>
      </c>
      <c r="D530">
        <v>23</v>
      </c>
      <c r="E530">
        <v>8.3518569418642201</v>
      </c>
      <c r="F530">
        <v>0.189932634267023</v>
      </c>
      <c r="G530" t="s">
        <v>64</v>
      </c>
      <c r="H530">
        <v>6</v>
      </c>
      <c r="I530">
        <v>23</v>
      </c>
      <c r="J530">
        <v>0.19508152568568299</v>
      </c>
      <c r="K530" t="b">
        <f t="shared" si="42"/>
        <v>1</v>
      </c>
      <c r="L530">
        <f t="shared" si="43"/>
        <v>8.7368711018169272</v>
      </c>
      <c r="M530">
        <f t="shared" si="44"/>
        <v>17.473742203633854</v>
      </c>
      <c r="N530">
        <f t="shared" si="40"/>
        <v>46.10486069560384</v>
      </c>
      <c r="O530" s="26">
        <f t="shared" si="41"/>
        <v>52.950733950405613</v>
      </c>
    </row>
    <row r="531" spans="1:15" x14ac:dyDescent="0.35">
      <c r="A531" t="s">
        <v>64</v>
      </c>
      <c r="B531">
        <v>6</v>
      </c>
      <c r="C531" t="s">
        <v>63</v>
      </c>
      <c r="D531">
        <v>24</v>
      </c>
      <c r="E531">
        <v>10.332729</v>
      </c>
      <c r="F531">
        <v>0.23790838303901199</v>
      </c>
      <c r="G531" t="s">
        <v>64</v>
      </c>
      <c r="H531">
        <v>6</v>
      </c>
      <c r="I531">
        <v>24</v>
      </c>
      <c r="J531">
        <v>0.24291407548205801</v>
      </c>
      <c r="K531" t="b">
        <f t="shared" si="42"/>
        <v>1</v>
      </c>
      <c r="L531">
        <f t="shared" si="43"/>
        <v>10.81355145852107</v>
      </c>
      <c r="M531">
        <f t="shared" si="44"/>
        <v>21.627102917042141</v>
      </c>
      <c r="N531">
        <f t="shared" si="40"/>
        <v>57.063596087182425</v>
      </c>
      <c r="O531" s="26">
        <f t="shared" si="41"/>
        <v>65.536675506188303</v>
      </c>
    </row>
    <row r="532" spans="1:15" x14ac:dyDescent="0.35">
      <c r="A532" t="s">
        <v>64</v>
      </c>
      <c r="B532">
        <v>6</v>
      </c>
      <c r="C532" t="s">
        <v>63</v>
      </c>
      <c r="D532">
        <v>25</v>
      </c>
      <c r="E532">
        <v>12.331638</v>
      </c>
      <c r="F532">
        <v>0.294828263147842</v>
      </c>
      <c r="G532" t="s">
        <v>64</v>
      </c>
      <c r="H532">
        <v>6</v>
      </c>
      <c r="I532">
        <v>25</v>
      </c>
      <c r="J532">
        <v>0.296456667891905</v>
      </c>
      <c r="K532" t="b">
        <f t="shared" si="42"/>
        <v>1</v>
      </c>
      <c r="L532">
        <f t="shared" si="43"/>
        <v>12.922922931039746</v>
      </c>
      <c r="M532">
        <f t="shared" si="44"/>
        <v>25.845845862079493</v>
      </c>
      <c r="N532">
        <f t="shared" si="40"/>
        <v>68.194843963270429</v>
      </c>
      <c r="O532" s="26">
        <f t="shared" si="41"/>
        <v>78.320745036604521</v>
      </c>
    </row>
    <row r="533" spans="1:15" x14ac:dyDescent="0.35">
      <c r="A533" t="s">
        <v>64</v>
      </c>
      <c r="B533">
        <v>6</v>
      </c>
      <c r="C533" t="s">
        <v>63</v>
      </c>
      <c r="D533">
        <v>26</v>
      </c>
      <c r="E533">
        <v>14.330546999999999</v>
      </c>
      <c r="F533">
        <v>0.36042395065340699</v>
      </c>
      <c r="G533" t="s">
        <v>64</v>
      </c>
      <c r="H533">
        <v>6</v>
      </c>
      <c r="I533">
        <v>26</v>
      </c>
      <c r="J533">
        <v>0.35379011608035199</v>
      </c>
      <c r="K533" t="b">
        <f t="shared" si="42"/>
        <v>1</v>
      </c>
      <c r="L533">
        <f t="shared" si="43"/>
        <v>15.044761066733759</v>
      </c>
      <c r="M533">
        <f t="shared" si="44"/>
        <v>30.089522133467518</v>
      </c>
      <c r="N533">
        <f t="shared" si="40"/>
        <v>79.391878980125384</v>
      </c>
      <c r="O533" s="26">
        <f t="shared" si="41"/>
        <v>91.180370101416713</v>
      </c>
    </row>
    <row r="534" spans="1:15" x14ac:dyDescent="0.35">
      <c r="A534" t="s">
        <v>64</v>
      </c>
      <c r="B534">
        <v>6</v>
      </c>
      <c r="C534" t="s">
        <v>63</v>
      </c>
      <c r="D534">
        <v>27</v>
      </c>
      <c r="E534">
        <v>16.329456</v>
      </c>
      <c r="F534">
        <v>0.43443517133380399</v>
      </c>
      <c r="G534" t="s">
        <v>64</v>
      </c>
      <c r="H534">
        <v>6</v>
      </c>
      <c r="I534">
        <v>27</v>
      </c>
      <c r="J534">
        <v>0.413703708947667</v>
      </c>
      <c r="K534" t="b">
        <f t="shared" si="42"/>
        <v>1</v>
      </c>
      <c r="L534">
        <f t="shared" si="43"/>
        <v>17.177594880281472</v>
      </c>
      <c r="M534">
        <f t="shared" si="44"/>
        <v>34.355189760562943</v>
      </c>
      <c r="N534">
        <f t="shared" si="40"/>
        <v>90.646938682224118</v>
      </c>
      <c r="O534" s="26">
        <f t="shared" si="41"/>
        <v>104.10663563806952</v>
      </c>
    </row>
    <row r="535" spans="1:15" x14ac:dyDescent="0.35">
      <c r="A535" t="s">
        <v>64</v>
      </c>
      <c r="B535">
        <v>6</v>
      </c>
      <c r="C535" t="s">
        <v>63</v>
      </c>
      <c r="D535">
        <v>28</v>
      </c>
      <c r="E535">
        <v>18.328364999999899</v>
      </c>
      <c r="F535">
        <v>0.51660945919378998</v>
      </c>
      <c r="G535" t="s">
        <v>64</v>
      </c>
      <c r="H535">
        <v>6</v>
      </c>
      <c r="I535">
        <v>28</v>
      </c>
      <c r="J535">
        <v>0.47541574993673702</v>
      </c>
      <c r="K535" t="b">
        <f t="shared" si="42"/>
        <v>1</v>
      </c>
      <c r="L535">
        <f t="shared" si="43"/>
        <v>19.320390209130426</v>
      </c>
      <c r="M535">
        <f t="shared" si="44"/>
        <v>38.640780418260853</v>
      </c>
      <c r="N535">
        <f t="shared" si="40"/>
        <v>101.95456574739011</v>
      </c>
      <c r="O535" s="26">
        <f t="shared" si="41"/>
        <v>117.09327399472986</v>
      </c>
    </row>
    <row r="536" spans="1:15" x14ac:dyDescent="0.35">
      <c r="A536" t="s">
        <v>64</v>
      </c>
      <c r="B536">
        <v>6</v>
      </c>
      <c r="C536" t="s">
        <v>63</v>
      </c>
      <c r="D536">
        <v>29</v>
      </c>
      <c r="E536">
        <v>20.743964999999999</v>
      </c>
      <c r="F536">
        <v>0.60886643841797705</v>
      </c>
      <c r="G536" t="s">
        <v>64</v>
      </c>
      <c r="H536">
        <v>6</v>
      </c>
      <c r="I536">
        <v>29</v>
      </c>
      <c r="J536">
        <v>0.54312277595969405</v>
      </c>
      <c r="K536" t="b">
        <f t="shared" si="42"/>
        <v>1</v>
      </c>
      <c r="L536">
        <f t="shared" si="43"/>
        <v>21.895954214377671</v>
      </c>
      <c r="M536">
        <f t="shared" si="44"/>
        <v>43.791908428755342</v>
      </c>
      <c r="N536">
        <f t="shared" si="40"/>
        <v>115.54593252969747</v>
      </c>
      <c r="O536" s="26">
        <f t="shared" si="41"/>
        <v>132.70275281441013</v>
      </c>
    </row>
    <row r="537" spans="1:15" x14ac:dyDescent="0.35">
      <c r="A537" t="s">
        <v>64</v>
      </c>
      <c r="B537">
        <v>6</v>
      </c>
      <c r="C537" t="s">
        <v>63</v>
      </c>
      <c r="D537">
        <v>30</v>
      </c>
      <c r="E537">
        <v>23.159565000000001</v>
      </c>
      <c r="F537">
        <v>0.71090362826543696</v>
      </c>
      <c r="G537" t="s">
        <v>64</v>
      </c>
      <c r="H537">
        <v>6</v>
      </c>
      <c r="I537">
        <v>30</v>
      </c>
      <c r="J537">
        <v>0.61472436780029005</v>
      </c>
      <c r="K537" t="b">
        <f t="shared" si="42"/>
        <v>1</v>
      </c>
      <c r="L537">
        <f t="shared" si="43"/>
        <v>24.485192996065727</v>
      </c>
      <c r="M537">
        <f t="shared" si="44"/>
        <v>48.970385992131455</v>
      </c>
      <c r="N537">
        <f t="shared" si="40"/>
        <v>129.20946172066346</v>
      </c>
      <c r="O537" s="26">
        <f t="shared" si="41"/>
        <v>148.39510906706499</v>
      </c>
    </row>
    <row r="538" spans="1:15" x14ac:dyDescent="0.35">
      <c r="A538" t="s">
        <v>64</v>
      </c>
      <c r="B538">
        <v>6</v>
      </c>
      <c r="C538" t="s">
        <v>63</v>
      </c>
      <c r="D538">
        <v>31</v>
      </c>
      <c r="E538">
        <v>25.575164999999998</v>
      </c>
      <c r="F538">
        <v>0.82242762241747402</v>
      </c>
      <c r="G538" t="s">
        <v>64</v>
      </c>
      <c r="H538">
        <v>6</v>
      </c>
      <c r="I538">
        <v>31</v>
      </c>
      <c r="J538">
        <v>0.68891963744970897</v>
      </c>
      <c r="K538" t="b">
        <f t="shared" si="42"/>
        <v>1</v>
      </c>
      <c r="L538">
        <f t="shared" si="43"/>
        <v>27.086512259867181</v>
      </c>
      <c r="M538">
        <f t="shared" si="44"/>
        <v>54.173024519734362</v>
      </c>
      <c r="N538">
        <f t="shared" si="40"/>
        <v>142.93674015761044</v>
      </c>
      <c r="O538" s="26">
        <f t="shared" si="41"/>
        <v>164.16068036283139</v>
      </c>
    </row>
    <row r="539" spans="1:15" x14ac:dyDescent="0.35">
      <c r="A539" t="s">
        <v>64</v>
      </c>
      <c r="B539">
        <v>6</v>
      </c>
      <c r="C539" t="s">
        <v>63</v>
      </c>
      <c r="D539">
        <v>32</v>
      </c>
      <c r="E539">
        <v>27.990765</v>
      </c>
      <c r="F539">
        <v>0.94315381674495002</v>
      </c>
      <c r="G539" t="s">
        <v>64</v>
      </c>
      <c r="H539">
        <v>6</v>
      </c>
      <c r="I539">
        <v>32</v>
      </c>
      <c r="J539">
        <v>0.76488563477813398</v>
      </c>
      <c r="K539" t="b">
        <f t="shared" si="42"/>
        <v>1</v>
      </c>
      <c r="L539">
        <f t="shared" si="43"/>
        <v>29.698804451523085</v>
      </c>
      <c r="M539">
        <f t="shared" si="44"/>
        <v>59.397608903046169</v>
      </c>
      <c r="N539">
        <f t="shared" si="40"/>
        <v>156.72192322703475</v>
      </c>
      <c r="O539" s="26">
        <f t="shared" si="41"/>
        <v>179.99275425165504</v>
      </c>
    </row>
    <row r="540" spans="1:15" x14ac:dyDescent="0.35">
      <c r="A540" t="s">
        <v>64</v>
      </c>
      <c r="B540">
        <v>6</v>
      </c>
      <c r="C540" t="s">
        <v>63</v>
      </c>
      <c r="D540">
        <v>33</v>
      </c>
      <c r="E540">
        <v>30.406365000000001</v>
      </c>
      <c r="F540">
        <v>1.0728061452426001</v>
      </c>
      <c r="G540" t="s">
        <v>64</v>
      </c>
      <c r="H540">
        <v>6</v>
      </c>
      <c r="I540">
        <v>33</v>
      </c>
      <c r="J540">
        <v>0.84208941228790202</v>
      </c>
      <c r="K540" t="b">
        <f t="shared" si="42"/>
        <v>1</v>
      </c>
      <c r="L540">
        <f t="shared" si="43"/>
        <v>32.321260557530508</v>
      </c>
      <c r="M540">
        <f t="shared" si="44"/>
        <v>64.642521115061015</v>
      </c>
      <c r="N540">
        <f t="shared" si="40"/>
        <v>170.56074172839317</v>
      </c>
      <c r="O540" s="26">
        <f t="shared" si="41"/>
        <v>195.88642762139702</v>
      </c>
    </row>
    <row r="541" spans="1:15" x14ac:dyDescent="0.35">
      <c r="A541" t="s">
        <v>64</v>
      </c>
      <c r="B541">
        <v>6</v>
      </c>
      <c r="C541" t="s">
        <v>63</v>
      </c>
      <c r="D541">
        <v>34</v>
      </c>
      <c r="E541">
        <v>33.232616999999998</v>
      </c>
      <c r="F541">
        <v>1.2132499702853199</v>
      </c>
      <c r="G541" t="s">
        <v>64</v>
      </c>
      <c r="H541">
        <v>6</v>
      </c>
      <c r="I541">
        <v>34</v>
      </c>
      <c r="J541">
        <v>0.92482269829675401</v>
      </c>
      <c r="K541" t="b">
        <f t="shared" si="42"/>
        <v>1</v>
      </c>
      <c r="L541">
        <f t="shared" si="43"/>
        <v>35.370689668582067</v>
      </c>
      <c r="M541">
        <f t="shared" si="44"/>
        <v>70.741379337164133</v>
      </c>
      <c r="N541">
        <f t="shared" si="40"/>
        <v>186.65271592919296</v>
      </c>
      <c r="O541" s="26">
        <f t="shared" si="41"/>
        <v>214.36781617322464</v>
      </c>
    </row>
    <row r="542" spans="1:15" x14ac:dyDescent="0.35">
      <c r="A542" t="s">
        <v>64</v>
      </c>
      <c r="B542">
        <v>6</v>
      </c>
      <c r="C542" t="s">
        <v>63</v>
      </c>
      <c r="D542">
        <v>35</v>
      </c>
      <c r="E542">
        <v>36.058869000000001</v>
      </c>
      <c r="F542">
        <v>1.3641615469767601</v>
      </c>
      <c r="G542" t="s">
        <v>64</v>
      </c>
      <c r="H542">
        <v>6</v>
      </c>
      <c r="I542">
        <v>35</v>
      </c>
      <c r="J542">
        <v>1.01112062369485</v>
      </c>
      <c r="K542" t="b">
        <f t="shared" si="42"/>
        <v>1</v>
      </c>
      <c r="L542">
        <f t="shared" si="43"/>
        <v>38.434151170671612</v>
      </c>
      <c r="M542">
        <f t="shared" si="44"/>
        <v>76.868302341343224</v>
      </c>
      <c r="N542">
        <f t="shared" si="40"/>
        <v>202.81873968692145</v>
      </c>
      <c r="O542" s="26">
        <f t="shared" si="41"/>
        <v>232.93424951922188</v>
      </c>
    </row>
    <row r="543" spans="1:15" x14ac:dyDescent="0.35">
      <c r="A543" t="s">
        <v>64</v>
      </c>
      <c r="B543">
        <v>6</v>
      </c>
      <c r="C543" t="s">
        <v>63</v>
      </c>
      <c r="D543">
        <v>36</v>
      </c>
      <c r="E543">
        <v>38.885120999999998</v>
      </c>
      <c r="F543">
        <v>1.52522684276746</v>
      </c>
      <c r="G543" t="s">
        <v>64</v>
      </c>
      <c r="H543">
        <v>6</v>
      </c>
      <c r="I543">
        <v>36</v>
      </c>
      <c r="J543">
        <v>1.0997737183809999</v>
      </c>
      <c r="K543" t="b">
        <f t="shared" si="42"/>
        <v>1</v>
      </c>
      <c r="L543">
        <f t="shared" si="43"/>
        <v>41.510121561148459</v>
      </c>
      <c r="M543">
        <f t="shared" si="44"/>
        <v>83.020243122296918</v>
      </c>
      <c r="N543">
        <f t="shared" si="40"/>
        <v>219.05077340975441</v>
      </c>
      <c r="O543" s="26">
        <f t="shared" si="41"/>
        <v>251.57649430999064</v>
      </c>
    </row>
    <row r="544" spans="1:15" x14ac:dyDescent="0.35">
      <c r="A544" t="s">
        <v>64</v>
      </c>
      <c r="B544">
        <v>6</v>
      </c>
      <c r="C544" t="s">
        <v>63</v>
      </c>
      <c r="D544">
        <v>37</v>
      </c>
      <c r="E544">
        <v>41.711372999999902</v>
      </c>
      <c r="F544">
        <v>1.6961412460844401</v>
      </c>
      <c r="G544" t="s">
        <v>64</v>
      </c>
      <c r="H544">
        <v>6</v>
      </c>
      <c r="I544">
        <v>37</v>
      </c>
      <c r="J544">
        <v>1.19002220617259</v>
      </c>
      <c r="K544" t="b">
        <f t="shared" si="42"/>
        <v>1</v>
      </c>
      <c r="L544">
        <f t="shared" si="43"/>
        <v>44.597536452256932</v>
      </c>
      <c r="M544">
        <f t="shared" si="44"/>
        <v>89.195072904513864</v>
      </c>
      <c r="N544">
        <f t="shared" si="40"/>
        <v>235.34320027576217</v>
      </c>
      <c r="O544" s="26">
        <f t="shared" si="41"/>
        <v>270.28809971064805</v>
      </c>
    </row>
    <row r="545" spans="1:15" x14ac:dyDescent="0.35">
      <c r="A545" t="s">
        <v>64</v>
      </c>
      <c r="B545">
        <v>6</v>
      </c>
      <c r="C545" t="s">
        <v>63</v>
      </c>
      <c r="D545">
        <v>38</v>
      </c>
      <c r="E545">
        <v>44.537624999999998</v>
      </c>
      <c r="F545">
        <v>1.8766092837018999</v>
      </c>
      <c r="G545" t="s">
        <v>64</v>
      </c>
      <c r="H545">
        <v>6</v>
      </c>
      <c r="I545">
        <v>38</v>
      </c>
      <c r="J545">
        <v>1.2813777944031</v>
      </c>
      <c r="K545" t="b">
        <f t="shared" si="42"/>
        <v>1</v>
      </c>
      <c r="L545">
        <f t="shared" si="43"/>
        <v>47.695612078105</v>
      </c>
      <c r="M545">
        <f t="shared" si="44"/>
        <v>95.391224156210001</v>
      </c>
      <c r="N545">
        <f t="shared" si="40"/>
        <v>251.69188431717677</v>
      </c>
      <c r="O545" s="26">
        <f t="shared" si="41"/>
        <v>289.06431562487876</v>
      </c>
    </row>
    <row r="546" spans="1:15" x14ac:dyDescent="0.35">
      <c r="A546" t="s">
        <v>64</v>
      </c>
      <c r="B546">
        <v>6</v>
      </c>
      <c r="C546" t="s">
        <v>63</v>
      </c>
      <c r="D546">
        <v>39</v>
      </c>
      <c r="E546">
        <v>47.611475999999897</v>
      </c>
      <c r="F546">
        <v>2.0676305083908502</v>
      </c>
      <c r="G546" t="s">
        <v>64</v>
      </c>
      <c r="H546">
        <v>6</v>
      </c>
      <c r="I546">
        <v>39</v>
      </c>
      <c r="J546">
        <v>1.37631987302492</v>
      </c>
      <c r="K546" t="b">
        <f t="shared" si="42"/>
        <v>1</v>
      </c>
      <c r="L546">
        <f t="shared" si="43"/>
        <v>51.055426381415664</v>
      </c>
      <c r="M546">
        <f t="shared" si="44"/>
        <v>102.11085276283133</v>
      </c>
      <c r="N546">
        <f t="shared" si="40"/>
        <v>269.42177509981883</v>
      </c>
      <c r="O546" s="26">
        <f t="shared" si="41"/>
        <v>309.42682655403434</v>
      </c>
    </row>
    <row r="547" spans="1:15" x14ac:dyDescent="0.35">
      <c r="A547" t="s">
        <v>64</v>
      </c>
      <c r="B547">
        <v>6</v>
      </c>
      <c r="C547" t="s">
        <v>63</v>
      </c>
      <c r="D547">
        <v>40</v>
      </c>
      <c r="E547">
        <v>50.685327000000001</v>
      </c>
      <c r="F547">
        <v>2.26888832453912</v>
      </c>
      <c r="G547" t="s">
        <v>64</v>
      </c>
      <c r="H547">
        <v>6</v>
      </c>
      <c r="I547">
        <v>40</v>
      </c>
      <c r="J547">
        <v>1.4735917674044201</v>
      </c>
      <c r="K547" t="b">
        <f t="shared" si="42"/>
        <v>1</v>
      </c>
      <c r="L547">
        <f t="shared" si="43"/>
        <v>54.427807091943542</v>
      </c>
      <c r="M547">
        <f t="shared" si="44"/>
        <v>108.85561418388708</v>
      </c>
      <c r="N547">
        <f t="shared" si="40"/>
        <v>287.21797937701075</v>
      </c>
      <c r="O547" s="26">
        <f t="shared" si="41"/>
        <v>329.86549752693054</v>
      </c>
    </row>
    <row r="548" spans="1:15" x14ac:dyDescent="0.35">
      <c r="A548" t="s">
        <v>64</v>
      </c>
      <c r="B548">
        <v>6</v>
      </c>
      <c r="C548" t="s">
        <v>63</v>
      </c>
      <c r="D548">
        <v>41</v>
      </c>
      <c r="E548">
        <v>53.759177999999999</v>
      </c>
      <c r="F548">
        <v>2.48007563440295</v>
      </c>
      <c r="G548" t="s">
        <v>64</v>
      </c>
      <c r="H548">
        <v>6</v>
      </c>
      <c r="I548">
        <v>41</v>
      </c>
      <c r="J548">
        <v>1.57241518776566</v>
      </c>
      <c r="K548" t="b">
        <f t="shared" si="42"/>
        <v>1</v>
      </c>
      <c r="L548">
        <f t="shared" si="43"/>
        <v>57.811668822168606</v>
      </c>
      <c r="M548">
        <f t="shared" si="44"/>
        <v>115.62333764433721</v>
      </c>
      <c r="N548">
        <f t="shared" si="40"/>
        <v>305.07476951012455</v>
      </c>
      <c r="O548" s="26">
        <f t="shared" si="41"/>
        <v>350.37375043738547</v>
      </c>
    </row>
    <row r="549" spans="1:15" x14ac:dyDescent="0.35">
      <c r="A549" t="s">
        <v>64</v>
      </c>
      <c r="B549">
        <v>6</v>
      </c>
      <c r="C549" t="s">
        <v>63</v>
      </c>
      <c r="D549">
        <v>42</v>
      </c>
      <c r="E549">
        <v>56.833029000000003</v>
      </c>
      <c r="F549">
        <v>2.7008945531708601</v>
      </c>
      <c r="G549" t="s">
        <v>64</v>
      </c>
      <c r="H549">
        <v>6</v>
      </c>
      <c r="I549">
        <v>42</v>
      </c>
      <c r="J549">
        <v>1.6722978028011599</v>
      </c>
      <c r="K549" t="b">
        <f t="shared" si="42"/>
        <v>1</v>
      </c>
      <c r="L549">
        <f t="shared" si="43"/>
        <v>61.206221355972026</v>
      </c>
      <c r="M549">
        <f t="shared" si="44"/>
        <v>122.41244271194405</v>
      </c>
      <c r="N549">
        <f t="shared" si="40"/>
        <v>322.98797549325604</v>
      </c>
      <c r="O549" s="26">
        <f t="shared" si="41"/>
        <v>370.94679609680014</v>
      </c>
    </row>
    <row r="550" spans="1:15" x14ac:dyDescent="0.35">
      <c r="A550" t="s">
        <v>64</v>
      </c>
      <c r="B550">
        <v>6</v>
      </c>
      <c r="C550" t="s">
        <v>63</v>
      </c>
      <c r="D550">
        <v>43</v>
      </c>
      <c r="E550">
        <v>59.906879999999902</v>
      </c>
      <c r="F550">
        <v>2.9310561325757298</v>
      </c>
      <c r="G550" t="s">
        <v>64</v>
      </c>
      <c r="H550">
        <v>6</v>
      </c>
      <c r="I550">
        <v>43</v>
      </c>
      <c r="J550">
        <v>1.77292078965205</v>
      </c>
      <c r="K550" t="b">
        <f t="shared" si="42"/>
        <v>1</v>
      </c>
      <c r="L550">
        <f t="shared" si="43"/>
        <v>64.610856922227683</v>
      </c>
      <c r="M550">
        <f t="shared" si="44"/>
        <v>129.22171384445537</v>
      </c>
      <c r="N550">
        <f t="shared" si="40"/>
        <v>340.95439009091126</v>
      </c>
      <c r="O550" s="26">
        <f t="shared" si="41"/>
        <v>391.58095104380413</v>
      </c>
    </row>
    <row r="551" spans="1:15" x14ac:dyDescent="0.35">
      <c r="A551" t="s">
        <v>64</v>
      </c>
      <c r="B551">
        <v>6</v>
      </c>
      <c r="C551" t="s">
        <v>63</v>
      </c>
      <c r="D551">
        <v>44</v>
      </c>
      <c r="E551">
        <v>62.974691999999997</v>
      </c>
      <c r="F551">
        <v>3.1702487229984602</v>
      </c>
      <c r="G551" t="s">
        <v>64</v>
      </c>
      <c r="H551">
        <v>6</v>
      </c>
      <c r="I551">
        <v>44</v>
      </c>
      <c r="J551">
        <v>1.8740041960545399</v>
      </c>
      <c r="K551" t="b">
        <f t="shared" si="42"/>
        <v>1</v>
      </c>
      <c r="L551">
        <f t="shared" si="43"/>
        <v>68.018944919052998</v>
      </c>
      <c r="M551">
        <f t="shared" si="44"/>
        <v>136.037889838106</v>
      </c>
      <c r="N551">
        <f t="shared" si="40"/>
        <v>358.93902331954087</v>
      </c>
      <c r="O551" s="26">
        <f t="shared" si="41"/>
        <v>412.23602981244238</v>
      </c>
    </row>
    <row r="552" spans="1:15" x14ac:dyDescent="0.35">
      <c r="A552" t="s">
        <v>64</v>
      </c>
      <c r="B552">
        <v>6</v>
      </c>
      <c r="C552" t="s">
        <v>63</v>
      </c>
      <c r="D552">
        <v>45</v>
      </c>
      <c r="E552">
        <v>66.042503999999994</v>
      </c>
      <c r="F552">
        <v>3.4182013941085101</v>
      </c>
      <c r="G552" t="s">
        <v>64</v>
      </c>
      <c r="H552">
        <v>6</v>
      </c>
      <c r="I552">
        <v>45</v>
      </c>
      <c r="J552">
        <v>1.97542935096372</v>
      </c>
      <c r="K552" t="b">
        <f t="shared" si="42"/>
        <v>1</v>
      </c>
      <c r="L552">
        <f t="shared" si="43"/>
        <v>71.436134745072223</v>
      </c>
      <c r="M552">
        <f t="shared" si="44"/>
        <v>142.87226949014445</v>
      </c>
      <c r="N552">
        <f t="shared" si="40"/>
        <v>376.97168730908822</v>
      </c>
      <c r="O552" s="26">
        <f t="shared" si="41"/>
        <v>432.94627118225588</v>
      </c>
    </row>
    <row r="553" spans="1:15" x14ac:dyDescent="0.35">
      <c r="A553" t="s">
        <v>64</v>
      </c>
      <c r="B553">
        <v>6</v>
      </c>
      <c r="C553" t="s">
        <v>63</v>
      </c>
      <c r="D553">
        <v>46</v>
      </c>
      <c r="E553">
        <v>69.110315999999997</v>
      </c>
      <c r="F553">
        <v>3.6746513434852499</v>
      </c>
      <c r="G553" t="s">
        <v>64</v>
      </c>
      <c r="H553">
        <v>6</v>
      </c>
      <c r="I553">
        <v>46</v>
      </c>
      <c r="J553">
        <v>2.07711119460705</v>
      </c>
      <c r="K553" t="b">
        <f t="shared" si="42"/>
        <v>1</v>
      </c>
      <c r="L553">
        <f t="shared" si="43"/>
        <v>74.862078538092305</v>
      </c>
      <c r="M553">
        <f t="shared" si="44"/>
        <v>149.72415707618461</v>
      </c>
      <c r="N553">
        <f t="shared" si="40"/>
        <v>395.0505463751573</v>
      </c>
      <c r="O553" s="26">
        <f t="shared" si="41"/>
        <v>453.7095668975291</v>
      </c>
    </row>
    <row r="554" spans="1:15" x14ac:dyDescent="0.35">
      <c r="A554" t="s">
        <v>64</v>
      </c>
      <c r="B554">
        <v>6</v>
      </c>
      <c r="C554" t="s">
        <v>63</v>
      </c>
      <c r="D554">
        <v>47</v>
      </c>
      <c r="E554">
        <v>72.178128000000001</v>
      </c>
      <c r="F554">
        <v>3.93934365278069</v>
      </c>
      <c r="G554" t="s">
        <v>64</v>
      </c>
      <c r="H554">
        <v>6</v>
      </c>
      <c r="I554">
        <v>47</v>
      </c>
      <c r="J554">
        <v>2.1789876441470599</v>
      </c>
      <c r="K554" t="b">
        <f t="shared" si="42"/>
        <v>1</v>
      </c>
      <c r="L554">
        <f t="shared" si="43"/>
        <v>78.29645929692775</v>
      </c>
      <c r="M554">
        <f t="shared" si="44"/>
        <v>156.5929185938555</v>
      </c>
      <c r="N554">
        <f t="shared" si="40"/>
        <v>413.17392768827307</v>
      </c>
      <c r="O554" s="26">
        <f t="shared" si="41"/>
        <v>474.52399573895605</v>
      </c>
    </row>
    <row r="555" spans="1:15" x14ac:dyDescent="0.35">
      <c r="A555" t="s">
        <v>64</v>
      </c>
      <c r="B555">
        <v>6</v>
      </c>
      <c r="C555" t="s">
        <v>63</v>
      </c>
      <c r="D555">
        <v>48</v>
      </c>
      <c r="E555">
        <v>75.245940000000004</v>
      </c>
      <c r="F555">
        <v>4.2120310511972798</v>
      </c>
      <c r="G555" t="s">
        <v>64</v>
      </c>
      <c r="H555">
        <v>6</v>
      </c>
      <c r="I555">
        <v>48</v>
      </c>
      <c r="J555">
        <v>2.2810126977756302</v>
      </c>
      <c r="K555" t="b">
        <f t="shared" si="42"/>
        <v>1</v>
      </c>
      <c r="L555">
        <f t="shared" si="43"/>
        <v>81.738983748972927</v>
      </c>
      <c r="M555">
        <f t="shared" si="44"/>
        <v>163.47796749794585</v>
      </c>
      <c r="N555">
        <f t="shared" si="40"/>
        <v>431.34028363574106</v>
      </c>
      <c r="O555" s="26">
        <f t="shared" si="41"/>
        <v>495.3877802968056</v>
      </c>
    </row>
    <row r="556" spans="1:15" x14ac:dyDescent="0.35">
      <c r="A556" t="s">
        <v>64</v>
      </c>
      <c r="B556">
        <v>6</v>
      </c>
      <c r="C556" t="s">
        <v>63</v>
      </c>
      <c r="D556">
        <v>49</v>
      </c>
      <c r="E556">
        <v>78.126542999999998</v>
      </c>
      <c r="F556">
        <v>4.4915012222613599</v>
      </c>
      <c r="G556" t="s">
        <v>64</v>
      </c>
      <c r="H556">
        <v>6</v>
      </c>
      <c r="I556">
        <v>49</v>
      </c>
      <c r="J556">
        <v>2.3810340416604401</v>
      </c>
      <c r="K556" t="b">
        <f t="shared" si="42"/>
        <v>1</v>
      </c>
      <c r="L556">
        <f t="shared" si="43"/>
        <v>84.999078263921803</v>
      </c>
      <c r="M556">
        <f t="shared" si="44"/>
        <v>169.99815652784361</v>
      </c>
      <c r="N556">
        <f t="shared" si="40"/>
        <v>448.54394862227866</v>
      </c>
      <c r="O556" s="26">
        <f t="shared" si="41"/>
        <v>515.14592887225331</v>
      </c>
    </row>
    <row r="557" spans="1:15" x14ac:dyDescent="0.35">
      <c r="A557" t="s">
        <v>64</v>
      </c>
      <c r="B557">
        <v>6</v>
      </c>
      <c r="C557" t="s">
        <v>63</v>
      </c>
      <c r="D557">
        <v>50</v>
      </c>
      <c r="E557">
        <v>81.007145999999906</v>
      </c>
      <c r="F557">
        <v>4.7775506827935201</v>
      </c>
      <c r="G557" t="s">
        <v>64</v>
      </c>
      <c r="H557">
        <v>6</v>
      </c>
      <c r="I557">
        <v>50</v>
      </c>
      <c r="J557">
        <v>2.47981152819878</v>
      </c>
      <c r="K557" t="b">
        <f t="shared" si="42"/>
        <v>1</v>
      </c>
      <c r="L557">
        <f t="shared" si="43"/>
        <v>88.264508210992204</v>
      </c>
      <c r="M557">
        <f t="shared" si="44"/>
        <v>176.52901642198441</v>
      </c>
      <c r="N557">
        <f t="shared" si="40"/>
        <v>465.77576892344172</v>
      </c>
      <c r="O557" s="26">
        <f t="shared" si="41"/>
        <v>534.9364133999527</v>
      </c>
    </row>
    <row r="558" spans="1:15" x14ac:dyDescent="0.35">
      <c r="A558" t="s">
        <v>64</v>
      </c>
      <c r="B558">
        <v>6</v>
      </c>
      <c r="C558" t="s">
        <v>63</v>
      </c>
      <c r="D558">
        <v>51</v>
      </c>
      <c r="E558">
        <v>83.887748999999999</v>
      </c>
      <c r="F558">
        <v>5.06998205410971</v>
      </c>
      <c r="G558" t="s">
        <v>64</v>
      </c>
      <c r="H558">
        <v>6</v>
      </c>
      <c r="I558">
        <v>51</v>
      </c>
      <c r="J558">
        <v>2.57780009156654</v>
      </c>
      <c r="K558" t="b">
        <f t="shared" si="42"/>
        <v>1</v>
      </c>
      <c r="L558">
        <f t="shared" si="43"/>
        <v>91.535531145676259</v>
      </c>
      <c r="M558">
        <f t="shared" si="44"/>
        <v>183.07106229135252</v>
      </c>
      <c r="N558">
        <f t="shared" si="40"/>
        <v>483.03710367111483</v>
      </c>
      <c r="O558" s="26">
        <f t="shared" si="41"/>
        <v>554.76079482228033</v>
      </c>
    </row>
    <row r="559" spans="1:15" x14ac:dyDescent="0.35">
      <c r="A559" t="s">
        <v>64</v>
      </c>
      <c r="B559">
        <v>6</v>
      </c>
      <c r="C559" t="s">
        <v>63</v>
      </c>
      <c r="D559">
        <v>52</v>
      </c>
      <c r="E559">
        <v>86.768351999999993</v>
      </c>
      <c r="F559">
        <v>5.3686038788864199</v>
      </c>
      <c r="G559" t="s">
        <v>64</v>
      </c>
      <c r="H559">
        <v>6</v>
      </c>
      <c r="I559">
        <v>52</v>
      </c>
      <c r="J559">
        <v>2.6752763065214</v>
      </c>
      <c r="K559" t="b">
        <f t="shared" si="42"/>
        <v>1</v>
      </c>
      <c r="L559">
        <f t="shared" si="43"/>
        <v>94.812232185407808</v>
      </c>
      <c r="M559">
        <f t="shared" si="44"/>
        <v>189.62446437081562</v>
      </c>
      <c r="N559">
        <f t="shared" si="40"/>
        <v>500.32840203381431</v>
      </c>
      <c r="O559" s="26">
        <f t="shared" si="41"/>
        <v>574.61958900247157</v>
      </c>
    </row>
    <row r="560" spans="1:15" x14ac:dyDescent="0.35">
      <c r="A560" t="s">
        <v>64</v>
      </c>
      <c r="B560">
        <v>6</v>
      </c>
      <c r="C560" t="s">
        <v>63</v>
      </c>
      <c r="D560">
        <v>53</v>
      </c>
      <c r="E560">
        <v>89.648955000000001</v>
      </c>
      <c r="F560">
        <v>5.67323044351983</v>
      </c>
      <c r="G560" t="s">
        <v>64</v>
      </c>
      <c r="H560">
        <v>6</v>
      </c>
      <c r="I560">
        <v>53</v>
      </c>
      <c r="J560">
        <v>2.7724114238972102</v>
      </c>
      <c r="K560" t="b">
        <f t="shared" si="42"/>
        <v>1</v>
      </c>
      <c r="L560">
        <f t="shared" si="43"/>
        <v>98.094596867417039</v>
      </c>
      <c r="M560">
        <f t="shared" si="44"/>
        <v>196.18919373483408</v>
      </c>
      <c r="N560">
        <f t="shared" si="40"/>
        <v>517.64958769085513</v>
      </c>
      <c r="O560" s="26">
        <f t="shared" si="41"/>
        <v>594.51270828737597</v>
      </c>
    </row>
    <row r="561" spans="1:15" x14ac:dyDescent="0.35">
      <c r="A561" t="s">
        <v>64</v>
      </c>
      <c r="B561">
        <v>6</v>
      </c>
      <c r="C561" t="s">
        <v>63</v>
      </c>
      <c r="D561">
        <v>54</v>
      </c>
      <c r="E561">
        <v>92.215530000000001</v>
      </c>
      <c r="F561">
        <v>5.9820503762142296</v>
      </c>
      <c r="G561" t="s">
        <v>64</v>
      </c>
      <c r="H561">
        <v>6</v>
      </c>
      <c r="I561">
        <v>54</v>
      </c>
      <c r="J561">
        <v>2.8657612919412601</v>
      </c>
      <c r="K561" t="b">
        <f t="shared" si="42"/>
        <v>1</v>
      </c>
      <c r="L561">
        <f t="shared" si="43"/>
        <v>101.06334166815549</v>
      </c>
      <c r="M561">
        <f t="shared" si="44"/>
        <v>202.12668333631098</v>
      </c>
      <c r="N561">
        <f t="shared" si="40"/>
        <v>533.31578716704746</v>
      </c>
      <c r="O561" s="26">
        <f t="shared" si="41"/>
        <v>612.50510101912414</v>
      </c>
    </row>
    <row r="562" spans="1:15" x14ac:dyDescent="0.35">
      <c r="A562" t="s">
        <v>64</v>
      </c>
      <c r="B562">
        <v>6</v>
      </c>
      <c r="C562" t="s">
        <v>63</v>
      </c>
      <c r="D562">
        <v>55</v>
      </c>
      <c r="E562">
        <v>94.782105000000001</v>
      </c>
      <c r="F562">
        <v>6.2949378759277996</v>
      </c>
      <c r="G562" t="s">
        <v>64</v>
      </c>
      <c r="H562">
        <v>6</v>
      </c>
      <c r="I562">
        <v>55</v>
      </c>
      <c r="J562">
        <v>2.9567144497714999</v>
      </c>
      <c r="K562" t="b">
        <f t="shared" si="42"/>
        <v>1</v>
      </c>
      <c r="L562">
        <f t="shared" si="43"/>
        <v>104.0337573256993</v>
      </c>
      <c r="M562">
        <f t="shared" si="44"/>
        <v>208.0675146513986</v>
      </c>
      <c r="N562">
        <f t="shared" si="40"/>
        <v>548.99080382954776</v>
      </c>
      <c r="O562" s="26">
        <f t="shared" si="41"/>
        <v>630.50762015575333</v>
      </c>
    </row>
    <row r="563" spans="1:15" x14ac:dyDescent="0.35">
      <c r="A563" t="s">
        <v>64</v>
      </c>
      <c r="B563">
        <v>6</v>
      </c>
      <c r="C563" t="s">
        <v>63</v>
      </c>
      <c r="D563">
        <v>56</v>
      </c>
      <c r="E563">
        <v>97.348680000000002</v>
      </c>
      <c r="F563">
        <v>6.61177091564997</v>
      </c>
      <c r="G563" t="s">
        <v>64</v>
      </c>
      <c r="H563">
        <v>6</v>
      </c>
      <c r="I563">
        <v>56</v>
      </c>
      <c r="J563">
        <v>3.0461139862122399</v>
      </c>
      <c r="K563" t="b">
        <f t="shared" si="42"/>
        <v>1</v>
      </c>
      <c r="L563">
        <f t="shared" si="43"/>
        <v>107.00656490186221</v>
      </c>
      <c r="M563">
        <f t="shared" si="44"/>
        <v>214.01312980372441</v>
      </c>
      <c r="N563">
        <f t="shared" si="40"/>
        <v>564.67844275389029</v>
      </c>
      <c r="O563" s="26">
        <f t="shared" si="41"/>
        <v>648.5246357688618</v>
      </c>
    </row>
    <row r="564" spans="1:15" x14ac:dyDescent="0.35">
      <c r="A564" t="s">
        <v>64</v>
      </c>
      <c r="B564">
        <v>6</v>
      </c>
      <c r="C564" t="s">
        <v>63</v>
      </c>
      <c r="D564">
        <v>57</v>
      </c>
      <c r="E564">
        <v>99.915255000000002</v>
      </c>
      <c r="F564">
        <v>6.9324311291804701</v>
      </c>
      <c r="G564" t="s">
        <v>64</v>
      </c>
      <c r="H564">
        <v>6</v>
      </c>
      <c r="I564">
        <v>57</v>
      </c>
      <c r="J564">
        <v>3.13448115174335</v>
      </c>
      <c r="K564" t="b">
        <f t="shared" si="42"/>
        <v>1</v>
      </c>
      <c r="L564">
        <f t="shared" si="43"/>
        <v>109.98216728092382</v>
      </c>
      <c r="M564">
        <f t="shared" si="44"/>
        <v>219.96433456184764</v>
      </c>
      <c r="N564">
        <f t="shared" si="40"/>
        <v>580.38082997848983</v>
      </c>
      <c r="O564" s="26">
        <f t="shared" si="41"/>
        <v>666.55858958135639</v>
      </c>
    </row>
    <row r="565" spans="1:15" x14ac:dyDescent="0.35">
      <c r="A565" t="s">
        <v>64</v>
      </c>
      <c r="B565">
        <v>6</v>
      </c>
      <c r="C565" t="s">
        <v>63</v>
      </c>
      <c r="D565">
        <v>58</v>
      </c>
      <c r="E565">
        <v>102.48183</v>
      </c>
      <c r="F565">
        <v>7.2568037013050599</v>
      </c>
      <c r="G565" t="s">
        <v>64</v>
      </c>
      <c r="H565">
        <v>6</v>
      </c>
      <c r="I565">
        <v>58</v>
      </c>
      <c r="J565">
        <v>3.2221450387519899</v>
      </c>
      <c r="K565" t="b">
        <f t="shared" si="42"/>
        <v>1</v>
      </c>
      <c r="L565">
        <f t="shared" si="43"/>
        <v>112.96077874005705</v>
      </c>
      <c r="M565">
        <f t="shared" si="44"/>
        <v>225.9215574801141</v>
      </c>
      <c r="N565">
        <f t="shared" si="40"/>
        <v>596.09909625359921</v>
      </c>
      <c r="O565" s="26">
        <f t="shared" si="41"/>
        <v>684.61078024277003</v>
      </c>
    </row>
    <row r="566" spans="1:15" x14ac:dyDescent="0.35">
      <c r="A566" t="s">
        <v>64</v>
      </c>
      <c r="B566">
        <v>6</v>
      </c>
      <c r="C566" t="s">
        <v>63</v>
      </c>
      <c r="D566">
        <v>59</v>
      </c>
      <c r="E566">
        <v>104.710221</v>
      </c>
      <c r="F566">
        <v>7.5830205524659</v>
      </c>
      <c r="G566" t="s">
        <v>64</v>
      </c>
      <c r="H566">
        <v>6</v>
      </c>
      <c r="I566">
        <v>59</v>
      </c>
      <c r="J566">
        <v>3.3054925915244602</v>
      </c>
      <c r="K566" t="b">
        <f t="shared" si="42"/>
        <v>1</v>
      </c>
      <c r="L566">
        <f t="shared" si="43"/>
        <v>115.59873414399036</v>
      </c>
      <c r="M566">
        <f t="shared" si="44"/>
        <v>231.19746828798071</v>
      </c>
      <c r="N566">
        <f t="shared" si="40"/>
        <v>610.01970524533169</v>
      </c>
      <c r="O566" s="26">
        <f t="shared" si="41"/>
        <v>700.5983887514567</v>
      </c>
    </row>
    <row r="567" spans="1:15" x14ac:dyDescent="0.35">
      <c r="A567" t="s">
        <v>64</v>
      </c>
      <c r="B567">
        <v>6</v>
      </c>
      <c r="C567" t="s">
        <v>63</v>
      </c>
      <c r="D567">
        <v>60</v>
      </c>
      <c r="E567">
        <v>106.938611999999</v>
      </c>
      <c r="F567">
        <v>7.9110263542919297</v>
      </c>
      <c r="G567" t="s">
        <v>64</v>
      </c>
      <c r="H567">
        <v>6</v>
      </c>
      <c r="I567">
        <v>60</v>
      </c>
      <c r="J567">
        <v>3.3860845116458198</v>
      </c>
      <c r="K567" t="b">
        <f t="shared" si="42"/>
        <v>1</v>
      </c>
      <c r="L567">
        <f t="shared" si="43"/>
        <v>118.23572286593675</v>
      </c>
      <c r="M567">
        <f t="shared" si="44"/>
        <v>236.4714457318735</v>
      </c>
      <c r="N567">
        <f t="shared" si="40"/>
        <v>623.93521301285887</v>
      </c>
      <c r="O567" s="26">
        <f t="shared" si="41"/>
        <v>716.58013858143477</v>
      </c>
    </row>
    <row r="568" spans="1:15" x14ac:dyDescent="0.35">
      <c r="A568" t="s">
        <v>64</v>
      </c>
      <c r="B568">
        <v>6</v>
      </c>
      <c r="C568" t="s">
        <v>63</v>
      </c>
      <c r="D568">
        <v>61</v>
      </c>
      <c r="E568">
        <v>109.16700299999999</v>
      </c>
      <c r="F568">
        <v>8.2407674382631697</v>
      </c>
      <c r="G568" t="s">
        <v>64</v>
      </c>
      <c r="H568">
        <v>6</v>
      </c>
      <c r="I568">
        <v>61</v>
      </c>
      <c r="J568">
        <v>3.4648742874414902</v>
      </c>
      <c r="K568" t="b">
        <f t="shared" si="42"/>
        <v>1</v>
      </c>
      <c r="L568">
        <f t="shared" si="43"/>
        <v>120.87264472570465</v>
      </c>
      <c r="M568">
        <f t="shared" si="44"/>
        <v>241.74528945140929</v>
      </c>
      <c r="N568">
        <f t="shared" si="40"/>
        <v>637.850367945671</v>
      </c>
      <c r="O568" s="26">
        <f t="shared" si="41"/>
        <v>732.56148318608871</v>
      </c>
    </row>
    <row r="569" spans="1:15" x14ac:dyDescent="0.35">
      <c r="A569" t="s">
        <v>64</v>
      </c>
      <c r="B569">
        <v>6</v>
      </c>
      <c r="C569" t="s">
        <v>63</v>
      </c>
      <c r="D569">
        <v>62</v>
      </c>
      <c r="E569">
        <v>111.395394</v>
      </c>
      <c r="F569">
        <v>8.5721917459152692</v>
      </c>
      <c r="G569" t="s">
        <v>64</v>
      </c>
      <c r="H569">
        <v>6</v>
      </c>
      <c r="I569">
        <v>62</v>
      </c>
      <c r="J569">
        <v>3.5424557075960901</v>
      </c>
      <c r="K569" t="b">
        <f t="shared" si="42"/>
        <v>1</v>
      </c>
      <c r="L569">
        <f t="shared" si="43"/>
        <v>123.51004145351136</v>
      </c>
      <c r="M569">
        <f t="shared" si="44"/>
        <v>247.02008290702273</v>
      </c>
      <c r="N569">
        <f t="shared" si="40"/>
        <v>651.76802877842408</v>
      </c>
      <c r="O569" s="26">
        <f t="shared" si="41"/>
        <v>748.5457057788567</v>
      </c>
    </row>
    <row r="570" spans="1:15" x14ac:dyDescent="0.35">
      <c r="A570" t="s">
        <v>64</v>
      </c>
      <c r="B570">
        <v>6</v>
      </c>
      <c r="C570" t="s">
        <v>63</v>
      </c>
      <c r="D570">
        <v>63</v>
      </c>
      <c r="E570">
        <v>113.54654877784201</v>
      </c>
      <c r="F570">
        <v>8.9727014946556096</v>
      </c>
      <c r="G570" t="s">
        <v>64</v>
      </c>
      <c r="H570">
        <v>6</v>
      </c>
      <c r="I570">
        <v>63</v>
      </c>
      <c r="J570">
        <v>3.61833299371555</v>
      </c>
      <c r="K570" t="b">
        <f t="shared" si="42"/>
        <v>1</v>
      </c>
      <c r="L570">
        <f t="shared" si="43"/>
        <v>126.13758326621317</v>
      </c>
      <c r="M570">
        <f t="shared" si="44"/>
        <v>252.27516653242634</v>
      </c>
      <c r="N570">
        <f t="shared" si="40"/>
        <v>665.63368478212749</v>
      </c>
      <c r="O570" s="26">
        <f t="shared" si="41"/>
        <v>764.47020161341311</v>
      </c>
    </row>
    <row r="571" spans="1:15" x14ac:dyDescent="0.35">
      <c r="A571" t="s">
        <v>64</v>
      </c>
      <c r="B571">
        <v>6</v>
      </c>
      <c r="C571" t="s">
        <v>63</v>
      </c>
      <c r="D571">
        <v>64</v>
      </c>
      <c r="E571">
        <v>115.323214927412</v>
      </c>
      <c r="F571">
        <v>9.4279675759059707</v>
      </c>
      <c r="G571" t="s">
        <v>64</v>
      </c>
      <c r="H571">
        <v>6</v>
      </c>
      <c r="I571">
        <v>64</v>
      </c>
      <c r="J571">
        <v>3.6888403970170498</v>
      </c>
      <c r="K571" t="b">
        <f t="shared" si="42"/>
        <v>1</v>
      </c>
      <c r="L571">
        <f t="shared" si="43"/>
        <v>128.44002290033501</v>
      </c>
      <c r="M571">
        <f t="shared" si="44"/>
        <v>256.88004580067002</v>
      </c>
      <c r="N571">
        <f t="shared" ref="N571:N634" si="45">M571/(1-0.621)</f>
        <v>677.78376200704486</v>
      </c>
      <c r="O571" s="26">
        <f t="shared" ref="O571:O634" si="46">M571/0.33</f>
        <v>778.42438121415148</v>
      </c>
    </row>
    <row r="572" spans="1:15" x14ac:dyDescent="0.35">
      <c r="A572" t="s">
        <v>64</v>
      </c>
      <c r="B572">
        <v>6</v>
      </c>
      <c r="C572" t="s">
        <v>63</v>
      </c>
      <c r="D572">
        <v>65</v>
      </c>
      <c r="E572">
        <v>117.05902462389901</v>
      </c>
      <c r="F572">
        <v>9.9128933691532399</v>
      </c>
      <c r="G572" t="s">
        <v>64</v>
      </c>
      <c r="H572">
        <v>6</v>
      </c>
      <c r="I572">
        <v>65</v>
      </c>
      <c r="J572">
        <v>3.7554485896634602</v>
      </c>
      <c r="K572" t="b">
        <f t="shared" si="42"/>
        <v>1</v>
      </c>
      <c r="L572">
        <f t="shared" si="43"/>
        <v>130.72736658271572</v>
      </c>
      <c r="M572">
        <f t="shared" si="44"/>
        <v>261.45473316543143</v>
      </c>
      <c r="N572">
        <f t="shared" si="45"/>
        <v>689.85417721749718</v>
      </c>
      <c r="O572" s="26">
        <f t="shared" si="46"/>
        <v>792.28707019827709</v>
      </c>
    </row>
    <row r="573" spans="1:15" x14ac:dyDescent="0.35">
      <c r="A573" t="s">
        <v>64</v>
      </c>
      <c r="B573">
        <v>6</v>
      </c>
      <c r="C573" t="s">
        <v>63</v>
      </c>
      <c r="D573">
        <v>66</v>
      </c>
      <c r="E573">
        <v>118.768594875293</v>
      </c>
      <c r="F573">
        <v>10.413224684789199</v>
      </c>
      <c r="G573" t="s">
        <v>64</v>
      </c>
      <c r="H573">
        <v>6</v>
      </c>
      <c r="I573">
        <v>66</v>
      </c>
      <c r="J573">
        <v>3.8192154314906999</v>
      </c>
      <c r="K573" t="b">
        <f t="shared" si="42"/>
        <v>1</v>
      </c>
      <c r="L573">
        <f t="shared" si="43"/>
        <v>133.00103499157291</v>
      </c>
      <c r="M573">
        <f t="shared" si="44"/>
        <v>266.00206998314582</v>
      </c>
      <c r="N573">
        <f t="shared" si="45"/>
        <v>701.85242739616308</v>
      </c>
      <c r="O573" s="26">
        <f t="shared" si="46"/>
        <v>806.06687873680551</v>
      </c>
    </row>
    <row r="574" spans="1:15" x14ac:dyDescent="0.35">
      <c r="A574" t="s">
        <v>64</v>
      </c>
      <c r="B574">
        <v>6</v>
      </c>
      <c r="C574" t="s">
        <v>63</v>
      </c>
      <c r="D574">
        <v>67</v>
      </c>
      <c r="E574">
        <v>120.460295580291</v>
      </c>
      <c r="F574">
        <v>10.920851989760401</v>
      </c>
      <c r="G574" t="s">
        <v>64</v>
      </c>
      <c r="H574">
        <v>6</v>
      </c>
      <c r="I574">
        <v>67</v>
      </c>
      <c r="J574">
        <v>3.8808910653519102</v>
      </c>
      <c r="K574" t="b">
        <f t="shared" si="42"/>
        <v>1</v>
      </c>
      <c r="L574">
        <f t="shared" si="43"/>
        <v>135.26203863540331</v>
      </c>
      <c r="M574">
        <f t="shared" si="44"/>
        <v>270.52407727080663</v>
      </c>
      <c r="N574">
        <f t="shared" si="45"/>
        <v>713.78384504170617</v>
      </c>
      <c r="O574" s="26">
        <f t="shared" si="46"/>
        <v>819.76993112365642</v>
      </c>
    </row>
    <row r="575" spans="1:15" x14ac:dyDescent="0.35">
      <c r="A575" t="s">
        <v>64</v>
      </c>
      <c r="B575">
        <v>6</v>
      </c>
      <c r="C575" t="s">
        <v>63</v>
      </c>
      <c r="D575">
        <v>68</v>
      </c>
      <c r="E575">
        <v>122.138924951044</v>
      </c>
      <c r="F575">
        <v>11.4311768966539</v>
      </c>
      <c r="G575" t="s">
        <v>64</v>
      </c>
      <c r="H575">
        <v>6</v>
      </c>
      <c r="I575">
        <v>68</v>
      </c>
      <c r="J575">
        <v>3.9410041600059</v>
      </c>
      <c r="K575" t="b">
        <f t="shared" si="42"/>
        <v>1</v>
      </c>
      <c r="L575">
        <f t="shared" si="43"/>
        <v>137.5111060077038</v>
      </c>
      <c r="M575">
        <f t="shared" si="44"/>
        <v>275.0222120154076</v>
      </c>
      <c r="N575">
        <f t="shared" si="45"/>
        <v>725.65227444698576</v>
      </c>
      <c r="O575" s="26">
        <f t="shared" si="46"/>
        <v>833.4006424709321</v>
      </c>
    </row>
    <row r="576" spans="1:15" x14ac:dyDescent="0.35">
      <c r="A576" t="s">
        <v>64</v>
      </c>
      <c r="B576">
        <v>6</v>
      </c>
      <c r="C576" t="s">
        <v>63</v>
      </c>
      <c r="D576">
        <v>69</v>
      </c>
      <c r="E576">
        <v>123.552236204183</v>
      </c>
      <c r="F576">
        <v>11.9149540568402</v>
      </c>
      <c r="G576" t="s">
        <v>64</v>
      </c>
      <c r="H576">
        <v>6</v>
      </c>
      <c r="I576">
        <v>69</v>
      </c>
      <c r="J576">
        <v>3.9970424063482901</v>
      </c>
      <c r="K576" t="b">
        <f t="shared" si="42"/>
        <v>1</v>
      </c>
      <c r="L576">
        <f t="shared" si="43"/>
        <v>139.4642326673715</v>
      </c>
      <c r="M576">
        <f t="shared" si="44"/>
        <v>278.92846533474301</v>
      </c>
      <c r="N576">
        <f t="shared" si="45"/>
        <v>735.95901143731669</v>
      </c>
      <c r="O576" s="26">
        <f t="shared" si="46"/>
        <v>845.23777374164547</v>
      </c>
    </row>
    <row r="577" spans="1:15" x14ac:dyDescent="0.35">
      <c r="A577" t="s">
        <v>64</v>
      </c>
      <c r="B577">
        <v>6</v>
      </c>
      <c r="C577" t="s">
        <v>63</v>
      </c>
      <c r="D577">
        <v>70</v>
      </c>
      <c r="E577">
        <v>124.974507195694</v>
      </c>
      <c r="F577">
        <v>12.3817451511078</v>
      </c>
      <c r="G577" t="s">
        <v>64</v>
      </c>
      <c r="H577">
        <v>6</v>
      </c>
      <c r="I577">
        <v>70</v>
      </c>
      <c r="J577">
        <v>4.0505398292813402</v>
      </c>
      <c r="K577" t="b">
        <f t="shared" si="42"/>
        <v>1</v>
      </c>
      <c r="L577">
        <f t="shared" si="43"/>
        <v>141.40679217608314</v>
      </c>
      <c r="M577">
        <f t="shared" si="44"/>
        <v>282.81358435216629</v>
      </c>
      <c r="N577">
        <f t="shared" si="45"/>
        <v>746.20998509806407</v>
      </c>
      <c r="O577" s="26">
        <f t="shared" si="46"/>
        <v>857.01086167323115</v>
      </c>
    </row>
    <row r="578" spans="1:15" x14ac:dyDescent="0.35">
      <c r="A578" t="s">
        <v>64</v>
      </c>
      <c r="B578">
        <v>6</v>
      </c>
      <c r="C578" t="s">
        <v>63</v>
      </c>
      <c r="D578">
        <v>71</v>
      </c>
      <c r="E578">
        <v>126.40020699163701</v>
      </c>
      <c r="F578">
        <v>12.8371362358399</v>
      </c>
      <c r="G578" t="s">
        <v>64</v>
      </c>
      <c r="H578">
        <v>6</v>
      </c>
      <c r="I578">
        <v>71</v>
      </c>
      <c r="J578">
        <v>4.1023835649731</v>
      </c>
      <c r="K578" t="b">
        <f t="shared" ref="K578:K641" si="47">H578=B578</f>
        <v>1</v>
      </c>
      <c r="L578">
        <f t="shared" ref="L578:L641" si="48">E578+F578+J578</f>
        <v>143.33972679245002</v>
      </c>
      <c r="M578">
        <f t="shared" ref="M578:M641" si="49">L578*2</f>
        <v>286.67945358490005</v>
      </c>
      <c r="N578">
        <f t="shared" si="45"/>
        <v>756.41016777018478</v>
      </c>
      <c r="O578" s="26">
        <f t="shared" si="46"/>
        <v>868.72561692393947</v>
      </c>
    </row>
    <row r="579" spans="1:15" x14ac:dyDescent="0.35">
      <c r="A579" t="s">
        <v>64</v>
      </c>
      <c r="B579">
        <v>6</v>
      </c>
      <c r="C579" t="s">
        <v>63</v>
      </c>
      <c r="D579">
        <v>72</v>
      </c>
      <c r="E579">
        <v>127.826137295188</v>
      </c>
      <c r="F579">
        <v>13.284407137404401</v>
      </c>
      <c r="G579" t="s">
        <v>64</v>
      </c>
      <c r="H579">
        <v>6</v>
      </c>
      <c r="I579">
        <v>72</v>
      </c>
      <c r="J579">
        <v>4.1530985964889302</v>
      </c>
      <c r="K579" t="b">
        <f t="shared" si="47"/>
        <v>1</v>
      </c>
      <c r="L579">
        <f t="shared" si="48"/>
        <v>145.26364302908132</v>
      </c>
      <c r="M579">
        <f t="shared" si="49"/>
        <v>290.52728605816264</v>
      </c>
      <c r="N579">
        <f t="shared" si="45"/>
        <v>766.56276004792255</v>
      </c>
      <c r="O579" s="26">
        <f t="shared" si="46"/>
        <v>880.38571532776552</v>
      </c>
    </row>
    <row r="580" spans="1:15" x14ac:dyDescent="0.35">
      <c r="A580" t="s">
        <v>64</v>
      </c>
      <c r="B580">
        <v>6</v>
      </c>
      <c r="C580" t="s">
        <v>63</v>
      </c>
      <c r="D580">
        <v>73</v>
      </c>
      <c r="E580">
        <v>129.250447309788</v>
      </c>
      <c r="F580">
        <v>13.725503225430799</v>
      </c>
      <c r="G580" t="s">
        <v>64</v>
      </c>
      <c r="H580">
        <v>6</v>
      </c>
      <c r="I580">
        <v>73</v>
      </c>
      <c r="J580">
        <v>4.2030046158305998</v>
      </c>
      <c r="K580" t="b">
        <f t="shared" si="47"/>
        <v>1</v>
      </c>
      <c r="L580">
        <f t="shared" si="48"/>
        <v>147.17895515104939</v>
      </c>
      <c r="M580">
        <f t="shared" si="49"/>
        <v>294.35791030209879</v>
      </c>
      <c r="N580">
        <f t="shared" si="45"/>
        <v>776.6699480266459</v>
      </c>
      <c r="O580" s="26">
        <f t="shared" si="46"/>
        <v>891.9936675821175</v>
      </c>
    </row>
    <row r="581" spans="1:15" x14ac:dyDescent="0.35">
      <c r="A581" t="s">
        <v>64</v>
      </c>
      <c r="B581">
        <v>6</v>
      </c>
      <c r="C581" t="s">
        <v>63</v>
      </c>
      <c r="D581">
        <v>74</v>
      </c>
      <c r="E581">
        <v>130.489025242998</v>
      </c>
      <c r="F581">
        <v>14.1410667535246</v>
      </c>
      <c r="G581" t="s">
        <v>64</v>
      </c>
      <c r="H581">
        <v>6</v>
      </c>
      <c r="I581">
        <v>74</v>
      </c>
      <c r="J581">
        <v>4.2502322483101702</v>
      </c>
      <c r="K581" t="b">
        <f t="shared" si="47"/>
        <v>1</v>
      </c>
      <c r="L581">
        <f t="shared" si="48"/>
        <v>148.88032424483276</v>
      </c>
      <c r="M581">
        <f t="shared" si="49"/>
        <v>297.76064848966553</v>
      </c>
      <c r="N581">
        <f t="shared" si="45"/>
        <v>785.64814904924935</v>
      </c>
      <c r="O581" s="26">
        <f t="shared" si="46"/>
        <v>902.30499542322877</v>
      </c>
    </row>
    <row r="582" spans="1:15" x14ac:dyDescent="0.35">
      <c r="A582" t="s">
        <v>64</v>
      </c>
      <c r="B582">
        <v>6</v>
      </c>
      <c r="C582" t="s">
        <v>63</v>
      </c>
      <c r="D582">
        <v>75</v>
      </c>
      <c r="E582">
        <v>131.737704345125</v>
      </c>
      <c r="F582">
        <v>14.5405532824809</v>
      </c>
      <c r="G582" t="s">
        <v>64</v>
      </c>
      <c r="H582">
        <v>6</v>
      </c>
      <c r="I582">
        <v>75</v>
      </c>
      <c r="J582">
        <v>4.2958330885532403</v>
      </c>
      <c r="K582" t="b">
        <f t="shared" si="47"/>
        <v>1</v>
      </c>
      <c r="L582">
        <f t="shared" si="48"/>
        <v>150.57409071615916</v>
      </c>
      <c r="M582">
        <f t="shared" si="49"/>
        <v>301.14818143231832</v>
      </c>
      <c r="N582">
        <f t="shared" si="45"/>
        <v>794.58623069213274</v>
      </c>
      <c r="O582" s="26">
        <f t="shared" si="46"/>
        <v>912.57024676460094</v>
      </c>
    </row>
    <row r="583" spans="1:15" x14ac:dyDescent="0.35">
      <c r="A583" t="s">
        <v>64</v>
      </c>
      <c r="B583">
        <v>6</v>
      </c>
      <c r="C583" t="s">
        <v>63</v>
      </c>
      <c r="D583">
        <v>76</v>
      </c>
      <c r="E583">
        <v>132.99102196762499</v>
      </c>
      <c r="F583">
        <v>14.9294431456415</v>
      </c>
      <c r="G583" t="s">
        <v>64</v>
      </c>
      <c r="H583">
        <v>6</v>
      </c>
      <c r="I583">
        <v>76</v>
      </c>
      <c r="J583">
        <v>4.3403980234707902</v>
      </c>
      <c r="K583" t="b">
        <f t="shared" si="47"/>
        <v>1</v>
      </c>
      <c r="L583">
        <f t="shared" si="48"/>
        <v>152.26086313673727</v>
      </c>
      <c r="M583">
        <f t="shared" si="49"/>
        <v>304.52172627347454</v>
      </c>
      <c r="N583">
        <f t="shared" si="45"/>
        <v>803.48740441550012</v>
      </c>
      <c r="O583" s="26">
        <f t="shared" si="46"/>
        <v>922.79310991961972</v>
      </c>
    </row>
    <row r="584" spans="1:15" x14ac:dyDescent="0.35">
      <c r="A584" t="s">
        <v>64</v>
      </c>
      <c r="B584">
        <v>6</v>
      </c>
      <c r="C584" t="s">
        <v>63</v>
      </c>
      <c r="D584">
        <v>77</v>
      </c>
      <c r="E584">
        <v>134.24583777292801</v>
      </c>
      <c r="F584">
        <v>15.3109249915109</v>
      </c>
      <c r="G584" t="s">
        <v>64</v>
      </c>
      <c r="H584">
        <v>6</v>
      </c>
      <c r="I584">
        <v>77</v>
      </c>
      <c r="J584">
        <v>4.3842665463217196</v>
      </c>
      <c r="K584" t="b">
        <f t="shared" si="47"/>
        <v>1</v>
      </c>
      <c r="L584">
        <f t="shared" si="48"/>
        <v>153.94102931076063</v>
      </c>
      <c r="M584">
        <f t="shared" si="49"/>
        <v>307.88205862152125</v>
      </c>
      <c r="N584">
        <f t="shared" si="45"/>
        <v>812.35371667947561</v>
      </c>
      <c r="O584" s="26">
        <f t="shared" si="46"/>
        <v>932.97593521673105</v>
      </c>
    </row>
    <row r="585" spans="1:15" x14ac:dyDescent="0.35">
      <c r="A585" t="s">
        <v>64</v>
      </c>
      <c r="B585">
        <v>6</v>
      </c>
      <c r="C585" t="s">
        <v>63</v>
      </c>
      <c r="D585">
        <v>78</v>
      </c>
      <c r="E585">
        <v>135.50034617846799</v>
      </c>
      <c r="F585">
        <v>15.686868963409699</v>
      </c>
      <c r="G585" t="s">
        <v>64</v>
      </c>
      <c r="H585">
        <v>6</v>
      </c>
      <c r="I585">
        <v>78</v>
      </c>
      <c r="J585">
        <v>4.4276396093707797</v>
      </c>
      <c r="K585" t="b">
        <f t="shared" si="47"/>
        <v>1</v>
      </c>
      <c r="L585">
        <f t="shared" si="48"/>
        <v>155.61485475124846</v>
      </c>
      <c r="M585">
        <f t="shared" si="49"/>
        <v>311.22970950249692</v>
      </c>
      <c r="N585">
        <f t="shared" si="45"/>
        <v>821.18656860817123</v>
      </c>
      <c r="O585" s="26">
        <f t="shared" si="46"/>
        <v>943.12033182574817</v>
      </c>
    </row>
    <row r="586" spans="1:15" x14ac:dyDescent="0.35">
      <c r="A586" t="s">
        <v>64</v>
      </c>
      <c r="B586">
        <v>6</v>
      </c>
      <c r="C586" t="s">
        <v>63</v>
      </c>
      <c r="D586">
        <v>79</v>
      </c>
      <c r="E586">
        <v>136.61498038373301</v>
      </c>
      <c r="F586">
        <v>16.103023678628599</v>
      </c>
      <c r="G586" t="s">
        <v>64</v>
      </c>
      <c r="H586">
        <v>6</v>
      </c>
      <c r="I586">
        <v>79</v>
      </c>
      <c r="J586">
        <v>4.4690735111222901</v>
      </c>
      <c r="K586" t="b">
        <f t="shared" si="47"/>
        <v>1</v>
      </c>
      <c r="L586">
        <f t="shared" si="48"/>
        <v>157.18707757348392</v>
      </c>
      <c r="M586">
        <f t="shared" si="49"/>
        <v>314.37415514696784</v>
      </c>
      <c r="N586">
        <f t="shared" si="45"/>
        <v>829.48325896297581</v>
      </c>
      <c r="O586" s="26">
        <f t="shared" si="46"/>
        <v>952.6489549908116</v>
      </c>
    </row>
    <row r="587" spans="1:15" x14ac:dyDescent="0.35">
      <c r="A587" t="s">
        <v>64</v>
      </c>
      <c r="B587">
        <v>6</v>
      </c>
      <c r="C587" t="s">
        <v>63</v>
      </c>
      <c r="D587">
        <v>80</v>
      </c>
      <c r="E587">
        <v>137.71507365632601</v>
      </c>
      <c r="F587">
        <v>16.4927193398774</v>
      </c>
      <c r="G587" t="s">
        <v>64</v>
      </c>
      <c r="H587">
        <v>6</v>
      </c>
      <c r="I587">
        <v>80</v>
      </c>
      <c r="J587">
        <v>4.5090863474864298</v>
      </c>
      <c r="K587" t="b">
        <f t="shared" si="47"/>
        <v>1</v>
      </c>
      <c r="L587">
        <f t="shared" si="48"/>
        <v>158.71687934368984</v>
      </c>
      <c r="M587">
        <f t="shared" si="49"/>
        <v>317.43375868737968</v>
      </c>
      <c r="N587">
        <f t="shared" si="45"/>
        <v>837.55609152342925</v>
      </c>
      <c r="O587" s="26">
        <f t="shared" si="46"/>
        <v>961.92048087084743</v>
      </c>
    </row>
    <row r="588" spans="1:15" x14ac:dyDescent="0.35">
      <c r="A588" t="s">
        <v>64</v>
      </c>
      <c r="B588">
        <v>6</v>
      </c>
      <c r="C588" t="s">
        <v>63</v>
      </c>
      <c r="D588">
        <v>81</v>
      </c>
      <c r="E588">
        <v>138.79435953291099</v>
      </c>
      <c r="F588">
        <v>16.863269388465</v>
      </c>
      <c r="G588" t="s">
        <v>64</v>
      </c>
      <c r="H588">
        <v>6</v>
      </c>
      <c r="I588">
        <v>81</v>
      </c>
      <c r="J588">
        <v>4.5479256810884001</v>
      </c>
      <c r="K588" t="b">
        <f t="shared" si="47"/>
        <v>1</v>
      </c>
      <c r="L588">
        <f t="shared" si="48"/>
        <v>160.20555460246439</v>
      </c>
      <c r="M588">
        <f t="shared" si="49"/>
        <v>320.41110920492878</v>
      </c>
      <c r="N588">
        <f t="shared" si="45"/>
        <v>845.41189763833449</v>
      </c>
      <c r="O588" s="26">
        <f t="shared" si="46"/>
        <v>970.94275516645075</v>
      </c>
    </row>
    <row r="589" spans="1:15" x14ac:dyDescent="0.35">
      <c r="A589" t="s">
        <v>64</v>
      </c>
      <c r="B589">
        <v>6</v>
      </c>
      <c r="C589" t="s">
        <v>63</v>
      </c>
      <c r="D589">
        <v>82</v>
      </c>
      <c r="E589">
        <v>139.849606331883</v>
      </c>
      <c r="F589">
        <v>17.218966553698099</v>
      </c>
      <c r="G589" t="s">
        <v>64</v>
      </c>
      <c r="H589">
        <v>6</v>
      </c>
      <c r="I589">
        <v>82</v>
      </c>
      <c r="J589">
        <v>4.5857100899074403</v>
      </c>
      <c r="K589" t="b">
        <f t="shared" si="47"/>
        <v>1</v>
      </c>
      <c r="L589">
        <f t="shared" si="48"/>
        <v>161.65428297548854</v>
      </c>
      <c r="M589">
        <f t="shared" si="49"/>
        <v>323.30856595097708</v>
      </c>
      <c r="N589">
        <f t="shared" si="45"/>
        <v>853.05690224532214</v>
      </c>
      <c r="O589" s="26">
        <f t="shared" si="46"/>
        <v>979.72292712417288</v>
      </c>
    </row>
    <row r="590" spans="1:15" x14ac:dyDescent="0.35">
      <c r="A590" t="s">
        <v>64</v>
      </c>
      <c r="B590">
        <v>6</v>
      </c>
      <c r="C590" t="s">
        <v>63</v>
      </c>
      <c r="D590">
        <v>83</v>
      </c>
      <c r="E590">
        <v>140.879314334518</v>
      </c>
      <c r="F590">
        <v>17.562367169322101</v>
      </c>
      <c r="G590" t="s">
        <v>64</v>
      </c>
      <c r="H590">
        <v>6</v>
      </c>
      <c r="I590">
        <v>83</v>
      </c>
      <c r="J590">
        <v>4.6224990529586698</v>
      </c>
      <c r="K590" t="b">
        <f t="shared" si="47"/>
        <v>1</v>
      </c>
      <c r="L590">
        <f t="shared" si="48"/>
        <v>163.06418055679876</v>
      </c>
      <c r="M590">
        <f t="shared" si="49"/>
        <v>326.12836111359752</v>
      </c>
      <c r="N590">
        <f t="shared" si="45"/>
        <v>860.4969950226847</v>
      </c>
      <c r="O590" s="26">
        <f t="shared" si="46"/>
        <v>988.2677609502955</v>
      </c>
    </row>
    <row r="591" spans="1:15" x14ac:dyDescent="0.35">
      <c r="A591" t="s">
        <v>64</v>
      </c>
      <c r="B591">
        <v>6</v>
      </c>
      <c r="C591" t="s">
        <v>63</v>
      </c>
      <c r="D591">
        <v>84</v>
      </c>
      <c r="E591">
        <v>141.88296543099801</v>
      </c>
      <c r="F591">
        <v>17.895030916518301</v>
      </c>
      <c r="G591" t="s">
        <v>64</v>
      </c>
      <c r="H591">
        <v>6</v>
      </c>
      <c r="I591">
        <v>84</v>
      </c>
      <c r="J591">
        <v>4.6583265488604599</v>
      </c>
      <c r="K591" t="b">
        <f t="shared" si="47"/>
        <v>1</v>
      </c>
      <c r="L591">
        <f t="shared" si="48"/>
        <v>164.43632289637677</v>
      </c>
      <c r="M591">
        <f t="shared" si="49"/>
        <v>328.87264579275353</v>
      </c>
      <c r="N591">
        <f t="shared" si="45"/>
        <v>867.73785169591963</v>
      </c>
      <c r="O591" s="26">
        <f t="shared" si="46"/>
        <v>996.5837751295561</v>
      </c>
    </row>
    <row r="592" spans="1:15" x14ac:dyDescent="0.35">
      <c r="A592" t="s">
        <v>64</v>
      </c>
      <c r="B592">
        <v>6</v>
      </c>
      <c r="C592" t="s">
        <v>63</v>
      </c>
      <c r="D592">
        <v>85</v>
      </c>
      <c r="E592">
        <v>142.86059246496399</v>
      </c>
      <c r="F592">
        <v>18.217945594053901</v>
      </c>
      <c r="G592" t="s">
        <v>64</v>
      </c>
      <c r="H592">
        <v>6</v>
      </c>
      <c r="I592">
        <v>85</v>
      </c>
      <c r="J592">
        <v>4.6932166141768397</v>
      </c>
      <c r="K592" t="b">
        <f t="shared" si="47"/>
        <v>1</v>
      </c>
      <c r="L592">
        <f t="shared" si="48"/>
        <v>165.77175467319472</v>
      </c>
      <c r="M592">
        <f t="shared" si="49"/>
        <v>331.54350934638944</v>
      </c>
      <c r="N592">
        <f t="shared" si="45"/>
        <v>874.78498508282178</v>
      </c>
      <c r="O592" s="26">
        <f t="shared" si="46"/>
        <v>1004.6773010496649</v>
      </c>
    </row>
    <row r="593" spans="1:15" x14ac:dyDescent="0.35">
      <c r="A593" t="s">
        <v>64</v>
      </c>
      <c r="B593">
        <v>6</v>
      </c>
      <c r="C593" t="s">
        <v>63</v>
      </c>
      <c r="D593">
        <v>86</v>
      </c>
      <c r="E593">
        <v>143.81253272212001</v>
      </c>
      <c r="F593">
        <v>18.531770522776998</v>
      </c>
      <c r="G593" t="s">
        <v>64</v>
      </c>
      <c r="H593">
        <v>6</v>
      </c>
      <c r="I593">
        <v>86</v>
      </c>
      <c r="J593">
        <v>4.7271901440283202</v>
      </c>
      <c r="K593" t="b">
        <f t="shared" si="47"/>
        <v>1</v>
      </c>
      <c r="L593">
        <f t="shared" si="48"/>
        <v>167.07149338892535</v>
      </c>
      <c r="M593">
        <f t="shared" si="49"/>
        <v>334.14298677785069</v>
      </c>
      <c r="N593">
        <f t="shared" si="45"/>
        <v>881.64376458535799</v>
      </c>
      <c r="O593" s="26">
        <f t="shared" si="46"/>
        <v>1012.5545053874263</v>
      </c>
    </row>
    <row r="594" spans="1:15" x14ac:dyDescent="0.35">
      <c r="A594" t="s">
        <v>64</v>
      </c>
      <c r="B594">
        <v>6</v>
      </c>
      <c r="C594" t="s">
        <v>63</v>
      </c>
      <c r="D594">
        <v>87</v>
      </c>
      <c r="E594">
        <v>144.73928718161</v>
      </c>
      <c r="F594">
        <v>18.836975803568802</v>
      </c>
      <c r="G594" t="s">
        <v>64</v>
      </c>
      <c r="H594">
        <v>6</v>
      </c>
      <c r="I594">
        <v>87</v>
      </c>
      <c r="J594">
        <v>4.7602675789580697</v>
      </c>
      <c r="K594" t="b">
        <f t="shared" si="47"/>
        <v>1</v>
      </c>
      <c r="L594">
        <f t="shared" si="48"/>
        <v>168.33653056413686</v>
      </c>
      <c r="M594">
        <f t="shared" si="49"/>
        <v>336.67306112827373</v>
      </c>
      <c r="N594">
        <f t="shared" si="45"/>
        <v>888.31942250204145</v>
      </c>
      <c r="O594" s="26">
        <f t="shared" si="46"/>
        <v>1020.2213973584052</v>
      </c>
    </row>
    <row r="595" spans="1:15" x14ac:dyDescent="0.35">
      <c r="A595" t="s">
        <v>64</v>
      </c>
      <c r="B595">
        <v>6</v>
      </c>
      <c r="C595" t="s">
        <v>63</v>
      </c>
      <c r="D595">
        <v>88</v>
      </c>
      <c r="E595">
        <v>145.64144039520301</v>
      </c>
      <c r="F595">
        <v>19.133921880796699</v>
      </c>
      <c r="G595" t="s">
        <v>64</v>
      </c>
      <c r="H595">
        <v>6</v>
      </c>
      <c r="I595">
        <v>88</v>
      </c>
      <c r="J595">
        <v>4.7924697522980004</v>
      </c>
      <c r="K595" t="b">
        <f t="shared" si="47"/>
        <v>1</v>
      </c>
      <c r="L595">
        <f t="shared" si="48"/>
        <v>169.56783202829769</v>
      </c>
      <c r="M595">
        <f t="shared" si="49"/>
        <v>339.13566405659537</v>
      </c>
      <c r="N595">
        <f t="shared" si="45"/>
        <v>894.8170555582991</v>
      </c>
      <c r="O595" s="26">
        <f t="shared" si="46"/>
        <v>1027.6838304745313</v>
      </c>
    </row>
    <row r="596" spans="1:15" x14ac:dyDescent="0.35">
      <c r="A596" t="s">
        <v>64</v>
      </c>
      <c r="B596">
        <v>6</v>
      </c>
      <c r="C596" t="s">
        <v>63</v>
      </c>
      <c r="D596">
        <v>89</v>
      </c>
      <c r="E596">
        <v>146.519615070079</v>
      </c>
      <c r="F596">
        <v>19.4229049374886</v>
      </c>
      <c r="G596" t="s">
        <v>64</v>
      </c>
      <c r="H596">
        <v>6</v>
      </c>
      <c r="I596">
        <v>89</v>
      </c>
      <c r="J596">
        <v>4.8238179799650496</v>
      </c>
      <c r="K596" t="b">
        <f t="shared" si="47"/>
        <v>1</v>
      </c>
      <c r="L596">
        <f t="shared" si="48"/>
        <v>170.76633798753264</v>
      </c>
      <c r="M596">
        <f t="shared" si="49"/>
        <v>341.53267597506527</v>
      </c>
      <c r="N596">
        <f t="shared" si="45"/>
        <v>901.14162526402447</v>
      </c>
      <c r="O596" s="26">
        <f t="shared" si="46"/>
        <v>1034.9475029547432</v>
      </c>
    </row>
    <row r="597" spans="1:15" x14ac:dyDescent="0.35">
      <c r="A597" t="s">
        <v>64</v>
      </c>
      <c r="B597">
        <v>6</v>
      </c>
      <c r="C597" t="s">
        <v>63</v>
      </c>
      <c r="D597">
        <v>90</v>
      </c>
      <c r="E597">
        <v>147.37444649031201</v>
      </c>
      <c r="F597">
        <v>19.704182756282901</v>
      </c>
      <c r="G597" t="s">
        <v>64</v>
      </c>
      <c r="H597">
        <v>6</v>
      </c>
      <c r="I597">
        <v>90</v>
      </c>
      <c r="J597">
        <v>4.8543338861961098</v>
      </c>
      <c r="K597" t="b">
        <f t="shared" si="47"/>
        <v>1</v>
      </c>
      <c r="L597">
        <f t="shared" si="48"/>
        <v>171.93296313279103</v>
      </c>
      <c r="M597">
        <f t="shared" si="49"/>
        <v>343.86592626558206</v>
      </c>
      <c r="N597">
        <f t="shared" si="45"/>
        <v>907.29795848438539</v>
      </c>
      <c r="O597" s="26">
        <f t="shared" si="46"/>
        <v>1042.0179583805516</v>
      </c>
    </row>
    <row r="598" spans="1:15" x14ac:dyDescent="0.35">
      <c r="A598" t="s">
        <v>64</v>
      </c>
      <c r="B598">
        <v>6</v>
      </c>
      <c r="C598" t="s">
        <v>63</v>
      </c>
      <c r="D598">
        <v>91</v>
      </c>
      <c r="E598">
        <v>148.20656826388301</v>
      </c>
      <c r="F598">
        <v>19.9779894256483</v>
      </c>
      <c r="G598" t="s">
        <v>64</v>
      </c>
      <c r="H598">
        <v>6</v>
      </c>
      <c r="I598">
        <v>91</v>
      </c>
      <c r="J598">
        <v>4.8840391757145296</v>
      </c>
      <c r="K598" t="b">
        <f t="shared" si="47"/>
        <v>1</v>
      </c>
      <c r="L598">
        <f t="shared" si="48"/>
        <v>173.06859686524584</v>
      </c>
      <c r="M598">
        <f t="shared" si="49"/>
        <v>346.13719373049167</v>
      </c>
      <c r="N598">
        <f t="shared" si="45"/>
        <v>913.29074862926564</v>
      </c>
      <c r="O598" s="26">
        <f t="shared" si="46"/>
        <v>1048.9005870620958</v>
      </c>
    </row>
    <row r="599" spans="1:15" x14ac:dyDescent="0.35">
      <c r="A599" t="s">
        <v>64</v>
      </c>
      <c r="B599">
        <v>6</v>
      </c>
      <c r="C599" t="s">
        <v>63</v>
      </c>
      <c r="D599">
        <v>92</v>
      </c>
      <c r="E599">
        <v>149.01660452452899</v>
      </c>
      <c r="F599">
        <v>20.2445436848007</v>
      </c>
      <c r="G599" t="s">
        <v>64</v>
      </c>
      <c r="H599">
        <v>6</v>
      </c>
      <c r="I599">
        <v>92</v>
      </c>
      <c r="J599">
        <v>4.9129554315666697</v>
      </c>
      <c r="K599" t="b">
        <f t="shared" si="47"/>
        <v>1</v>
      </c>
      <c r="L599">
        <f t="shared" si="48"/>
        <v>174.17410364089636</v>
      </c>
      <c r="M599">
        <f t="shared" si="49"/>
        <v>348.34820728179272</v>
      </c>
      <c r="N599">
        <f t="shared" si="45"/>
        <v>919.12455747174863</v>
      </c>
      <c r="O599" s="26">
        <f t="shared" si="46"/>
        <v>1055.6006281266446</v>
      </c>
    </row>
    <row r="600" spans="1:15" x14ac:dyDescent="0.35">
      <c r="A600" t="s">
        <v>64</v>
      </c>
      <c r="B600">
        <v>6</v>
      </c>
      <c r="C600" t="s">
        <v>63</v>
      </c>
      <c r="D600">
        <v>93</v>
      </c>
      <c r="E600">
        <v>149.80516580407399</v>
      </c>
      <c r="F600">
        <v>20.504053646940399</v>
      </c>
      <c r="G600" t="s">
        <v>64</v>
      </c>
      <c r="H600">
        <v>6</v>
      </c>
      <c r="I600">
        <v>93</v>
      </c>
      <c r="J600">
        <v>4.9411039603044697</v>
      </c>
      <c r="K600" t="b">
        <f t="shared" si="47"/>
        <v>1</v>
      </c>
      <c r="L600">
        <f t="shared" si="48"/>
        <v>175.25032341131887</v>
      </c>
      <c r="M600">
        <f t="shared" si="49"/>
        <v>350.50064682263775</v>
      </c>
      <c r="N600">
        <f t="shared" si="45"/>
        <v>924.80381747397826</v>
      </c>
      <c r="O600" s="26">
        <f t="shared" si="46"/>
        <v>1062.1231721898114</v>
      </c>
    </row>
    <row r="601" spans="1:15" x14ac:dyDescent="0.35">
      <c r="A601" t="s">
        <v>64</v>
      </c>
      <c r="B601">
        <v>6</v>
      </c>
      <c r="C601" t="s">
        <v>63</v>
      </c>
      <c r="D601">
        <v>94</v>
      </c>
      <c r="E601">
        <v>150.57284698489599</v>
      </c>
      <c r="F601">
        <v>20.756719465224101</v>
      </c>
      <c r="G601" t="s">
        <v>64</v>
      </c>
      <c r="H601">
        <v>6</v>
      </c>
      <c r="I601">
        <v>94</v>
      </c>
      <c r="J601">
        <v>4.9685056832861196</v>
      </c>
      <c r="K601" t="b">
        <f t="shared" si="47"/>
        <v>1</v>
      </c>
      <c r="L601">
        <f t="shared" si="48"/>
        <v>176.29807213340621</v>
      </c>
      <c r="M601">
        <f t="shared" si="49"/>
        <v>352.59614426681242</v>
      </c>
      <c r="N601">
        <f t="shared" si="45"/>
        <v>930.33283447707765</v>
      </c>
      <c r="O601" s="26">
        <f t="shared" si="46"/>
        <v>1068.4731644448862</v>
      </c>
    </row>
    <row r="602" spans="1:15" x14ac:dyDescent="0.35">
      <c r="A602" t="s">
        <v>64</v>
      </c>
      <c r="B602">
        <v>6</v>
      </c>
      <c r="C602" t="s">
        <v>63</v>
      </c>
      <c r="D602">
        <v>95</v>
      </c>
      <c r="E602">
        <v>151.320226425036</v>
      </c>
      <c r="F602">
        <v>21.002734833924599</v>
      </c>
      <c r="G602" t="s">
        <v>64</v>
      </c>
      <c r="H602">
        <v>6</v>
      </c>
      <c r="I602">
        <v>95</v>
      </c>
      <c r="J602">
        <v>4.9951810655074302</v>
      </c>
      <c r="K602" t="b">
        <f t="shared" si="47"/>
        <v>1</v>
      </c>
      <c r="L602">
        <f t="shared" si="48"/>
        <v>177.31814232446803</v>
      </c>
      <c r="M602">
        <f t="shared" si="49"/>
        <v>354.63628464893605</v>
      </c>
      <c r="N602">
        <f t="shared" si="45"/>
        <v>935.71579063043816</v>
      </c>
      <c r="O602" s="26">
        <f t="shared" si="46"/>
        <v>1074.6554080270789</v>
      </c>
    </row>
    <row r="603" spans="1:15" x14ac:dyDescent="0.35">
      <c r="A603" t="s">
        <v>64</v>
      </c>
      <c r="B603">
        <v>6</v>
      </c>
      <c r="C603" t="s">
        <v>63</v>
      </c>
      <c r="D603">
        <v>96</v>
      </c>
      <c r="E603">
        <v>152.047865738626</v>
      </c>
      <c r="F603">
        <v>21.242287833281999</v>
      </c>
      <c r="G603" t="s">
        <v>64</v>
      </c>
      <c r="H603">
        <v>6</v>
      </c>
      <c r="I603">
        <v>96</v>
      </c>
      <c r="J603">
        <v>5.0211500724636897</v>
      </c>
      <c r="K603" t="b">
        <f t="shared" si="47"/>
        <v>1</v>
      </c>
      <c r="L603">
        <f t="shared" si="48"/>
        <v>178.31130364437169</v>
      </c>
      <c r="M603">
        <f t="shared" si="49"/>
        <v>356.62260728874338</v>
      </c>
      <c r="N603">
        <f t="shared" si="45"/>
        <v>940.95674746370287</v>
      </c>
      <c r="O603" s="26">
        <f t="shared" si="46"/>
        <v>1080.6745675416466</v>
      </c>
    </row>
    <row r="604" spans="1:15" x14ac:dyDescent="0.35">
      <c r="A604" t="s">
        <v>64</v>
      </c>
      <c r="B604">
        <v>6</v>
      </c>
      <c r="C604" t="s">
        <v>63</v>
      </c>
      <c r="D604">
        <v>97</v>
      </c>
      <c r="E604">
        <v>152.75630993722501</v>
      </c>
      <c r="F604">
        <v>21.4755614073256</v>
      </c>
      <c r="G604" t="s">
        <v>64</v>
      </c>
      <c r="H604">
        <v>6</v>
      </c>
      <c r="I604">
        <v>97</v>
      </c>
      <c r="J604">
        <v>5.0464321469183302</v>
      </c>
      <c r="K604" t="b">
        <f t="shared" si="47"/>
        <v>1</v>
      </c>
      <c r="L604">
        <f t="shared" si="48"/>
        <v>179.27830349146893</v>
      </c>
      <c r="M604">
        <f t="shared" si="49"/>
        <v>358.55660698293786</v>
      </c>
      <c r="N604">
        <f t="shared" si="45"/>
        <v>946.05964903149834</v>
      </c>
      <c r="O604" s="26">
        <f t="shared" si="46"/>
        <v>1086.5351726755691</v>
      </c>
    </row>
    <row r="605" spans="1:15" x14ac:dyDescent="0.35">
      <c r="A605" t="s">
        <v>64</v>
      </c>
      <c r="B605">
        <v>6</v>
      </c>
      <c r="C605" t="s">
        <v>63</v>
      </c>
      <c r="D605">
        <v>98</v>
      </c>
      <c r="E605">
        <v>153.44608776479799</v>
      </c>
      <c r="F605">
        <v>21.7027336388599</v>
      </c>
      <c r="G605" t="s">
        <v>64</v>
      </c>
      <c r="H605">
        <v>6</v>
      </c>
      <c r="I605">
        <v>98</v>
      </c>
      <c r="J605">
        <v>5.0710461993409304</v>
      </c>
      <c r="K605" t="b">
        <f t="shared" si="47"/>
        <v>1</v>
      </c>
      <c r="L605">
        <f t="shared" si="48"/>
        <v>180.21986760299885</v>
      </c>
      <c r="M605">
        <f t="shared" si="49"/>
        <v>360.43973520599769</v>
      </c>
      <c r="N605">
        <f t="shared" si="45"/>
        <v>951.02832508178813</v>
      </c>
      <c r="O605" s="26">
        <f t="shared" si="46"/>
        <v>1092.2416218363567</v>
      </c>
    </row>
    <row r="606" spans="1:15" x14ac:dyDescent="0.35">
      <c r="A606" t="s">
        <v>64</v>
      </c>
      <c r="B606">
        <v>6</v>
      </c>
      <c r="C606" t="s">
        <v>63</v>
      </c>
      <c r="D606">
        <v>99</v>
      </c>
      <c r="E606">
        <v>154.11771213166401</v>
      </c>
      <c r="F606">
        <v>21.923977914495801</v>
      </c>
      <c r="G606" t="s">
        <v>64</v>
      </c>
      <c r="H606">
        <v>6</v>
      </c>
      <c r="I606">
        <v>99</v>
      </c>
      <c r="J606">
        <v>5.0950106074948396</v>
      </c>
      <c r="K606" t="b">
        <f t="shared" si="47"/>
        <v>1</v>
      </c>
      <c r="L606">
        <f t="shared" si="48"/>
        <v>181.13670065365463</v>
      </c>
      <c r="M606">
        <f t="shared" si="49"/>
        <v>362.27340130730926</v>
      </c>
      <c r="N606">
        <f t="shared" si="45"/>
        <v>955.86649421453626</v>
      </c>
      <c r="O606" s="26">
        <f t="shared" si="46"/>
        <v>1097.7981857797249</v>
      </c>
    </row>
    <row r="607" spans="1:15" x14ac:dyDescent="0.35">
      <c r="A607" t="s">
        <v>64</v>
      </c>
      <c r="B607">
        <v>6</v>
      </c>
      <c r="C607" t="s">
        <v>63</v>
      </c>
      <c r="D607">
        <v>100</v>
      </c>
      <c r="E607">
        <v>154.771680594044</v>
      </c>
      <c r="F607">
        <v>22.139463032003398</v>
      </c>
      <c r="G607" t="s">
        <v>64</v>
      </c>
      <c r="H607">
        <v>6</v>
      </c>
      <c r="I607">
        <v>100</v>
      </c>
      <c r="J607">
        <v>5.1183432220130003</v>
      </c>
      <c r="K607" t="b">
        <f t="shared" si="47"/>
        <v>1</v>
      </c>
      <c r="L607">
        <f t="shared" si="48"/>
        <v>182.0294868480604</v>
      </c>
      <c r="M607">
        <f t="shared" si="49"/>
        <v>364.0589736961208</v>
      </c>
      <c r="N607">
        <f t="shared" si="45"/>
        <v>960.57776700823433</v>
      </c>
      <c r="O607" s="26">
        <f t="shared" si="46"/>
        <v>1103.2090112003659</v>
      </c>
    </row>
    <row r="608" spans="1:15" x14ac:dyDescent="0.35">
      <c r="A608" t="s">
        <v>64</v>
      </c>
      <c r="B608">
        <v>8</v>
      </c>
      <c r="C608" t="s">
        <v>63</v>
      </c>
      <c r="D608">
        <v>0</v>
      </c>
      <c r="E608">
        <v>0</v>
      </c>
      <c r="F608">
        <v>0</v>
      </c>
      <c r="G608" t="s">
        <v>64</v>
      </c>
      <c r="H608">
        <v>8</v>
      </c>
      <c r="I608">
        <v>0</v>
      </c>
      <c r="J608">
        <v>0</v>
      </c>
      <c r="K608" t="b">
        <f t="shared" si="47"/>
        <v>1</v>
      </c>
      <c r="L608">
        <f t="shared" si="48"/>
        <v>0</v>
      </c>
      <c r="M608">
        <f t="shared" si="49"/>
        <v>0</v>
      </c>
      <c r="N608">
        <f t="shared" si="45"/>
        <v>0</v>
      </c>
      <c r="O608" s="26">
        <f t="shared" si="46"/>
        <v>0</v>
      </c>
    </row>
    <row r="609" spans="1:15" x14ac:dyDescent="0.35">
      <c r="A609" t="s">
        <v>64</v>
      </c>
      <c r="B609">
        <v>8</v>
      </c>
      <c r="C609" t="s">
        <v>63</v>
      </c>
      <c r="D609">
        <v>1</v>
      </c>
      <c r="E609">
        <v>2.4571037490241001E-2</v>
      </c>
      <c r="F609" s="19">
        <v>1.2763512698482001E-4</v>
      </c>
      <c r="G609" t="s">
        <v>64</v>
      </c>
      <c r="H609">
        <v>8</v>
      </c>
      <c r="I609">
        <v>1</v>
      </c>
      <c r="J609" s="19">
        <v>2.7796082194909998E-4</v>
      </c>
      <c r="K609" t="b">
        <f t="shared" si="47"/>
        <v>1</v>
      </c>
      <c r="L609">
        <f t="shared" si="48"/>
        <v>2.497663343917492E-2</v>
      </c>
      <c r="M609">
        <f t="shared" si="49"/>
        <v>4.995326687834984E-2</v>
      </c>
      <c r="N609">
        <f t="shared" si="45"/>
        <v>0.13180281498245341</v>
      </c>
      <c r="O609" s="26">
        <f t="shared" si="46"/>
        <v>0.1513735359949995</v>
      </c>
    </row>
    <row r="610" spans="1:15" x14ac:dyDescent="0.35">
      <c r="A610" t="s">
        <v>64</v>
      </c>
      <c r="B610">
        <v>8</v>
      </c>
      <c r="C610" t="s">
        <v>63</v>
      </c>
      <c r="D610">
        <v>2</v>
      </c>
      <c r="E610">
        <v>5.5284834353042302E-2</v>
      </c>
      <c r="F610" s="19">
        <v>4.1098510889114002E-4</v>
      </c>
      <c r="G610" t="s">
        <v>64</v>
      </c>
      <c r="H610">
        <v>8</v>
      </c>
      <c r="I610">
        <v>2</v>
      </c>
      <c r="J610" s="19">
        <v>8.0021290366116002E-4</v>
      </c>
      <c r="K610" t="b">
        <f t="shared" si="47"/>
        <v>1</v>
      </c>
      <c r="L610">
        <f t="shared" si="48"/>
        <v>5.6496032365594605E-2</v>
      </c>
      <c r="M610">
        <f t="shared" si="49"/>
        <v>0.11299206473118921</v>
      </c>
      <c r="N610">
        <f t="shared" si="45"/>
        <v>0.29813209691606651</v>
      </c>
      <c r="O610" s="26">
        <f t="shared" si="46"/>
        <v>0.3424001961551188</v>
      </c>
    </row>
    <row r="611" spans="1:15" x14ac:dyDescent="0.35">
      <c r="A611" t="s">
        <v>64</v>
      </c>
      <c r="B611">
        <v>8</v>
      </c>
      <c r="C611" t="s">
        <v>63</v>
      </c>
      <c r="D611">
        <v>3</v>
      </c>
      <c r="E611">
        <v>9.3677080431544005E-2</v>
      </c>
      <c r="F611" s="19">
        <v>8.8526447725404995E-4</v>
      </c>
      <c r="G611" t="s">
        <v>64</v>
      </c>
      <c r="H611">
        <v>8</v>
      </c>
      <c r="I611">
        <v>3</v>
      </c>
      <c r="J611">
        <v>1.56550245656667E-3</v>
      </c>
      <c r="K611" t="b">
        <f t="shared" si="47"/>
        <v>1</v>
      </c>
      <c r="L611">
        <f t="shared" si="48"/>
        <v>9.6127847365364727E-2</v>
      </c>
      <c r="M611">
        <f t="shared" si="49"/>
        <v>0.19225569473072945</v>
      </c>
      <c r="N611">
        <f t="shared" si="45"/>
        <v>0.50727096235020963</v>
      </c>
      <c r="O611" s="26">
        <f t="shared" si="46"/>
        <v>0.58259301433554378</v>
      </c>
    </row>
    <row r="612" spans="1:15" x14ac:dyDescent="0.35">
      <c r="A612" t="s">
        <v>64</v>
      </c>
      <c r="B612">
        <v>8</v>
      </c>
      <c r="C612" t="s">
        <v>63</v>
      </c>
      <c r="D612">
        <v>4</v>
      </c>
      <c r="E612">
        <v>0.14166738802967099</v>
      </c>
      <c r="F612">
        <v>1.5946028219583201E-3</v>
      </c>
      <c r="G612" t="s">
        <v>64</v>
      </c>
      <c r="H612">
        <v>8</v>
      </c>
      <c r="I612">
        <v>4</v>
      </c>
      <c r="J612">
        <v>2.5962806387924298E-3</v>
      </c>
      <c r="K612" t="b">
        <f t="shared" si="47"/>
        <v>1</v>
      </c>
      <c r="L612">
        <f t="shared" si="48"/>
        <v>0.14585827149042174</v>
      </c>
      <c r="M612">
        <f t="shared" si="49"/>
        <v>0.29171654298084349</v>
      </c>
      <c r="N612">
        <f t="shared" si="45"/>
        <v>0.76970064111040493</v>
      </c>
      <c r="O612" s="26">
        <f t="shared" si="46"/>
        <v>0.88398952418437415</v>
      </c>
    </row>
    <row r="613" spans="1:15" x14ac:dyDescent="0.35">
      <c r="A613" t="s">
        <v>64</v>
      </c>
      <c r="B613">
        <v>8</v>
      </c>
      <c r="C613" t="s">
        <v>63</v>
      </c>
      <c r="D613">
        <v>5</v>
      </c>
      <c r="E613">
        <v>0.20165527252732901</v>
      </c>
      <c r="F613">
        <v>2.5942702130617602E-3</v>
      </c>
      <c r="G613" t="s">
        <v>64</v>
      </c>
      <c r="H613">
        <v>8</v>
      </c>
      <c r="I613">
        <v>5</v>
      </c>
      <c r="J613">
        <v>3.9348956766848998E-3</v>
      </c>
      <c r="K613" t="b">
        <f t="shared" si="47"/>
        <v>1</v>
      </c>
      <c r="L613">
        <f t="shared" si="48"/>
        <v>0.20818443841707568</v>
      </c>
      <c r="M613">
        <f t="shared" si="49"/>
        <v>0.41636887683415136</v>
      </c>
      <c r="N613">
        <f t="shared" si="45"/>
        <v>1.0985986196151751</v>
      </c>
      <c r="O613" s="26">
        <f t="shared" si="46"/>
        <v>1.2617238691943979</v>
      </c>
    </row>
    <row r="614" spans="1:15" x14ac:dyDescent="0.35">
      <c r="A614" t="s">
        <v>64</v>
      </c>
      <c r="B614">
        <v>8</v>
      </c>
      <c r="C614" t="s">
        <v>63</v>
      </c>
      <c r="D614">
        <v>6</v>
      </c>
      <c r="E614">
        <v>0.27664012814940298</v>
      </c>
      <c r="F614">
        <v>3.9534590783574597E-3</v>
      </c>
      <c r="G614" t="s">
        <v>64</v>
      </c>
      <c r="H614">
        <v>8</v>
      </c>
      <c r="I614">
        <v>6</v>
      </c>
      <c r="J614">
        <v>5.6428959338560396E-3</v>
      </c>
      <c r="K614" t="b">
        <f t="shared" si="47"/>
        <v>1</v>
      </c>
      <c r="L614">
        <f t="shared" si="48"/>
        <v>0.28623648316161648</v>
      </c>
      <c r="M614">
        <f t="shared" si="49"/>
        <v>0.57247296632323297</v>
      </c>
      <c r="N614">
        <f t="shared" si="45"/>
        <v>1.5104827607473166</v>
      </c>
      <c r="O614" s="26">
        <f t="shared" si="46"/>
        <v>1.7347665646158574</v>
      </c>
    </row>
    <row r="615" spans="1:15" x14ac:dyDescent="0.35">
      <c r="A615" t="s">
        <v>64</v>
      </c>
      <c r="B615">
        <v>8</v>
      </c>
      <c r="C615" t="s">
        <v>63</v>
      </c>
      <c r="D615">
        <v>7</v>
      </c>
      <c r="E615">
        <v>0.370371197676995</v>
      </c>
      <c r="F615">
        <v>5.7587616476010104E-3</v>
      </c>
      <c r="G615" t="s">
        <v>64</v>
      </c>
      <c r="H615">
        <v>8</v>
      </c>
      <c r="I615">
        <v>7</v>
      </c>
      <c r="J615">
        <v>7.8024982124107103E-3</v>
      </c>
      <c r="K615" t="b">
        <f t="shared" si="47"/>
        <v>1</v>
      </c>
      <c r="L615">
        <f t="shared" si="48"/>
        <v>0.38393245753700672</v>
      </c>
      <c r="M615">
        <f t="shared" si="49"/>
        <v>0.76786491507401344</v>
      </c>
      <c r="N615">
        <f t="shared" si="45"/>
        <v>2.0260287996675816</v>
      </c>
      <c r="O615" s="26">
        <f t="shared" si="46"/>
        <v>2.326863379012162</v>
      </c>
    </row>
    <row r="616" spans="1:15" x14ac:dyDescent="0.35">
      <c r="A616" t="s">
        <v>64</v>
      </c>
      <c r="B616">
        <v>8</v>
      </c>
      <c r="C616" t="s">
        <v>63</v>
      </c>
      <c r="D616">
        <v>8</v>
      </c>
      <c r="E616">
        <v>0.487535034586486</v>
      </c>
      <c r="F616">
        <v>8.1185168521506496E-3</v>
      </c>
      <c r="G616" t="s">
        <v>64</v>
      </c>
      <c r="H616">
        <v>8</v>
      </c>
      <c r="I616">
        <v>8</v>
      </c>
      <c r="J616">
        <v>1.0519776503640501E-2</v>
      </c>
      <c r="K616" t="b">
        <f t="shared" si="47"/>
        <v>1</v>
      </c>
      <c r="L616">
        <f t="shared" si="48"/>
        <v>0.50617332794227721</v>
      </c>
      <c r="M616">
        <f t="shared" si="49"/>
        <v>1.0123466558845544</v>
      </c>
      <c r="N616">
        <f t="shared" si="45"/>
        <v>2.671099355895922</v>
      </c>
      <c r="O616" s="26">
        <f t="shared" si="46"/>
        <v>3.0677171390441043</v>
      </c>
    </row>
    <row r="617" spans="1:15" x14ac:dyDescent="0.35">
      <c r="A617" t="s">
        <v>64</v>
      </c>
      <c r="B617">
        <v>8</v>
      </c>
      <c r="C617" t="s">
        <v>63</v>
      </c>
      <c r="D617">
        <v>9</v>
      </c>
      <c r="E617">
        <v>0.63398983072334703</v>
      </c>
      <c r="F617">
        <v>1.1168244041043E-2</v>
      </c>
      <c r="G617" t="s">
        <v>64</v>
      </c>
      <c r="H617">
        <v>8</v>
      </c>
      <c r="I617">
        <v>9</v>
      </c>
      <c r="J617">
        <v>1.39294356904028E-2</v>
      </c>
      <c r="K617" t="b">
        <f t="shared" si="47"/>
        <v>1</v>
      </c>
      <c r="L617">
        <f t="shared" si="48"/>
        <v>0.65908751045479286</v>
      </c>
      <c r="M617">
        <f t="shared" si="49"/>
        <v>1.3181750209095857</v>
      </c>
      <c r="N617">
        <f t="shared" si="45"/>
        <v>3.4780343559619675</v>
      </c>
      <c r="O617" s="26">
        <f t="shared" si="46"/>
        <v>3.9944697603320778</v>
      </c>
    </row>
    <row r="618" spans="1:15" x14ac:dyDescent="0.35">
      <c r="A618" t="s">
        <v>64</v>
      </c>
      <c r="B618">
        <v>8</v>
      </c>
      <c r="C618" t="s">
        <v>63</v>
      </c>
      <c r="D618">
        <v>10</v>
      </c>
      <c r="E618">
        <v>0.81705832589442595</v>
      </c>
      <c r="F618">
        <v>1.50774352148677E-2</v>
      </c>
      <c r="G618" t="s">
        <v>64</v>
      </c>
      <c r="H618">
        <v>8</v>
      </c>
      <c r="I618">
        <v>10</v>
      </c>
      <c r="J618">
        <v>1.82012409208306E-2</v>
      </c>
      <c r="K618" t="b">
        <f t="shared" si="47"/>
        <v>1</v>
      </c>
      <c r="L618">
        <f t="shared" si="48"/>
        <v>0.8503370020301243</v>
      </c>
      <c r="M618">
        <f t="shared" si="49"/>
        <v>1.7006740040602486</v>
      </c>
      <c r="N618">
        <f t="shared" si="45"/>
        <v>4.4872665014782287</v>
      </c>
      <c r="O618" s="26">
        <f t="shared" si="46"/>
        <v>5.1535575880613589</v>
      </c>
    </row>
    <row r="619" spans="1:15" x14ac:dyDescent="0.35">
      <c r="A619" t="s">
        <v>64</v>
      </c>
      <c r="B619">
        <v>8</v>
      </c>
      <c r="C619" t="s">
        <v>63</v>
      </c>
      <c r="D619">
        <v>11</v>
      </c>
      <c r="E619">
        <v>1.04589394485827</v>
      </c>
      <c r="F619">
        <v>2.00580454042265E-2</v>
      </c>
      <c r="G619" t="s">
        <v>64</v>
      </c>
      <c r="H619">
        <v>8</v>
      </c>
      <c r="I619">
        <v>11</v>
      </c>
      <c r="J619">
        <v>2.3548328386940799E-2</v>
      </c>
      <c r="K619" t="b">
        <f t="shared" si="47"/>
        <v>1</v>
      </c>
      <c r="L619">
        <f t="shared" si="48"/>
        <v>1.0895003186494374</v>
      </c>
      <c r="M619">
        <f t="shared" si="49"/>
        <v>2.1790006372988748</v>
      </c>
      <c r="N619">
        <f t="shared" si="45"/>
        <v>5.7493420509205144</v>
      </c>
      <c r="O619" s="26">
        <f t="shared" si="46"/>
        <v>6.6030322342390146</v>
      </c>
    </row>
    <row r="620" spans="1:15" x14ac:dyDescent="0.35">
      <c r="A620" t="s">
        <v>64</v>
      </c>
      <c r="B620">
        <v>8</v>
      </c>
      <c r="C620" t="s">
        <v>63</v>
      </c>
      <c r="D620">
        <v>12</v>
      </c>
      <c r="E620">
        <v>1.33193846856308</v>
      </c>
      <c r="F620">
        <v>2.6375105726340501E-2</v>
      </c>
      <c r="G620" t="s">
        <v>64</v>
      </c>
      <c r="H620">
        <v>8</v>
      </c>
      <c r="I620">
        <v>12</v>
      </c>
      <c r="J620">
        <v>3.0237758419626198E-2</v>
      </c>
      <c r="K620" t="b">
        <f t="shared" si="47"/>
        <v>1</v>
      </c>
      <c r="L620">
        <f t="shared" si="48"/>
        <v>1.3885513327090468</v>
      </c>
      <c r="M620">
        <f t="shared" si="49"/>
        <v>2.7771026654180937</v>
      </c>
      <c r="N620">
        <f t="shared" si="45"/>
        <v>7.3274476660108014</v>
      </c>
      <c r="O620" s="26">
        <f t="shared" si="46"/>
        <v>8.4154626224790707</v>
      </c>
    </row>
    <row r="621" spans="1:15" x14ac:dyDescent="0.35">
      <c r="A621" t="s">
        <v>64</v>
      </c>
      <c r="B621">
        <v>8</v>
      </c>
      <c r="C621" t="s">
        <v>63</v>
      </c>
      <c r="D621">
        <v>13</v>
      </c>
      <c r="E621">
        <v>1.6894941231940901</v>
      </c>
      <c r="F621">
        <v>3.4359989786836097E-2</v>
      </c>
      <c r="G621" t="s">
        <v>64</v>
      </c>
      <c r="H621">
        <v>8</v>
      </c>
      <c r="I621">
        <v>13</v>
      </c>
      <c r="J621">
        <v>3.8603807336055E-2</v>
      </c>
      <c r="K621" t="b">
        <f t="shared" si="47"/>
        <v>1</v>
      </c>
      <c r="L621">
        <f t="shared" si="48"/>
        <v>1.7624579203169812</v>
      </c>
      <c r="M621">
        <f t="shared" si="49"/>
        <v>3.5249158406339625</v>
      </c>
      <c r="N621">
        <f t="shared" si="45"/>
        <v>9.300569500353463</v>
      </c>
      <c r="O621" s="26">
        <f t="shared" si="46"/>
        <v>10.681563153436249</v>
      </c>
    </row>
    <row r="622" spans="1:15" x14ac:dyDescent="0.35">
      <c r="A622" t="s">
        <v>64</v>
      </c>
      <c r="B622">
        <v>8</v>
      </c>
      <c r="C622" t="s">
        <v>63</v>
      </c>
      <c r="D622">
        <v>14</v>
      </c>
      <c r="E622">
        <v>2.1364386914828501</v>
      </c>
      <c r="F622">
        <v>4.4426996760573101E-2</v>
      </c>
      <c r="G622" t="s">
        <v>64</v>
      </c>
      <c r="H622">
        <v>8</v>
      </c>
      <c r="I622">
        <v>14</v>
      </c>
      <c r="J622">
        <v>4.9064644753753703E-2</v>
      </c>
      <c r="K622" t="b">
        <f t="shared" si="47"/>
        <v>1</v>
      </c>
      <c r="L622">
        <f t="shared" si="48"/>
        <v>2.2299303329971769</v>
      </c>
      <c r="M622">
        <f t="shared" si="49"/>
        <v>4.4598606659943538</v>
      </c>
      <c r="N622">
        <f t="shared" si="45"/>
        <v>11.767442390486421</v>
      </c>
      <c r="O622" s="26">
        <f t="shared" si="46"/>
        <v>13.51472929089198</v>
      </c>
    </row>
    <row r="623" spans="1:15" x14ac:dyDescent="0.35">
      <c r="A623" t="s">
        <v>64</v>
      </c>
      <c r="B623">
        <v>8</v>
      </c>
      <c r="C623" t="s">
        <v>63</v>
      </c>
      <c r="D623">
        <v>15</v>
      </c>
      <c r="E623">
        <v>2.6951194018438098</v>
      </c>
      <c r="F623">
        <v>5.7094080318918397E-2</v>
      </c>
      <c r="G623" t="s">
        <v>64</v>
      </c>
      <c r="H623">
        <v>8</v>
      </c>
      <c r="I623">
        <v>15</v>
      </c>
      <c r="J623">
        <v>6.2143219970031902E-2</v>
      </c>
      <c r="K623" t="b">
        <f t="shared" si="47"/>
        <v>1</v>
      </c>
      <c r="L623">
        <f t="shared" si="48"/>
        <v>2.81435670213276</v>
      </c>
      <c r="M623">
        <f t="shared" si="49"/>
        <v>5.62871340426552</v>
      </c>
      <c r="N623">
        <f t="shared" si="45"/>
        <v>14.85148655479029</v>
      </c>
      <c r="O623" s="26">
        <f t="shared" si="46"/>
        <v>17.05670728565309</v>
      </c>
    </row>
    <row r="624" spans="1:15" x14ac:dyDescent="0.35">
      <c r="A624" t="s">
        <v>64</v>
      </c>
      <c r="B624">
        <v>8</v>
      </c>
      <c r="C624" t="s">
        <v>63</v>
      </c>
      <c r="D624">
        <v>16</v>
      </c>
      <c r="E624">
        <v>3.39347028979501</v>
      </c>
      <c r="F624">
        <v>7.3008759862788805E-2</v>
      </c>
      <c r="G624" t="s">
        <v>64</v>
      </c>
      <c r="H624">
        <v>8</v>
      </c>
      <c r="I624">
        <v>16</v>
      </c>
      <c r="J624">
        <v>7.8493395807295405E-2</v>
      </c>
      <c r="K624" t="b">
        <f t="shared" si="47"/>
        <v>1</v>
      </c>
      <c r="L624">
        <f t="shared" si="48"/>
        <v>3.5449724454650942</v>
      </c>
      <c r="M624">
        <f t="shared" si="49"/>
        <v>7.0899448909301883</v>
      </c>
      <c r="N624">
        <f t="shared" si="45"/>
        <v>18.706978604037435</v>
      </c>
      <c r="O624" s="26">
        <f t="shared" si="46"/>
        <v>21.484681487667235</v>
      </c>
    </row>
    <row r="625" spans="1:15" x14ac:dyDescent="0.35">
      <c r="A625" t="s">
        <v>64</v>
      </c>
      <c r="B625">
        <v>8</v>
      </c>
      <c r="C625" t="s">
        <v>63</v>
      </c>
      <c r="D625">
        <v>17</v>
      </c>
      <c r="E625">
        <v>4.2664088997340102</v>
      </c>
      <c r="F625">
        <v>9.2980509635687297E-2</v>
      </c>
      <c r="G625" t="s">
        <v>64</v>
      </c>
      <c r="H625">
        <v>8</v>
      </c>
      <c r="I625">
        <v>17</v>
      </c>
      <c r="J625">
        <v>9.8932633187663502E-2</v>
      </c>
      <c r="K625" t="b">
        <f t="shared" si="47"/>
        <v>1</v>
      </c>
      <c r="L625">
        <f t="shared" si="48"/>
        <v>4.4583220425573611</v>
      </c>
      <c r="M625">
        <f t="shared" si="49"/>
        <v>8.9166440851147222</v>
      </c>
      <c r="N625">
        <f t="shared" si="45"/>
        <v>23.526765396081061</v>
      </c>
      <c r="O625" s="26">
        <f t="shared" si="46"/>
        <v>27.020133591256734</v>
      </c>
    </row>
    <row r="626" spans="1:15" x14ac:dyDescent="0.35">
      <c r="A626" t="s">
        <v>64</v>
      </c>
      <c r="B626">
        <v>8</v>
      </c>
      <c r="C626" t="s">
        <v>63</v>
      </c>
      <c r="D626">
        <v>18</v>
      </c>
      <c r="E626">
        <v>5.3575821621577404</v>
      </c>
      <c r="F626">
        <v>0.118021245184579</v>
      </c>
      <c r="G626" t="s">
        <v>64</v>
      </c>
      <c r="H626">
        <v>8</v>
      </c>
      <c r="I626">
        <v>18</v>
      </c>
      <c r="J626">
        <v>0.124482858665907</v>
      </c>
      <c r="K626" t="b">
        <f t="shared" si="47"/>
        <v>1</v>
      </c>
      <c r="L626">
        <f t="shared" si="48"/>
        <v>5.6000862660082262</v>
      </c>
      <c r="M626">
        <f t="shared" si="49"/>
        <v>11.200172532016452</v>
      </c>
      <c r="N626">
        <f t="shared" si="45"/>
        <v>29.551906416929953</v>
      </c>
      <c r="O626" s="26">
        <f t="shared" si="46"/>
        <v>33.93991676368622</v>
      </c>
    </row>
    <row r="627" spans="1:15" x14ac:dyDescent="0.35">
      <c r="A627" t="s">
        <v>64</v>
      </c>
      <c r="B627">
        <v>8</v>
      </c>
      <c r="C627" t="s">
        <v>63</v>
      </c>
      <c r="D627">
        <v>19</v>
      </c>
      <c r="E627">
        <v>6.7215487401874201</v>
      </c>
      <c r="F627">
        <v>0.14939593150347999</v>
      </c>
      <c r="G627" t="s">
        <v>64</v>
      </c>
      <c r="H627">
        <v>8</v>
      </c>
      <c r="I627">
        <v>19</v>
      </c>
      <c r="J627">
        <v>0.156421557121007</v>
      </c>
      <c r="K627" t="b">
        <f t="shared" si="47"/>
        <v>1</v>
      </c>
      <c r="L627">
        <f t="shared" si="48"/>
        <v>7.027366228811907</v>
      </c>
      <c r="M627">
        <f t="shared" si="49"/>
        <v>14.054732457623814</v>
      </c>
      <c r="N627">
        <f t="shared" si="45"/>
        <v>37.083726801118239</v>
      </c>
      <c r="O627" s="26">
        <f t="shared" si="46"/>
        <v>42.590098356435796</v>
      </c>
    </row>
    <row r="628" spans="1:15" x14ac:dyDescent="0.35">
      <c r="A628" t="s">
        <v>64</v>
      </c>
      <c r="B628">
        <v>8</v>
      </c>
      <c r="C628" t="s">
        <v>63</v>
      </c>
      <c r="D628">
        <v>20</v>
      </c>
      <c r="E628">
        <v>8.4265069627245204</v>
      </c>
      <c r="F628">
        <v>0.18868584327840801</v>
      </c>
      <c r="G628" t="s">
        <v>64</v>
      </c>
      <c r="H628">
        <v>8</v>
      </c>
      <c r="I628">
        <v>20</v>
      </c>
      <c r="J628">
        <v>0.19634564354123801</v>
      </c>
      <c r="K628" t="b">
        <f t="shared" si="47"/>
        <v>1</v>
      </c>
      <c r="L628">
        <f t="shared" si="48"/>
        <v>8.811538449544166</v>
      </c>
      <c r="M628">
        <f t="shared" si="49"/>
        <v>17.623076899088332</v>
      </c>
      <c r="N628">
        <f t="shared" si="45"/>
        <v>46.498883638755494</v>
      </c>
      <c r="O628" s="26">
        <f t="shared" si="46"/>
        <v>53.403263330570702</v>
      </c>
    </row>
    <row r="629" spans="1:15" x14ac:dyDescent="0.35">
      <c r="A629" t="s">
        <v>64</v>
      </c>
      <c r="B629">
        <v>8</v>
      </c>
      <c r="C629" t="s">
        <v>63</v>
      </c>
      <c r="D629">
        <v>21</v>
      </c>
      <c r="E629">
        <v>10.557704740895799</v>
      </c>
      <c r="F629">
        <v>0.23786764025708099</v>
      </c>
      <c r="G629" t="s">
        <v>64</v>
      </c>
      <c r="H629">
        <v>8</v>
      </c>
      <c r="I629">
        <v>21</v>
      </c>
      <c r="J629">
        <v>0.24625130707009099</v>
      </c>
      <c r="K629" t="b">
        <f t="shared" si="47"/>
        <v>1</v>
      </c>
      <c r="L629">
        <f t="shared" si="48"/>
        <v>11.041823688222971</v>
      </c>
      <c r="M629">
        <f t="shared" si="49"/>
        <v>22.083647376445942</v>
      </c>
      <c r="N629">
        <f t="shared" si="45"/>
        <v>58.268198882443116</v>
      </c>
      <c r="O629" s="26">
        <f t="shared" si="46"/>
        <v>66.920143564987697</v>
      </c>
    </row>
    <row r="630" spans="1:15" x14ac:dyDescent="0.35">
      <c r="A630" t="s">
        <v>64</v>
      </c>
      <c r="B630">
        <v>8</v>
      </c>
      <c r="C630" t="s">
        <v>63</v>
      </c>
      <c r="D630">
        <v>22</v>
      </c>
      <c r="E630">
        <v>13.219371000000001</v>
      </c>
      <c r="F630">
        <v>0.299400103249369</v>
      </c>
      <c r="G630" t="s">
        <v>64</v>
      </c>
      <c r="H630">
        <v>8</v>
      </c>
      <c r="I630">
        <v>22</v>
      </c>
      <c r="J630">
        <v>0.30860745013962798</v>
      </c>
      <c r="K630" t="b">
        <f t="shared" si="47"/>
        <v>1</v>
      </c>
      <c r="L630">
        <f t="shared" si="48"/>
        <v>13.827378553388996</v>
      </c>
      <c r="M630">
        <f t="shared" si="49"/>
        <v>27.654757106777993</v>
      </c>
      <c r="N630">
        <f t="shared" si="45"/>
        <v>72.967696851656967</v>
      </c>
      <c r="O630" s="26">
        <f t="shared" si="46"/>
        <v>83.802294262963613</v>
      </c>
    </row>
    <row r="631" spans="1:15" x14ac:dyDescent="0.35">
      <c r="A631" t="s">
        <v>64</v>
      </c>
      <c r="B631">
        <v>8</v>
      </c>
      <c r="C631" t="s">
        <v>63</v>
      </c>
      <c r="D631">
        <v>23</v>
      </c>
      <c r="E631">
        <v>16.136208</v>
      </c>
      <c r="F631">
        <v>0.37423820575188699</v>
      </c>
      <c r="G631" t="s">
        <v>64</v>
      </c>
      <c r="H631">
        <v>8</v>
      </c>
      <c r="I631">
        <v>23</v>
      </c>
      <c r="J631">
        <v>0.38189546159993798</v>
      </c>
      <c r="K631" t="b">
        <f t="shared" si="47"/>
        <v>1</v>
      </c>
      <c r="L631">
        <f t="shared" si="48"/>
        <v>16.892341667351825</v>
      </c>
      <c r="M631">
        <f t="shared" si="49"/>
        <v>33.784683334703651</v>
      </c>
      <c r="N631">
        <f t="shared" si="45"/>
        <v>89.141644682595384</v>
      </c>
      <c r="O631" s="26">
        <f t="shared" si="46"/>
        <v>102.37782828698076</v>
      </c>
    </row>
    <row r="632" spans="1:15" x14ac:dyDescent="0.35">
      <c r="A632" t="s">
        <v>64</v>
      </c>
      <c r="B632">
        <v>8</v>
      </c>
      <c r="C632" t="s">
        <v>63</v>
      </c>
      <c r="D632">
        <v>24</v>
      </c>
      <c r="E632">
        <v>19.053045000000001</v>
      </c>
      <c r="F632">
        <v>0.46198277857933101</v>
      </c>
      <c r="G632" t="s">
        <v>64</v>
      </c>
      <c r="H632">
        <v>8</v>
      </c>
      <c r="I632">
        <v>24</v>
      </c>
      <c r="J632">
        <v>0.46232732688863498</v>
      </c>
      <c r="K632" t="b">
        <f t="shared" si="47"/>
        <v>1</v>
      </c>
      <c r="L632">
        <f t="shared" si="48"/>
        <v>19.977355105467964</v>
      </c>
      <c r="M632">
        <f t="shared" si="49"/>
        <v>39.954710210935929</v>
      </c>
      <c r="N632">
        <f t="shared" si="45"/>
        <v>105.42139897344572</v>
      </c>
      <c r="O632" s="26">
        <f t="shared" si="46"/>
        <v>121.07487942707857</v>
      </c>
    </row>
    <row r="633" spans="1:15" x14ac:dyDescent="0.35">
      <c r="A633" t="s">
        <v>64</v>
      </c>
      <c r="B633">
        <v>8</v>
      </c>
      <c r="C633" t="s">
        <v>63</v>
      </c>
      <c r="D633">
        <v>25</v>
      </c>
      <c r="E633">
        <v>21.969881999999998</v>
      </c>
      <c r="F633">
        <v>0.56224662762195099</v>
      </c>
      <c r="G633" t="s">
        <v>64</v>
      </c>
      <c r="H633">
        <v>8</v>
      </c>
      <c r="I633">
        <v>25</v>
      </c>
      <c r="J633">
        <v>0.54754553585599697</v>
      </c>
      <c r="K633" t="b">
        <f t="shared" si="47"/>
        <v>1</v>
      </c>
      <c r="L633">
        <f t="shared" si="48"/>
        <v>23.079674163477947</v>
      </c>
      <c r="M633">
        <f t="shared" si="49"/>
        <v>46.159348326955893</v>
      </c>
      <c r="N633">
        <f t="shared" si="45"/>
        <v>121.7924757967174</v>
      </c>
      <c r="O633" s="26">
        <f t="shared" si="46"/>
        <v>139.87681311198756</v>
      </c>
    </row>
    <row r="634" spans="1:15" x14ac:dyDescent="0.35">
      <c r="A634" t="s">
        <v>64</v>
      </c>
      <c r="B634">
        <v>8</v>
      </c>
      <c r="C634" t="s">
        <v>63</v>
      </c>
      <c r="D634">
        <v>26</v>
      </c>
      <c r="E634">
        <v>24.886718999999999</v>
      </c>
      <c r="F634">
        <v>0.67465417459329202</v>
      </c>
      <c r="G634" t="s">
        <v>64</v>
      </c>
      <c r="H634">
        <v>8</v>
      </c>
      <c r="I634">
        <v>26</v>
      </c>
      <c r="J634">
        <v>0.63605054336556499</v>
      </c>
      <c r="K634" t="b">
        <f t="shared" si="47"/>
        <v>1</v>
      </c>
      <c r="L634">
        <f t="shared" si="48"/>
        <v>26.197423717958856</v>
      </c>
      <c r="M634">
        <f t="shared" si="49"/>
        <v>52.394847435917711</v>
      </c>
      <c r="N634">
        <f t="shared" si="45"/>
        <v>138.24498004199924</v>
      </c>
      <c r="O634" s="26">
        <f t="shared" si="46"/>
        <v>158.7722649573264</v>
      </c>
    </row>
    <row r="635" spans="1:15" x14ac:dyDescent="0.35">
      <c r="A635" t="s">
        <v>64</v>
      </c>
      <c r="B635">
        <v>8</v>
      </c>
      <c r="C635" t="s">
        <v>63</v>
      </c>
      <c r="D635">
        <v>27</v>
      </c>
      <c r="E635">
        <v>27.803556</v>
      </c>
      <c r="F635">
        <v>0.79884110855549395</v>
      </c>
      <c r="G635" t="s">
        <v>64</v>
      </c>
      <c r="H635">
        <v>8</v>
      </c>
      <c r="I635">
        <v>27</v>
      </c>
      <c r="J635">
        <v>0.72686551147518497</v>
      </c>
      <c r="K635" t="b">
        <f t="shared" si="47"/>
        <v>1</v>
      </c>
      <c r="L635">
        <f t="shared" si="48"/>
        <v>29.329262620030679</v>
      </c>
      <c r="M635">
        <f t="shared" si="49"/>
        <v>58.658525240061358</v>
      </c>
      <c r="N635">
        <f t="shared" ref="N635:N698" si="50">M635/(1-0.621)</f>
        <v>154.77183440649435</v>
      </c>
      <c r="O635" s="26">
        <f t="shared" ref="O635:O698" si="51">M635/0.33</f>
        <v>177.75310678806471</v>
      </c>
    </row>
    <row r="636" spans="1:15" x14ac:dyDescent="0.35">
      <c r="A636" t="s">
        <v>64</v>
      </c>
      <c r="B636">
        <v>8</v>
      </c>
      <c r="C636" t="s">
        <v>63</v>
      </c>
      <c r="D636">
        <v>28</v>
      </c>
      <c r="E636">
        <v>30.720392999999898</v>
      </c>
      <c r="F636">
        <v>0.93445404789882902</v>
      </c>
      <c r="G636" t="s">
        <v>64</v>
      </c>
      <c r="H636">
        <v>8</v>
      </c>
      <c r="I636">
        <v>28</v>
      </c>
      <c r="J636">
        <v>0.81933806521351704</v>
      </c>
      <c r="K636" t="b">
        <f t="shared" si="47"/>
        <v>1</v>
      </c>
      <c r="L636">
        <f t="shared" si="48"/>
        <v>32.474185113112242</v>
      </c>
      <c r="M636">
        <f t="shared" si="49"/>
        <v>64.948370226224483</v>
      </c>
      <c r="N636">
        <f t="shared" si="50"/>
        <v>171.36773146761078</v>
      </c>
      <c r="O636" s="26">
        <f t="shared" si="51"/>
        <v>196.81324310977115</v>
      </c>
    </row>
    <row r="637" spans="1:15" x14ac:dyDescent="0.35">
      <c r="A637" t="s">
        <v>64</v>
      </c>
      <c r="B637">
        <v>8</v>
      </c>
      <c r="C637" t="s">
        <v>63</v>
      </c>
      <c r="D637">
        <v>29</v>
      </c>
      <c r="E637">
        <v>33.637230000000002</v>
      </c>
      <c r="F637">
        <v>1.0811502124618599</v>
      </c>
      <c r="G637" t="s">
        <v>64</v>
      </c>
      <c r="H637">
        <v>8</v>
      </c>
      <c r="I637">
        <v>29</v>
      </c>
      <c r="J637">
        <v>0.91302160645851005</v>
      </c>
      <c r="K637" t="b">
        <f t="shared" si="47"/>
        <v>1</v>
      </c>
      <c r="L637">
        <f t="shared" si="48"/>
        <v>35.631401818920367</v>
      </c>
      <c r="M637">
        <f t="shared" si="49"/>
        <v>71.262803637840733</v>
      </c>
      <c r="N637">
        <f t="shared" si="50"/>
        <v>188.02850564074072</v>
      </c>
      <c r="O637" s="26">
        <f t="shared" si="51"/>
        <v>215.94788981163856</v>
      </c>
    </row>
    <row r="638" spans="1:15" x14ac:dyDescent="0.35">
      <c r="A638" t="s">
        <v>64</v>
      </c>
      <c r="B638">
        <v>8</v>
      </c>
      <c r="C638" t="s">
        <v>63</v>
      </c>
      <c r="D638">
        <v>30</v>
      </c>
      <c r="E638">
        <v>37.121732999999999</v>
      </c>
      <c r="F638">
        <v>1.2415458666880099</v>
      </c>
      <c r="G638" t="s">
        <v>64</v>
      </c>
      <c r="H638">
        <v>8</v>
      </c>
      <c r="I638">
        <v>30</v>
      </c>
      <c r="J638">
        <v>1.0140249071990901</v>
      </c>
      <c r="K638" t="b">
        <f t="shared" si="47"/>
        <v>1</v>
      </c>
      <c r="L638">
        <f t="shared" si="48"/>
        <v>39.377303773887093</v>
      </c>
      <c r="M638">
        <f t="shared" si="49"/>
        <v>78.754607547774185</v>
      </c>
      <c r="N638">
        <f t="shared" si="50"/>
        <v>207.79579827908756</v>
      </c>
      <c r="O638" s="26">
        <f t="shared" si="51"/>
        <v>238.650325902346</v>
      </c>
    </row>
    <row r="639" spans="1:15" x14ac:dyDescent="0.35">
      <c r="A639" t="s">
        <v>64</v>
      </c>
      <c r="B639">
        <v>8</v>
      </c>
      <c r="C639" t="s">
        <v>63</v>
      </c>
      <c r="D639">
        <v>31</v>
      </c>
      <c r="E639">
        <v>40.606236000000003</v>
      </c>
      <c r="F639">
        <v>1.41523002588737</v>
      </c>
      <c r="G639" t="s">
        <v>64</v>
      </c>
      <c r="H639">
        <v>8</v>
      </c>
      <c r="I639">
        <v>31</v>
      </c>
      <c r="J639">
        <v>1.11974064468255</v>
      </c>
      <c r="K639" t="b">
        <f t="shared" si="47"/>
        <v>1</v>
      </c>
      <c r="L639">
        <f t="shared" si="48"/>
        <v>43.141206670569922</v>
      </c>
      <c r="M639">
        <f t="shared" si="49"/>
        <v>86.282413341139844</v>
      </c>
      <c r="N639">
        <f t="shared" si="50"/>
        <v>227.65808269430039</v>
      </c>
      <c r="O639" s="26">
        <f t="shared" si="51"/>
        <v>261.46185860951465</v>
      </c>
    </row>
    <row r="640" spans="1:15" x14ac:dyDescent="0.35">
      <c r="A640" t="s">
        <v>64</v>
      </c>
      <c r="B640">
        <v>8</v>
      </c>
      <c r="C640" t="s">
        <v>63</v>
      </c>
      <c r="D640">
        <v>32</v>
      </c>
      <c r="E640">
        <v>44.090738999999999</v>
      </c>
      <c r="F640">
        <v>1.6018040349107501</v>
      </c>
      <c r="G640" t="s">
        <v>64</v>
      </c>
      <c r="H640">
        <v>8</v>
      </c>
      <c r="I640">
        <v>32</v>
      </c>
      <c r="J640">
        <v>1.22856557262771</v>
      </c>
      <c r="K640" t="b">
        <f t="shared" si="47"/>
        <v>1</v>
      </c>
      <c r="L640">
        <f t="shared" si="48"/>
        <v>46.921108607538457</v>
      </c>
      <c r="M640">
        <f t="shared" si="49"/>
        <v>93.842217215076914</v>
      </c>
      <c r="N640">
        <f t="shared" si="50"/>
        <v>247.60479476273591</v>
      </c>
      <c r="O640" s="26">
        <f t="shared" si="51"/>
        <v>284.37035519720274</v>
      </c>
    </row>
    <row r="641" spans="1:15" x14ac:dyDescent="0.35">
      <c r="A641" t="s">
        <v>64</v>
      </c>
      <c r="B641">
        <v>8</v>
      </c>
      <c r="C641" t="s">
        <v>63</v>
      </c>
      <c r="D641">
        <v>33</v>
      </c>
      <c r="E641">
        <v>47.575241999999903</v>
      </c>
      <c r="F641">
        <v>1.8008811982634201</v>
      </c>
      <c r="G641" t="s">
        <v>64</v>
      </c>
      <c r="H641">
        <v>8</v>
      </c>
      <c r="I641">
        <v>33</v>
      </c>
      <c r="J641">
        <v>1.33949376177274</v>
      </c>
      <c r="K641" t="b">
        <f t="shared" si="47"/>
        <v>1</v>
      </c>
      <c r="L641">
        <f t="shared" si="48"/>
        <v>50.715616960036058</v>
      </c>
      <c r="M641">
        <f t="shared" si="49"/>
        <v>101.43123392007212</v>
      </c>
      <c r="N641">
        <f t="shared" si="50"/>
        <v>267.62858554108738</v>
      </c>
      <c r="O641" s="26">
        <f t="shared" si="51"/>
        <v>307.36737551537004</v>
      </c>
    </row>
    <row r="642" spans="1:15" x14ac:dyDescent="0.35">
      <c r="A642" t="s">
        <v>64</v>
      </c>
      <c r="B642">
        <v>8</v>
      </c>
      <c r="C642" t="s">
        <v>63</v>
      </c>
      <c r="D642">
        <v>34</v>
      </c>
      <c r="E642">
        <v>51.059744999999999</v>
      </c>
      <c r="F642">
        <v>2.0120864213155198</v>
      </c>
      <c r="G642" t="s">
        <v>64</v>
      </c>
      <c r="H642">
        <v>8</v>
      </c>
      <c r="I642">
        <v>34</v>
      </c>
      <c r="J642">
        <v>1.45187957764882</v>
      </c>
      <c r="K642" t="b">
        <f t="shared" ref="K642:K705" si="52">H642=B642</f>
        <v>1</v>
      </c>
      <c r="L642">
        <f t="shared" ref="L642:L705" si="53">E642+F642+J642</f>
        <v>54.52371099896434</v>
      </c>
      <c r="M642">
        <f t="shared" ref="M642:M705" si="54">L642*2</f>
        <v>109.04742199792868</v>
      </c>
      <c r="N642">
        <f t="shared" si="50"/>
        <v>287.72406859611789</v>
      </c>
      <c r="O642" s="26">
        <f t="shared" si="51"/>
        <v>330.44673332705656</v>
      </c>
    </row>
    <row r="643" spans="1:15" x14ac:dyDescent="0.35">
      <c r="A643" t="s">
        <v>64</v>
      </c>
      <c r="B643">
        <v>8</v>
      </c>
      <c r="C643" t="s">
        <v>63</v>
      </c>
      <c r="D643">
        <v>35</v>
      </c>
      <c r="E643">
        <v>54.924705000000003</v>
      </c>
      <c r="F643">
        <v>2.2370321596760601</v>
      </c>
      <c r="G643" t="s">
        <v>64</v>
      </c>
      <c r="H643">
        <v>8</v>
      </c>
      <c r="I643">
        <v>35</v>
      </c>
      <c r="J643">
        <v>1.56960233836332</v>
      </c>
      <c r="K643" t="b">
        <f t="shared" si="52"/>
        <v>1</v>
      </c>
      <c r="L643">
        <f t="shared" si="53"/>
        <v>58.731339498039382</v>
      </c>
      <c r="M643">
        <f t="shared" si="54"/>
        <v>117.46267899607876</v>
      </c>
      <c r="N643">
        <f t="shared" si="50"/>
        <v>309.9279129184136</v>
      </c>
      <c r="O643" s="26">
        <f t="shared" si="51"/>
        <v>355.94751210932958</v>
      </c>
    </row>
    <row r="644" spans="1:15" x14ac:dyDescent="0.35">
      <c r="A644" t="s">
        <v>64</v>
      </c>
      <c r="B644">
        <v>8</v>
      </c>
      <c r="C644" t="s">
        <v>63</v>
      </c>
      <c r="D644">
        <v>36</v>
      </c>
      <c r="E644">
        <v>58.789664999999999</v>
      </c>
      <c r="F644">
        <v>2.4753061978857702</v>
      </c>
      <c r="G644" t="s">
        <v>64</v>
      </c>
      <c r="H644">
        <v>8</v>
      </c>
      <c r="I644">
        <v>36</v>
      </c>
      <c r="J644">
        <v>1.6907783988543299</v>
      </c>
      <c r="K644" t="b">
        <f t="shared" si="52"/>
        <v>1</v>
      </c>
      <c r="L644">
        <f t="shared" si="53"/>
        <v>62.955749596740098</v>
      </c>
      <c r="M644">
        <f t="shared" si="54"/>
        <v>125.9114991934802</v>
      </c>
      <c r="N644">
        <f t="shared" si="50"/>
        <v>332.22031449467067</v>
      </c>
      <c r="O644" s="26">
        <f t="shared" si="51"/>
        <v>381.54999755600056</v>
      </c>
    </row>
    <row r="645" spans="1:15" x14ac:dyDescent="0.35">
      <c r="A645" t="s">
        <v>64</v>
      </c>
      <c r="B645">
        <v>8</v>
      </c>
      <c r="C645" t="s">
        <v>63</v>
      </c>
      <c r="D645">
        <v>37</v>
      </c>
      <c r="E645">
        <v>62.654624999999903</v>
      </c>
      <c r="F645">
        <v>2.7265086869492001</v>
      </c>
      <c r="G645" t="s">
        <v>64</v>
      </c>
      <c r="H645">
        <v>8</v>
      </c>
      <c r="I645">
        <v>37</v>
      </c>
      <c r="J645">
        <v>1.8142448651274199</v>
      </c>
      <c r="K645" t="b">
        <f t="shared" si="52"/>
        <v>1</v>
      </c>
      <c r="L645">
        <f t="shared" si="53"/>
        <v>67.195378552076519</v>
      </c>
      <c r="M645">
        <f t="shared" si="54"/>
        <v>134.39075710415304</v>
      </c>
      <c r="N645">
        <f t="shared" si="50"/>
        <v>354.59302666003441</v>
      </c>
      <c r="O645" s="26">
        <f t="shared" si="51"/>
        <v>407.24471849743344</v>
      </c>
    </row>
    <row r="646" spans="1:15" x14ac:dyDescent="0.35">
      <c r="A646" t="s">
        <v>64</v>
      </c>
      <c r="B646">
        <v>8</v>
      </c>
      <c r="C646" t="s">
        <v>63</v>
      </c>
      <c r="D646">
        <v>38</v>
      </c>
      <c r="E646">
        <v>66.519584999999907</v>
      </c>
      <c r="F646">
        <v>2.9902517733407299</v>
      </c>
      <c r="G646" t="s">
        <v>64</v>
      </c>
      <c r="H646">
        <v>8</v>
      </c>
      <c r="I646">
        <v>38</v>
      </c>
      <c r="J646">
        <v>1.9392687562522</v>
      </c>
      <c r="K646" t="b">
        <f t="shared" si="52"/>
        <v>1</v>
      </c>
      <c r="L646">
        <f t="shared" si="53"/>
        <v>71.449105529592842</v>
      </c>
      <c r="M646">
        <f t="shared" si="54"/>
        <v>142.89821105918568</v>
      </c>
      <c r="N646">
        <f t="shared" si="50"/>
        <v>377.04013472080658</v>
      </c>
      <c r="O646" s="26">
        <f t="shared" si="51"/>
        <v>433.02488199753236</v>
      </c>
    </row>
    <row r="647" spans="1:15" x14ac:dyDescent="0.35">
      <c r="A647" t="s">
        <v>64</v>
      </c>
      <c r="B647">
        <v>8</v>
      </c>
      <c r="C647" t="s">
        <v>63</v>
      </c>
      <c r="D647">
        <v>39</v>
      </c>
      <c r="E647">
        <v>70.384545000000003</v>
      </c>
      <c r="F647">
        <v>3.2661592391404999</v>
      </c>
      <c r="G647" t="s">
        <v>64</v>
      </c>
      <c r="H647">
        <v>8</v>
      </c>
      <c r="I647">
        <v>39</v>
      </c>
      <c r="J647">
        <v>2.0653772623032598</v>
      </c>
      <c r="K647" t="b">
        <f t="shared" si="52"/>
        <v>1</v>
      </c>
      <c r="L647">
        <f t="shared" si="53"/>
        <v>75.716081501443767</v>
      </c>
      <c r="M647">
        <f t="shared" si="54"/>
        <v>151.43216300288753</v>
      </c>
      <c r="N647">
        <f t="shared" si="50"/>
        <v>399.55715831896447</v>
      </c>
      <c r="O647" s="26">
        <f t="shared" si="51"/>
        <v>458.8853424329925</v>
      </c>
    </row>
    <row r="648" spans="1:15" x14ac:dyDescent="0.35">
      <c r="A648" t="s">
        <v>64</v>
      </c>
      <c r="B648">
        <v>8</v>
      </c>
      <c r="C648" t="s">
        <v>63</v>
      </c>
      <c r="D648">
        <v>40</v>
      </c>
      <c r="E648">
        <v>74.309894999999997</v>
      </c>
      <c r="F648">
        <v>3.5541798509662899</v>
      </c>
      <c r="G648" t="s">
        <v>64</v>
      </c>
      <c r="H648">
        <v>8</v>
      </c>
      <c r="I648">
        <v>40</v>
      </c>
      <c r="J648">
        <v>2.1929409622309701</v>
      </c>
      <c r="K648" t="b">
        <f t="shared" si="52"/>
        <v>1</v>
      </c>
      <c r="L648">
        <f t="shared" si="53"/>
        <v>80.057015813197253</v>
      </c>
      <c r="M648">
        <f t="shared" si="54"/>
        <v>160.11403162639451</v>
      </c>
      <c r="N648">
        <f t="shared" si="50"/>
        <v>422.46446339418077</v>
      </c>
      <c r="O648" s="26">
        <f t="shared" si="51"/>
        <v>485.1940352314985</v>
      </c>
    </row>
    <row r="649" spans="1:15" x14ac:dyDescent="0.35">
      <c r="A649" t="s">
        <v>64</v>
      </c>
      <c r="B649">
        <v>8</v>
      </c>
      <c r="C649" t="s">
        <v>63</v>
      </c>
      <c r="D649">
        <v>41</v>
      </c>
      <c r="E649">
        <v>78.235245000000006</v>
      </c>
      <c r="F649">
        <v>3.8539502144373001</v>
      </c>
      <c r="G649" t="s">
        <v>64</v>
      </c>
      <c r="H649">
        <v>8</v>
      </c>
      <c r="I649">
        <v>41</v>
      </c>
      <c r="J649">
        <v>2.3214944344805901</v>
      </c>
      <c r="K649" t="b">
        <f t="shared" si="52"/>
        <v>1</v>
      </c>
      <c r="L649">
        <f t="shared" si="53"/>
        <v>84.410689648917895</v>
      </c>
      <c r="M649">
        <f t="shared" si="54"/>
        <v>168.82137929783579</v>
      </c>
      <c r="N649">
        <f t="shared" si="50"/>
        <v>445.43899550880155</v>
      </c>
      <c r="O649" s="26">
        <f t="shared" si="51"/>
        <v>511.57993726616905</v>
      </c>
    </row>
    <row r="650" spans="1:15" x14ac:dyDescent="0.35">
      <c r="A650" t="s">
        <v>64</v>
      </c>
      <c r="B650">
        <v>8</v>
      </c>
      <c r="C650" t="s">
        <v>63</v>
      </c>
      <c r="D650">
        <v>42</v>
      </c>
      <c r="E650">
        <v>82.160595000000001</v>
      </c>
      <c r="F650">
        <v>4.1651178370041801</v>
      </c>
      <c r="G650" t="s">
        <v>64</v>
      </c>
      <c r="H650">
        <v>8</v>
      </c>
      <c r="I650">
        <v>42</v>
      </c>
      <c r="J650">
        <v>2.4507373774979602</v>
      </c>
      <c r="K650" t="b">
        <f t="shared" si="52"/>
        <v>1</v>
      </c>
      <c r="L650">
        <f t="shared" si="53"/>
        <v>88.776450214502134</v>
      </c>
      <c r="M650">
        <f t="shared" si="54"/>
        <v>177.55290042900427</v>
      </c>
      <c r="N650">
        <f t="shared" si="50"/>
        <v>468.47730983906138</v>
      </c>
      <c r="O650" s="26">
        <f t="shared" si="51"/>
        <v>538.03909220910384</v>
      </c>
    </row>
    <row r="651" spans="1:15" x14ac:dyDescent="0.35">
      <c r="A651" t="s">
        <v>64</v>
      </c>
      <c r="B651">
        <v>8</v>
      </c>
      <c r="C651" t="s">
        <v>63</v>
      </c>
      <c r="D651">
        <v>43</v>
      </c>
      <c r="E651">
        <v>86.085944999999995</v>
      </c>
      <c r="F651">
        <v>4.4873408008940503</v>
      </c>
      <c r="G651" t="s">
        <v>64</v>
      </c>
      <c r="H651">
        <v>8</v>
      </c>
      <c r="I651">
        <v>43</v>
      </c>
      <c r="J651">
        <v>2.5804711995001401</v>
      </c>
      <c r="K651" t="b">
        <f t="shared" si="52"/>
        <v>1</v>
      </c>
      <c r="L651">
        <f t="shared" si="53"/>
        <v>93.153757000394179</v>
      </c>
      <c r="M651">
        <f t="shared" si="54"/>
        <v>186.30751400078836</v>
      </c>
      <c r="N651">
        <f t="shared" si="50"/>
        <v>491.57655409178989</v>
      </c>
      <c r="O651" s="26">
        <f t="shared" si="51"/>
        <v>564.56822424481322</v>
      </c>
    </row>
    <row r="652" spans="1:15" x14ac:dyDescent="0.35">
      <c r="A652" t="s">
        <v>64</v>
      </c>
      <c r="B652">
        <v>8</v>
      </c>
      <c r="C652" t="s">
        <v>63</v>
      </c>
      <c r="D652">
        <v>44</v>
      </c>
      <c r="E652">
        <v>90.011295000000004</v>
      </c>
      <c r="F652">
        <v>4.8202874458672298</v>
      </c>
      <c r="G652" t="s">
        <v>64</v>
      </c>
      <c r="H652">
        <v>8</v>
      </c>
      <c r="I652">
        <v>44</v>
      </c>
      <c r="J652">
        <v>2.7105612525164302</v>
      </c>
      <c r="K652" t="b">
        <f t="shared" si="52"/>
        <v>1</v>
      </c>
      <c r="L652">
        <f t="shared" si="53"/>
        <v>97.542143698383668</v>
      </c>
      <c r="M652">
        <f t="shared" si="54"/>
        <v>195.08428739676734</v>
      </c>
      <c r="N652">
        <f t="shared" si="50"/>
        <v>514.73426753764466</v>
      </c>
      <c r="O652" s="26">
        <f t="shared" si="51"/>
        <v>591.16450726293135</v>
      </c>
    </row>
    <row r="653" spans="1:15" x14ac:dyDescent="0.35">
      <c r="A653" t="s">
        <v>64</v>
      </c>
      <c r="B653">
        <v>8</v>
      </c>
      <c r="C653" t="s">
        <v>63</v>
      </c>
      <c r="D653">
        <v>45</v>
      </c>
      <c r="E653">
        <v>93.761513999999906</v>
      </c>
      <c r="F653">
        <v>5.16272633729122</v>
      </c>
      <c r="G653" t="s">
        <v>64</v>
      </c>
      <c r="H653">
        <v>8</v>
      </c>
      <c r="I653">
        <v>45</v>
      </c>
      <c r="J653">
        <v>2.83893284353569</v>
      </c>
      <c r="K653" t="b">
        <f t="shared" si="52"/>
        <v>1</v>
      </c>
      <c r="L653">
        <f t="shared" si="53"/>
        <v>101.76317318082681</v>
      </c>
      <c r="M653">
        <f t="shared" si="54"/>
        <v>203.52634636165362</v>
      </c>
      <c r="N653">
        <f t="shared" si="50"/>
        <v>537.00882945027342</v>
      </c>
      <c r="O653" s="26">
        <f t="shared" si="51"/>
        <v>616.74650412622304</v>
      </c>
    </row>
    <row r="654" spans="1:15" x14ac:dyDescent="0.35">
      <c r="A654" t="s">
        <v>64</v>
      </c>
      <c r="B654">
        <v>8</v>
      </c>
      <c r="C654" t="s">
        <v>63</v>
      </c>
      <c r="D654">
        <v>46</v>
      </c>
      <c r="E654">
        <v>97.511732999999893</v>
      </c>
      <c r="F654">
        <v>5.5143727077724796</v>
      </c>
      <c r="G654" t="s">
        <v>64</v>
      </c>
      <c r="H654">
        <v>8</v>
      </c>
      <c r="I654">
        <v>46</v>
      </c>
      <c r="J654">
        <v>2.9662548442265302</v>
      </c>
      <c r="K654" t="b">
        <f t="shared" si="52"/>
        <v>1</v>
      </c>
      <c r="L654">
        <f t="shared" si="53"/>
        <v>105.9923605519989</v>
      </c>
      <c r="M654">
        <f t="shared" si="54"/>
        <v>211.9847211039978</v>
      </c>
      <c r="N654">
        <f t="shared" si="50"/>
        <v>559.32644090764586</v>
      </c>
      <c r="O654" s="26">
        <f t="shared" si="51"/>
        <v>642.37794273938721</v>
      </c>
    </row>
    <row r="655" spans="1:15" x14ac:dyDescent="0.35">
      <c r="A655" t="s">
        <v>64</v>
      </c>
      <c r="B655">
        <v>8</v>
      </c>
      <c r="C655" t="s">
        <v>63</v>
      </c>
      <c r="D655">
        <v>47</v>
      </c>
      <c r="E655">
        <v>101.26195199999999</v>
      </c>
      <c r="F655">
        <v>5.8749503329393002</v>
      </c>
      <c r="G655" t="s">
        <v>64</v>
      </c>
      <c r="H655">
        <v>8</v>
      </c>
      <c r="I655">
        <v>47</v>
      </c>
      <c r="J655">
        <v>3.0929234110696799</v>
      </c>
      <c r="K655" t="b">
        <f t="shared" si="52"/>
        <v>1</v>
      </c>
      <c r="L655">
        <f t="shared" si="53"/>
        <v>110.22982574400898</v>
      </c>
      <c r="M655">
        <f t="shared" si="54"/>
        <v>220.45965148801795</v>
      </c>
      <c r="N655">
        <f t="shared" si="50"/>
        <v>581.68773479688116</v>
      </c>
      <c r="O655" s="26">
        <f t="shared" si="51"/>
        <v>668.05954996369076</v>
      </c>
    </row>
    <row r="656" spans="1:15" x14ac:dyDescent="0.35">
      <c r="A656" t="s">
        <v>64</v>
      </c>
      <c r="B656">
        <v>8</v>
      </c>
      <c r="C656" t="s">
        <v>63</v>
      </c>
      <c r="D656">
        <v>48</v>
      </c>
      <c r="E656">
        <v>105.012171</v>
      </c>
      <c r="F656">
        <v>6.2441912751511204</v>
      </c>
      <c r="G656" t="s">
        <v>64</v>
      </c>
      <c r="H656">
        <v>8</v>
      </c>
      <c r="I656">
        <v>48</v>
      </c>
      <c r="J656">
        <v>3.2191761973792201</v>
      </c>
      <c r="K656" t="b">
        <f t="shared" si="52"/>
        <v>1</v>
      </c>
      <c r="L656">
        <f t="shared" si="53"/>
        <v>114.47553847253035</v>
      </c>
      <c r="M656">
        <f t="shared" si="54"/>
        <v>228.95107694506069</v>
      </c>
      <c r="N656">
        <f t="shared" si="50"/>
        <v>604.09255130622876</v>
      </c>
      <c r="O656" s="26">
        <f t="shared" si="51"/>
        <v>693.79114225775959</v>
      </c>
    </row>
    <row r="657" spans="1:15" x14ac:dyDescent="0.35">
      <c r="A657" t="s">
        <v>64</v>
      </c>
      <c r="B657">
        <v>8</v>
      </c>
      <c r="C657" t="s">
        <v>63</v>
      </c>
      <c r="D657">
        <v>49</v>
      </c>
      <c r="E657">
        <v>108.76239</v>
      </c>
      <c r="F657">
        <v>6.6218356348965903</v>
      </c>
      <c r="G657" t="s">
        <v>64</v>
      </c>
      <c r="H657">
        <v>8</v>
      </c>
      <c r="I657">
        <v>49</v>
      </c>
      <c r="J657">
        <v>3.3451580303369499</v>
      </c>
      <c r="K657" t="b">
        <f t="shared" si="52"/>
        <v>1</v>
      </c>
      <c r="L657">
        <f t="shared" si="53"/>
        <v>118.72938366523353</v>
      </c>
      <c r="M657">
        <f t="shared" si="54"/>
        <v>237.45876733046705</v>
      </c>
      <c r="N657">
        <f t="shared" si="50"/>
        <v>626.54028319384452</v>
      </c>
      <c r="O657" s="26">
        <f t="shared" si="51"/>
        <v>719.57202221353646</v>
      </c>
    </row>
    <row r="658" spans="1:15" x14ac:dyDescent="0.35">
      <c r="A658" t="s">
        <v>64</v>
      </c>
      <c r="B658">
        <v>8</v>
      </c>
      <c r="C658" t="s">
        <v>63</v>
      </c>
      <c r="D658">
        <v>50</v>
      </c>
      <c r="E658">
        <v>112.20462000000001</v>
      </c>
      <c r="F658">
        <v>7.0060314498496901</v>
      </c>
      <c r="G658" t="s">
        <v>64</v>
      </c>
      <c r="H658">
        <v>8</v>
      </c>
      <c r="I658">
        <v>50</v>
      </c>
      <c r="J658">
        <v>3.46747470018708</v>
      </c>
      <c r="K658" t="b">
        <f t="shared" si="52"/>
        <v>1</v>
      </c>
      <c r="L658">
        <f t="shared" si="53"/>
        <v>122.67812615003677</v>
      </c>
      <c r="M658">
        <f t="shared" si="54"/>
        <v>245.35625230007355</v>
      </c>
      <c r="N658">
        <f t="shared" si="50"/>
        <v>647.3779744065265</v>
      </c>
      <c r="O658" s="26">
        <f t="shared" si="51"/>
        <v>743.50379484870768</v>
      </c>
    </row>
    <row r="659" spans="1:15" x14ac:dyDescent="0.35">
      <c r="A659" t="s">
        <v>64</v>
      </c>
      <c r="B659">
        <v>8</v>
      </c>
      <c r="C659" t="s">
        <v>63</v>
      </c>
      <c r="D659">
        <v>51</v>
      </c>
      <c r="E659">
        <v>115.557360594969</v>
      </c>
      <c r="F659">
        <v>7.4747359633395103</v>
      </c>
      <c r="G659" t="s">
        <v>64</v>
      </c>
      <c r="H659">
        <v>8</v>
      </c>
      <c r="I659">
        <v>51</v>
      </c>
      <c r="J659">
        <v>3.58646397785916</v>
      </c>
      <c r="K659" t="b">
        <f t="shared" si="52"/>
        <v>1</v>
      </c>
      <c r="L659">
        <f t="shared" si="53"/>
        <v>126.61856053616766</v>
      </c>
      <c r="M659">
        <f t="shared" si="54"/>
        <v>253.23712107233533</v>
      </c>
      <c r="N659">
        <f t="shared" si="50"/>
        <v>668.17182340985573</v>
      </c>
      <c r="O659" s="26">
        <f t="shared" si="51"/>
        <v>767.38521537071313</v>
      </c>
    </row>
    <row r="660" spans="1:15" x14ac:dyDescent="0.35">
      <c r="A660" t="s">
        <v>64</v>
      </c>
      <c r="B660">
        <v>8</v>
      </c>
      <c r="C660" t="s">
        <v>63</v>
      </c>
      <c r="D660">
        <v>52</v>
      </c>
      <c r="E660">
        <v>118.770435542234</v>
      </c>
      <c r="F660">
        <v>8.0677511583064305</v>
      </c>
      <c r="G660" t="s">
        <v>64</v>
      </c>
      <c r="H660">
        <v>8</v>
      </c>
      <c r="I660">
        <v>52</v>
      </c>
      <c r="J660">
        <v>3.7017399095979102</v>
      </c>
      <c r="K660" t="b">
        <f t="shared" si="52"/>
        <v>1</v>
      </c>
      <c r="L660">
        <f t="shared" si="53"/>
        <v>130.53992661013834</v>
      </c>
      <c r="M660">
        <f t="shared" si="54"/>
        <v>261.07985322027668</v>
      </c>
      <c r="N660">
        <f t="shared" si="50"/>
        <v>688.86504807460858</v>
      </c>
      <c r="O660" s="26">
        <f t="shared" si="51"/>
        <v>791.15107036447478</v>
      </c>
    </row>
    <row r="661" spans="1:15" x14ac:dyDescent="0.35">
      <c r="A661" t="s">
        <v>64</v>
      </c>
      <c r="B661">
        <v>8</v>
      </c>
      <c r="C661" t="s">
        <v>63</v>
      </c>
      <c r="D661">
        <v>53</v>
      </c>
      <c r="E661">
        <v>121.894923428881</v>
      </c>
      <c r="F661">
        <v>8.7344744867515107</v>
      </c>
      <c r="G661" t="s">
        <v>64</v>
      </c>
      <c r="H661">
        <v>8</v>
      </c>
      <c r="I661">
        <v>53</v>
      </c>
      <c r="J661">
        <v>3.8136185869352501</v>
      </c>
      <c r="K661" t="b">
        <f t="shared" si="52"/>
        <v>1</v>
      </c>
      <c r="L661">
        <f t="shared" si="53"/>
        <v>134.44301650256779</v>
      </c>
      <c r="M661">
        <f t="shared" si="54"/>
        <v>268.88603300513557</v>
      </c>
      <c r="N661">
        <f t="shared" si="50"/>
        <v>709.46182850959258</v>
      </c>
      <c r="O661" s="26">
        <f t="shared" si="51"/>
        <v>814.80616062162289</v>
      </c>
    </row>
    <row r="662" spans="1:15" x14ac:dyDescent="0.35">
      <c r="A662" t="s">
        <v>64</v>
      </c>
      <c r="B662">
        <v>8</v>
      </c>
      <c r="C662" t="s">
        <v>63</v>
      </c>
      <c r="D662">
        <v>54</v>
      </c>
      <c r="E662">
        <v>124.95998707808801</v>
      </c>
      <c r="F662">
        <v>9.4458833439961492</v>
      </c>
      <c r="G662" t="s">
        <v>64</v>
      </c>
      <c r="H662">
        <v>8</v>
      </c>
      <c r="I662">
        <v>54</v>
      </c>
      <c r="J662">
        <v>3.9226114746076601</v>
      </c>
      <c r="K662" t="b">
        <f t="shared" si="52"/>
        <v>1</v>
      </c>
      <c r="L662">
        <f t="shared" si="53"/>
        <v>138.32848189669181</v>
      </c>
      <c r="M662">
        <f t="shared" si="54"/>
        <v>276.65696379338362</v>
      </c>
      <c r="N662">
        <f t="shared" si="50"/>
        <v>729.96560367647396</v>
      </c>
      <c r="O662" s="26">
        <f t="shared" si="51"/>
        <v>838.35443573752605</v>
      </c>
    </row>
    <row r="663" spans="1:15" x14ac:dyDescent="0.35">
      <c r="A663" t="s">
        <v>64</v>
      </c>
      <c r="B663">
        <v>8</v>
      </c>
      <c r="C663" t="s">
        <v>63</v>
      </c>
      <c r="D663">
        <v>55</v>
      </c>
      <c r="E663">
        <v>127.640066810147</v>
      </c>
      <c r="F663">
        <v>10.1499014623426</v>
      </c>
      <c r="G663" t="s">
        <v>64</v>
      </c>
      <c r="H663">
        <v>8</v>
      </c>
      <c r="I663">
        <v>55</v>
      </c>
      <c r="J663">
        <v>4.0253478192253498</v>
      </c>
      <c r="K663" t="b">
        <f t="shared" si="52"/>
        <v>1</v>
      </c>
      <c r="L663">
        <f t="shared" si="53"/>
        <v>141.81531609171495</v>
      </c>
      <c r="M663">
        <f t="shared" si="54"/>
        <v>283.6306321834299</v>
      </c>
      <c r="N663">
        <f t="shared" si="50"/>
        <v>748.36578412514484</v>
      </c>
      <c r="O663" s="26">
        <f t="shared" si="51"/>
        <v>859.48676419221181</v>
      </c>
    </row>
    <row r="664" spans="1:15" x14ac:dyDescent="0.35">
      <c r="A664" t="s">
        <v>64</v>
      </c>
      <c r="B664">
        <v>8</v>
      </c>
      <c r="C664" t="s">
        <v>63</v>
      </c>
      <c r="D664">
        <v>56</v>
      </c>
      <c r="E664">
        <v>130.31162403840301</v>
      </c>
      <c r="F664">
        <v>10.8503588522813</v>
      </c>
      <c r="G664" t="s">
        <v>64</v>
      </c>
      <c r="H664">
        <v>8</v>
      </c>
      <c r="I664">
        <v>56</v>
      </c>
      <c r="J664">
        <v>4.1239644513319904</v>
      </c>
      <c r="K664" t="b">
        <f t="shared" si="52"/>
        <v>1</v>
      </c>
      <c r="L664">
        <f t="shared" si="53"/>
        <v>145.2859473420163</v>
      </c>
      <c r="M664">
        <f t="shared" si="54"/>
        <v>290.5718946840326</v>
      </c>
      <c r="N664">
        <f t="shared" si="50"/>
        <v>766.68046090773771</v>
      </c>
      <c r="O664" s="26">
        <f t="shared" si="51"/>
        <v>880.52089298191697</v>
      </c>
    </row>
    <row r="665" spans="1:15" x14ac:dyDescent="0.35">
      <c r="A665" t="s">
        <v>64</v>
      </c>
      <c r="B665">
        <v>8</v>
      </c>
      <c r="C665" t="s">
        <v>63</v>
      </c>
      <c r="D665">
        <v>57</v>
      </c>
      <c r="E665">
        <v>132.972263322446</v>
      </c>
      <c r="F665">
        <v>11.549499924726099</v>
      </c>
      <c r="G665" t="s">
        <v>64</v>
      </c>
      <c r="H665">
        <v>8</v>
      </c>
      <c r="I665">
        <v>57</v>
      </c>
      <c r="J665">
        <v>4.2197456283132304</v>
      </c>
      <c r="K665" t="b">
        <f t="shared" si="52"/>
        <v>1</v>
      </c>
      <c r="L665">
        <f t="shared" si="53"/>
        <v>148.74150887548532</v>
      </c>
      <c r="M665">
        <f t="shared" si="54"/>
        <v>297.48301775097065</v>
      </c>
      <c r="N665">
        <f t="shared" si="50"/>
        <v>784.91561411865609</v>
      </c>
      <c r="O665" s="26">
        <f t="shared" si="51"/>
        <v>901.46369015445646</v>
      </c>
    </row>
    <row r="666" spans="1:15" x14ac:dyDescent="0.35">
      <c r="A666" t="s">
        <v>64</v>
      </c>
      <c r="B666">
        <v>8</v>
      </c>
      <c r="C666" t="s">
        <v>63</v>
      </c>
      <c r="D666">
        <v>58</v>
      </c>
      <c r="E666">
        <v>135.620529063936</v>
      </c>
      <c r="F666">
        <v>12.248636823707001</v>
      </c>
      <c r="G666" t="s">
        <v>64</v>
      </c>
      <c r="H666">
        <v>8</v>
      </c>
      <c r="I666">
        <v>58</v>
      </c>
      <c r="J666">
        <v>4.31347876729994</v>
      </c>
      <c r="K666" t="b">
        <f t="shared" si="52"/>
        <v>1</v>
      </c>
      <c r="L666">
        <f t="shared" si="53"/>
        <v>152.18264465494292</v>
      </c>
      <c r="M666">
        <f t="shared" si="54"/>
        <v>304.36528930988584</v>
      </c>
      <c r="N666">
        <f t="shared" si="50"/>
        <v>803.07464197859065</v>
      </c>
      <c r="O666" s="26">
        <f t="shared" si="51"/>
        <v>922.31905851480553</v>
      </c>
    </row>
    <row r="667" spans="1:15" x14ac:dyDescent="0.35">
      <c r="A667" t="s">
        <v>64</v>
      </c>
      <c r="B667">
        <v>8</v>
      </c>
      <c r="C667" t="s">
        <v>63</v>
      </c>
      <c r="D667">
        <v>59</v>
      </c>
      <c r="E667">
        <v>138.25551759729299</v>
      </c>
      <c r="F667">
        <v>12.9485333029695</v>
      </c>
      <c r="G667" t="s">
        <v>64</v>
      </c>
      <c r="H667">
        <v>8</v>
      </c>
      <c r="I667">
        <v>59</v>
      </c>
      <c r="J667">
        <v>4.4056579027659497</v>
      </c>
      <c r="K667" t="b">
        <f t="shared" si="52"/>
        <v>1</v>
      </c>
      <c r="L667">
        <f t="shared" si="53"/>
        <v>155.60970880302844</v>
      </c>
      <c r="M667">
        <f t="shared" si="54"/>
        <v>311.21941760605688</v>
      </c>
      <c r="N667">
        <f t="shared" si="50"/>
        <v>821.15941320859338</v>
      </c>
      <c r="O667" s="26">
        <f t="shared" si="51"/>
        <v>943.08914426077843</v>
      </c>
    </row>
    <row r="668" spans="1:15" x14ac:dyDescent="0.35">
      <c r="A668" t="s">
        <v>64</v>
      </c>
      <c r="B668">
        <v>8</v>
      </c>
      <c r="C668" t="s">
        <v>63</v>
      </c>
      <c r="D668">
        <v>60</v>
      </c>
      <c r="E668">
        <v>140.52486480278199</v>
      </c>
      <c r="F668">
        <v>13.6120026291198</v>
      </c>
      <c r="G668" t="s">
        <v>64</v>
      </c>
      <c r="H668">
        <v>8</v>
      </c>
      <c r="I668">
        <v>60</v>
      </c>
      <c r="J668">
        <v>4.4926213293718904</v>
      </c>
      <c r="K668" t="b">
        <f t="shared" si="52"/>
        <v>1</v>
      </c>
      <c r="L668">
        <f t="shared" si="53"/>
        <v>158.62948876127371</v>
      </c>
      <c r="M668">
        <f t="shared" si="54"/>
        <v>317.25897752254741</v>
      </c>
      <c r="N668">
        <f t="shared" si="50"/>
        <v>837.0949275001251</v>
      </c>
      <c r="O668" s="26">
        <f t="shared" si="51"/>
        <v>961.39084097741636</v>
      </c>
    </row>
    <row r="669" spans="1:15" x14ac:dyDescent="0.35">
      <c r="A669" t="s">
        <v>64</v>
      </c>
      <c r="B669">
        <v>8</v>
      </c>
      <c r="C669" t="s">
        <v>63</v>
      </c>
      <c r="D669">
        <v>61</v>
      </c>
      <c r="E669">
        <v>142.80553073665101</v>
      </c>
      <c r="F669">
        <v>14.2543616702207</v>
      </c>
      <c r="G669" t="s">
        <v>64</v>
      </c>
      <c r="H669">
        <v>8</v>
      </c>
      <c r="I669">
        <v>61</v>
      </c>
      <c r="J669">
        <v>4.5763451028656501</v>
      </c>
      <c r="K669" t="b">
        <f t="shared" si="52"/>
        <v>1</v>
      </c>
      <c r="L669">
        <f t="shared" si="53"/>
        <v>161.63623750973736</v>
      </c>
      <c r="M669">
        <f t="shared" si="54"/>
        <v>323.27247501947471</v>
      </c>
      <c r="N669">
        <f t="shared" si="50"/>
        <v>852.9616755131259</v>
      </c>
      <c r="O669" s="26">
        <f t="shared" si="51"/>
        <v>979.61356066507483</v>
      </c>
    </row>
    <row r="670" spans="1:15" x14ac:dyDescent="0.35">
      <c r="A670" t="s">
        <v>64</v>
      </c>
      <c r="B670">
        <v>8</v>
      </c>
      <c r="C670" t="s">
        <v>63</v>
      </c>
      <c r="D670">
        <v>62</v>
      </c>
      <c r="E670">
        <v>145.088448460009</v>
      </c>
      <c r="F670">
        <v>14.8845023033467</v>
      </c>
      <c r="G670" t="s">
        <v>64</v>
      </c>
      <c r="H670">
        <v>8</v>
      </c>
      <c r="I670">
        <v>62</v>
      </c>
      <c r="J670">
        <v>4.6579461452595101</v>
      </c>
      <c r="K670" t="b">
        <f t="shared" si="52"/>
        <v>1</v>
      </c>
      <c r="L670">
        <f t="shared" si="53"/>
        <v>164.6308969086152</v>
      </c>
      <c r="M670">
        <f t="shared" si="54"/>
        <v>329.2617938172304</v>
      </c>
      <c r="N670">
        <f t="shared" si="50"/>
        <v>868.76462748609606</v>
      </c>
      <c r="O670" s="26">
        <f t="shared" si="51"/>
        <v>997.76301156736474</v>
      </c>
    </row>
    <row r="671" spans="1:15" x14ac:dyDescent="0.35">
      <c r="A671" t="s">
        <v>64</v>
      </c>
      <c r="B671">
        <v>8</v>
      </c>
      <c r="C671" t="s">
        <v>63</v>
      </c>
      <c r="D671">
        <v>63</v>
      </c>
      <c r="E671">
        <v>147.36834257114</v>
      </c>
      <c r="F671">
        <v>15.507574275282201</v>
      </c>
      <c r="G671" t="s">
        <v>64</v>
      </c>
      <c r="H671">
        <v>8</v>
      </c>
      <c r="I671">
        <v>63</v>
      </c>
      <c r="J671">
        <v>4.7380686051909002</v>
      </c>
      <c r="K671" t="b">
        <f t="shared" si="52"/>
        <v>1</v>
      </c>
      <c r="L671">
        <f t="shared" si="53"/>
        <v>167.6139854516131</v>
      </c>
      <c r="M671">
        <f t="shared" si="54"/>
        <v>335.22797090322621</v>
      </c>
      <c r="N671">
        <f t="shared" si="50"/>
        <v>884.5065195335784</v>
      </c>
      <c r="O671" s="26">
        <f t="shared" si="51"/>
        <v>1015.8423360703824</v>
      </c>
    </row>
    <row r="672" spans="1:15" x14ac:dyDescent="0.35">
      <c r="A672" t="s">
        <v>64</v>
      </c>
      <c r="B672">
        <v>8</v>
      </c>
      <c r="C672" t="s">
        <v>63</v>
      </c>
      <c r="D672">
        <v>64</v>
      </c>
      <c r="E672">
        <v>149.64213807932501</v>
      </c>
      <c r="F672">
        <v>16.1265556358479</v>
      </c>
      <c r="G672" t="s">
        <v>64</v>
      </c>
      <c r="H672">
        <v>8</v>
      </c>
      <c r="I672">
        <v>64</v>
      </c>
      <c r="J672">
        <v>4.8170940460733798</v>
      </c>
      <c r="K672" t="b">
        <f t="shared" si="52"/>
        <v>1</v>
      </c>
      <c r="L672">
        <f t="shared" si="53"/>
        <v>170.58578776124628</v>
      </c>
      <c r="M672">
        <f t="shared" si="54"/>
        <v>341.17157552249256</v>
      </c>
      <c r="N672">
        <f t="shared" si="50"/>
        <v>900.18885362135234</v>
      </c>
      <c r="O672" s="26">
        <f t="shared" si="51"/>
        <v>1033.8532591590683</v>
      </c>
    </row>
    <row r="673" spans="1:15" x14ac:dyDescent="0.35">
      <c r="A673" t="s">
        <v>64</v>
      </c>
      <c r="B673">
        <v>8</v>
      </c>
      <c r="C673" t="s">
        <v>63</v>
      </c>
      <c r="D673">
        <v>65</v>
      </c>
      <c r="E673">
        <v>151.56358011475299</v>
      </c>
      <c r="F673">
        <v>16.709747863549101</v>
      </c>
      <c r="G673" t="s">
        <v>64</v>
      </c>
      <c r="H673">
        <v>8</v>
      </c>
      <c r="I673">
        <v>65</v>
      </c>
      <c r="J673">
        <v>4.8913594059823096</v>
      </c>
      <c r="K673" t="b">
        <f t="shared" si="52"/>
        <v>1</v>
      </c>
      <c r="L673">
        <f t="shared" si="53"/>
        <v>173.16468738428441</v>
      </c>
      <c r="M673">
        <f t="shared" si="54"/>
        <v>346.32937476856881</v>
      </c>
      <c r="N673">
        <f t="shared" si="50"/>
        <v>913.797822608361</v>
      </c>
      <c r="O673" s="26">
        <f t="shared" si="51"/>
        <v>1049.4829538441479</v>
      </c>
    </row>
    <row r="674" spans="1:15" x14ac:dyDescent="0.35">
      <c r="A674" t="s">
        <v>64</v>
      </c>
      <c r="B674">
        <v>8</v>
      </c>
      <c r="C674" t="s">
        <v>63</v>
      </c>
      <c r="D674">
        <v>66</v>
      </c>
      <c r="E674">
        <v>153.498148022674</v>
      </c>
      <c r="F674">
        <v>17.271893947181901</v>
      </c>
      <c r="G674" t="s">
        <v>64</v>
      </c>
      <c r="H674">
        <v>8</v>
      </c>
      <c r="I674">
        <v>66</v>
      </c>
      <c r="J674">
        <v>4.9627091691951701</v>
      </c>
      <c r="K674" t="b">
        <f t="shared" si="52"/>
        <v>1</v>
      </c>
      <c r="L674">
        <f t="shared" si="53"/>
        <v>175.73275113905106</v>
      </c>
      <c r="M674">
        <f t="shared" si="54"/>
        <v>351.46550227810212</v>
      </c>
      <c r="N674">
        <f t="shared" si="50"/>
        <v>927.34961023245944</v>
      </c>
      <c r="O674" s="26">
        <f t="shared" si="51"/>
        <v>1065.0469766003093</v>
      </c>
    </row>
    <row r="675" spans="1:15" x14ac:dyDescent="0.35">
      <c r="A675" t="s">
        <v>64</v>
      </c>
      <c r="B675">
        <v>8</v>
      </c>
      <c r="C675" t="s">
        <v>63</v>
      </c>
      <c r="D675">
        <v>67</v>
      </c>
      <c r="E675">
        <v>155.43720357663301</v>
      </c>
      <c r="F675">
        <v>17.821488170027699</v>
      </c>
      <c r="G675" t="s">
        <v>64</v>
      </c>
      <c r="H675">
        <v>8</v>
      </c>
      <c r="I675">
        <v>67</v>
      </c>
      <c r="J675">
        <v>5.0321817478845903</v>
      </c>
      <c r="K675" t="b">
        <f t="shared" si="52"/>
        <v>1</v>
      </c>
      <c r="L675">
        <f t="shared" si="53"/>
        <v>178.29087349454528</v>
      </c>
      <c r="M675">
        <f t="shared" si="54"/>
        <v>356.58174698909056</v>
      </c>
      <c r="N675">
        <f t="shared" si="50"/>
        <v>940.84893664667698</v>
      </c>
      <c r="O675" s="26">
        <f t="shared" si="51"/>
        <v>1080.5507484517896</v>
      </c>
    </row>
    <row r="676" spans="1:15" x14ac:dyDescent="0.35">
      <c r="A676" t="s">
        <v>64</v>
      </c>
      <c r="B676">
        <v>8</v>
      </c>
      <c r="C676" t="s">
        <v>63</v>
      </c>
      <c r="D676">
        <v>68</v>
      </c>
      <c r="E676">
        <v>157.37576769061101</v>
      </c>
      <c r="F676">
        <v>18.3634188608061</v>
      </c>
      <c r="G676" t="s">
        <v>64</v>
      </c>
      <c r="H676">
        <v>8</v>
      </c>
      <c r="I676">
        <v>68</v>
      </c>
      <c r="J676">
        <v>5.10037361967923</v>
      </c>
      <c r="K676" t="b">
        <f t="shared" si="52"/>
        <v>1</v>
      </c>
      <c r="L676">
        <f t="shared" si="53"/>
        <v>180.83956017109634</v>
      </c>
      <c r="M676">
        <f t="shared" si="54"/>
        <v>361.67912034219268</v>
      </c>
      <c r="N676">
        <f t="shared" si="50"/>
        <v>954.29847055987511</v>
      </c>
      <c r="O676" s="26">
        <f t="shared" si="51"/>
        <v>1095.9973343702809</v>
      </c>
    </row>
    <row r="677" spans="1:15" x14ac:dyDescent="0.35">
      <c r="A677" t="s">
        <v>64</v>
      </c>
      <c r="B677">
        <v>8</v>
      </c>
      <c r="C677" t="s">
        <v>63</v>
      </c>
      <c r="D677">
        <v>69</v>
      </c>
      <c r="E677">
        <v>159.31096785307801</v>
      </c>
      <c r="F677">
        <v>18.900498556771499</v>
      </c>
      <c r="G677" t="s">
        <v>64</v>
      </c>
      <c r="H677">
        <v>8</v>
      </c>
      <c r="I677">
        <v>69</v>
      </c>
      <c r="J677">
        <v>5.1676367527767404</v>
      </c>
      <c r="K677" t="b">
        <f t="shared" si="52"/>
        <v>1</v>
      </c>
      <c r="L677">
        <f t="shared" si="53"/>
        <v>183.37910316262625</v>
      </c>
      <c r="M677">
        <f t="shared" si="54"/>
        <v>366.7582063252525</v>
      </c>
      <c r="N677">
        <f t="shared" si="50"/>
        <v>967.69975283707788</v>
      </c>
      <c r="O677" s="26">
        <f t="shared" si="51"/>
        <v>1111.3885040159166</v>
      </c>
    </row>
    <row r="678" spans="1:15" x14ac:dyDescent="0.35">
      <c r="A678" t="s">
        <v>64</v>
      </c>
      <c r="B678">
        <v>8</v>
      </c>
      <c r="C678" t="s">
        <v>63</v>
      </c>
      <c r="D678">
        <v>70</v>
      </c>
      <c r="E678">
        <v>160.98349405862999</v>
      </c>
      <c r="F678">
        <v>19.404698939429601</v>
      </c>
      <c r="G678" t="s">
        <v>64</v>
      </c>
      <c r="H678">
        <v>8</v>
      </c>
      <c r="I678">
        <v>70</v>
      </c>
      <c r="J678">
        <v>5.2312712322462698</v>
      </c>
      <c r="K678" t="b">
        <f t="shared" si="52"/>
        <v>1</v>
      </c>
      <c r="L678">
        <f t="shared" si="53"/>
        <v>185.61946423030585</v>
      </c>
      <c r="M678">
        <f t="shared" si="54"/>
        <v>371.2389284606117</v>
      </c>
      <c r="N678">
        <f t="shared" si="50"/>
        <v>979.52223868235274</v>
      </c>
      <c r="O678" s="26">
        <f t="shared" si="51"/>
        <v>1124.9664498806414</v>
      </c>
    </row>
    <row r="679" spans="1:15" x14ac:dyDescent="0.35">
      <c r="A679" t="s">
        <v>64</v>
      </c>
      <c r="B679">
        <v>8</v>
      </c>
      <c r="C679" t="s">
        <v>63</v>
      </c>
      <c r="D679">
        <v>71</v>
      </c>
      <c r="E679">
        <v>162.66943336031699</v>
      </c>
      <c r="F679">
        <v>19.8895723640026</v>
      </c>
      <c r="G679" t="s">
        <v>64</v>
      </c>
      <c r="H679">
        <v>8</v>
      </c>
      <c r="I679">
        <v>71</v>
      </c>
      <c r="J679">
        <v>5.2927144099296797</v>
      </c>
      <c r="K679" t="b">
        <f t="shared" si="52"/>
        <v>1</v>
      </c>
      <c r="L679">
        <f t="shared" si="53"/>
        <v>187.85172013424926</v>
      </c>
      <c r="M679">
        <f t="shared" si="54"/>
        <v>375.70344026849853</v>
      </c>
      <c r="N679">
        <f t="shared" si="50"/>
        <v>991.30195321503572</v>
      </c>
      <c r="O679" s="26">
        <f t="shared" si="51"/>
        <v>1138.4952735409045</v>
      </c>
    </row>
    <row r="680" spans="1:15" x14ac:dyDescent="0.35">
      <c r="A680" t="s">
        <v>64</v>
      </c>
      <c r="B680">
        <v>8</v>
      </c>
      <c r="C680" t="s">
        <v>63</v>
      </c>
      <c r="D680">
        <v>72</v>
      </c>
      <c r="E680">
        <v>164.3608816272</v>
      </c>
      <c r="F680">
        <v>20.362881295733501</v>
      </c>
      <c r="G680" t="s">
        <v>64</v>
      </c>
      <c r="H680">
        <v>8</v>
      </c>
      <c r="I680">
        <v>72</v>
      </c>
      <c r="J680">
        <v>5.3527646652205298</v>
      </c>
      <c r="K680" t="b">
        <f t="shared" si="52"/>
        <v>1</v>
      </c>
      <c r="L680">
        <f t="shared" si="53"/>
        <v>190.07652758815402</v>
      </c>
      <c r="M680">
        <f t="shared" si="54"/>
        <v>380.15305517630804</v>
      </c>
      <c r="N680">
        <f t="shared" si="50"/>
        <v>1003.0423619427653</v>
      </c>
      <c r="O680" s="26">
        <f t="shared" si="51"/>
        <v>1151.9789550797213</v>
      </c>
    </row>
    <row r="681" spans="1:15" x14ac:dyDescent="0.35">
      <c r="A681" t="s">
        <v>64</v>
      </c>
      <c r="B681">
        <v>8</v>
      </c>
      <c r="C681" t="s">
        <v>63</v>
      </c>
      <c r="D681">
        <v>73</v>
      </c>
      <c r="E681">
        <v>166.053308982348</v>
      </c>
      <c r="F681">
        <v>20.829067169913198</v>
      </c>
      <c r="G681" t="s">
        <v>64</v>
      </c>
      <c r="H681">
        <v>8</v>
      </c>
      <c r="I681">
        <v>73</v>
      </c>
      <c r="J681">
        <v>5.41187441303504</v>
      </c>
      <c r="K681" t="b">
        <f t="shared" si="52"/>
        <v>1</v>
      </c>
      <c r="L681">
        <f t="shared" si="53"/>
        <v>192.29425056529624</v>
      </c>
      <c r="M681">
        <f t="shared" si="54"/>
        <v>384.58850113059248</v>
      </c>
      <c r="N681">
        <f t="shared" si="50"/>
        <v>1014.7453855688456</v>
      </c>
      <c r="O681" s="26">
        <f t="shared" si="51"/>
        <v>1165.4197003957347</v>
      </c>
    </row>
    <row r="682" spans="1:15" x14ac:dyDescent="0.35">
      <c r="A682" t="s">
        <v>64</v>
      </c>
      <c r="B682">
        <v>8</v>
      </c>
      <c r="C682" t="s">
        <v>63</v>
      </c>
      <c r="D682">
        <v>74</v>
      </c>
      <c r="E682">
        <v>167.744118094604</v>
      </c>
      <c r="F682">
        <v>21.290669960812899</v>
      </c>
      <c r="G682" t="s">
        <v>64</v>
      </c>
      <c r="H682">
        <v>8</v>
      </c>
      <c r="I682">
        <v>74</v>
      </c>
      <c r="J682">
        <v>5.4703072364526504</v>
      </c>
      <c r="K682" t="b">
        <f t="shared" si="52"/>
        <v>1</v>
      </c>
      <c r="L682">
        <f t="shared" si="53"/>
        <v>194.50509529186954</v>
      </c>
      <c r="M682">
        <f t="shared" si="54"/>
        <v>389.01019058373907</v>
      </c>
      <c r="N682">
        <f t="shared" si="50"/>
        <v>1026.4121123581506</v>
      </c>
      <c r="O682" s="26">
        <f t="shared" si="51"/>
        <v>1178.8187593446637</v>
      </c>
    </row>
    <row r="683" spans="1:15" x14ac:dyDescent="0.35">
      <c r="A683" t="s">
        <v>64</v>
      </c>
      <c r="B683">
        <v>8</v>
      </c>
      <c r="C683" t="s">
        <v>63</v>
      </c>
      <c r="D683">
        <v>75</v>
      </c>
      <c r="E683">
        <v>169.246248933229</v>
      </c>
      <c r="F683">
        <v>21.730820682609</v>
      </c>
      <c r="G683" t="s">
        <v>64</v>
      </c>
      <c r="H683">
        <v>8</v>
      </c>
      <c r="I683">
        <v>75</v>
      </c>
      <c r="J683">
        <v>5.5261229997374297</v>
      </c>
      <c r="K683" t="b">
        <f t="shared" si="52"/>
        <v>1</v>
      </c>
      <c r="L683">
        <f t="shared" si="53"/>
        <v>196.50319261557541</v>
      </c>
      <c r="M683">
        <f t="shared" si="54"/>
        <v>393.00638523115083</v>
      </c>
      <c r="N683">
        <f t="shared" si="50"/>
        <v>1036.9561615597647</v>
      </c>
      <c r="O683" s="26">
        <f t="shared" si="51"/>
        <v>1190.9284400943964</v>
      </c>
    </row>
    <row r="684" spans="1:15" x14ac:dyDescent="0.35">
      <c r="A684" t="s">
        <v>64</v>
      </c>
      <c r="B684">
        <v>8</v>
      </c>
      <c r="C684" t="s">
        <v>63</v>
      </c>
      <c r="D684">
        <v>76</v>
      </c>
      <c r="E684">
        <v>170.756180313199</v>
      </c>
      <c r="F684">
        <v>22.1582034474478</v>
      </c>
      <c r="G684" t="s">
        <v>64</v>
      </c>
      <c r="H684">
        <v>8</v>
      </c>
      <c r="I684">
        <v>76</v>
      </c>
      <c r="J684">
        <v>5.5803340590363799</v>
      </c>
      <c r="K684" t="b">
        <f t="shared" si="52"/>
        <v>1</v>
      </c>
      <c r="L684">
        <f t="shared" si="53"/>
        <v>198.49471781968316</v>
      </c>
      <c r="M684">
        <f t="shared" si="54"/>
        <v>396.98943563936632</v>
      </c>
      <c r="N684">
        <f t="shared" si="50"/>
        <v>1047.465529391468</v>
      </c>
      <c r="O684" s="26">
        <f t="shared" si="51"/>
        <v>1202.9982898162616</v>
      </c>
    </row>
    <row r="685" spans="1:15" x14ac:dyDescent="0.35">
      <c r="A685" t="s">
        <v>64</v>
      </c>
      <c r="B685">
        <v>8</v>
      </c>
      <c r="C685" t="s">
        <v>63</v>
      </c>
      <c r="D685">
        <v>77</v>
      </c>
      <c r="E685">
        <v>172.26885860744301</v>
      </c>
      <c r="F685">
        <v>22.577771010609599</v>
      </c>
      <c r="G685" t="s">
        <v>64</v>
      </c>
      <c r="H685">
        <v>8</v>
      </c>
      <c r="I685">
        <v>77</v>
      </c>
      <c r="J685">
        <v>5.6335091350229396</v>
      </c>
      <c r="K685" t="b">
        <f t="shared" si="52"/>
        <v>1</v>
      </c>
      <c r="L685">
        <f t="shared" si="53"/>
        <v>200.48013875307555</v>
      </c>
      <c r="M685">
        <f t="shared" si="54"/>
        <v>400.9602775061511</v>
      </c>
      <c r="N685">
        <f t="shared" si="50"/>
        <v>1057.9426847127997</v>
      </c>
      <c r="O685" s="26">
        <f t="shared" si="51"/>
        <v>1215.0311439580337</v>
      </c>
    </row>
    <row r="686" spans="1:15" x14ac:dyDescent="0.35">
      <c r="A686" t="s">
        <v>64</v>
      </c>
      <c r="B686">
        <v>8</v>
      </c>
      <c r="C686" t="s">
        <v>63</v>
      </c>
      <c r="D686">
        <v>78</v>
      </c>
      <c r="E686">
        <v>173.78139694736601</v>
      </c>
      <c r="F686">
        <v>22.992345813719101</v>
      </c>
      <c r="G686" t="s">
        <v>64</v>
      </c>
      <c r="H686">
        <v>8</v>
      </c>
      <c r="I686">
        <v>78</v>
      </c>
      <c r="J686">
        <v>5.6859747658645103</v>
      </c>
      <c r="K686" t="b">
        <f t="shared" si="52"/>
        <v>1</v>
      </c>
      <c r="L686">
        <f t="shared" si="53"/>
        <v>202.45971752694962</v>
      </c>
      <c r="M686">
        <f t="shared" si="54"/>
        <v>404.91943505389924</v>
      </c>
      <c r="N686">
        <f t="shared" si="50"/>
        <v>1068.389010696304</v>
      </c>
      <c r="O686" s="26">
        <f t="shared" si="51"/>
        <v>1227.0285910724219</v>
      </c>
    </row>
    <row r="687" spans="1:15" x14ac:dyDescent="0.35">
      <c r="A687" t="s">
        <v>64</v>
      </c>
      <c r="B687">
        <v>8</v>
      </c>
      <c r="C687" t="s">
        <v>63</v>
      </c>
      <c r="D687">
        <v>79</v>
      </c>
      <c r="E687">
        <v>175.29214483379999</v>
      </c>
      <c r="F687">
        <v>23.403535446785401</v>
      </c>
      <c r="G687" t="s">
        <v>64</v>
      </c>
      <c r="H687">
        <v>8</v>
      </c>
      <c r="I687">
        <v>79</v>
      </c>
      <c r="J687">
        <v>5.7379239535958702</v>
      </c>
      <c r="K687" t="b">
        <f t="shared" si="52"/>
        <v>1</v>
      </c>
      <c r="L687">
        <f t="shared" si="53"/>
        <v>204.43360423418127</v>
      </c>
      <c r="M687">
        <f t="shared" si="54"/>
        <v>408.86720846836255</v>
      </c>
      <c r="N687">
        <f t="shared" si="50"/>
        <v>1078.8052993888193</v>
      </c>
      <c r="O687" s="26">
        <f t="shared" si="51"/>
        <v>1238.9915408132199</v>
      </c>
    </row>
    <row r="688" spans="1:15" x14ac:dyDescent="0.35">
      <c r="A688" t="s">
        <v>64</v>
      </c>
      <c r="B688">
        <v>8</v>
      </c>
      <c r="C688" t="s">
        <v>63</v>
      </c>
      <c r="D688">
        <v>80</v>
      </c>
      <c r="E688">
        <v>176.625575820552</v>
      </c>
      <c r="F688">
        <v>23.820153755171098</v>
      </c>
      <c r="G688" t="s">
        <v>64</v>
      </c>
      <c r="H688">
        <v>8</v>
      </c>
      <c r="I688">
        <v>80</v>
      </c>
      <c r="J688">
        <v>5.7874999629960104</v>
      </c>
      <c r="K688" t="b">
        <f t="shared" si="52"/>
        <v>1</v>
      </c>
      <c r="L688">
        <f t="shared" si="53"/>
        <v>206.23322953871912</v>
      </c>
      <c r="M688">
        <f t="shared" si="54"/>
        <v>412.46645907743823</v>
      </c>
      <c r="N688">
        <f t="shared" si="50"/>
        <v>1088.302002842845</v>
      </c>
      <c r="O688" s="26">
        <f t="shared" si="51"/>
        <v>1249.8983608407218</v>
      </c>
    </row>
    <row r="689" spans="1:15" x14ac:dyDescent="0.35">
      <c r="A689" t="s">
        <v>64</v>
      </c>
      <c r="B689">
        <v>8</v>
      </c>
      <c r="C689" t="s">
        <v>63</v>
      </c>
      <c r="D689">
        <v>81</v>
      </c>
      <c r="E689">
        <v>177.93430574281001</v>
      </c>
      <c r="F689">
        <v>24.214635093406201</v>
      </c>
      <c r="G689" t="s">
        <v>64</v>
      </c>
      <c r="H689">
        <v>8</v>
      </c>
      <c r="I689">
        <v>81</v>
      </c>
      <c r="J689">
        <v>5.8352688165468498</v>
      </c>
      <c r="K689" t="b">
        <f t="shared" si="52"/>
        <v>1</v>
      </c>
      <c r="L689">
        <f t="shared" si="53"/>
        <v>207.98420965276307</v>
      </c>
      <c r="M689">
        <f t="shared" si="54"/>
        <v>415.96841930552614</v>
      </c>
      <c r="N689">
        <f t="shared" si="50"/>
        <v>1097.5420034446599</v>
      </c>
      <c r="O689" s="26">
        <f t="shared" si="51"/>
        <v>1260.5103615318974</v>
      </c>
    </row>
    <row r="690" spans="1:15" x14ac:dyDescent="0.35">
      <c r="A690" t="s">
        <v>64</v>
      </c>
      <c r="B690">
        <v>8</v>
      </c>
      <c r="C690" t="s">
        <v>63</v>
      </c>
      <c r="D690">
        <v>82</v>
      </c>
      <c r="E690">
        <v>179.21425322531201</v>
      </c>
      <c r="F690">
        <v>24.592300245144799</v>
      </c>
      <c r="G690" t="s">
        <v>64</v>
      </c>
      <c r="H690">
        <v>8</v>
      </c>
      <c r="I690">
        <v>82</v>
      </c>
      <c r="J690">
        <v>5.8815284563498196</v>
      </c>
      <c r="K690" t="b">
        <f t="shared" si="52"/>
        <v>1</v>
      </c>
      <c r="L690">
        <f t="shared" si="53"/>
        <v>209.68808192680663</v>
      </c>
      <c r="M690">
        <f t="shared" si="54"/>
        <v>419.37616385361326</v>
      </c>
      <c r="N690">
        <f t="shared" si="50"/>
        <v>1106.5334138617764</v>
      </c>
      <c r="O690" s="26">
        <f t="shared" si="51"/>
        <v>1270.8368601624643</v>
      </c>
    </row>
    <row r="691" spans="1:15" x14ac:dyDescent="0.35">
      <c r="A691" t="s">
        <v>64</v>
      </c>
      <c r="B691">
        <v>8</v>
      </c>
      <c r="C691" t="s">
        <v>63</v>
      </c>
      <c r="D691">
        <v>83</v>
      </c>
      <c r="E691">
        <v>180.46351700560899</v>
      </c>
      <c r="F691">
        <v>24.956288585018601</v>
      </c>
      <c r="G691" t="s">
        <v>64</v>
      </c>
      <c r="H691">
        <v>8</v>
      </c>
      <c r="I691">
        <v>83</v>
      </c>
      <c r="J691">
        <v>5.9264414101541298</v>
      </c>
      <c r="K691" t="b">
        <f t="shared" si="52"/>
        <v>1</v>
      </c>
      <c r="L691">
        <f t="shared" si="53"/>
        <v>211.34624700078172</v>
      </c>
      <c r="M691">
        <f t="shared" si="54"/>
        <v>422.69249400156343</v>
      </c>
      <c r="N691">
        <f t="shared" si="50"/>
        <v>1115.2836253339403</v>
      </c>
      <c r="O691" s="26">
        <f t="shared" si="51"/>
        <v>1280.8863454592831</v>
      </c>
    </row>
    <row r="692" spans="1:15" x14ac:dyDescent="0.35">
      <c r="A692" t="s">
        <v>64</v>
      </c>
      <c r="B692">
        <v>8</v>
      </c>
      <c r="C692" t="s">
        <v>63</v>
      </c>
      <c r="D692">
        <v>84</v>
      </c>
      <c r="E692">
        <v>181.681424140562</v>
      </c>
      <c r="F692">
        <v>25.3084953747932</v>
      </c>
      <c r="G692" t="s">
        <v>64</v>
      </c>
      <c r="H692">
        <v>8</v>
      </c>
      <c r="I692">
        <v>84</v>
      </c>
      <c r="J692">
        <v>5.9701026084783004</v>
      </c>
      <c r="K692" t="b">
        <f t="shared" si="52"/>
        <v>1</v>
      </c>
      <c r="L692">
        <f t="shared" si="53"/>
        <v>212.96002212383351</v>
      </c>
      <c r="M692">
        <f t="shared" si="54"/>
        <v>425.92004424766702</v>
      </c>
      <c r="N692">
        <f t="shared" si="50"/>
        <v>1123.7995890439763</v>
      </c>
      <c r="O692" s="26">
        <f t="shared" si="51"/>
        <v>1290.6668007505061</v>
      </c>
    </row>
    <row r="693" spans="1:15" x14ac:dyDescent="0.35">
      <c r="A693" t="s">
        <v>64</v>
      </c>
      <c r="B693">
        <v>8</v>
      </c>
      <c r="C693" t="s">
        <v>63</v>
      </c>
      <c r="D693">
        <v>85</v>
      </c>
      <c r="E693">
        <v>182.867987635059</v>
      </c>
      <c r="F693">
        <v>25.650106171930599</v>
      </c>
      <c r="G693" t="s">
        <v>64</v>
      </c>
      <c r="H693">
        <v>8</v>
      </c>
      <c r="I693">
        <v>85</v>
      </c>
      <c r="J693">
        <v>6.0125736274666099</v>
      </c>
      <c r="K693" t="b">
        <f t="shared" si="52"/>
        <v>1</v>
      </c>
      <c r="L693">
        <f t="shared" si="53"/>
        <v>214.53066743445621</v>
      </c>
      <c r="M693">
        <f t="shared" si="54"/>
        <v>429.06133486891241</v>
      </c>
      <c r="N693">
        <f t="shared" si="50"/>
        <v>1132.0879547992413</v>
      </c>
      <c r="O693" s="26">
        <f t="shared" si="51"/>
        <v>1300.1858632391284</v>
      </c>
    </row>
    <row r="694" spans="1:15" x14ac:dyDescent="0.35">
      <c r="A694" t="s">
        <v>64</v>
      </c>
      <c r="B694">
        <v>8</v>
      </c>
      <c r="C694" t="s">
        <v>63</v>
      </c>
      <c r="D694">
        <v>86</v>
      </c>
      <c r="E694">
        <v>184.012411071504</v>
      </c>
      <c r="F694">
        <v>25.981901146134302</v>
      </c>
      <c r="G694" t="s">
        <v>64</v>
      </c>
      <c r="H694">
        <v>8</v>
      </c>
      <c r="I694">
        <v>86</v>
      </c>
      <c r="J694">
        <v>6.0538997219868698</v>
      </c>
      <c r="K694" t="b">
        <f t="shared" si="52"/>
        <v>1</v>
      </c>
      <c r="L694">
        <f t="shared" si="53"/>
        <v>216.04821193962519</v>
      </c>
      <c r="M694">
        <f t="shared" si="54"/>
        <v>432.09642387925038</v>
      </c>
      <c r="N694">
        <f t="shared" si="50"/>
        <v>1140.0961052222965</v>
      </c>
      <c r="O694" s="26">
        <f t="shared" si="51"/>
        <v>1309.383102664395</v>
      </c>
    </row>
    <row r="695" spans="1:15" x14ac:dyDescent="0.35">
      <c r="A695" t="s">
        <v>64</v>
      </c>
      <c r="B695">
        <v>8</v>
      </c>
      <c r="C695" t="s">
        <v>63</v>
      </c>
      <c r="D695">
        <v>87</v>
      </c>
      <c r="E695">
        <v>185.12536311205</v>
      </c>
      <c r="F695">
        <v>26.304428188798099</v>
      </c>
      <c r="G695" t="s">
        <v>64</v>
      </c>
      <c r="H695">
        <v>8</v>
      </c>
      <c r="I695">
        <v>87</v>
      </c>
      <c r="J695">
        <v>6.09411814241607</v>
      </c>
      <c r="K695" t="b">
        <f t="shared" si="52"/>
        <v>1</v>
      </c>
      <c r="L695">
        <f t="shared" si="53"/>
        <v>217.52390944326416</v>
      </c>
      <c r="M695">
        <f t="shared" si="54"/>
        <v>435.04781888652832</v>
      </c>
      <c r="N695">
        <f t="shared" si="50"/>
        <v>1147.8834271412356</v>
      </c>
      <c r="O695" s="26">
        <f t="shared" si="51"/>
        <v>1318.3267238985707</v>
      </c>
    </row>
    <row r="696" spans="1:15" x14ac:dyDescent="0.35">
      <c r="A696" t="s">
        <v>64</v>
      </c>
      <c r="B696">
        <v>8</v>
      </c>
      <c r="C696" t="s">
        <v>63</v>
      </c>
      <c r="D696">
        <v>88</v>
      </c>
      <c r="E696">
        <v>186.20897480007301</v>
      </c>
      <c r="F696">
        <v>26.6181012868329</v>
      </c>
      <c r="G696" t="s">
        <v>64</v>
      </c>
      <c r="H696">
        <v>8</v>
      </c>
      <c r="I696">
        <v>88</v>
      </c>
      <c r="J696">
        <v>6.1332621016177296</v>
      </c>
      <c r="K696" t="b">
        <f t="shared" si="52"/>
        <v>1</v>
      </c>
      <c r="L696">
        <f t="shared" si="53"/>
        <v>218.96033818852365</v>
      </c>
      <c r="M696">
        <f t="shared" si="54"/>
        <v>437.9206763770473</v>
      </c>
      <c r="N696">
        <f t="shared" si="50"/>
        <v>1155.4635260608109</v>
      </c>
      <c r="O696" s="26">
        <f t="shared" si="51"/>
        <v>1327.032352657719</v>
      </c>
    </row>
    <row r="697" spans="1:15" x14ac:dyDescent="0.35">
      <c r="A697" t="s">
        <v>64</v>
      </c>
      <c r="B697">
        <v>8</v>
      </c>
      <c r="C697" t="s">
        <v>63</v>
      </c>
      <c r="D697">
        <v>89</v>
      </c>
      <c r="E697">
        <v>187.26398111628299</v>
      </c>
      <c r="F697">
        <v>26.9232563665011</v>
      </c>
      <c r="G697" t="s">
        <v>64</v>
      </c>
      <c r="H697">
        <v>8</v>
      </c>
      <c r="I697">
        <v>89</v>
      </c>
      <c r="J697">
        <v>6.1713626114413502</v>
      </c>
      <c r="K697" t="b">
        <f t="shared" si="52"/>
        <v>1</v>
      </c>
      <c r="L697">
        <f t="shared" si="53"/>
        <v>220.35860009422544</v>
      </c>
      <c r="M697">
        <f t="shared" si="54"/>
        <v>440.71720018845087</v>
      </c>
      <c r="N697">
        <f t="shared" si="50"/>
        <v>1162.842216856071</v>
      </c>
      <c r="O697" s="26">
        <f t="shared" si="51"/>
        <v>1335.50666723773</v>
      </c>
    </row>
    <row r="698" spans="1:15" x14ac:dyDescent="0.35">
      <c r="A698" t="s">
        <v>64</v>
      </c>
      <c r="B698">
        <v>8</v>
      </c>
      <c r="C698" t="s">
        <v>63</v>
      </c>
      <c r="D698">
        <v>90</v>
      </c>
      <c r="E698">
        <v>188.29113272778</v>
      </c>
      <c r="F698">
        <v>27.220182955817702</v>
      </c>
      <c r="G698" t="s">
        <v>64</v>
      </c>
      <c r="H698">
        <v>8</v>
      </c>
      <c r="I698">
        <v>90</v>
      </c>
      <c r="J698">
        <v>6.2084493009841601</v>
      </c>
      <c r="K698" t="b">
        <f t="shared" si="52"/>
        <v>1</v>
      </c>
      <c r="L698">
        <f t="shared" si="53"/>
        <v>221.71976498458187</v>
      </c>
      <c r="M698">
        <f t="shared" si="54"/>
        <v>443.43952996916374</v>
      </c>
      <c r="N698">
        <f t="shared" si="50"/>
        <v>1170.0251450373714</v>
      </c>
      <c r="O698" s="26">
        <f t="shared" si="51"/>
        <v>1343.7561514217082</v>
      </c>
    </row>
    <row r="699" spans="1:15" x14ac:dyDescent="0.35">
      <c r="A699" t="s">
        <v>64</v>
      </c>
      <c r="B699">
        <v>8</v>
      </c>
      <c r="C699" t="s">
        <v>63</v>
      </c>
      <c r="D699">
        <v>91</v>
      </c>
      <c r="E699">
        <v>189.291178783356</v>
      </c>
      <c r="F699">
        <v>27.5091421109551</v>
      </c>
      <c r="G699" t="s">
        <v>64</v>
      </c>
      <c r="H699">
        <v>8</v>
      </c>
      <c r="I699">
        <v>91</v>
      </c>
      <c r="J699">
        <v>6.2445507641783502</v>
      </c>
      <c r="K699" t="b">
        <f t="shared" si="52"/>
        <v>1</v>
      </c>
      <c r="L699">
        <f t="shared" si="53"/>
        <v>223.04487165848946</v>
      </c>
      <c r="M699">
        <f t="shared" si="54"/>
        <v>446.08974331697891</v>
      </c>
      <c r="N699">
        <f t="shared" ref="N699:N762" si="55">M699/(1-0.621)</f>
        <v>1177.0177923930842</v>
      </c>
      <c r="O699" s="26">
        <f t="shared" ref="O699:O762" si="56">M699/0.33</f>
        <v>1351.7871009605421</v>
      </c>
    </row>
    <row r="700" spans="1:15" x14ac:dyDescent="0.35">
      <c r="A700" t="s">
        <v>64</v>
      </c>
      <c r="B700">
        <v>8</v>
      </c>
      <c r="C700" t="s">
        <v>63</v>
      </c>
      <c r="D700">
        <v>92</v>
      </c>
      <c r="E700">
        <v>190.264857536118</v>
      </c>
      <c r="F700">
        <v>27.790376548839799</v>
      </c>
      <c r="G700" t="s">
        <v>64</v>
      </c>
      <c r="H700">
        <v>8</v>
      </c>
      <c r="I700">
        <v>92</v>
      </c>
      <c r="J700">
        <v>6.2796947000504399</v>
      </c>
      <c r="K700" t="b">
        <f t="shared" si="52"/>
        <v>1</v>
      </c>
      <c r="L700">
        <f t="shared" si="53"/>
        <v>224.33492878500823</v>
      </c>
      <c r="M700">
        <f t="shared" si="54"/>
        <v>448.66985757001646</v>
      </c>
      <c r="N700">
        <f t="shared" si="55"/>
        <v>1183.825481715083</v>
      </c>
      <c r="O700" s="26">
        <f t="shared" si="56"/>
        <v>1359.6056290000499</v>
      </c>
    </row>
    <row r="701" spans="1:15" x14ac:dyDescent="0.35">
      <c r="A701" t="s">
        <v>64</v>
      </c>
      <c r="B701">
        <v>8</v>
      </c>
      <c r="C701" t="s">
        <v>63</v>
      </c>
      <c r="D701">
        <v>93</v>
      </c>
      <c r="E701">
        <v>191.21289139496099</v>
      </c>
      <c r="F701">
        <v>28.064116364024599</v>
      </c>
      <c r="G701" t="s">
        <v>64</v>
      </c>
      <c r="H701">
        <v>8</v>
      </c>
      <c r="I701">
        <v>93</v>
      </c>
      <c r="J701">
        <v>6.3139079683213399</v>
      </c>
      <c r="K701" t="b">
        <f t="shared" si="52"/>
        <v>1</v>
      </c>
      <c r="L701">
        <f t="shared" si="53"/>
        <v>225.59091572730691</v>
      </c>
      <c r="M701">
        <f t="shared" si="54"/>
        <v>451.18183145461381</v>
      </c>
      <c r="N701">
        <f t="shared" si="55"/>
        <v>1190.4533811467384</v>
      </c>
      <c r="O701" s="26">
        <f t="shared" si="56"/>
        <v>1367.2176710745873</v>
      </c>
    </row>
    <row r="702" spans="1:15" x14ac:dyDescent="0.35">
      <c r="A702" t="s">
        <v>64</v>
      </c>
      <c r="B702">
        <v>8</v>
      </c>
      <c r="C702" t="s">
        <v>63</v>
      </c>
      <c r="D702">
        <v>94</v>
      </c>
      <c r="E702">
        <v>192.135984473961</v>
      </c>
      <c r="F702">
        <v>28.3305822488533</v>
      </c>
      <c r="G702" t="s">
        <v>64</v>
      </c>
      <c r="H702">
        <v>8</v>
      </c>
      <c r="I702">
        <v>94</v>
      </c>
      <c r="J702">
        <v>6.3472166148883096</v>
      </c>
      <c r="K702" t="b">
        <f t="shared" si="52"/>
        <v>1</v>
      </c>
      <c r="L702">
        <f t="shared" si="53"/>
        <v>226.8137833377026</v>
      </c>
      <c r="M702">
        <f t="shared" si="54"/>
        <v>453.62756667540521</v>
      </c>
      <c r="N702">
        <f t="shared" si="55"/>
        <v>1196.9065083783778</v>
      </c>
      <c r="O702" s="26">
        <f t="shared" si="56"/>
        <v>1374.6289899254703</v>
      </c>
    </row>
    <row r="703" spans="1:15" x14ac:dyDescent="0.35">
      <c r="A703" t="s">
        <v>64</v>
      </c>
      <c r="B703">
        <v>8</v>
      </c>
      <c r="C703" t="s">
        <v>63</v>
      </c>
      <c r="D703">
        <v>95</v>
      </c>
      <c r="E703">
        <v>193.03482154335799</v>
      </c>
      <c r="F703">
        <v>28.589987306141801</v>
      </c>
      <c r="G703" t="s">
        <v>64</v>
      </c>
      <c r="H703">
        <v>8</v>
      </c>
      <c r="I703">
        <v>95</v>
      </c>
      <c r="J703">
        <v>6.3796458897023403</v>
      </c>
      <c r="K703" t="b">
        <f t="shared" si="52"/>
        <v>1</v>
      </c>
      <c r="L703">
        <f t="shared" si="53"/>
        <v>228.00445473920215</v>
      </c>
      <c r="M703">
        <f t="shared" si="54"/>
        <v>456.00890947840429</v>
      </c>
      <c r="N703">
        <f t="shared" si="55"/>
        <v>1203.1897347715153</v>
      </c>
      <c r="O703" s="26">
        <f t="shared" si="56"/>
        <v>1381.8451802375887</v>
      </c>
    </row>
    <row r="704" spans="1:15" x14ac:dyDescent="0.35">
      <c r="A704" t="s">
        <v>64</v>
      </c>
      <c r="B704">
        <v>8</v>
      </c>
      <c r="C704" t="s">
        <v>63</v>
      </c>
      <c r="D704">
        <v>96</v>
      </c>
      <c r="E704">
        <v>193.91006776035701</v>
      </c>
      <c r="F704">
        <v>28.8425380719538</v>
      </c>
      <c r="G704" t="s">
        <v>64</v>
      </c>
      <c r="H704">
        <v>8</v>
      </c>
      <c r="I704">
        <v>96</v>
      </c>
      <c r="J704">
        <v>6.4112202651289198</v>
      </c>
      <c r="K704" t="b">
        <f t="shared" si="52"/>
        <v>1</v>
      </c>
      <c r="L704">
        <f t="shared" si="53"/>
        <v>229.16382609743974</v>
      </c>
      <c r="M704">
        <f t="shared" si="54"/>
        <v>458.32765219487948</v>
      </c>
      <c r="N704">
        <f t="shared" si="55"/>
        <v>1209.3077894323997</v>
      </c>
      <c r="O704" s="26">
        <f t="shared" si="56"/>
        <v>1388.8716733178164</v>
      </c>
    </row>
    <row r="705" spans="1:15" x14ac:dyDescent="0.35">
      <c r="A705" t="s">
        <v>64</v>
      </c>
      <c r="B705">
        <v>8</v>
      </c>
      <c r="C705" t="s">
        <v>63</v>
      </c>
      <c r="D705">
        <v>97</v>
      </c>
      <c r="E705">
        <v>194.762368827572</v>
      </c>
      <c r="F705">
        <v>29.088435098110899</v>
      </c>
      <c r="G705" t="s">
        <v>64</v>
      </c>
      <c r="H705">
        <v>8</v>
      </c>
      <c r="I705">
        <v>97</v>
      </c>
      <c r="J705">
        <v>6.4419634568057997</v>
      </c>
      <c r="K705" t="b">
        <f t="shared" si="52"/>
        <v>1</v>
      </c>
      <c r="L705">
        <f t="shared" si="53"/>
        <v>230.29276738248871</v>
      </c>
      <c r="M705">
        <f t="shared" si="54"/>
        <v>460.58553476497741</v>
      </c>
      <c r="N705">
        <f t="shared" si="55"/>
        <v>1215.2652632321303</v>
      </c>
      <c r="O705" s="26">
        <f t="shared" si="56"/>
        <v>1395.7137417120528</v>
      </c>
    </row>
    <row r="706" spans="1:15" x14ac:dyDescent="0.35">
      <c r="A706" t="s">
        <v>64</v>
      </c>
      <c r="B706">
        <v>8</v>
      </c>
      <c r="C706" t="s">
        <v>63</v>
      </c>
      <c r="D706">
        <v>98</v>
      </c>
      <c r="E706">
        <v>195.59235138</v>
      </c>
      <c r="F706">
        <v>29.3278732919715</v>
      </c>
      <c r="G706" t="s">
        <v>64</v>
      </c>
      <c r="H706">
        <v>8</v>
      </c>
      <c r="I706">
        <v>98</v>
      </c>
      <c r="J706">
        <v>6.4718984467489999</v>
      </c>
      <c r="K706" t="b">
        <f t="shared" ref="K706:K769" si="57">H706=B706</f>
        <v>1</v>
      </c>
      <c r="L706">
        <f t="shared" ref="L706:L769" si="58">E706+F706+J706</f>
        <v>231.39212311872049</v>
      </c>
      <c r="M706">
        <f t="shared" ref="M706:M769" si="59">L706*2</f>
        <v>462.78424623744098</v>
      </c>
      <c r="N706">
        <f t="shared" si="55"/>
        <v>1221.0666127636964</v>
      </c>
      <c r="O706" s="26">
        <f t="shared" si="56"/>
        <v>1402.376503749821</v>
      </c>
    </row>
    <row r="707" spans="1:15" x14ac:dyDescent="0.35">
      <c r="A707" t="s">
        <v>64</v>
      </c>
      <c r="B707">
        <v>8</v>
      </c>
      <c r="C707" t="s">
        <v>63</v>
      </c>
      <c r="D707">
        <v>99</v>
      </c>
      <c r="E707">
        <v>196.40062348837299</v>
      </c>
      <c r="F707">
        <v>29.561042124716199</v>
      </c>
      <c r="G707" t="s">
        <v>64</v>
      </c>
      <c r="H707">
        <v>8</v>
      </c>
      <c r="I707">
        <v>99</v>
      </c>
      <c r="J707">
        <v>6.5010475078332997</v>
      </c>
      <c r="K707" t="b">
        <f t="shared" si="57"/>
        <v>1</v>
      </c>
      <c r="L707">
        <f t="shared" si="58"/>
        <v>232.4627131209225</v>
      </c>
      <c r="M707">
        <f t="shared" si="59"/>
        <v>464.925426241845</v>
      </c>
      <c r="N707">
        <f t="shared" si="55"/>
        <v>1226.7161642265039</v>
      </c>
      <c r="O707" s="26">
        <f t="shared" si="56"/>
        <v>1408.8649280055909</v>
      </c>
    </row>
    <row r="708" spans="1:15" x14ac:dyDescent="0.35">
      <c r="A708" t="s">
        <v>64</v>
      </c>
      <c r="B708">
        <v>8</v>
      </c>
      <c r="C708" t="s">
        <v>63</v>
      </c>
      <c r="D708">
        <v>100</v>
      </c>
      <c r="E708">
        <v>197.18777521595101</v>
      </c>
      <c r="F708">
        <v>29.788125770479901</v>
      </c>
      <c r="G708" t="s">
        <v>64</v>
      </c>
      <c r="H708">
        <v>8</v>
      </c>
      <c r="I708">
        <v>100</v>
      </c>
      <c r="J708">
        <v>6.5294322287836799</v>
      </c>
      <c r="K708" t="b">
        <f t="shared" si="57"/>
        <v>1</v>
      </c>
      <c r="L708">
        <f t="shared" si="58"/>
        <v>233.50533321521459</v>
      </c>
      <c r="M708">
        <f t="shared" si="59"/>
        <v>467.01066643042918</v>
      </c>
      <c r="N708">
        <f t="shared" si="55"/>
        <v>1232.2181172306839</v>
      </c>
      <c r="O708" s="26">
        <f t="shared" si="56"/>
        <v>1415.1838376679671</v>
      </c>
    </row>
    <row r="709" spans="1:15" x14ac:dyDescent="0.35">
      <c r="A709" t="s">
        <v>64</v>
      </c>
      <c r="B709">
        <v>10</v>
      </c>
      <c r="C709" t="s">
        <v>63</v>
      </c>
      <c r="D709">
        <v>0</v>
      </c>
      <c r="E709">
        <v>0</v>
      </c>
      <c r="F709">
        <v>0</v>
      </c>
      <c r="G709" t="s">
        <v>64</v>
      </c>
      <c r="H709">
        <v>10</v>
      </c>
      <c r="I709">
        <v>0</v>
      </c>
      <c r="J709">
        <v>0</v>
      </c>
      <c r="K709" t="b">
        <f t="shared" si="57"/>
        <v>1</v>
      </c>
      <c r="L709">
        <f t="shared" si="58"/>
        <v>0</v>
      </c>
      <c r="M709">
        <f t="shared" si="59"/>
        <v>0</v>
      </c>
      <c r="N709">
        <f t="shared" si="55"/>
        <v>0</v>
      </c>
      <c r="O709" s="26">
        <f t="shared" si="56"/>
        <v>0</v>
      </c>
    </row>
    <row r="710" spans="1:15" x14ac:dyDescent="0.35">
      <c r="A710" t="s">
        <v>64</v>
      </c>
      <c r="B710">
        <v>10</v>
      </c>
      <c r="C710" t="s">
        <v>63</v>
      </c>
      <c r="D710">
        <v>1</v>
      </c>
      <c r="E710">
        <v>4.1333135533389097E-2</v>
      </c>
      <c r="F710" s="19">
        <v>2.1470644064502001E-4</v>
      </c>
      <c r="G710" t="s">
        <v>64</v>
      </c>
      <c r="H710">
        <v>10</v>
      </c>
      <c r="I710">
        <v>1</v>
      </c>
      <c r="J710" s="19">
        <v>4.6758271119636002E-4</v>
      </c>
      <c r="K710" t="b">
        <f t="shared" si="57"/>
        <v>1</v>
      </c>
      <c r="L710">
        <f t="shared" si="58"/>
        <v>4.2015424685230479E-2</v>
      </c>
      <c r="M710">
        <f t="shared" si="59"/>
        <v>8.4030849370460958E-2</v>
      </c>
      <c r="N710">
        <f t="shared" si="55"/>
        <v>0.22171728066084687</v>
      </c>
      <c r="O710" s="26">
        <f t="shared" si="56"/>
        <v>0.25463893748624533</v>
      </c>
    </row>
    <row r="711" spans="1:15" x14ac:dyDescent="0.35">
      <c r="A711" t="s">
        <v>64</v>
      </c>
      <c r="B711">
        <v>10</v>
      </c>
      <c r="C711" t="s">
        <v>63</v>
      </c>
      <c r="D711">
        <v>2</v>
      </c>
      <c r="E711">
        <v>9.2999554950125504E-2</v>
      </c>
      <c r="F711" s="19">
        <v>6.9135473887698003E-4</v>
      </c>
      <c r="G711" t="s">
        <v>64</v>
      </c>
      <c r="H711">
        <v>10</v>
      </c>
      <c r="I711">
        <v>2</v>
      </c>
      <c r="J711">
        <v>1.34610955747109E-3</v>
      </c>
      <c r="K711" t="b">
        <f t="shared" si="57"/>
        <v>1</v>
      </c>
      <c r="L711">
        <f t="shared" si="58"/>
        <v>9.5037019246473578E-2</v>
      </c>
      <c r="M711">
        <f t="shared" si="59"/>
        <v>0.19007403849294716</v>
      </c>
      <c r="N711">
        <f t="shared" si="55"/>
        <v>0.50151461343785531</v>
      </c>
      <c r="O711" s="26">
        <f t="shared" si="56"/>
        <v>0.57598193482711257</v>
      </c>
    </row>
    <row r="712" spans="1:15" x14ac:dyDescent="0.35">
      <c r="A712" t="s">
        <v>64</v>
      </c>
      <c r="B712">
        <v>10</v>
      </c>
      <c r="C712" t="s">
        <v>63</v>
      </c>
      <c r="D712">
        <v>3</v>
      </c>
      <c r="E712">
        <v>0.15758257922104599</v>
      </c>
      <c r="F712">
        <v>1.4891824016698299E-3</v>
      </c>
      <c r="G712" t="s">
        <v>64</v>
      </c>
      <c r="H712">
        <v>10</v>
      </c>
      <c r="I712">
        <v>3</v>
      </c>
      <c r="J712">
        <v>2.6334714291500198E-3</v>
      </c>
      <c r="K712" t="b">
        <f t="shared" si="57"/>
        <v>1</v>
      </c>
      <c r="L712">
        <f t="shared" si="58"/>
        <v>0.16170523305186585</v>
      </c>
      <c r="M712">
        <f t="shared" si="59"/>
        <v>0.3234104661037317</v>
      </c>
      <c r="N712">
        <f t="shared" si="55"/>
        <v>0.85332576808372473</v>
      </c>
      <c r="O712" s="26">
        <f t="shared" si="56"/>
        <v>0.98003171546585355</v>
      </c>
    </row>
    <row r="713" spans="1:15" x14ac:dyDescent="0.35">
      <c r="A713" t="s">
        <v>64</v>
      </c>
      <c r="B713">
        <v>10</v>
      </c>
      <c r="C713" t="s">
        <v>63</v>
      </c>
      <c r="D713">
        <v>4</v>
      </c>
      <c r="E713">
        <v>0.23831135955969601</v>
      </c>
      <c r="F713">
        <v>2.68242375146372E-3</v>
      </c>
      <c r="G713" t="s">
        <v>64</v>
      </c>
      <c r="H713">
        <v>10</v>
      </c>
      <c r="I713">
        <v>4</v>
      </c>
      <c r="J713">
        <v>4.3674354234550803E-3</v>
      </c>
      <c r="K713" t="b">
        <f t="shared" si="57"/>
        <v>1</v>
      </c>
      <c r="L713">
        <f t="shared" si="58"/>
        <v>0.24536121873461481</v>
      </c>
      <c r="M713">
        <f t="shared" si="59"/>
        <v>0.49072243746922961</v>
      </c>
      <c r="N713">
        <f t="shared" si="55"/>
        <v>1.2947821569108962</v>
      </c>
      <c r="O713" s="26">
        <f t="shared" si="56"/>
        <v>1.4870376893006958</v>
      </c>
    </row>
    <row r="714" spans="1:15" x14ac:dyDescent="0.35">
      <c r="A714" t="s">
        <v>64</v>
      </c>
      <c r="B714">
        <v>10</v>
      </c>
      <c r="C714" t="s">
        <v>63</v>
      </c>
      <c r="D714">
        <v>5</v>
      </c>
      <c r="E714">
        <v>0.33922233498300902</v>
      </c>
      <c r="F714">
        <v>4.3640535068698002E-3</v>
      </c>
      <c r="G714" t="s">
        <v>64</v>
      </c>
      <c r="H714">
        <v>10</v>
      </c>
      <c r="I714">
        <v>5</v>
      </c>
      <c r="J714">
        <v>6.6192392722025199E-3</v>
      </c>
      <c r="K714" t="b">
        <f t="shared" si="57"/>
        <v>1</v>
      </c>
      <c r="L714">
        <f t="shared" si="58"/>
        <v>0.35020562776208136</v>
      </c>
      <c r="M714">
        <f t="shared" si="59"/>
        <v>0.70041125552416272</v>
      </c>
      <c r="N714">
        <f t="shared" si="55"/>
        <v>1.8480508061323555</v>
      </c>
      <c r="O714" s="26">
        <f t="shared" si="56"/>
        <v>2.1224583500732201</v>
      </c>
    </row>
    <row r="715" spans="1:15" x14ac:dyDescent="0.35">
      <c r="A715" t="s">
        <v>64</v>
      </c>
      <c r="B715">
        <v>10</v>
      </c>
      <c r="C715" t="s">
        <v>63</v>
      </c>
      <c r="D715">
        <v>6</v>
      </c>
      <c r="E715">
        <v>0.46536105426215002</v>
      </c>
      <c r="F715">
        <v>6.6504664272462304E-3</v>
      </c>
      <c r="G715" t="s">
        <v>64</v>
      </c>
      <c r="H715">
        <v>10</v>
      </c>
      <c r="I715">
        <v>6</v>
      </c>
      <c r="J715">
        <v>9.4924189720323408E-3</v>
      </c>
      <c r="K715" t="b">
        <f t="shared" si="57"/>
        <v>1</v>
      </c>
      <c r="L715">
        <f t="shared" si="58"/>
        <v>0.48150393966142857</v>
      </c>
      <c r="M715">
        <f t="shared" si="59"/>
        <v>0.96300787932285714</v>
      </c>
      <c r="N715">
        <f t="shared" si="55"/>
        <v>2.5409178873954015</v>
      </c>
      <c r="O715" s="26">
        <f t="shared" si="56"/>
        <v>2.9182056949177486</v>
      </c>
    </row>
    <row r="716" spans="1:15" x14ac:dyDescent="0.35">
      <c r="A716" t="s">
        <v>64</v>
      </c>
      <c r="B716">
        <v>10</v>
      </c>
      <c r="C716" t="s">
        <v>63</v>
      </c>
      <c r="D716">
        <v>7</v>
      </c>
      <c r="E716">
        <v>0.62303445336107799</v>
      </c>
      <c r="F716">
        <v>9.6873270320520198E-3</v>
      </c>
      <c r="G716" t="s">
        <v>64</v>
      </c>
      <c r="H716">
        <v>10</v>
      </c>
      <c r="I716">
        <v>7</v>
      </c>
      <c r="J716">
        <v>1.3125278744973099E-2</v>
      </c>
      <c r="K716" t="b">
        <f t="shared" si="57"/>
        <v>1</v>
      </c>
      <c r="L716">
        <f t="shared" si="58"/>
        <v>0.64584705913810303</v>
      </c>
      <c r="M716">
        <f t="shared" si="59"/>
        <v>1.2916941182762061</v>
      </c>
      <c r="N716">
        <f t="shared" si="55"/>
        <v>3.4081639004649236</v>
      </c>
      <c r="O716" s="26">
        <f t="shared" si="56"/>
        <v>3.9142246008369881</v>
      </c>
    </row>
    <row r="717" spans="1:15" x14ac:dyDescent="0.35">
      <c r="A717" t="s">
        <v>64</v>
      </c>
      <c r="B717">
        <v>10</v>
      </c>
      <c r="C717" t="s">
        <v>63</v>
      </c>
      <c r="D717">
        <v>8</v>
      </c>
      <c r="E717">
        <v>0.82012620223473698</v>
      </c>
      <c r="F717">
        <v>1.36568819087645E-2</v>
      </c>
      <c r="G717" t="s">
        <v>64</v>
      </c>
      <c r="H717">
        <v>10</v>
      </c>
      <c r="I717">
        <v>8</v>
      </c>
      <c r="J717">
        <v>1.7696255120632599E-2</v>
      </c>
      <c r="K717" t="b">
        <f t="shared" si="57"/>
        <v>1</v>
      </c>
      <c r="L717">
        <f t="shared" si="58"/>
        <v>0.85147933926413399</v>
      </c>
      <c r="M717">
        <f t="shared" si="59"/>
        <v>1.702958678528268</v>
      </c>
      <c r="N717">
        <f t="shared" si="55"/>
        <v>4.493294666301499</v>
      </c>
      <c r="O717" s="26">
        <f t="shared" si="56"/>
        <v>5.160480844025054</v>
      </c>
    </row>
    <row r="718" spans="1:15" x14ac:dyDescent="0.35">
      <c r="A718" t="s">
        <v>64</v>
      </c>
      <c r="B718">
        <v>10</v>
      </c>
      <c r="C718" t="s">
        <v>63</v>
      </c>
      <c r="D718">
        <v>9</v>
      </c>
      <c r="E718">
        <v>1.06649088832681</v>
      </c>
      <c r="F718">
        <v>1.8787100251738999E-2</v>
      </c>
      <c r="G718" t="s">
        <v>64</v>
      </c>
      <c r="H718">
        <v>10</v>
      </c>
      <c r="I718">
        <v>9</v>
      </c>
      <c r="J718">
        <v>2.3431947207101799E-2</v>
      </c>
      <c r="K718" t="b">
        <f t="shared" si="57"/>
        <v>1</v>
      </c>
      <c r="L718">
        <f t="shared" si="58"/>
        <v>1.1087099357856509</v>
      </c>
      <c r="M718">
        <f t="shared" si="59"/>
        <v>2.2174198715713018</v>
      </c>
      <c r="N718">
        <f t="shared" si="55"/>
        <v>5.8507120621934083</v>
      </c>
      <c r="O718" s="26">
        <f t="shared" si="56"/>
        <v>6.7194541562766723</v>
      </c>
    </row>
    <row r="719" spans="1:15" x14ac:dyDescent="0.35">
      <c r="A719" t="s">
        <v>64</v>
      </c>
      <c r="B719">
        <v>10</v>
      </c>
      <c r="C719" t="s">
        <v>63</v>
      </c>
      <c r="D719">
        <v>10</v>
      </c>
      <c r="E719">
        <v>1.3744467459419001</v>
      </c>
      <c r="F719">
        <v>2.5363099685128801E-2</v>
      </c>
      <c r="G719" t="s">
        <v>64</v>
      </c>
      <c r="H719">
        <v>10</v>
      </c>
      <c r="I719">
        <v>10</v>
      </c>
      <c r="J719">
        <v>3.06179321143993E-2</v>
      </c>
      <c r="K719" t="b">
        <f t="shared" si="57"/>
        <v>1</v>
      </c>
      <c r="L719">
        <f t="shared" si="58"/>
        <v>1.4304277777414283</v>
      </c>
      <c r="M719">
        <f t="shared" si="59"/>
        <v>2.8608555554828565</v>
      </c>
      <c r="N719">
        <f t="shared" si="55"/>
        <v>7.548431544809648</v>
      </c>
      <c r="O719" s="26">
        <f t="shared" si="56"/>
        <v>8.6692592590389594</v>
      </c>
    </row>
    <row r="720" spans="1:15" x14ac:dyDescent="0.35">
      <c r="A720" t="s">
        <v>64</v>
      </c>
      <c r="B720">
        <v>10</v>
      </c>
      <c r="C720" t="s">
        <v>63</v>
      </c>
      <c r="D720">
        <v>11</v>
      </c>
      <c r="E720">
        <v>1.7593915679607599</v>
      </c>
      <c r="F720">
        <v>3.3741428686397401E-2</v>
      </c>
      <c r="G720" t="s">
        <v>64</v>
      </c>
      <c r="H720">
        <v>10</v>
      </c>
      <c r="I720">
        <v>11</v>
      </c>
      <c r="J720">
        <v>3.9612745257043301E-2</v>
      </c>
      <c r="K720" t="b">
        <f t="shared" si="57"/>
        <v>1</v>
      </c>
      <c r="L720">
        <f t="shared" si="58"/>
        <v>1.8327457419042006</v>
      </c>
      <c r="M720">
        <f t="shared" si="59"/>
        <v>3.6654914838084012</v>
      </c>
      <c r="N720">
        <f t="shared" si="55"/>
        <v>9.6714814876211115</v>
      </c>
      <c r="O720" s="26">
        <f t="shared" si="56"/>
        <v>11.107549950934548</v>
      </c>
    </row>
    <row r="721" spans="1:15" x14ac:dyDescent="0.35">
      <c r="A721" t="s">
        <v>64</v>
      </c>
      <c r="B721">
        <v>10</v>
      </c>
      <c r="C721" t="s">
        <v>63</v>
      </c>
      <c r="D721">
        <v>12</v>
      </c>
      <c r="E721">
        <v>2.2405725954843501</v>
      </c>
      <c r="F721">
        <v>4.4367919756228502E-2</v>
      </c>
      <c r="G721" t="s">
        <v>64</v>
      </c>
      <c r="H721">
        <v>10</v>
      </c>
      <c r="I721">
        <v>12</v>
      </c>
      <c r="J721">
        <v>5.0865632657175398E-2</v>
      </c>
      <c r="K721" t="b">
        <f t="shared" si="57"/>
        <v>1</v>
      </c>
      <c r="L721">
        <f t="shared" si="58"/>
        <v>2.3358061478977539</v>
      </c>
      <c r="M721">
        <f t="shared" si="59"/>
        <v>4.6716122957955077</v>
      </c>
      <c r="N721">
        <f t="shared" si="55"/>
        <v>12.326153814763872</v>
      </c>
      <c r="O721" s="26">
        <f t="shared" si="56"/>
        <v>14.156400896350023</v>
      </c>
    </row>
    <row r="722" spans="1:15" x14ac:dyDescent="0.35">
      <c r="A722" t="s">
        <v>64</v>
      </c>
      <c r="B722">
        <v>10</v>
      </c>
      <c r="C722" t="s">
        <v>63</v>
      </c>
      <c r="D722">
        <v>13</v>
      </c>
      <c r="E722">
        <v>2.8420488798888202</v>
      </c>
      <c r="F722">
        <v>5.7800006017215501E-2</v>
      </c>
      <c r="G722" t="s">
        <v>64</v>
      </c>
      <c r="H722">
        <v>10</v>
      </c>
      <c r="I722">
        <v>13</v>
      </c>
      <c r="J722">
        <v>6.4938910347588599E-2</v>
      </c>
      <c r="K722" t="b">
        <f t="shared" si="57"/>
        <v>1</v>
      </c>
      <c r="L722">
        <f t="shared" si="58"/>
        <v>2.9647877962536242</v>
      </c>
      <c r="M722">
        <f t="shared" si="59"/>
        <v>5.9295755925072484</v>
      </c>
      <c r="N722">
        <f t="shared" si="55"/>
        <v>15.645318186034956</v>
      </c>
      <c r="O722" s="26">
        <f t="shared" si="56"/>
        <v>17.968410886385602</v>
      </c>
    </row>
    <row r="723" spans="1:15" x14ac:dyDescent="0.35">
      <c r="A723" t="s">
        <v>64</v>
      </c>
      <c r="B723">
        <v>10</v>
      </c>
      <c r="C723" t="s">
        <v>63</v>
      </c>
      <c r="D723">
        <v>14</v>
      </c>
      <c r="E723">
        <v>3.5938942353944099</v>
      </c>
      <c r="F723">
        <v>7.4734617094436406E-2</v>
      </c>
      <c r="G723" t="s">
        <v>64</v>
      </c>
      <c r="H723">
        <v>10</v>
      </c>
      <c r="I723">
        <v>14</v>
      </c>
      <c r="J723">
        <v>8.2536018770471301E-2</v>
      </c>
      <c r="K723" t="b">
        <f t="shared" si="57"/>
        <v>1</v>
      </c>
      <c r="L723">
        <f t="shared" si="58"/>
        <v>3.7511648712593173</v>
      </c>
      <c r="M723">
        <f t="shared" si="59"/>
        <v>7.5023297425186346</v>
      </c>
      <c r="N723">
        <f t="shared" si="55"/>
        <v>19.795065283690327</v>
      </c>
      <c r="O723" s="26">
        <f t="shared" si="56"/>
        <v>22.734332553086769</v>
      </c>
    </row>
    <row r="724" spans="1:15" x14ac:dyDescent="0.35">
      <c r="A724" t="s">
        <v>64</v>
      </c>
      <c r="B724">
        <v>10</v>
      </c>
      <c r="C724" t="s">
        <v>63</v>
      </c>
      <c r="D724">
        <v>15</v>
      </c>
      <c r="E724">
        <v>4.5337009297764101</v>
      </c>
      <c r="F724">
        <v>9.6043049094420005E-2</v>
      </c>
      <c r="G724" t="s">
        <v>64</v>
      </c>
      <c r="H724">
        <v>10</v>
      </c>
      <c r="I724">
        <v>15</v>
      </c>
      <c r="J724">
        <v>0.104536657620693</v>
      </c>
      <c r="K724" t="b">
        <f t="shared" si="57"/>
        <v>1</v>
      </c>
      <c r="L724">
        <f t="shared" si="58"/>
        <v>4.7342806364915235</v>
      </c>
      <c r="M724">
        <f t="shared" si="59"/>
        <v>9.4685612729830471</v>
      </c>
      <c r="N724">
        <f t="shared" si="55"/>
        <v>24.983011274361601</v>
      </c>
      <c r="O724" s="26">
        <f t="shared" si="56"/>
        <v>28.692609918130444</v>
      </c>
    </row>
    <row r="725" spans="1:15" x14ac:dyDescent="0.35">
      <c r="A725" t="s">
        <v>64</v>
      </c>
      <c r="B725">
        <v>10</v>
      </c>
      <c r="C725" t="s">
        <v>63</v>
      </c>
      <c r="D725">
        <v>16</v>
      </c>
      <c r="E725">
        <v>5.7084592977539002</v>
      </c>
      <c r="F725">
        <v>0.12281455220325301</v>
      </c>
      <c r="G725" t="s">
        <v>64</v>
      </c>
      <c r="H725">
        <v>10</v>
      </c>
      <c r="I725">
        <v>16</v>
      </c>
      <c r="J725">
        <v>0.13204074791988199</v>
      </c>
      <c r="K725" t="b">
        <f t="shared" si="57"/>
        <v>1</v>
      </c>
      <c r="L725">
        <f t="shared" si="58"/>
        <v>5.9633145978770354</v>
      </c>
      <c r="M725">
        <f t="shared" si="59"/>
        <v>11.926629195754071</v>
      </c>
      <c r="N725">
        <f t="shared" si="55"/>
        <v>31.468678616765359</v>
      </c>
      <c r="O725" s="26">
        <f t="shared" si="56"/>
        <v>36.141300593194153</v>
      </c>
    </row>
    <row r="726" spans="1:15" x14ac:dyDescent="0.35">
      <c r="A726" t="s">
        <v>64</v>
      </c>
      <c r="B726">
        <v>10</v>
      </c>
      <c r="C726" t="s">
        <v>63</v>
      </c>
      <c r="D726">
        <v>17</v>
      </c>
      <c r="E726">
        <v>7.1769072577257704</v>
      </c>
      <c r="F726">
        <v>0.15641081530488299</v>
      </c>
      <c r="G726" t="s">
        <v>64</v>
      </c>
      <c r="H726">
        <v>10</v>
      </c>
      <c r="I726">
        <v>17</v>
      </c>
      <c r="J726">
        <v>0.16642341365703001</v>
      </c>
      <c r="K726" t="b">
        <f t="shared" si="57"/>
        <v>1</v>
      </c>
      <c r="L726">
        <f t="shared" si="58"/>
        <v>7.4997414866876841</v>
      </c>
      <c r="M726">
        <f t="shared" si="59"/>
        <v>14.999482973375368</v>
      </c>
      <c r="N726">
        <f t="shared" si="55"/>
        <v>39.576472225264823</v>
      </c>
      <c r="O726" s="26">
        <f t="shared" si="56"/>
        <v>45.452978707198085</v>
      </c>
    </row>
    <row r="727" spans="1:15" x14ac:dyDescent="0.35">
      <c r="A727" t="s">
        <v>64</v>
      </c>
      <c r="B727">
        <v>10</v>
      </c>
      <c r="C727" t="s">
        <v>63</v>
      </c>
      <c r="D727">
        <v>18</v>
      </c>
      <c r="E727">
        <v>9.0124672076905998</v>
      </c>
      <c r="F727">
        <v>0.198534071871041</v>
      </c>
      <c r="G727" t="s">
        <v>64</v>
      </c>
      <c r="H727">
        <v>10</v>
      </c>
      <c r="I727">
        <v>18</v>
      </c>
      <c r="J727">
        <v>0.20940372871374299</v>
      </c>
      <c r="K727" t="b">
        <f t="shared" si="57"/>
        <v>1</v>
      </c>
      <c r="L727">
        <f t="shared" si="58"/>
        <v>9.4204050082753845</v>
      </c>
      <c r="M727">
        <f t="shared" si="59"/>
        <v>18.840810016550769</v>
      </c>
      <c r="N727">
        <f t="shared" si="55"/>
        <v>49.71189977981733</v>
      </c>
      <c r="O727" s="26">
        <f t="shared" si="56"/>
        <v>57.093363686517478</v>
      </c>
    </row>
    <row r="728" spans="1:15" x14ac:dyDescent="0.35">
      <c r="A728" t="s">
        <v>64</v>
      </c>
      <c r="B728">
        <v>10</v>
      </c>
      <c r="C728" t="s">
        <v>63</v>
      </c>
      <c r="D728">
        <v>19</v>
      </c>
      <c r="E728">
        <v>11.306917145146601</v>
      </c>
      <c r="F728">
        <v>0.25131223243718498</v>
      </c>
      <c r="G728" t="s">
        <v>64</v>
      </c>
      <c r="H728">
        <v>10</v>
      </c>
      <c r="I728">
        <v>19</v>
      </c>
      <c r="J728">
        <v>0.26313066444159</v>
      </c>
      <c r="K728" t="b">
        <f t="shared" si="57"/>
        <v>1</v>
      </c>
      <c r="L728">
        <f t="shared" si="58"/>
        <v>11.821360042025375</v>
      </c>
      <c r="M728">
        <f t="shared" si="59"/>
        <v>23.642720084050751</v>
      </c>
      <c r="N728">
        <f t="shared" si="55"/>
        <v>62.381847187468999</v>
      </c>
      <c r="O728" s="26">
        <f t="shared" si="56"/>
        <v>71.644606315305296</v>
      </c>
    </row>
    <row r="729" spans="1:15" x14ac:dyDescent="0.35">
      <c r="A729" t="s">
        <v>64</v>
      </c>
      <c r="B729">
        <v>10</v>
      </c>
      <c r="C729" t="s">
        <v>63</v>
      </c>
      <c r="D729">
        <v>20</v>
      </c>
      <c r="E729">
        <v>14.1749795669666</v>
      </c>
      <c r="F729">
        <v>0.31740530030755898</v>
      </c>
      <c r="G729" t="s">
        <v>64</v>
      </c>
      <c r="H729">
        <v>10</v>
      </c>
      <c r="I729">
        <v>20</v>
      </c>
      <c r="J729">
        <v>0.33029053409339199</v>
      </c>
      <c r="K729" t="b">
        <f t="shared" si="57"/>
        <v>1</v>
      </c>
      <c r="L729">
        <f t="shared" si="58"/>
        <v>14.822675401367551</v>
      </c>
      <c r="M729">
        <f t="shared" si="59"/>
        <v>29.645350802735102</v>
      </c>
      <c r="N729">
        <f t="shared" si="55"/>
        <v>78.21992296236175</v>
      </c>
      <c r="O729" s="26">
        <f t="shared" si="56"/>
        <v>89.834396371924541</v>
      </c>
    </row>
    <row r="730" spans="1:15" x14ac:dyDescent="0.35">
      <c r="A730" t="s">
        <v>64</v>
      </c>
      <c r="B730">
        <v>10</v>
      </c>
      <c r="C730" t="s">
        <v>63</v>
      </c>
      <c r="D730">
        <v>21</v>
      </c>
      <c r="E730">
        <v>17.664075</v>
      </c>
      <c r="F730">
        <v>0.39963980629833201</v>
      </c>
      <c r="G730" t="s">
        <v>64</v>
      </c>
      <c r="H730">
        <v>10</v>
      </c>
      <c r="I730">
        <v>21</v>
      </c>
      <c r="J730">
        <v>0.41315549877151098</v>
      </c>
      <c r="K730" t="b">
        <f t="shared" si="57"/>
        <v>1</v>
      </c>
      <c r="L730">
        <f t="shared" si="58"/>
        <v>18.476870305069845</v>
      </c>
      <c r="M730">
        <f t="shared" si="59"/>
        <v>36.95374061013969</v>
      </c>
      <c r="N730">
        <f t="shared" si="55"/>
        <v>97.503273377677274</v>
      </c>
      <c r="O730" s="26">
        <f t="shared" si="56"/>
        <v>111.98103215193845</v>
      </c>
    </row>
    <row r="731" spans="1:15" x14ac:dyDescent="0.35">
      <c r="A731" t="s">
        <v>64</v>
      </c>
      <c r="B731">
        <v>10</v>
      </c>
      <c r="C731" t="s">
        <v>63</v>
      </c>
      <c r="D731">
        <v>22</v>
      </c>
      <c r="E731">
        <v>21.257280000000002</v>
      </c>
      <c r="F731">
        <v>0.49807230810938202</v>
      </c>
      <c r="G731" t="s">
        <v>64</v>
      </c>
      <c r="H731">
        <v>10</v>
      </c>
      <c r="I731">
        <v>22</v>
      </c>
      <c r="J731">
        <v>0.50736471336353595</v>
      </c>
      <c r="K731" t="b">
        <f t="shared" si="57"/>
        <v>1</v>
      </c>
      <c r="L731">
        <f t="shared" si="58"/>
        <v>22.26271702147292</v>
      </c>
      <c r="M731">
        <f t="shared" si="59"/>
        <v>44.52543404294584</v>
      </c>
      <c r="N731">
        <f t="shared" si="55"/>
        <v>117.48135631384126</v>
      </c>
      <c r="O731" s="26">
        <f t="shared" si="56"/>
        <v>134.92555770589647</v>
      </c>
    </row>
    <row r="732" spans="1:15" x14ac:dyDescent="0.35">
      <c r="A732" t="s">
        <v>64</v>
      </c>
      <c r="B732">
        <v>10</v>
      </c>
      <c r="C732" t="s">
        <v>63</v>
      </c>
      <c r="D732">
        <v>23</v>
      </c>
      <c r="E732">
        <v>24.850484999999999</v>
      </c>
      <c r="F732">
        <v>0.61221686586610102</v>
      </c>
      <c r="G732" t="s">
        <v>64</v>
      </c>
      <c r="H732">
        <v>10</v>
      </c>
      <c r="I732">
        <v>23</v>
      </c>
      <c r="J732">
        <v>0.60906056359714</v>
      </c>
      <c r="K732" t="b">
        <f t="shared" si="57"/>
        <v>1</v>
      </c>
      <c r="L732">
        <f t="shared" si="58"/>
        <v>26.071762429463242</v>
      </c>
      <c r="M732">
        <f t="shared" si="59"/>
        <v>52.143524858926483</v>
      </c>
      <c r="N732">
        <f t="shared" si="55"/>
        <v>137.58185978608572</v>
      </c>
      <c r="O732" s="26">
        <f t="shared" si="56"/>
        <v>158.0106813906863</v>
      </c>
    </row>
    <row r="733" spans="1:15" x14ac:dyDescent="0.35">
      <c r="A733" t="s">
        <v>64</v>
      </c>
      <c r="B733">
        <v>10</v>
      </c>
      <c r="C733" t="s">
        <v>63</v>
      </c>
      <c r="D733">
        <v>24</v>
      </c>
      <c r="E733">
        <v>28.44369</v>
      </c>
      <c r="F733">
        <v>0.74160211789011798</v>
      </c>
      <c r="G733" t="s">
        <v>64</v>
      </c>
      <c r="H733">
        <v>10</v>
      </c>
      <c r="I733">
        <v>24</v>
      </c>
      <c r="J733">
        <v>0.71582213071495904</v>
      </c>
      <c r="K733" t="b">
        <f t="shared" si="57"/>
        <v>1</v>
      </c>
      <c r="L733">
        <f t="shared" si="58"/>
        <v>29.901114248605076</v>
      </c>
      <c r="M733">
        <f t="shared" si="59"/>
        <v>59.802228497210152</v>
      </c>
      <c r="N733">
        <f t="shared" si="55"/>
        <v>157.78952110081835</v>
      </c>
      <c r="O733" s="26">
        <f t="shared" si="56"/>
        <v>181.21887423397015</v>
      </c>
    </row>
    <row r="734" spans="1:15" x14ac:dyDescent="0.35">
      <c r="A734" t="s">
        <v>64</v>
      </c>
      <c r="B734">
        <v>10</v>
      </c>
      <c r="C734" t="s">
        <v>63</v>
      </c>
      <c r="D734">
        <v>25</v>
      </c>
      <c r="E734">
        <v>32.036895000000001</v>
      </c>
      <c r="F734">
        <v>0.88577084335341405</v>
      </c>
      <c r="G734" t="s">
        <v>64</v>
      </c>
      <c r="H734">
        <v>10</v>
      </c>
      <c r="I734">
        <v>25</v>
      </c>
      <c r="J734">
        <v>0.82609522814687297</v>
      </c>
      <c r="K734" t="b">
        <f t="shared" si="57"/>
        <v>1</v>
      </c>
      <c r="L734">
        <f t="shared" si="58"/>
        <v>33.74876107150029</v>
      </c>
      <c r="M734">
        <f t="shared" si="59"/>
        <v>67.49752214300058</v>
      </c>
      <c r="N734">
        <f t="shared" si="55"/>
        <v>178.09372597097777</v>
      </c>
      <c r="O734" s="26">
        <f t="shared" si="56"/>
        <v>204.53794588788054</v>
      </c>
    </row>
    <row r="735" spans="1:15" x14ac:dyDescent="0.35">
      <c r="A735" t="s">
        <v>64</v>
      </c>
      <c r="B735">
        <v>10</v>
      </c>
      <c r="C735" t="s">
        <v>63</v>
      </c>
      <c r="D735">
        <v>26</v>
      </c>
      <c r="E735">
        <v>35.630099999999999</v>
      </c>
      <c r="F735">
        <v>1.04427953805281</v>
      </c>
      <c r="G735" t="s">
        <v>64</v>
      </c>
      <c r="H735">
        <v>10</v>
      </c>
      <c r="I735">
        <v>26</v>
      </c>
      <c r="J735">
        <v>0.938857452662331</v>
      </c>
      <c r="K735" t="b">
        <f t="shared" si="57"/>
        <v>1</v>
      </c>
      <c r="L735">
        <f t="shared" si="58"/>
        <v>37.613236990715144</v>
      </c>
      <c r="M735">
        <f t="shared" si="59"/>
        <v>75.226473981430289</v>
      </c>
      <c r="N735">
        <f t="shared" si="55"/>
        <v>198.48673873728308</v>
      </c>
      <c r="O735" s="26">
        <f t="shared" si="56"/>
        <v>227.95901206494025</v>
      </c>
    </row>
    <row r="736" spans="1:15" x14ac:dyDescent="0.35">
      <c r="A736" t="s">
        <v>64</v>
      </c>
      <c r="B736">
        <v>10</v>
      </c>
      <c r="C736" t="s">
        <v>63</v>
      </c>
      <c r="D736">
        <v>27</v>
      </c>
      <c r="E736">
        <v>39.881555999999897</v>
      </c>
      <c r="F736">
        <v>1.22011731111123</v>
      </c>
      <c r="G736" t="s">
        <v>64</v>
      </c>
      <c r="H736">
        <v>10</v>
      </c>
      <c r="I736">
        <v>27</v>
      </c>
      <c r="J736">
        <v>1.0608657051132</v>
      </c>
      <c r="K736" t="b">
        <f t="shared" si="57"/>
        <v>1</v>
      </c>
      <c r="L736">
        <f t="shared" si="58"/>
        <v>42.162539016224329</v>
      </c>
      <c r="M736">
        <f t="shared" si="59"/>
        <v>84.325078032448658</v>
      </c>
      <c r="N736">
        <f t="shared" si="55"/>
        <v>222.49360958429725</v>
      </c>
      <c r="O736" s="26">
        <f t="shared" si="56"/>
        <v>255.53053949226864</v>
      </c>
    </row>
    <row r="737" spans="1:15" x14ac:dyDescent="0.35">
      <c r="A737" t="s">
        <v>64</v>
      </c>
      <c r="B737">
        <v>10</v>
      </c>
      <c r="C737" t="s">
        <v>63</v>
      </c>
      <c r="D737">
        <v>28</v>
      </c>
      <c r="E737">
        <v>44.133012000000001</v>
      </c>
      <c r="F737">
        <v>1.4127642901778901</v>
      </c>
      <c r="G737" t="s">
        <v>64</v>
      </c>
      <c r="H737">
        <v>10</v>
      </c>
      <c r="I737">
        <v>28</v>
      </c>
      <c r="J737">
        <v>1.1888797889169</v>
      </c>
      <c r="K737" t="b">
        <f t="shared" si="57"/>
        <v>1</v>
      </c>
      <c r="L737">
        <f t="shared" si="58"/>
        <v>46.73465607909479</v>
      </c>
      <c r="M737">
        <f t="shared" si="59"/>
        <v>93.469312158189581</v>
      </c>
      <c r="N737">
        <f t="shared" si="55"/>
        <v>246.62087640683268</v>
      </c>
      <c r="O737" s="26">
        <f t="shared" si="56"/>
        <v>283.24033987330176</v>
      </c>
    </row>
    <row r="738" spans="1:15" x14ac:dyDescent="0.35">
      <c r="A738" t="s">
        <v>64</v>
      </c>
      <c r="B738">
        <v>10</v>
      </c>
      <c r="C738" t="s">
        <v>63</v>
      </c>
      <c r="D738">
        <v>29</v>
      </c>
      <c r="E738">
        <v>48.384467999999998</v>
      </c>
      <c r="F738">
        <v>1.6217161990725499</v>
      </c>
      <c r="G738" t="s">
        <v>64</v>
      </c>
      <c r="H738">
        <v>10</v>
      </c>
      <c r="I738">
        <v>29</v>
      </c>
      <c r="J738">
        <v>1.32089309732434</v>
      </c>
      <c r="K738" t="b">
        <f t="shared" si="57"/>
        <v>1</v>
      </c>
      <c r="L738">
        <f t="shared" si="58"/>
        <v>51.327077296396887</v>
      </c>
      <c r="M738">
        <f t="shared" si="59"/>
        <v>102.65415459279377</v>
      </c>
      <c r="N738">
        <f t="shared" si="55"/>
        <v>270.85528916304423</v>
      </c>
      <c r="O738" s="26">
        <f t="shared" si="56"/>
        <v>311.07319573573869</v>
      </c>
    </row>
    <row r="739" spans="1:15" x14ac:dyDescent="0.35">
      <c r="A739" t="s">
        <v>64</v>
      </c>
      <c r="B739">
        <v>10</v>
      </c>
      <c r="C739" t="s">
        <v>63</v>
      </c>
      <c r="D739">
        <v>30</v>
      </c>
      <c r="E739">
        <v>52.635923999999903</v>
      </c>
      <c r="F739">
        <v>1.8464838899003799</v>
      </c>
      <c r="G739" t="s">
        <v>64</v>
      </c>
      <c r="H739">
        <v>10</v>
      </c>
      <c r="I739">
        <v>30</v>
      </c>
      <c r="J739">
        <v>1.4556363802329699</v>
      </c>
      <c r="K739" t="b">
        <f t="shared" si="57"/>
        <v>1</v>
      </c>
      <c r="L739">
        <f t="shared" si="58"/>
        <v>55.938044270133247</v>
      </c>
      <c r="M739">
        <f t="shared" si="59"/>
        <v>111.87608854026649</v>
      </c>
      <c r="N739">
        <f t="shared" si="55"/>
        <v>295.18756870782715</v>
      </c>
      <c r="O739" s="26">
        <f t="shared" si="56"/>
        <v>339.01845012201966</v>
      </c>
    </row>
    <row r="740" spans="1:15" x14ac:dyDescent="0.35">
      <c r="A740" t="s">
        <v>64</v>
      </c>
      <c r="B740">
        <v>10</v>
      </c>
      <c r="C740" t="s">
        <v>63</v>
      </c>
      <c r="D740">
        <v>31</v>
      </c>
      <c r="E740">
        <v>56.88738</v>
      </c>
      <c r="F740">
        <v>2.08659288920337</v>
      </c>
      <c r="G740" t="s">
        <v>64</v>
      </c>
      <c r="H740">
        <v>10</v>
      </c>
      <c r="I740">
        <v>31</v>
      </c>
      <c r="J740">
        <v>1.59228776323539</v>
      </c>
      <c r="K740" t="b">
        <f t="shared" si="57"/>
        <v>1</v>
      </c>
      <c r="L740">
        <f t="shared" si="58"/>
        <v>60.566260652438757</v>
      </c>
      <c r="M740">
        <f t="shared" si="59"/>
        <v>121.13252130487751</v>
      </c>
      <c r="N740">
        <f t="shared" si="55"/>
        <v>319.61087415534962</v>
      </c>
      <c r="O740" s="26">
        <f t="shared" si="56"/>
        <v>367.06824637841669</v>
      </c>
    </row>
    <row r="741" spans="1:15" x14ac:dyDescent="0.35">
      <c r="A741" t="s">
        <v>64</v>
      </c>
      <c r="B741">
        <v>10</v>
      </c>
      <c r="C741" t="s">
        <v>63</v>
      </c>
      <c r="D741">
        <v>32</v>
      </c>
      <c r="E741">
        <v>61.543448999999903</v>
      </c>
      <c r="F741">
        <v>2.34368473432726</v>
      </c>
      <c r="G741" t="s">
        <v>64</v>
      </c>
      <c r="H741">
        <v>10</v>
      </c>
      <c r="I741">
        <v>32</v>
      </c>
      <c r="J741">
        <v>1.7348789270282301</v>
      </c>
      <c r="K741" t="b">
        <f t="shared" si="57"/>
        <v>1</v>
      </c>
      <c r="L741">
        <f t="shared" si="58"/>
        <v>65.622012661355399</v>
      </c>
      <c r="M741">
        <f t="shared" si="59"/>
        <v>131.2440253227108</v>
      </c>
      <c r="N741">
        <f t="shared" si="55"/>
        <v>346.2903042815588</v>
      </c>
      <c r="O741" s="26">
        <f t="shared" si="56"/>
        <v>397.70916764457814</v>
      </c>
    </row>
    <row r="742" spans="1:15" x14ac:dyDescent="0.35">
      <c r="A742" t="s">
        <v>64</v>
      </c>
      <c r="B742">
        <v>10</v>
      </c>
      <c r="C742" t="s">
        <v>63</v>
      </c>
      <c r="D742">
        <v>33</v>
      </c>
      <c r="E742">
        <v>66.199517999999998</v>
      </c>
      <c r="F742">
        <v>2.6172499398974498</v>
      </c>
      <c r="G742" t="s">
        <v>64</v>
      </c>
      <c r="H742">
        <v>10</v>
      </c>
      <c r="I742">
        <v>33</v>
      </c>
      <c r="J742">
        <v>1.8813399170329299</v>
      </c>
      <c r="K742" t="b">
        <f t="shared" si="57"/>
        <v>1</v>
      </c>
      <c r="L742">
        <f t="shared" si="58"/>
        <v>70.698107856930378</v>
      </c>
      <c r="M742">
        <f t="shared" si="59"/>
        <v>141.39621571386076</v>
      </c>
      <c r="N742">
        <f t="shared" si="55"/>
        <v>373.0770863162553</v>
      </c>
      <c r="O742" s="26">
        <f t="shared" si="56"/>
        <v>428.47338095109319</v>
      </c>
    </row>
    <row r="743" spans="1:15" x14ac:dyDescent="0.35">
      <c r="A743" t="s">
        <v>64</v>
      </c>
      <c r="B743">
        <v>10</v>
      </c>
      <c r="C743" t="s">
        <v>63</v>
      </c>
      <c r="D743">
        <v>34</v>
      </c>
      <c r="E743">
        <v>70.855587</v>
      </c>
      <c r="F743">
        <v>2.9067943051005201</v>
      </c>
      <c r="G743" t="s">
        <v>64</v>
      </c>
      <c r="H743">
        <v>10</v>
      </c>
      <c r="I743">
        <v>34</v>
      </c>
      <c r="J743">
        <v>2.0303856977358201</v>
      </c>
      <c r="K743" t="b">
        <f t="shared" si="57"/>
        <v>1</v>
      </c>
      <c r="L743">
        <f t="shared" si="58"/>
        <v>75.792767002836342</v>
      </c>
      <c r="M743">
        <f t="shared" si="59"/>
        <v>151.58553400567268</v>
      </c>
      <c r="N743">
        <f t="shared" si="55"/>
        <v>399.96183114953214</v>
      </c>
      <c r="O743" s="26">
        <f t="shared" si="56"/>
        <v>459.35010304749295</v>
      </c>
    </row>
    <row r="744" spans="1:15" x14ac:dyDescent="0.35">
      <c r="A744" t="s">
        <v>64</v>
      </c>
      <c r="B744">
        <v>10</v>
      </c>
      <c r="C744" t="s">
        <v>63</v>
      </c>
      <c r="D744">
        <v>35</v>
      </c>
      <c r="E744">
        <v>75.511656000000002</v>
      </c>
      <c r="F744">
        <v>3.2118384551475101</v>
      </c>
      <c r="G744" t="s">
        <v>64</v>
      </c>
      <c r="H744">
        <v>10</v>
      </c>
      <c r="I744">
        <v>35</v>
      </c>
      <c r="J744">
        <v>2.1812011893083798</v>
      </c>
      <c r="K744" t="b">
        <f t="shared" si="57"/>
        <v>1</v>
      </c>
      <c r="L744">
        <f t="shared" si="58"/>
        <v>80.904695644455899</v>
      </c>
      <c r="M744">
        <f t="shared" si="59"/>
        <v>161.8093912889118</v>
      </c>
      <c r="N744">
        <f t="shared" si="55"/>
        <v>426.93770788631082</v>
      </c>
      <c r="O744" s="26">
        <f t="shared" si="56"/>
        <v>490.33148875427815</v>
      </c>
    </row>
    <row r="745" spans="1:15" x14ac:dyDescent="0.35">
      <c r="A745" t="s">
        <v>64</v>
      </c>
      <c r="B745">
        <v>10</v>
      </c>
      <c r="C745" t="s">
        <v>63</v>
      </c>
      <c r="D745">
        <v>36</v>
      </c>
      <c r="E745">
        <v>80.167725000000004</v>
      </c>
      <c r="F745">
        <v>3.5319173964930801</v>
      </c>
      <c r="G745" t="s">
        <v>64</v>
      </c>
      <c r="H745">
        <v>10</v>
      </c>
      <c r="I745">
        <v>36</v>
      </c>
      <c r="J745">
        <v>2.3332570291016599</v>
      </c>
      <c r="K745" t="b">
        <f t="shared" si="57"/>
        <v>1</v>
      </c>
      <c r="L745">
        <f t="shared" si="58"/>
        <v>86.032899425594749</v>
      </c>
      <c r="M745">
        <f t="shared" si="59"/>
        <v>172.0657988511895</v>
      </c>
      <c r="N745">
        <f t="shared" si="55"/>
        <v>453.99946926435223</v>
      </c>
      <c r="O745" s="26">
        <f t="shared" si="56"/>
        <v>521.41151167027124</v>
      </c>
    </row>
    <row r="746" spans="1:15" x14ac:dyDescent="0.35">
      <c r="A746" t="s">
        <v>64</v>
      </c>
      <c r="B746">
        <v>10</v>
      </c>
      <c r="C746" t="s">
        <v>63</v>
      </c>
      <c r="D746">
        <v>37</v>
      </c>
      <c r="E746">
        <v>84.944574000000003</v>
      </c>
      <c r="F746">
        <v>3.8672074813982902</v>
      </c>
      <c r="G746" t="s">
        <v>64</v>
      </c>
      <c r="H746">
        <v>10</v>
      </c>
      <c r="I746">
        <v>37</v>
      </c>
      <c r="J746">
        <v>2.4875671020376098</v>
      </c>
      <c r="K746" t="b">
        <f t="shared" si="57"/>
        <v>1</v>
      </c>
      <c r="L746">
        <f t="shared" si="58"/>
        <v>91.299348583435915</v>
      </c>
      <c r="M746">
        <f t="shared" si="59"/>
        <v>182.59869716687183</v>
      </c>
      <c r="N746">
        <f t="shared" si="55"/>
        <v>481.79075769623171</v>
      </c>
      <c r="O746" s="26">
        <f t="shared" si="56"/>
        <v>553.32938535415701</v>
      </c>
    </row>
    <row r="747" spans="1:15" x14ac:dyDescent="0.35">
      <c r="A747" t="s">
        <v>64</v>
      </c>
      <c r="B747">
        <v>10</v>
      </c>
      <c r="C747" t="s">
        <v>63</v>
      </c>
      <c r="D747">
        <v>38</v>
      </c>
      <c r="E747">
        <v>89.721423000000001</v>
      </c>
      <c r="F747">
        <v>4.21725237555634</v>
      </c>
      <c r="G747" t="s">
        <v>64</v>
      </c>
      <c r="H747">
        <v>10</v>
      </c>
      <c r="I747">
        <v>38</v>
      </c>
      <c r="J747">
        <v>2.6433837705582302</v>
      </c>
      <c r="K747" t="b">
        <f t="shared" si="57"/>
        <v>1</v>
      </c>
      <c r="L747">
        <f t="shared" si="58"/>
        <v>96.582059146114574</v>
      </c>
      <c r="M747">
        <f t="shared" si="59"/>
        <v>193.16411829222915</v>
      </c>
      <c r="N747">
        <f t="shared" si="55"/>
        <v>509.66785829084205</v>
      </c>
      <c r="O747" s="26">
        <f t="shared" si="56"/>
        <v>585.34581300675495</v>
      </c>
    </row>
    <row r="748" spans="1:15" x14ac:dyDescent="0.35">
      <c r="A748" t="s">
        <v>64</v>
      </c>
      <c r="B748">
        <v>10</v>
      </c>
      <c r="C748" t="s">
        <v>63</v>
      </c>
      <c r="D748">
        <v>39</v>
      </c>
      <c r="E748">
        <v>94.498272</v>
      </c>
      <c r="F748">
        <v>4.5816094346896499</v>
      </c>
      <c r="G748" t="s">
        <v>64</v>
      </c>
      <c r="H748">
        <v>10</v>
      </c>
      <c r="I748">
        <v>39</v>
      </c>
      <c r="J748">
        <v>2.8002325569070901</v>
      </c>
      <c r="K748" t="b">
        <f t="shared" si="57"/>
        <v>1</v>
      </c>
      <c r="L748">
        <f t="shared" si="58"/>
        <v>101.88011399159674</v>
      </c>
      <c r="M748">
        <f t="shared" si="59"/>
        <v>203.76022798319349</v>
      </c>
      <c r="N748">
        <f t="shared" si="55"/>
        <v>537.62593135407258</v>
      </c>
      <c r="O748" s="26">
        <f t="shared" si="56"/>
        <v>617.45523631270748</v>
      </c>
    </row>
    <row r="749" spans="1:15" x14ac:dyDescent="0.35">
      <c r="A749" t="s">
        <v>64</v>
      </c>
      <c r="B749">
        <v>10</v>
      </c>
      <c r="C749" t="s">
        <v>63</v>
      </c>
      <c r="D749">
        <v>40</v>
      </c>
      <c r="E749">
        <v>99.275120999999999</v>
      </c>
      <c r="F749">
        <v>4.9598492938489596</v>
      </c>
      <c r="G749" t="s">
        <v>64</v>
      </c>
      <c r="H749">
        <v>10</v>
      </c>
      <c r="I749">
        <v>40</v>
      </c>
      <c r="J749">
        <v>2.95780512326857</v>
      </c>
      <c r="K749" t="b">
        <f t="shared" si="57"/>
        <v>1</v>
      </c>
      <c r="L749">
        <f t="shared" si="58"/>
        <v>107.19277541711753</v>
      </c>
      <c r="M749">
        <f t="shared" si="59"/>
        <v>214.38555083423506</v>
      </c>
      <c r="N749">
        <f t="shared" si="55"/>
        <v>565.66108399534312</v>
      </c>
      <c r="O749" s="26">
        <f t="shared" si="56"/>
        <v>649.65318434616677</v>
      </c>
    </row>
    <row r="750" spans="1:15" x14ac:dyDescent="0.35">
      <c r="A750" t="s">
        <v>64</v>
      </c>
      <c r="B750">
        <v>10</v>
      </c>
      <c r="C750" t="s">
        <v>63</v>
      </c>
      <c r="D750">
        <v>41</v>
      </c>
      <c r="E750">
        <v>104.05197</v>
      </c>
      <c r="F750">
        <v>5.3515554690334897</v>
      </c>
      <c r="G750" t="s">
        <v>64</v>
      </c>
      <c r="H750">
        <v>10</v>
      </c>
      <c r="I750">
        <v>41</v>
      </c>
      <c r="J750">
        <v>3.1158960570165801</v>
      </c>
      <c r="K750" t="b">
        <f t="shared" si="57"/>
        <v>1</v>
      </c>
      <c r="L750">
        <f t="shared" si="58"/>
        <v>112.51942152605007</v>
      </c>
      <c r="M750">
        <f t="shared" si="59"/>
        <v>225.03884305210013</v>
      </c>
      <c r="N750">
        <f t="shared" si="55"/>
        <v>593.7700344382589</v>
      </c>
      <c r="O750" s="26">
        <f t="shared" si="56"/>
        <v>681.93588803666705</v>
      </c>
    </row>
    <row r="751" spans="1:15" x14ac:dyDescent="0.35">
      <c r="A751" t="s">
        <v>64</v>
      </c>
      <c r="B751">
        <v>10</v>
      </c>
      <c r="C751" t="s">
        <v>63</v>
      </c>
      <c r="D751">
        <v>42</v>
      </c>
      <c r="E751">
        <v>108.689922</v>
      </c>
      <c r="F751">
        <v>5.7556024653624904</v>
      </c>
      <c r="G751" t="s">
        <v>64</v>
      </c>
      <c r="H751">
        <v>10</v>
      </c>
      <c r="I751">
        <v>42</v>
      </c>
      <c r="J751">
        <v>3.2727937982014499</v>
      </c>
      <c r="K751" t="b">
        <f t="shared" si="57"/>
        <v>1</v>
      </c>
      <c r="L751">
        <f t="shared" si="58"/>
        <v>117.71831826356393</v>
      </c>
      <c r="M751">
        <f t="shared" si="59"/>
        <v>235.43663652712786</v>
      </c>
      <c r="N751">
        <f t="shared" si="55"/>
        <v>621.20484571801546</v>
      </c>
      <c r="O751" s="26">
        <f t="shared" si="56"/>
        <v>713.44435311250868</v>
      </c>
    </row>
    <row r="752" spans="1:15" x14ac:dyDescent="0.35">
      <c r="A752" t="s">
        <v>64</v>
      </c>
      <c r="B752">
        <v>10</v>
      </c>
      <c r="C752" t="s">
        <v>63</v>
      </c>
      <c r="D752">
        <v>43</v>
      </c>
      <c r="E752">
        <v>113.32787399999999</v>
      </c>
      <c r="F752">
        <v>6.1716200582016203</v>
      </c>
      <c r="G752" t="s">
        <v>64</v>
      </c>
      <c r="H752">
        <v>10</v>
      </c>
      <c r="I752">
        <v>43</v>
      </c>
      <c r="J752">
        <v>3.42898340623326</v>
      </c>
      <c r="K752" t="b">
        <f t="shared" si="57"/>
        <v>1</v>
      </c>
      <c r="L752">
        <f t="shared" si="58"/>
        <v>122.92847746443488</v>
      </c>
      <c r="M752">
        <f t="shared" si="59"/>
        <v>245.85695492886975</v>
      </c>
      <c r="N752">
        <f t="shared" si="55"/>
        <v>648.6990895220838</v>
      </c>
      <c r="O752" s="26">
        <f t="shared" si="56"/>
        <v>745.02107554202951</v>
      </c>
    </row>
    <row r="753" spans="1:15" x14ac:dyDescent="0.35">
      <c r="A753" t="s">
        <v>64</v>
      </c>
      <c r="B753">
        <v>10</v>
      </c>
      <c r="C753" t="s">
        <v>63</v>
      </c>
      <c r="D753">
        <v>44</v>
      </c>
      <c r="E753">
        <v>117.73910090839</v>
      </c>
      <c r="F753">
        <v>6.7972549663002901</v>
      </c>
      <c r="G753" t="s">
        <v>64</v>
      </c>
      <c r="H753">
        <v>10</v>
      </c>
      <c r="I753">
        <v>44</v>
      </c>
      <c r="J753">
        <v>3.5821822972492701</v>
      </c>
      <c r="K753" t="b">
        <f t="shared" si="57"/>
        <v>1</v>
      </c>
      <c r="L753">
        <f t="shared" si="58"/>
        <v>128.11853817193955</v>
      </c>
      <c r="M753">
        <f t="shared" si="59"/>
        <v>256.2370763438791</v>
      </c>
      <c r="N753">
        <f t="shared" si="55"/>
        <v>676.08727267514269</v>
      </c>
      <c r="O753" s="26">
        <f t="shared" si="56"/>
        <v>776.47598892084568</v>
      </c>
    </row>
    <row r="754" spans="1:15" x14ac:dyDescent="0.35">
      <c r="A754" t="s">
        <v>64</v>
      </c>
      <c r="B754">
        <v>10</v>
      </c>
      <c r="C754" t="s">
        <v>63</v>
      </c>
      <c r="D754">
        <v>45</v>
      </c>
      <c r="E754">
        <v>121.983903262558</v>
      </c>
      <c r="F754">
        <v>7.5697987089563101</v>
      </c>
      <c r="G754" t="s">
        <v>64</v>
      </c>
      <c r="H754">
        <v>10</v>
      </c>
      <c r="I754">
        <v>45</v>
      </c>
      <c r="J754">
        <v>3.73162523008184</v>
      </c>
      <c r="K754" t="b">
        <f t="shared" si="57"/>
        <v>1</v>
      </c>
      <c r="L754">
        <f t="shared" si="58"/>
        <v>133.28532720159615</v>
      </c>
      <c r="M754">
        <f t="shared" si="59"/>
        <v>266.57065440319229</v>
      </c>
      <c r="N754">
        <f t="shared" si="55"/>
        <v>703.35265014034906</v>
      </c>
      <c r="O754" s="26">
        <f t="shared" si="56"/>
        <v>807.78986182785536</v>
      </c>
    </row>
    <row r="755" spans="1:15" x14ac:dyDescent="0.35">
      <c r="A755" t="s">
        <v>64</v>
      </c>
      <c r="B755">
        <v>10</v>
      </c>
      <c r="C755" t="s">
        <v>63</v>
      </c>
      <c r="D755">
        <v>46</v>
      </c>
      <c r="E755">
        <v>126.116169636946</v>
      </c>
      <c r="F755">
        <v>8.4351499651916999</v>
      </c>
      <c r="G755" t="s">
        <v>64</v>
      </c>
      <c r="H755">
        <v>10</v>
      </c>
      <c r="I755">
        <v>46</v>
      </c>
      <c r="J755">
        <v>3.877411071849</v>
      </c>
      <c r="K755" t="b">
        <f t="shared" si="57"/>
        <v>1</v>
      </c>
      <c r="L755">
        <f t="shared" si="58"/>
        <v>138.42873067398671</v>
      </c>
      <c r="M755">
        <f t="shared" si="59"/>
        <v>276.85746134797341</v>
      </c>
      <c r="N755">
        <f t="shared" si="55"/>
        <v>730.49462097090611</v>
      </c>
      <c r="O755" s="26">
        <f t="shared" si="56"/>
        <v>838.96200408476784</v>
      </c>
    </row>
    <row r="756" spans="1:15" x14ac:dyDescent="0.35">
      <c r="A756" t="s">
        <v>64</v>
      </c>
      <c r="B756">
        <v>10</v>
      </c>
      <c r="C756" t="s">
        <v>63</v>
      </c>
      <c r="D756">
        <v>47</v>
      </c>
      <c r="E756">
        <v>129.87170156681501</v>
      </c>
      <c r="F756">
        <v>9.30128074573798</v>
      </c>
      <c r="G756" t="s">
        <v>64</v>
      </c>
      <c r="H756">
        <v>10</v>
      </c>
      <c r="I756">
        <v>47</v>
      </c>
      <c r="J756">
        <v>4.0165849981584998</v>
      </c>
      <c r="K756" t="b">
        <f t="shared" si="57"/>
        <v>1</v>
      </c>
      <c r="L756">
        <f t="shared" si="58"/>
        <v>143.18956731071148</v>
      </c>
      <c r="M756">
        <f t="shared" si="59"/>
        <v>286.37913462142296</v>
      </c>
      <c r="N756">
        <f t="shared" si="55"/>
        <v>755.61776944966482</v>
      </c>
      <c r="O756" s="26">
        <f t="shared" si="56"/>
        <v>867.81555945885748</v>
      </c>
    </row>
    <row r="757" spans="1:15" x14ac:dyDescent="0.35">
      <c r="A757" t="s">
        <v>64</v>
      </c>
      <c r="B757">
        <v>10</v>
      </c>
      <c r="C757" t="s">
        <v>63</v>
      </c>
      <c r="D757">
        <v>48</v>
      </c>
      <c r="E757">
        <v>133.60789156466601</v>
      </c>
      <c r="F757">
        <v>10.172515790191699</v>
      </c>
      <c r="G757" t="s">
        <v>64</v>
      </c>
      <c r="H757">
        <v>10</v>
      </c>
      <c r="I757">
        <v>48</v>
      </c>
      <c r="J757">
        <v>4.1513124160479702</v>
      </c>
      <c r="K757" t="b">
        <f t="shared" si="57"/>
        <v>1</v>
      </c>
      <c r="L757">
        <f t="shared" si="58"/>
        <v>147.93171977090569</v>
      </c>
      <c r="M757">
        <f t="shared" si="59"/>
        <v>295.86343954181137</v>
      </c>
      <c r="N757">
        <f t="shared" si="55"/>
        <v>780.64232069079515</v>
      </c>
      <c r="O757" s="26">
        <f t="shared" si="56"/>
        <v>896.55587739942837</v>
      </c>
    </row>
    <row r="758" spans="1:15" x14ac:dyDescent="0.35">
      <c r="A758" t="s">
        <v>64</v>
      </c>
      <c r="B758">
        <v>10</v>
      </c>
      <c r="C758" t="s">
        <v>63</v>
      </c>
      <c r="D758">
        <v>49</v>
      </c>
      <c r="E758">
        <v>137.321663409895</v>
      </c>
      <c r="F758">
        <v>11.051328806806501</v>
      </c>
      <c r="G758" t="s">
        <v>64</v>
      </c>
      <c r="H758">
        <v>10</v>
      </c>
      <c r="I758">
        <v>49</v>
      </c>
      <c r="J758">
        <v>4.2828792403442799</v>
      </c>
      <c r="K758" t="b">
        <f t="shared" si="57"/>
        <v>1</v>
      </c>
      <c r="L758">
        <f t="shared" si="58"/>
        <v>152.65587145704578</v>
      </c>
      <c r="M758">
        <f t="shared" si="59"/>
        <v>305.31174291409155</v>
      </c>
      <c r="N758">
        <f t="shared" si="55"/>
        <v>805.57188103981935</v>
      </c>
      <c r="O758" s="26">
        <f t="shared" si="56"/>
        <v>925.18709973967134</v>
      </c>
    </row>
    <row r="759" spans="1:15" x14ac:dyDescent="0.35">
      <c r="A759" t="s">
        <v>64</v>
      </c>
      <c r="B759">
        <v>10</v>
      </c>
      <c r="C759" t="s">
        <v>63</v>
      </c>
      <c r="D759">
        <v>50</v>
      </c>
      <c r="E759">
        <v>141.01106280317799</v>
      </c>
      <c r="F759">
        <v>11.9390864599587</v>
      </c>
      <c r="G759" t="s">
        <v>64</v>
      </c>
      <c r="H759">
        <v>10</v>
      </c>
      <c r="I759">
        <v>50</v>
      </c>
      <c r="J759">
        <v>4.4120623556257303</v>
      </c>
      <c r="K759" t="b">
        <f t="shared" si="57"/>
        <v>1</v>
      </c>
      <c r="L759">
        <f t="shared" si="58"/>
        <v>157.36221161876242</v>
      </c>
      <c r="M759">
        <f t="shared" si="59"/>
        <v>314.72442323752483</v>
      </c>
      <c r="N759">
        <f t="shared" si="55"/>
        <v>830.40744917552729</v>
      </c>
      <c r="O759" s="26">
        <f t="shared" si="56"/>
        <v>953.71037344704484</v>
      </c>
    </row>
    <row r="760" spans="1:15" x14ac:dyDescent="0.35">
      <c r="A760" t="s">
        <v>64</v>
      </c>
      <c r="B760">
        <v>10</v>
      </c>
      <c r="C760" t="s">
        <v>63</v>
      </c>
      <c r="D760">
        <v>51</v>
      </c>
      <c r="E760">
        <v>144.67480956276</v>
      </c>
      <c r="F760">
        <v>12.836493078097201</v>
      </c>
      <c r="G760" t="s">
        <v>64</v>
      </c>
      <c r="H760">
        <v>10</v>
      </c>
      <c r="I760">
        <v>51</v>
      </c>
      <c r="J760">
        <v>4.5393406604329902</v>
      </c>
      <c r="K760" t="b">
        <f t="shared" si="57"/>
        <v>1</v>
      </c>
      <c r="L760">
        <f t="shared" si="58"/>
        <v>162.05064330129019</v>
      </c>
      <c r="M760">
        <f t="shared" si="59"/>
        <v>324.10128660258039</v>
      </c>
      <c r="N760">
        <f t="shared" si="55"/>
        <v>855.14851346327282</v>
      </c>
      <c r="O760" s="26">
        <f t="shared" si="56"/>
        <v>982.12511091691022</v>
      </c>
    </row>
    <row r="761" spans="1:15" x14ac:dyDescent="0.35">
      <c r="A761" t="s">
        <v>64</v>
      </c>
      <c r="B761">
        <v>10</v>
      </c>
      <c r="C761" t="s">
        <v>63</v>
      </c>
      <c r="D761">
        <v>52</v>
      </c>
      <c r="E761">
        <v>147.90209264135299</v>
      </c>
      <c r="F761">
        <v>13.682739751520501</v>
      </c>
      <c r="G761" t="s">
        <v>64</v>
      </c>
      <c r="H761">
        <v>10</v>
      </c>
      <c r="I761">
        <v>52</v>
      </c>
      <c r="J761">
        <v>4.6603785918017602</v>
      </c>
      <c r="K761" t="b">
        <f t="shared" si="57"/>
        <v>1</v>
      </c>
      <c r="L761">
        <f t="shared" si="58"/>
        <v>166.24521098467525</v>
      </c>
      <c r="M761">
        <f t="shared" si="59"/>
        <v>332.49042196935051</v>
      </c>
      <c r="N761">
        <f t="shared" si="55"/>
        <v>877.28343527533116</v>
      </c>
      <c r="O761" s="26">
        <f t="shared" si="56"/>
        <v>1007.546733240456</v>
      </c>
    </row>
    <row r="762" spans="1:15" x14ac:dyDescent="0.35">
      <c r="A762" t="s">
        <v>64</v>
      </c>
      <c r="B762">
        <v>10</v>
      </c>
      <c r="C762" t="s">
        <v>63</v>
      </c>
      <c r="D762">
        <v>53</v>
      </c>
      <c r="E762">
        <v>151.145249268588</v>
      </c>
      <c r="F762">
        <v>14.5019049740933</v>
      </c>
      <c r="G762" t="s">
        <v>64</v>
      </c>
      <c r="H762">
        <v>10</v>
      </c>
      <c r="I762">
        <v>53</v>
      </c>
      <c r="J762">
        <v>4.7775787352861601</v>
      </c>
      <c r="K762" t="b">
        <f t="shared" si="57"/>
        <v>1</v>
      </c>
      <c r="L762">
        <f t="shared" si="58"/>
        <v>170.42473297796747</v>
      </c>
      <c r="M762">
        <f t="shared" si="59"/>
        <v>340.84946595593493</v>
      </c>
      <c r="N762">
        <f t="shared" si="55"/>
        <v>899.33896030589688</v>
      </c>
      <c r="O762" s="26">
        <f t="shared" si="56"/>
        <v>1032.8771695634391</v>
      </c>
    </row>
    <row r="763" spans="1:15" x14ac:dyDescent="0.35">
      <c r="A763" t="s">
        <v>64</v>
      </c>
      <c r="B763">
        <v>10</v>
      </c>
      <c r="C763" t="s">
        <v>63</v>
      </c>
      <c r="D763">
        <v>54</v>
      </c>
      <c r="E763">
        <v>154.38971621582499</v>
      </c>
      <c r="F763">
        <v>15.308008253554799</v>
      </c>
      <c r="G763" t="s">
        <v>64</v>
      </c>
      <c r="H763">
        <v>10</v>
      </c>
      <c r="I763">
        <v>54</v>
      </c>
      <c r="J763">
        <v>4.8922561588501496</v>
      </c>
      <c r="K763" t="b">
        <f t="shared" si="57"/>
        <v>1</v>
      </c>
      <c r="L763">
        <f t="shared" si="58"/>
        <v>174.58998062822994</v>
      </c>
      <c r="M763">
        <f t="shared" si="59"/>
        <v>349.17996125645988</v>
      </c>
      <c r="N763">
        <f t="shared" ref="N763:N826" si="60">M763/(1-0.621)</f>
        <v>921.31915898802072</v>
      </c>
      <c r="O763" s="26">
        <f t="shared" ref="O763:O826" si="61">M763/0.33</f>
        <v>1058.121094716545</v>
      </c>
    </row>
    <row r="764" spans="1:15" x14ac:dyDescent="0.35">
      <c r="A764" t="s">
        <v>64</v>
      </c>
      <c r="B764">
        <v>10</v>
      </c>
      <c r="C764" t="s">
        <v>63</v>
      </c>
      <c r="D764">
        <v>55</v>
      </c>
      <c r="E764">
        <v>157.62693310539601</v>
      </c>
      <c r="F764">
        <v>16.109144699591099</v>
      </c>
      <c r="G764" t="s">
        <v>64</v>
      </c>
      <c r="H764">
        <v>10</v>
      </c>
      <c r="I764">
        <v>55</v>
      </c>
      <c r="J764">
        <v>5.0051406775160601</v>
      </c>
      <c r="K764" t="b">
        <f t="shared" si="57"/>
        <v>1</v>
      </c>
      <c r="L764">
        <f t="shared" si="58"/>
        <v>178.74121848250317</v>
      </c>
      <c r="M764">
        <f t="shared" si="59"/>
        <v>357.48243696500634</v>
      </c>
      <c r="N764">
        <f t="shared" si="60"/>
        <v>943.22542734830165</v>
      </c>
      <c r="O764" s="26">
        <f t="shared" si="61"/>
        <v>1083.2801120151707</v>
      </c>
    </row>
    <row r="765" spans="1:15" x14ac:dyDescent="0.35">
      <c r="A765" t="s">
        <v>64</v>
      </c>
      <c r="B765">
        <v>10</v>
      </c>
      <c r="C765" t="s">
        <v>63</v>
      </c>
      <c r="D765">
        <v>56</v>
      </c>
      <c r="E765">
        <v>160.85185776344801</v>
      </c>
      <c r="F765">
        <v>16.9099412890046</v>
      </c>
      <c r="G765" t="s">
        <v>64</v>
      </c>
      <c r="H765">
        <v>10</v>
      </c>
      <c r="I765">
        <v>56</v>
      </c>
      <c r="J765">
        <v>5.11664600922317</v>
      </c>
      <c r="K765" t="b">
        <f t="shared" si="57"/>
        <v>1</v>
      </c>
      <c r="L765">
        <f t="shared" si="58"/>
        <v>182.87844506167576</v>
      </c>
      <c r="M765">
        <f t="shared" si="59"/>
        <v>365.75689012335152</v>
      </c>
      <c r="N765">
        <f t="shared" si="60"/>
        <v>965.05775758140248</v>
      </c>
      <c r="O765" s="26">
        <f t="shared" si="61"/>
        <v>1108.3542124950045</v>
      </c>
    </row>
    <row r="766" spans="1:15" x14ac:dyDescent="0.35">
      <c r="A766" t="s">
        <v>64</v>
      </c>
      <c r="B766">
        <v>10</v>
      </c>
      <c r="C766" t="s">
        <v>63</v>
      </c>
      <c r="D766">
        <v>57</v>
      </c>
      <c r="E766">
        <v>163.62344884184799</v>
      </c>
      <c r="F766">
        <v>17.665830066199401</v>
      </c>
      <c r="G766" t="s">
        <v>64</v>
      </c>
      <c r="H766">
        <v>10</v>
      </c>
      <c r="I766">
        <v>57</v>
      </c>
      <c r="J766">
        <v>5.2220582075476596</v>
      </c>
      <c r="K766" t="b">
        <f t="shared" si="57"/>
        <v>1</v>
      </c>
      <c r="L766">
        <f t="shared" si="58"/>
        <v>186.51133711559504</v>
      </c>
      <c r="M766">
        <f t="shared" si="59"/>
        <v>373.02267423119008</v>
      </c>
      <c r="N766">
        <f t="shared" si="60"/>
        <v>984.22869190287622</v>
      </c>
      <c r="O766" s="26">
        <f t="shared" si="61"/>
        <v>1130.3717400945154</v>
      </c>
    </row>
    <row r="767" spans="1:15" x14ac:dyDescent="0.35">
      <c r="A767" t="s">
        <v>64</v>
      </c>
      <c r="B767">
        <v>10</v>
      </c>
      <c r="C767" t="s">
        <v>63</v>
      </c>
      <c r="D767">
        <v>58</v>
      </c>
      <c r="E767">
        <v>166.409888687739</v>
      </c>
      <c r="F767">
        <v>18.3972582556924</v>
      </c>
      <c r="G767" t="s">
        <v>64</v>
      </c>
      <c r="H767">
        <v>10</v>
      </c>
      <c r="I767">
        <v>58</v>
      </c>
      <c r="J767">
        <v>5.3237238559010098</v>
      </c>
      <c r="K767" t="b">
        <f t="shared" si="57"/>
        <v>1</v>
      </c>
      <c r="L767">
        <f t="shared" si="58"/>
        <v>190.13087079933243</v>
      </c>
      <c r="M767">
        <f t="shared" si="59"/>
        <v>380.26174159866486</v>
      </c>
      <c r="N767">
        <f t="shared" si="60"/>
        <v>1003.329133505712</v>
      </c>
      <c r="O767" s="26">
        <f t="shared" si="61"/>
        <v>1152.308307874742</v>
      </c>
    </row>
    <row r="768" spans="1:15" x14ac:dyDescent="0.35">
      <c r="A768" t="s">
        <v>64</v>
      </c>
      <c r="B768">
        <v>10</v>
      </c>
      <c r="C768" t="s">
        <v>63</v>
      </c>
      <c r="D768">
        <v>59</v>
      </c>
      <c r="E768">
        <v>169.19900440206999</v>
      </c>
      <c r="F768">
        <v>19.115994207302599</v>
      </c>
      <c r="G768" t="s">
        <v>64</v>
      </c>
      <c r="H768">
        <v>10</v>
      </c>
      <c r="I768">
        <v>59</v>
      </c>
      <c r="J768">
        <v>5.4229483216708996</v>
      </c>
      <c r="K768" t="b">
        <f t="shared" si="57"/>
        <v>1</v>
      </c>
      <c r="L768">
        <f t="shared" si="58"/>
        <v>193.7379469310435</v>
      </c>
      <c r="M768">
        <f t="shared" si="59"/>
        <v>387.47589386208699</v>
      </c>
      <c r="N768">
        <f t="shared" si="60"/>
        <v>1022.3638360477229</v>
      </c>
      <c r="O768" s="26">
        <f t="shared" si="61"/>
        <v>1174.1693753396576</v>
      </c>
    </row>
    <row r="769" spans="1:15" x14ac:dyDescent="0.35">
      <c r="A769" t="s">
        <v>64</v>
      </c>
      <c r="B769">
        <v>10</v>
      </c>
      <c r="C769" t="s">
        <v>63</v>
      </c>
      <c r="D769">
        <v>60</v>
      </c>
      <c r="E769">
        <v>171.98373465245999</v>
      </c>
      <c r="F769">
        <v>19.828771338081001</v>
      </c>
      <c r="G769" t="s">
        <v>64</v>
      </c>
      <c r="H769">
        <v>10</v>
      </c>
      <c r="I769">
        <v>60</v>
      </c>
      <c r="J769">
        <v>5.5204706684951796</v>
      </c>
      <c r="K769" t="b">
        <f t="shared" si="57"/>
        <v>1</v>
      </c>
      <c r="L769">
        <f t="shared" si="58"/>
        <v>197.33297665903618</v>
      </c>
      <c r="M769">
        <f t="shared" si="59"/>
        <v>394.66595331807235</v>
      </c>
      <c r="N769">
        <f t="shared" si="60"/>
        <v>1041.334969176972</v>
      </c>
      <c r="O769" s="26">
        <f t="shared" si="61"/>
        <v>1195.9574342971889</v>
      </c>
    </row>
    <row r="770" spans="1:15" x14ac:dyDescent="0.35">
      <c r="A770" t="s">
        <v>64</v>
      </c>
      <c r="B770">
        <v>10</v>
      </c>
      <c r="C770" t="s">
        <v>63</v>
      </c>
      <c r="D770">
        <v>61</v>
      </c>
      <c r="E770">
        <v>174.759976429978</v>
      </c>
      <c r="F770">
        <v>20.539411986140799</v>
      </c>
      <c r="G770" t="s">
        <v>64</v>
      </c>
      <c r="H770">
        <v>10</v>
      </c>
      <c r="I770">
        <v>61</v>
      </c>
      <c r="J770">
        <v>5.61671980847456</v>
      </c>
      <c r="K770" t="b">
        <f t="shared" ref="K770:K833" si="62">H770=B770</f>
        <v>1</v>
      </c>
      <c r="L770">
        <f t="shared" ref="L770:L833" si="63">E770+F770+J770</f>
        <v>200.91610822459336</v>
      </c>
      <c r="M770">
        <f t="shared" ref="M770:M833" si="64">L770*2</f>
        <v>401.83221644918672</v>
      </c>
      <c r="N770">
        <f t="shared" si="60"/>
        <v>1060.2433151693581</v>
      </c>
      <c r="O770" s="26">
        <f t="shared" si="61"/>
        <v>1217.6733831793536</v>
      </c>
    </row>
    <row r="771" spans="1:15" x14ac:dyDescent="0.35">
      <c r="A771" t="s">
        <v>64</v>
      </c>
      <c r="B771">
        <v>10</v>
      </c>
      <c r="C771" t="s">
        <v>63</v>
      </c>
      <c r="D771">
        <v>62</v>
      </c>
      <c r="E771">
        <v>177.131962669888</v>
      </c>
      <c r="F771">
        <v>21.2116142016997</v>
      </c>
      <c r="G771" t="s">
        <v>64</v>
      </c>
      <c r="H771">
        <v>10</v>
      </c>
      <c r="I771">
        <v>62</v>
      </c>
      <c r="J771">
        <v>5.7075027056159202</v>
      </c>
      <c r="K771" t="b">
        <f t="shared" si="62"/>
        <v>1</v>
      </c>
      <c r="L771">
        <f t="shared" si="63"/>
        <v>204.05107957720361</v>
      </c>
      <c r="M771">
        <f t="shared" si="64"/>
        <v>408.10215915440722</v>
      </c>
      <c r="N771">
        <f t="shared" si="60"/>
        <v>1076.7866996158502</v>
      </c>
      <c r="O771" s="26">
        <f t="shared" si="61"/>
        <v>1236.6732095588097</v>
      </c>
    </row>
    <row r="772" spans="1:15" x14ac:dyDescent="0.35">
      <c r="A772" t="s">
        <v>64</v>
      </c>
      <c r="B772">
        <v>10</v>
      </c>
      <c r="C772" t="s">
        <v>63</v>
      </c>
      <c r="D772">
        <v>63</v>
      </c>
      <c r="E772">
        <v>179.51705120774</v>
      </c>
      <c r="F772">
        <v>21.862404558304</v>
      </c>
      <c r="G772" t="s">
        <v>64</v>
      </c>
      <c r="H772">
        <v>10</v>
      </c>
      <c r="I772">
        <v>63</v>
      </c>
      <c r="J772">
        <v>5.79491812894919</v>
      </c>
      <c r="K772" t="b">
        <f t="shared" si="62"/>
        <v>1</v>
      </c>
      <c r="L772">
        <f t="shared" si="63"/>
        <v>207.17437389499318</v>
      </c>
      <c r="M772">
        <f t="shared" si="64"/>
        <v>414.34874778998636</v>
      </c>
      <c r="N772">
        <f t="shared" si="60"/>
        <v>1093.2684638258215</v>
      </c>
      <c r="O772" s="26">
        <f t="shared" si="61"/>
        <v>1255.6022660302617</v>
      </c>
    </row>
    <row r="773" spans="1:15" x14ac:dyDescent="0.35">
      <c r="A773" t="s">
        <v>64</v>
      </c>
      <c r="B773">
        <v>10</v>
      </c>
      <c r="C773" t="s">
        <v>63</v>
      </c>
      <c r="D773">
        <v>64</v>
      </c>
      <c r="E773">
        <v>181.9052041601</v>
      </c>
      <c r="F773">
        <v>22.501512912988499</v>
      </c>
      <c r="G773" t="s">
        <v>64</v>
      </c>
      <c r="H773">
        <v>10</v>
      </c>
      <c r="I773">
        <v>64</v>
      </c>
      <c r="J773">
        <v>5.8801442094729701</v>
      </c>
      <c r="K773" t="b">
        <f t="shared" si="62"/>
        <v>1</v>
      </c>
      <c r="L773">
        <f t="shared" si="63"/>
        <v>210.28686128256146</v>
      </c>
      <c r="M773">
        <f t="shared" si="64"/>
        <v>420.57372256512292</v>
      </c>
      <c r="N773">
        <f t="shared" si="60"/>
        <v>1109.6931993802716</v>
      </c>
      <c r="O773" s="26">
        <f t="shared" si="61"/>
        <v>1274.4658259549178</v>
      </c>
    </row>
    <row r="774" spans="1:15" x14ac:dyDescent="0.35">
      <c r="A774" t="s">
        <v>64</v>
      </c>
      <c r="B774">
        <v>10</v>
      </c>
      <c r="C774" t="s">
        <v>63</v>
      </c>
      <c r="D774">
        <v>65</v>
      </c>
      <c r="E774">
        <v>184.276542469106</v>
      </c>
      <c r="F774">
        <v>23.134474317186001</v>
      </c>
      <c r="G774" t="s">
        <v>64</v>
      </c>
      <c r="H774">
        <v>10</v>
      </c>
      <c r="I774">
        <v>65</v>
      </c>
      <c r="J774">
        <v>5.9638554960159897</v>
      </c>
      <c r="K774" t="b">
        <f t="shared" si="62"/>
        <v>1</v>
      </c>
      <c r="L774">
        <f t="shared" si="63"/>
        <v>213.37487228230799</v>
      </c>
      <c r="M774">
        <f t="shared" si="64"/>
        <v>426.74974456461598</v>
      </c>
      <c r="N774">
        <f t="shared" si="60"/>
        <v>1125.9887719383007</v>
      </c>
      <c r="O774" s="26">
        <f t="shared" si="61"/>
        <v>1293.1810441352</v>
      </c>
    </row>
    <row r="775" spans="1:15" x14ac:dyDescent="0.35">
      <c r="A775" t="s">
        <v>64</v>
      </c>
      <c r="B775">
        <v>10</v>
      </c>
      <c r="C775" t="s">
        <v>63</v>
      </c>
      <c r="D775">
        <v>66</v>
      </c>
      <c r="E775">
        <v>186.62994752772599</v>
      </c>
      <c r="F775">
        <v>23.764417435027902</v>
      </c>
      <c r="G775" t="s">
        <v>64</v>
      </c>
      <c r="H775">
        <v>10</v>
      </c>
      <c r="I775">
        <v>66</v>
      </c>
      <c r="J775">
        <v>6.0464486354097202</v>
      </c>
      <c r="K775" t="b">
        <f t="shared" si="62"/>
        <v>1</v>
      </c>
      <c r="L775">
        <f t="shared" si="63"/>
        <v>216.4408135981636</v>
      </c>
      <c r="M775">
        <f t="shared" si="64"/>
        <v>432.8816271963272</v>
      </c>
      <c r="N775">
        <f t="shared" si="60"/>
        <v>1142.1678817845045</v>
      </c>
      <c r="O775" s="26">
        <f t="shared" si="61"/>
        <v>1311.762506655537</v>
      </c>
    </row>
    <row r="776" spans="1:15" x14ac:dyDescent="0.35">
      <c r="A776" t="s">
        <v>64</v>
      </c>
      <c r="B776">
        <v>10</v>
      </c>
      <c r="C776" t="s">
        <v>63</v>
      </c>
      <c r="D776">
        <v>67</v>
      </c>
      <c r="E776">
        <v>188.66374621254599</v>
      </c>
      <c r="F776">
        <v>24.355332471987499</v>
      </c>
      <c r="G776" t="s">
        <v>64</v>
      </c>
      <c r="H776">
        <v>10</v>
      </c>
      <c r="I776">
        <v>67</v>
      </c>
      <c r="J776">
        <v>6.1245992358667003</v>
      </c>
      <c r="K776" t="b">
        <f t="shared" si="62"/>
        <v>1</v>
      </c>
      <c r="L776">
        <f t="shared" si="63"/>
        <v>219.14367792040019</v>
      </c>
      <c r="M776">
        <f t="shared" si="64"/>
        <v>438.28735584080039</v>
      </c>
      <c r="N776">
        <f t="shared" si="60"/>
        <v>1156.4310180496052</v>
      </c>
      <c r="O776" s="26">
        <f t="shared" si="61"/>
        <v>1328.14350254788</v>
      </c>
    </row>
    <row r="777" spans="1:15" x14ac:dyDescent="0.35">
      <c r="A777" t="s">
        <v>64</v>
      </c>
      <c r="B777">
        <v>10</v>
      </c>
      <c r="C777" t="s">
        <v>63</v>
      </c>
      <c r="D777">
        <v>68</v>
      </c>
      <c r="E777">
        <v>190.71305479570401</v>
      </c>
      <c r="F777">
        <v>24.924289240007301</v>
      </c>
      <c r="G777" t="s">
        <v>64</v>
      </c>
      <c r="H777">
        <v>10</v>
      </c>
      <c r="I777">
        <v>68</v>
      </c>
      <c r="J777">
        <v>6.200062881789</v>
      </c>
      <c r="K777" t="b">
        <f t="shared" si="62"/>
        <v>1</v>
      </c>
      <c r="L777">
        <f t="shared" si="63"/>
        <v>221.83740691750032</v>
      </c>
      <c r="M777">
        <f t="shared" si="64"/>
        <v>443.67481383500063</v>
      </c>
      <c r="N777">
        <f t="shared" si="60"/>
        <v>1170.645946794197</v>
      </c>
      <c r="O777" s="26">
        <f t="shared" si="61"/>
        <v>1344.4691328333352</v>
      </c>
    </row>
    <row r="778" spans="1:15" x14ac:dyDescent="0.35">
      <c r="A778" t="s">
        <v>64</v>
      </c>
      <c r="B778">
        <v>10</v>
      </c>
      <c r="C778" t="s">
        <v>63</v>
      </c>
      <c r="D778">
        <v>69</v>
      </c>
      <c r="E778">
        <v>192.76798413210901</v>
      </c>
      <c r="F778">
        <v>25.4809977056821</v>
      </c>
      <c r="G778" t="s">
        <v>64</v>
      </c>
      <c r="H778">
        <v>10</v>
      </c>
      <c r="I778">
        <v>69</v>
      </c>
      <c r="J778">
        <v>6.2738095902264801</v>
      </c>
      <c r="K778" t="b">
        <f t="shared" si="62"/>
        <v>1</v>
      </c>
      <c r="L778">
        <f t="shared" si="63"/>
        <v>224.5227914280176</v>
      </c>
      <c r="M778">
        <f t="shared" si="64"/>
        <v>449.0455828560352</v>
      </c>
      <c r="N778">
        <f t="shared" si="60"/>
        <v>1184.8168413087999</v>
      </c>
      <c r="O778" s="26">
        <f t="shared" si="61"/>
        <v>1360.7441904728339</v>
      </c>
    </row>
    <row r="779" spans="1:15" x14ac:dyDescent="0.35">
      <c r="A779" t="s">
        <v>64</v>
      </c>
      <c r="B779">
        <v>10</v>
      </c>
      <c r="C779" t="s">
        <v>63</v>
      </c>
      <c r="D779">
        <v>70</v>
      </c>
      <c r="E779">
        <v>194.82287984165799</v>
      </c>
      <c r="F779">
        <v>26.030959934454</v>
      </c>
      <c r="G779" t="s">
        <v>64</v>
      </c>
      <c r="H779">
        <v>10</v>
      </c>
      <c r="I779">
        <v>70</v>
      </c>
      <c r="J779">
        <v>6.3463857514442701</v>
      </c>
      <c r="K779" t="b">
        <f t="shared" si="62"/>
        <v>1</v>
      </c>
      <c r="L779">
        <f t="shared" si="63"/>
        <v>227.20022552755626</v>
      </c>
      <c r="M779">
        <f t="shared" si="64"/>
        <v>454.40045105511251</v>
      </c>
      <c r="N779">
        <f t="shared" si="60"/>
        <v>1198.945781148054</v>
      </c>
      <c r="O779" s="26">
        <f t="shared" si="61"/>
        <v>1376.9710638033712</v>
      </c>
    </row>
    <row r="780" spans="1:15" x14ac:dyDescent="0.35">
      <c r="A780" t="s">
        <v>64</v>
      </c>
      <c r="B780">
        <v>10</v>
      </c>
      <c r="C780" t="s">
        <v>63</v>
      </c>
      <c r="D780">
        <v>71</v>
      </c>
      <c r="E780">
        <v>196.87450701341101</v>
      </c>
      <c r="F780">
        <v>26.577276323657198</v>
      </c>
      <c r="G780" t="s">
        <v>64</v>
      </c>
      <c r="H780">
        <v>10</v>
      </c>
      <c r="I780">
        <v>71</v>
      </c>
      <c r="J780">
        <v>6.4181076182102501</v>
      </c>
      <c r="K780" t="b">
        <f t="shared" si="62"/>
        <v>1</v>
      </c>
      <c r="L780">
        <f t="shared" si="63"/>
        <v>229.86989095527846</v>
      </c>
      <c r="M780">
        <f t="shared" si="64"/>
        <v>459.73978191055693</v>
      </c>
      <c r="N780">
        <f t="shared" si="60"/>
        <v>1213.0337253576699</v>
      </c>
      <c r="O780" s="26">
        <f t="shared" si="61"/>
        <v>1393.1508542744148</v>
      </c>
    </row>
    <row r="781" spans="1:15" x14ac:dyDescent="0.35">
      <c r="A781" t="s">
        <v>64</v>
      </c>
      <c r="B781">
        <v>10</v>
      </c>
      <c r="C781" t="s">
        <v>63</v>
      </c>
      <c r="D781">
        <v>72</v>
      </c>
      <c r="E781">
        <v>198.65337185296499</v>
      </c>
      <c r="F781">
        <v>27.082117983954301</v>
      </c>
      <c r="G781" t="s">
        <v>64</v>
      </c>
      <c r="H781">
        <v>10</v>
      </c>
      <c r="I781">
        <v>72</v>
      </c>
      <c r="J781">
        <v>6.4861036713256102</v>
      </c>
      <c r="K781" t="b">
        <f t="shared" si="62"/>
        <v>1</v>
      </c>
      <c r="L781">
        <f t="shared" si="63"/>
        <v>232.22159350824492</v>
      </c>
      <c r="M781">
        <f t="shared" si="64"/>
        <v>464.44318701648984</v>
      </c>
      <c r="N781">
        <f t="shared" si="60"/>
        <v>1225.4437652150127</v>
      </c>
      <c r="O781" s="26">
        <f t="shared" si="61"/>
        <v>1407.4035970196662</v>
      </c>
    </row>
    <row r="782" spans="1:15" x14ac:dyDescent="0.35">
      <c r="A782" t="s">
        <v>64</v>
      </c>
      <c r="B782">
        <v>10</v>
      </c>
      <c r="C782" t="s">
        <v>63</v>
      </c>
      <c r="D782">
        <v>73</v>
      </c>
      <c r="E782">
        <v>200.45154622976801</v>
      </c>
      <c r="F782">
        <v>27.563759619746701</v>
      </c>
      <c r="G782" t="s">
        <v>64</v>
      </c>
      <c r="H782">
        <v>10</v>
      </c>
      <c r="I782">
        <v>73</v>
      </c>
      <c r="J782">
        <v>6.55192017491746</v>
      </c>
      <c r="K782" t="b">
        <f t="shared" si="62"/>
        <v>1</v>
      </c>
      <c r="L782">
        <f t="shared" si="63"/>
        <v>234.56722602443216</v>
      </c>
      <c r="M782">
        <f t="shared" si="64"/>
        <v>469.13445204886432</v>
      </c>
      <c r="N782">
        <f t="shared" si="60"/>
        <v>1237.8217732160008</v>
      </c>
      <c r="O782" s="26">
        <f t="shared" si="61"/>
        <v>1421.6195516632251</v>
      </c>
    </row>
    <row r="783" spans="1:15" x14ac:dyDescent="0.35">
      <c r="A783" t="s">
        <v>64</v>
      </c>
      <c r="B783">
        <v>10</v>
      </c>
      <c r="C783" t="s">
        <v>63</v>
      </c>
      <c r="D783">
        <v>74</v>
      </c>
      <c r="E783">
        <v>202.25847712473501</v>
      </c>
      <c r="F783">
        <v>28.032555612720401</v>
      </c>
      <c r="G783" t="s">
        <v>64</v>
      </c>
      <c r="H783">
        <v>10</v>
      </c>
      <c r="I783">
        <v>74</v>
      </c>
      <c r="J783">
        <v>6.6163907763416896</v>
      </c>
      <c r="K783" t="b">
        <f t="shared" si="62"/>
        <v>1</v>
      </c>
      <c r="L783">
        <f t="shared" si="63"/>
        <v>236.90742351379708</v>
      </c>
      <c r="M783">
        <f t="shared" si="64"/>
        <v>473.81484702759417</v>
      </c>
      <c r="N783">
        <f t="shared" si="60"/>
        <v>1250.1711003366602</v>
      </c>
      <c r="O783" s="26">
        <f t="shared" si="61"/>
        <v>1435.8025667502852</v>
      </c>
    </row>
    <row r="784" spans="1:15" x14ac:dyDescent="0.35">
      <c r="A784" t="s">
        <v>64</v>
      </c>
      <c r="B784">
        <v>10</v>
      </c>
      <c r="C784" t="s">
        <v>63</v>
      </c>
      <c r="D784">
        <v>75</v>
      </c>
      <c r="E784">
        <v>204.06815506043699</v>
      </c>
      <c r="F784">
        <v>28.494349298065501</v>
      </c>
      <c r="G784" t="s">
        <v>64</v>
      </c>
      <c r="H784">
        <v>10</v>
      </c>
      <c r="I784">
        <v>75</v>
      </c>
      <c r="J784">
        <v>6.6799721836397303</v>
      </c>
      <c r="K784" t="b">
        <f t="shared" si="62"/>
        <v>1</v>
      </c>
      <c r="L784">
        <f t="shared" si="63"/>
        <v>239.24247654214224</v>
      </c>
      <c r="M784">
        <f t="shared" si="64"/>
        <v>478.48495308428448</v>
      </c>
      <c r="N784">
        <f t="shared" si="60"/>
        <v>1262.4932799057638</v>
      </c>
      <c r="O784" s="26">
        <f t="shared" si="61"/>
        <v>1449.9544032857104</v>
      </c>
    </row>
    <row r="785" spans="1:15" x14ac:dyDescent="0.35">
      <c r="A785" t="s">
        <v>64</v>
      </c>
      <c r="B785">
        <v>10</v>
      </c>
      <c r="C785" t="s">
        <v>63</v>
      </c>
      <c r="D785">
        <v>76</v>
      </c>
      <c r="E785">
        <v>205.87715738892601</v>
      </c>
      <c r="F785">
        <v>28.952418711042899</v>
      </c>
      <c r="G785" t="s">
        <v>64</v>
      </c>
      <c r="H785">
        <v>10</v>
      </c>
      <c r="I785">
        <v>76</v>
      </c>
      <c r="J785">
        <v>6.7429209533724999</v>
      </c>
      <c r="K785" t="b">
        <f t="shared" si="62"/>
        <v>1</v>
      </c>
      <c r="L785">
        <f t="shared" si="63"/>
        <v>241.57249705334141</v>
      </c>
      <c r="M785">
        <f t="shared" si="64"/>
        <v>483.14499410668282</v>
      </c>
      <c r="N785">
        <f t="shared" si="60"/>
        <v>1274.7889026561552</v>
      </c>
      <c r="O785" s="26">
        <f t="shared" si="61"/>
        <v>1464.0757397172206</v>
      </c>
    </row>
    <row r="786" spans="1:15" x14ac:dyDescent="0.35">
      <c r="A786" t="s">
        <v>64</v>
      </c>
      <c r="B786">
        <v>10</v>
      </c>
      <c r="C786" t="s">
        <v>63</v>
      </c>
      <c r="D786">
        <v>77</v>
      </c>
      <c r="E786">
        <v>207.484881830479</v>
      </c>
      <c r="F786">
        <v>29.4341186894634</v>
      </c>
      <c r="G786" t="s">
        <v>64</v>
      </c>
      <c r="H786">
        <v>10</v>
      </c>
      <c r="I786">
        <v>77</v>
      </c>
      <c r="J786">
        <v>6.8031143250776198</v>
      </c>
      <c r="K786" t="b">
        <f t="shared" si="62"/>
        <v>1</v>
      </c>
      <c r="L786">
        <f t="shared" si="63"/>
        <v>243.72211484502</v>
      </c>
      <c r="M786">
        <f t="shared" si="64"/>
        <v>487.44422969004</v>
      </c>
      <c r="N786">
        <f t="shared" si="60"/>
        <v>1286.1325321636939</v>
      </c>
      <c r="O786" s="26">
        <f t="shared" si="61"/>
        <v>1477.1037263334545</v>
      </c>
    </row>
    <row r="787" spans="1:15" x14ac:dyDescent="0.35">
      <c r="A787" t="s">
        <v>64</v>
      </c>
      <c r="B787">
        <v>10</v>
      </c>
      <c r="C787" t="s">
        <v>63</v>
      </c>
      <c r="D787">
        <v>78</v>
      </c>
      <c r="E787">
        <v>209.06459282888201</v>
      </c>
      <c r="F787">
        <v>29.887202464436101</v>
      </c>
      <c r="G787" t="s">
        <v>64</v>
      </c>
      <c r="H787">
        <v>10</v>
      </c>
      <c r="I787">
        <v>78</v>
      </c>
      <c r="J787">
        <v>6.8612088359835699</v>
      </c>
      <c r="K787" t="b">
        <f t="shared" si="62"/>
        <v>1</v>
      </c>
      <c r="L787">
        <f t="shared" si="63"/>
        <v>245.8130041293017</v>
      </c>
      <c r="M787">
        <f t="shared" si="64"/>
        <v>491.62600825860341</v>
      </c>
      <c r="N787">
        <f t="shared" si="60"/>
        <v>1297.1662487034391</v>
      </c>
      <c r="O787" s="26">
        <f t="shared" si="61"/>
        <v>1489.7757826018285</v>
      </c>
    </row>
    <row r="788" spans="1:15" x14ac:dyDescent="0.35">
      <c r="A788" t="s">
        <v>64</v>
      </c>
      <c r="B788">
        <v>10</v>
      </c>
      <c r="C788" t="s">
        <v>63</v>
      </c>
      <c r="D788">
        <v>79</v>
      </c>
      <c r="E788">
        <v>210.61053132823599</v>
      </c>
      <c r="F788">
        <v>30.3190058491295</v>
      </c>
      <c r="G788" t="s">
        <v>64</v>
      </c>
      <c r="H788">
        <v>10</v>
      </c>
      <c r="I788">
        <v>79</v>
      </c>
      <c r="J788">
        <v>6.9175390575207496</v>
      </c>
      <c r="K788" t="b">
        <f t="shared" si="62"/>
        <v>1</v>
      </c>
      <c r="L788">
        <f t="shared" si="63"/>
        <v>247.84707623488623</v>
      </c>
      <c r="M788">
        <f t="shared" si="64"/>
        <v>495.69415246977246</v>
      </c>
      <c r="N788">
        <f t="shared" si="60"/>
        <v>1307.9001384426713</v>
      </c>
      <c r="O788" s="26">
        <f t="shared" si="61"/>
        <v>1502.1034923326438</v>
      </c>
    </row>
    <row r="789" spans="1:15" x14ac:dyDescent="0.35">
      <c r="A789" t="s">
        <v>64</v>
      </c>
      <c r="B789">
        <v>10</v>
      </c>
      <c r="C789" t="s">
        <v>63</v>
      </c>
      <c r="D789">
        <v>80</v>
      </c>
      <c r="E789">
        <v>212.11994316355299</v>
      </c>
      <c r="F789">
        <v>30.733831409652002</v>
      </c>
      <c r="G789" t="s">
        <v>64</v>
      </c>
      <c r="H789">
        <v>10</v>
      </c>
      <c r="I789">
        <v>80</v>
      </c>
      <c r="J789">
        <v>6.9722809620376998</v>
      </c>
      <c r="K789" t="b">
        <f t="shared" si="62"/>
        <v>1</v>
      </c>
      <c r="L789">
        <f t="shared" si="63"/>
        <v>249.82605553524269</v>
      </c>
      <c r="M789">
        <f t="shared" si="64"/>
        <v>499.65211107048538</v>
      </c>
      <c r="N789">
        <f t="shared" si="60"/>
        <v>1318.343300977534</v>
      </c>
      <c r="O789" s="26">
        <f t="shared" si="61"/>
        <v>1514.097306274198</v>
      </c>
    </row>
    <row r="790" spans="1:15" x14ac:dyDescent="0.35">
      <c r="A790" t="s">
        <v>64</v>
      </c>
      <c r="B790">
        <v>10</v>
      </c>
      <c r="C790" t="s">
        <v>63</v>
      </c>
      <c r="D790">
        <v>81</v>
      </c>
      <c r="E790">
        <v>213.59176451491399</v>
      </c>
      <c r="F790">
        <v>31.134256584003101</v>
      </c>
      <c r="G790" t="s">
        <v>64</v>
      </c>
      <c r="H790">
        <v>10</v>
      </c>
      <c r="I790">
        <v>81</v>
      </c>
      <c r="J790">
        <v>7.0255340052572102</v>
      </c>
      <c r="K790" t="b">
        <f t="shared" si="62"/>
        <v>1</v>
      </c>
      <c r="L790">
        <f t="shared" si="63"/>
        <v>251.75155510417432</v>
      </c>
      <c r="M790">
        <f t="shared" si="64"/>
        <v>503.50311020834863</v>
      </c>
      <c r="N790">
        <f t="shared" si="60"/>
        <v>1328.5042485708407</v>
      </c>
      <c r="O790" s="26">
        <f t="shared" si="61"/>
        <v>1525.7670006313595</v>
      </c>
    </row>
    <row r="791" spans="1:15" x14ac:dyDescent="0.35">
      <c r="A791" t="s">
        <v>64</v>
      </c>
      <c r="B791">
        <v>10</v>
      </c>
      <c r="C791" t="s">
        <v>63</v>
      </c>
      <c r="D791">
        <v>82</v>
      </c>
      <c r="E791">
        <v>215.02587483725901</v>
      </c>
      <c r="F791">
        <v>31.521877472079201</v>
      </c>
      <c r="G791" t="s">
        <v>64</v>
      </c>
      <c r="H791">
        <v>10</v>
      </c>
      <c r="I791">
        <v>82</v>
      </c>
      <c r="J791">
        <v>7.07736165611131</v>
      </c>
      <c r="K791" t="b">
        <f t="shared" si="62"/>
        <v>1</v>
      </c>
      <c r="L791">
        <f t="shared" si="63"/>
        <v>253.62511396544954</v>
      </c>
      <c r="M791">
        <f t="shared" si="64"/>
        <v>507.25022793089909</v>
      </c>
      <c r="N791">
        <f t="shared" si="60"/>
        <v>1338.3911027200504</v>
      </c>
      <c r="O791" s="26">
        <f t="shared" si="61"/>
        <v>1537.1219028209061</v>
      </c>
    </row>
    <row r="792" spans="1:15" x14ac:dyDescent="0.35">
      <c r="A792" t="s">
        <v>64</v>
      </c>
      <c r="B792">
        <v>10</v>
      </c>
      <c r="C792" t="s">
        <v>63</v>
      </c>
      <c r="D792">
        <v>83</v>
      </c>
      <c r="E792">
        <v>216.42267297842</v>
      </c>
      <c r="F792">
        <v>31.897731277388999</v>
      </c>
      <c r="G792" t="s">
        <v>64</v>
      </c>
      <c r="H792">
        <v>10</v>
      </c>
      <c r="I792">
        <v>83</v>
      </c>
      <c r="J792">
        <v>7.1278109582770899</v>
      </c>
      <c r="K792" t="b">
        <f t="shared" si="62"/>
        <v>1</v>
      </c>
      <c r="L792">
        <f t="shared" si="63"/>
        <v>255.44821521408608</v>
      </c>
      <c r="M792">
        <f t="shared" si="64"/>
        <v>510.89643042817215</v>
      </c>
      <c r="N792">
        <f t="shared" si="60"/>
        <v>1348.0116897840953</v>
      </c>
      <c r="O792" s="26">
        <f t="shared" si="61"/>
        <v>1548.1710012974913</v>
      </c>
    </row>
    <row r="793" spans="1:15" x14ac:dyDescent="0.35">
      <c r="A793" t="s">
        <v>64</v>
      </c>
      <c r="B793">
        <v>10</v>
      </c>
      <c r="C793" t="s">
        <v>63</v>
      </c>
      <c r="D793">
        <v>84</v>
      </c>
      <c r="E793">
        <v>217.78283711093701</v>
      </c>
      <c r="F793">
        <v>32.2625359999914</v>
      </c>
      <c r="G793" t="s">
        <v>64</v>
      </c>
      <c r="H793">
        <v>10</v>
      </c>
      <c r="I793">
        <v>84</v>
      </c>
      <c r="J793">
        <v>7.1769216818171797</v>
      </c>
      <c r="K793" t="b">
        <f t="shared" si="62"/>
        <v>1</v>
      </c>
      <c r="L793">
        <f t="shared" si="63"/>
        <v>257.22229479274557</v>
      </c>
      <c r="M793">
        <f t="shared" si="64"/>
        <v>514.44458958549114</v>
      </c>
      <c r="N793">
        <f t="shared" si="60"/>
        <v>1357.3735872968105</v>
      </c>
      <c r="O793" s="26">
        <f t="shared" si="61"/>
        <v>1558.9229987439126</v>
      </c>
    </row>
    <row r="794" spans="1:15" x14ac:dyDescent="0.35">
      <c r="A794" t="s">
        <v>64</v>
      </c>
      <c r="B794">
        <v>10</v>
      </c>
      <c r="C794" t="s">
        <v>63</v>
      </c>
      <c r="D794">
        <v>85</v>
      </c>
      <c r="E794">
        <v>219.10718909970001</v>
      </c>
      <c r="F794">
        <v>32.6168263047512</v>
      </c>
      <c r="G794" t="s">
        <v>64</v>
      </c>
      <c r="H794">
        <v>10</v>
      </c>
      <c r="I794">
        <v>85</v>
      </c>
      <c r="J794">
        <v>7.22473041556038</v>
      </c>
      <c r="K794" t="b">
        <f t="shared" si="62"/>
        <v>1</v>
      </c>
      <c r="L794">
        <f t="shared" si="63"/>
        <v>258.9487458200116</v>
      </c>
      <c r="M794">
        <f t="shared" si="64"/>
        <v>517.89749164002319</v>
      </c>
      <c r="N794">
        <f t="shared" si="60"/>
        <v>1366.484146807449</v>
      </c>
      <c r="O794" s="26">
        <f t="shared" si="61"/>
        <v>1569.3863383031005</v>
      </c>
    </row>
    <row r="795" spans="1:15" x14ac:dyDescent="0.35">
      <c r="A795" t="s">
        <v>64</v>
      </c>
      <c r="B795">
        <v>10</v>
      </c>
      <c r="C795" t="s">
        <v>63</v>
      </c>
      <c r="D795">
        <v>86</v>
      </c>
      <c r="E795">
        <v>220.396618151485</v>
      </c>
      <c r="F795">
        <v>32.961030454710802</v>
      </c>
      <c r="G795" t="s">
        <v>64</v>
      </c>
      <c r="H795">
        <v>10</v>
      </c>
      <c r="I795">
        <v>86</v>
      </c>
      <c r="J795">
        <v>7.2712722710722497</v>
      </c>
      <c r="K795" t="b">
        <f t="shared" si="62"/>
        <v>1</v>
      </c>
      <c r="L795">
        <f t="shared" si="63"/>
        <v>260.62892087726806</v>
      </c>
      <c r="M795">
        <f t="shared" si="64"/>
        <v>521.25784175453612</v>
      </c>
      <c r="N795">
        <f t="shared" si="60"/>
        <v>1375.350505948644</v>
      </c>
      <c r="O795" s="26">
        <f t="shared" si="61"/>
        <v>1579.5692174379881</v>
      </c>
    </row>
    <row r="796" spans="1:15" x14ac:dyDescent="0.35">
      <c r="A796" t="s">
        <v>64</v>
      </c>
      <c r="B796">
        <v>10</v>
      </c>
      <c r="C796" t="s">
        <v>63</v>
      </c>
      <c r="D796">
        <v>87</v>
      </c>
      <c r="E796">
        <v>221.65203808366701</v>
      </c>
      <c r="F796">
        <v>33.295513819024499</v>
      </c>
      <c r="G796" t="s">
        <v>64</v>
      </c>
      <c r="H796">
        <v>10</v>
      </c>
      <c r="I796">
        <v>87</v>
      </c>
      <c r="J796">
        <v>7.3165815056268304</v>
      </c>
      <c r="K796" t="b">
        <f t="shared" si="62"/>
        <v>1</v>
      </c>
      <c r="L796">
        <f t="shared" si="63"/>
        <v>262.26413340831834</v>
      </c>
      <c r="M796">
        <f t="shared" si="64"/>
        <v>524.52826681663669</v>
      </c>
      <c r="N796">
        <f t="shared" si="60"/>
        <v>1383.9795958222603</v>
      </c>
      <c r="O796" s="26">
        <f t="shared" si="61"/>
        <v>1589.4795964140505</v>
      </c>
    </row>
    <row r="797" spans="1:15" x14ac:dyDescent="0.35">
      <c r="A797" t="s">
        <v>64</v>
      </c>
      <c r="B797">
        <v>10</v>
      </c>
      <c r="C797" t="s">
        <v>63</v>
      </c>
      <c r="D797">
        <v>88</v>
      </c>
      <c r="E797">
        <v>222.874363637676</v>
      </c>
      <c r="F797">
        <v>33.620603440994302</v>
      </c>
      <c r="G797" t="s">
        <v>64</v>
      </c>
      <c r="H797">
        <v>10</v>
      </c>
      <c r="I797">
        <v>88</v>
      </c>
      <c r="J797">
        <v>7.3606916875483197</v>
      </c>
      <c r="K797" t="b">
        <f t="shared" si="62"/>
        <v>1</v>
      </c>
      <c r="L797">
        <f t="shared" si="63"/>
        <v>263.8556587662186</v>
      </c>
      <c r="M797">
        <f t="shared" si="64"/>
        <v>527.71131753243719</v>
      </c>
      <c r="N797">
        <f t="shared" si="60"/>
        <v>1392.3781465235809</v>
      </c>
      <c r="O797" s="26">
        <f t="shared" si="61"/>
        <v>1599.1252046437489</v>
      </c>
    </row>
    <row r="798" spans="1:15" x14ac:dyDescent="0.35">
      <c r="A798" t="s">
        <v>64</v>
      </c>
      <c r="B798">
        <v>10</v>
      </c>
      <c r="C798" t="s">
        <v>63</v>
      </c>
      <c r="D798">
        <v>89</v>
      </c>
      <c r="E798">
        <v>224.06449756549901</v>
      </c>
      <c r="F798">
        <v>33.936601886303499</v>
      </c>
      <c r="G798" t="s">
        <v>64</v>
      </c>
      <c r="H798">
        <v>10</v>
      </c>
      <c r="I798">
        <v>89</v>
      </c>
      <c r="J798">
        <v>7.4036356902040898</v>
      </c>
      <c r="K798" t="b">
        <f t="shared" si="62"/>
        <v>1</v>
      </c>
      <c r="L798">
        <f t="shared" si="63"/>
        <v>265.40473514200664</v>
      </c>
      <c r="M798">
        <f t="shared" si="64"/>
        <v>530.80947028401329</v>
      </c>
      <c r="N798">
        <f t="shared" si="60"/>
        <v>1400.5526920422515</v>
      </c>
      <c r="O798" s="26">
        <f t="shared" si="61"/>
        <v>1608.5135463151917</v>
      </c>
    </row>
    <row r="799" spans="1:15" x14ac:dyDescent="0.35">
      <c r="A799" t="s">
        <v>64</v>
      </c>
      <c r="B799">
        <v>10</v>
      </c>
      <c r="C799" t="s">
        <v>63</v>
      </c>
      <c r="D799">
        <v>90</v>
      </c>
      <c r="E799">
        <v>225.22332379760701</v>
      </c>
      <c r="F799">
        <v>34.243795032981197</v>
      </c>
      <c r="G799" t="s">
        <v>64</v>
      </c>
      <c r="H799">
        <v>10</v>
      </c>
      <c r="I799">
        <v>90</v>
      </c>
      <c r="J799">
        <v>7.4454456387297103</v>
      </c>
      <c r="K799" t="b">
        <f t="shared" si="62"/>
        <v>1</v>
      </c>
      <c r="L799">
        <f t="shared" si="63"/>
        <v>266.91256446931794</v>
      </c>
      <c r="M799">
        <f t="shared" si="64"/>
        <v>533.82512893863588</v>
      </c>
      <c r="N799">
        <f t="shared" si="60"/>
        <v>1408.5095750359785</v>
      </c>
      <c r="O799" s="26">
        <f t="shared" si="61"/>
        <v>1617.6519058746542</v>
      </c>
    </row>
    <row r="800" spans="1:15" x14ac:dyDescent="0.35">
      <c r="A800" t="s">
        <v>64</v>
      </c>
      <c r="B800">
        <v>10</v>
      </c>
      <c r="C800" t="s">
        <v>63</v>
      </c>
      <c r="D800">
        <v>91</v>
      </c>
      <c r="E800">
        <v>226.351704033103</v>
      </c>
      <c r="F800">
        <v>34.542456444686898</v>
      </c>
      <c r="G800" t="s">
        <v>64</v>
      </c>
      <c r="H800">
        <v>10</v>
      </c>
      <c r="I800">
        <v>91</v>
      </c>
      <c r="J800">
        <v>7.4861528580765402</v>
      </c>
      <c r="K800" t="b">
        <f t="shared" si="62"/>
        <v>1</v>
      </c>
      <c r="L800">
        <f t="shared" si="63"/>
        <v>268.38031333586645</v>
      </c>
      <c r="M800">
        <f t="shared" si="64"/>
        <v>536.76062667173289</v>
      </c>
      <c r="N800">
        <f t="shared" si="60"/>
        <v>1416.2549516404563</v>
      </c>
      <c r="O800" s="26">
        <f t="shared" si="61"/>
        <v>1626.5473535507056</v>
      </c>
    </row>
    <row r="801" spans="1:15" x14ac:dyDescent="0.35">
      <c r="A801" t="s">
        <v>64</v>
      </c>
      <c r="B801">
        <v>10</v>
      </c>
      <c r="C801" t="s">
        <v>63</v>
      </c>
      <c r="D801">
        <v>92</v>
      </c>
      <c r="E801">
        <v>227.45047624606599</v>
      </c>
      <c r="F801">
        <v>34.832849822956597</v>
      </c>
      <c r="G801" t="s">
        <v>64</v>
      </c>
      <c r="H801">
        <v>10</v>
      </c>
      <c r="I801">
        <v>92</v>
      </c>
      <c r="J801">
        <v>7.5257878375516798</v>
      </c>
      <c r="K801" t="b">
        <f t="shared" si="62"/>
        <v>1</v>
      </c>
      <c r="L801">
        <f t="shared" si="63"/>
        <v>269.80911390657423</v>
      </c>
      <c r="M801">
        <f t="shared" si="64"/>
        <v>539.61822781314845</v>
      </c>
      <c r="N801">
        <f t="shared" si="60"/>
        <v>1423.794796340761</v>
      </c>
      <c r="O801" s="26">
        <f t="shared" si="61"/>
        <v>1635.2067509489345</v>
      </c>
    </row>
    <row r="802" spans="1:15" x14ac:dyDescent="0.35">
      <c r="A802" t="s">
        <v>64</v>
      </c>
      <c r="B802">
        <v>10</v>
      </c>
      <c r="C802" t="s">
        <v>63</v>
      </c>
      <c r="D802">
        <v>93</v>
      </c>
      <c r="E802">
        <v>228.52045425594599</v>
      </c>
      <c r="F802">
        <v>35.115230384300297</v>
      </c>
      <c r="G802" t="s">
        <v>64</v>
      </c>
      <c r="H802">
        <v>10</v>
      </c>
      <c r="I802">
        <v>93</v>
      </c>
      <c r="J802">
        <v>7.5643802134120497</v>
      </c>
      <c r="K802" t="b">
        <f t="shared" si="62"/>
        <v>1</v>
      </c>
      <c r="L802">
        <f t="shared" si="63"/>
        <v>271.20006485365832</v>
      </c>
      <c r="M802">
        <f t="shared" si="64"/>
        <v>542.40012970731664</v>
      </c>
      <c r="N802">
        <f t="shared" si="60"/>
        <v>1431.1349068794634</v>
      </c>
      <c r="O802" s="26">
        <f t="shared" si="61"/>
        <v>1643.6367566888382</v>
      </c>
    </row>
    <row r="803" spans="1:15" x14ac:dyDescent="0.35">
      <c r="A803" t="s">
        <v>64</v>
      </c>
      <c r="B803">
        <v>10</v>
      </c>
      <c r="C803" t="s">
        <v>63</v>
      </c>
      <c r="D803">
        <v>94</v>
      </c>
      <c r="E803">
        <v>229.562427880624</v>
      </c>
      <c r="F803">
        <v>35.389845639834903</v>
      </c>
      <c r="G803" t="s">
        <v>64</v>
      </c>
      <c r="H803">
        <v>10</v>
      </c>
      <c r="I803">
        <v>94</v>
      </c>
      <c r="J803">
        <v>7.6019587663988002</v>
      </c>
      <c r="K803" t="b">
        <f t="shared" si="62"/>
        <v>1</v>
      </c>
      <c r="L803">
        <f t="shared" si="63"/>
        <v>272.55423228685771</v>
      </c>
      <c r="M803">
        <f t="shared" si="64"/>
        <v>545.10846457371542</v>
      </c>
      <c r="N803">
        <f t="shared" si="60"/>
        <v>1438.280909165476</v>
      </c>
      <c r="O803" s="26">
        <f t="shared" si="61"/>
        <v>1651.8438320415619</v>
      </c>
    </row>
    <row r="804" spans="1:15" x14ac:dyDescent="0.35">
      <c r="A804" t="s">
        <v>64</v>
      </c>
      <c r="B804">
        <v>10</v>
      </c>
      <c r="C804" t="s">
        <v>63</v>
      </c>
      <c r="D804">
        <v>95</v>
      </c>
      <c r="E804">
        <v>230.57716340063999</v>
      </c>
      <c r="F804">
        <v>35.656935846618403</v>
      </c>
      <c r="G804" t="s">
        <v>64</v>
      </c>
      <c r="H804">
        <v>10</v>
      </c>
      <c r="I804">
        <v>95</v>
      </c>
      <c r="J804">
        <v>7.6385514301781701</v>
      </c>
      <c r="K804" t="b">
        <f t="shared" si="62"/>
        <v>1</v>
      </c>
      <c r="L804">
        <f t="shared" si="63"/>
        <v>273.87265067743652</v>
      </c>
      <c r="M804">
        <f t="shared" si="64"/>
        <v>547.74530135487305</v>
      </c>
      <c r="N804">
        <f t="shared" si="60"/>
        <v>1445.2382621500608</v>
      </c>
      <c r="O804" s="26">
        <f t="shared" si="61"/>
        <v>1659.8342465299183</v>
      </c>
    </row>
    <row r="805" spans="1:15" x14ac:dyDescent="0.35">
      <c r="A805" t="s">
        <v>64</v>
      </c>
      <c r="B805">
        <v>10</v>
      </c>
      <c r="C805" t="s">
        <v>63</v>
      </c>
      <c r="D805">
        <v>96</v>
      </c>
      <c r="E805">
        <v>231.56540418198799</v>
      </c>
      <c r="F805">
        <v>35.916734281852399</v>
      </c>
      <c r="G805" t="s">
        <v>64</v>
      </c>
      <c r="H805">
        <v>10</v>
      </c>
      <c r="I805">
        <v>96</v>
      </c>
      <c r="J805">
        <v>7.6741853071181803</v>
      </c>
      <c r="K805" t="b">
        <f t="shared" si="62"/>
        <v>1</v>
      </c>
      <c r="L805">
        <f t="shared" si="63"/>
        <v>275.15632377095858</v>
      </c>
      <c r="M805">
        <f t="shared" si="64"/>
        <v>550.31264754191716</v>
      </c>
      <c r="N805">
        <f t="shared" si="60"/>
        <v>1452.0122626435809</v>
      </c>
      <c r="O805" s="26">
        <f t="shared" si="61"/>
        <v>1667.614083460355</v>
      </c>
    </row>
    <row r="806" spans="1:15" x14ac:dyDescent="0.35">
      <c r="A806" t="s">
        <v>64</v>
      </c>
      <c r="B806">
        <v>10</v>
      </c>
      <c r="C806" t="s">
        <v>63</v>
      </c>
      <c r="D806">
        <v>97</v>
      </c>
      <c r="E806">
        <v>232.52787137215901</v>
      </c>
      <c r="F806">
        <v>36.169467424416197</v>
      </c>
      <c r="G806" t="s">
        <v>64</v>
      </c>
      <c r="H806">
        <v>10</v>
      </c>
      <c r="I806">
        <v>97</v>
      </c>
      <c r="J806">
        <v>7.7088866886548901</v>
      </c>
      <c r="K806" t="b">
        <f t="shared" si="62"/>
        <v>1</v>
      </c>
      <c r="L806">
        <f t="shared" si="63"/>
        <v>276.4062254852301</v>
      </c>
      <c r="M806">
        <f t="shared" si="64"/>
        <v>552.81245097046019</v>
      </c>
      <c r="N806">
        <f t="shared" si="60"/>
        <v>1458.6080500539847</v>
      </c>
      <c r="O806" s="26">
        <f t="shared" si="61"/>
        <v>1675.1892453650307</v>
      </c>
    </row>
    <row r="807" spans="1:15" x14ac:dyDescent="0.35">
      <c r="A807" t="s">
        <v>64</v>
      </c>
      <c r="B807">
        <v>10</v>
      </c>
      <c r="C807" t="s">
        <v>63</v>
      </c>
      <c r="D807">
        <v>98</v>
      </c>
      <c r="E807">
        <v>233.46526462203701</v>
      </c>
      <c r="F807">
        <v>36.415355090533701</v>
      </c>
      <c r="G807" t="s">
        <v>64</v>
      </c>
      <c r="H807">
        <v>10</v>
      </c>
      <c r="I807">
        <v>98</v>
      </c>
      <c r="J807">
        <v>7.7426810782882596</v>
      </c>
      <c r="K807" t="b">
        <f t="shared" si="62"/>
        <v>1</v>
      </c>
      <c r="L807">
        <f t="shared" si="63"/>
        <v>277.62330079085899</v>
      </c>
      <c r="M807">
        <f t="shared" si="64"/>
        <v>555.24660158171798</v>
      </c>
      <c r="N807">
        <f t="shared" si="60"/>
        <v>1465.0306110335566</v>
      </c>
      <c r="O807" s="26">
        <f t="shared" si="61"/>
        <v>1682.5654593385393</v>
      </c>
    </row>
    <row r="808" spans="1:15" x14ac:dyDescent="0.35">
      <c r="A808" t="s">
        <v>64</v>
      </c>
      <c r="B808">
        <v>10</v>
      </c>
      <c r="C808" t="s">
        <v>63</v>
      </c>
      <c r="D808">
        <v>99</v>
      </c>
      <c r="E808">
        <v>234.37826280778199</v>
      </c>
      <c r="F808">
        <v>36.6546105491595</v>
      </c>
      <c r="G808" t="s">
        <v>64</v>
      </c>
      <c r="H808">
        <v>10</v>
      </c>
      <c r="I808">
        <v>99</v>
      </c>
      <c r="J808">
        <v>7.7755932158759196</v>
      </c>
      <c r="K808" t="b">
        <f t="shared" si="62"/>
        <v>1</v>
      </c>
      <c r="L808">
        <f t="shared" si="63"/>
        <v>278.80846657281739</v>
      </c>
      <c r="M808">
        <f t="shared" si="64"/>
        <v>557.61693314563479</v>
      </c>
      <c r="N808">
        <f t="shared" si="60"/>
        <v>1471.2847840254217</v>
      </c>
      <c r="O808" s="26">
        <f t="shared" si="61"/>
        <v>1689.7482822594993</v>
      </c>
    </row>
    <row r="809" spans="1:15" x14ac:dyDescent="0.35">
      <c r="A809" t="s">
        <v>64</v>
      </c>
      <c r="B809">
        <v>10</v>
      </c>
      <c r="C809" t="s">
        <v>63</v>
      </c>
      <c r="D809">
        <v>100</v>
      </c>
      <c r="E809">
        <v>235.267524738833</v>
      </c>
      <c r="F809">
        <v>36.887440630751698</v>
      </c>
      <c r="G809" t="s">
        <v>64</v>
      </c>
      <c r="H809">
        <v>10</v>
      </c>
      <c r="I809">
        <v>100</v>
      </c>
      <c r="J809">
        <v>7.8076471023531999</v>
      </c>
      <c r="K809" t="b">
        <f t="shared" si="62"/>
        <v>1</v>
      </c>
      <c r="L809">
        <f t="shared" si="63"/>
        <v>279.96261247193792</v>
      </c>
      <c r="M809">
        <f t="shared" si="64"/>
        <v>559.92522494387583</v>
      </c>
      <c r="N809">
        <f t="shared" si="60"/>
        <v>1477.3752637041578</v>
      </c>
      <c r="O809" s="26">
        <f t="shared" si="61"/>
        <v>1696.7431058905327</v>
      </c>
    </row>
    <row r="810" spans="1:15" x14ac:dyDescent="0.35">
      <c r="A810" t="s">
        <v>64</v>
      </c>
      <c r="B810">
        <v>12</v>
      </c>
      <c r="C810" t="s">
        <v>63</v>
      </c>
      <c r="D810">
        <v>0</v>
      </c>
      <c r="E810">
        <v>0</v>
      </c>
      <c r="F810">
        <v>0</v>
      </c>
      <c r="G810" t="s">
        <v>64</v>
      </c>
      <c r="H810">
        <v>12</v>
      </c>
      <c r="I810">
        <v>0</v>
      </c>
      <c r="J810">
        <v>0</v>
      </c>
      <c r="K810" t="b">
        <f t="shared" si="62"/>
        <v>1</v>
      </c>
      <c r="L810">
        <f t="shared" si="63"/>
        <v>0</v>
      </c>
      <c r="M810">
        <f t="shared" si="64"/>
        <v>0</v>
      </c>
      <c r="N810">
        <f t="shared" si="60"/>
        <v>0</v>
      </c>
      <c r="O810" s="26">
        <f t="shared" si="61"/>
        <v>0</v>
      </c>
    </row>
    <row r="811" spans="1:15" x14ac:dyDescent="0.35">
      <c r="A811" t="s">
        <v>64</v>
      </c>
      <c r="B811">
        <v>12</v>
      </c>
      <c r="C811" t="s">
        <v>63</v>
      </c>
      <c r="D811">
        <v>1</v>
      </c>
      <c r="E811">
        <v>6.9740312142158395E-2</v>
      </c>
      <c r="F811" s="19">
        <v>3.6226852853735002E-4</v>
      </c>
      <c r="G811" t="s">
        <v>64</v>
      </c>
      <c r="H811">
        <v>12</v>
      </c>
      <c r="I811">
        <v>1</v>
      </c>
      <c r="J811" s="19">
        <v>7.8894000685645997E-4</v>
      </c>
      <c r="K811" t="b">
        <f t="shared" si="62"/>
        <v>1</v>
      </c>
      <c r="L811">
        <f t="shared" si="63"/>
        <v>7.0891520677552208E-2</v>
      </c>
      <c r="M811">
        <f t="shared" si="64"/>
        <v>0.14178304135510442</v>
      </c>
      <c r="N811">
        <f t="shared" si="60"/>
        <v>0.37409773444618577</v>
      </c>
      <c r="O811" s="26">
        <f t="shared" si="61"/>
        <v>0.42964557986395274</v>
      </c>
    </row>
    <row r="812" spans="1:15" x14ac:dyDescent="0.35">
      <c r="A812" t="s">
        <v>64</v>
      </c>
      <c r="B812">
        <v>12</v>
      </c>
      <c r="C812" t="s">
        <v>63</v>
      </c>
      <c r="D812">
        <v>2</v>
      </c>
      <c r="E812">
        <v>0.15691570231985599</v>
      </c>
      <c r="F812">
        <v>1.1665046618902801E-3</v>
      </c>
      <c r="G812" t="s">
        <v>64</v>
      </c>
      <c r="H812">
        <v>12</v>
      </c>
      <c r="I812">
        <v>2</v>
      </c>
      <c r="J812">
        <v>2.2712552412033002E-3</v>
      </c>
      <c r="K812" t="b">
        <f t="shared" si="62"/>
        <v>1</v>
      </c>
      <c r="L812">
        <f t="shared" si="63"/>
        <v>0.16035346222294958</v>
      </c>
      <c r="M812">
        <f t="shared" si="64"/>
        <v>0.32070692444589916</v>
      </c>
      <c r="N812">
        <f t="shared" si="60"/>
        <v>0.84619241278601365</v>
      </c>
      <c r="O812" s="26">
        <f t="shared" si="61"/>
        <v>0.97183916498757317</v>
      </c>
    </row>
    <row r="813" spans="1:15" x14ac:dyDescent="0.35">
      <c r="A813" t="s">
        <v>64</v>
      </c>
      <c r="B813">
        <v>12</v>
      </c>
      <c r="C813" t="s">
        <v>63</v>
      </c>
      <c r="D813">
        <v>3</v>
      </c>
      <c r="E813">
        <v>0.26588494004197799</v>
      </c>
      <c r="F813">
        <v>2.51265828708223E-3</v>
      </c>
      <c r="G813" t="s">
        <v>64</v>
      </c>
      <c r="H813">
        <v>12</v>
      </c>
      <c r="I813">
        <v>3</v>
      </c>
      <c r="J813">
        <v>4.4433870577763801E-3</v>
      </c>
      <c r="K813" t="b">
        <f t="shared" si="62"/>
        <v>1</v>
      </c>
      <c r="L813">
        <f t="shared" si="63"/>
        <v>0.2728409853868366</v>
      </c>
      <c r="M813">
        <f t="shared" si="64"/>
        <v>0.5456819707736732</v>
      </c>
      <c r="N813">
        <f t="shared" si="60"/>
        <v>1.439794118136341</v>
      </c>
      <c r="O813" s="26">
        <f t="shared" si="61"/>
        <v>1.6535817296171915</v>
      </c>
    </row>
    <row r="814" spans="1:15" x14ac:dyDescent="0.35">
      <c r="A814" t="s">
        <v>64</v>
      </c>
      <c r="B814">
        <v>12</v>
      </c>
      <c r="C814" t="s">
        <v>63</v>
      </c>
      <c r="D814">
        <v>4</v>
      </c>
      <c r="E814">
        <v>0.40209648719463198</v>
      </c>
      <c r="F814">
        <v>4.5259830233179404E-3</v>
      </c>
      <c r="G814" t="s">
        <v>64</v>
      </c>
      <c r="H814">
        <v>12</v>
      </c>
      <c r="I814">
        <v>4</v>
      </c>
      <c r="J814">
        <v>7.3690588860946798E-3</v>
      </c>
      <c r="K814" t="b">
        <f t="shared" si="62"/>
        <v>1</v>
      </c>
      <c r="L814">
        <f t="shared" si="63"/>
        <v>0.41399152910404458</v>
      </c>
      <c r="M814">
        <f t="shared" si="64"/>
        <v>0.82798305820808915</v>
      </c>
      <c r="N814">
        <f t="shared" si="60"/>
        <v>2.1846518686229266</v>
      </c>
      <c r="O814" s="26">
        <f t="shared" si="61"/>
        <v>2.5090395703275425</v>
      </c>
    </row>
    <row r="815" spans="1:15" x14ac:dyDescent="0.35">
      <c r="A815" t="s">
        <v>64</v>
      </c>
      <c r="B815">
        <v>12</v>
      </c>
      <c r="C815" t="s">
        <v>63</v>
      </c>
      <c r="D815">
        <v>5</v>
      </c>
      <c r="E815">
        <v>0.57236092113544701</v>
      </c>
      <c r="F815">
        <v>7.3633526672159796E-3</v>
      </c>
      <c r="G815" t="s">
        <v>64</v>
      </c>
      <c r="H815">
        <v>12</v>
      </c>
      <c r="I815">
        <v>5</v>
      </c>
      <c r="J815">
        <v>1.1168468276841301E-2</v>
      </c>
      <c r="K815" t="b">
        <f t="shared" si="62"/>
        <v>1</v>
      </c>
      <c r="L815">
        <f t="shared" si="63"/>
        <v>0.59089274207950426</v>
      </c>
      <c r="M815">
        <f t="shared" si="64"/>
        <v>1.1817854841590085</v>
      </c>
      <c r="N815">
        <f t="shared" si="60"/>
        <v>3.1181675043773311</v>
      </c>
      <c r="O815" s="26">
        <f t="shared" si="61"/>
        <v>3.5811681338151771</v>
      </c>
    </row>
    <row r="816" spans="1:15" x14ac:dyDescent="0.35">
      <c r="A816" t="s">
        <v>64</v>
      </c>
      <c r="B816">
        <v>12</v>
      </c>
      <c r="C816" t="s">
        <v>63</v>
      </c>
      <c r="D816">
        <v>6</v>
      </c>
      <c r="E816">
        <v>0.78519146356146796</v>
      </c>
      <c r="F816">
        <v>1.1221157033983801E-2</v>
      </c>
      <c r="G816" t="s">
        <v>64</v>
      </c>
      <c r="H816">
        <v>12</v>
      </c>
      <c r="I816">
        <v>6</v>
      </c>
      <c r="J816">
        <v>1.60163087931935E-2</v>
      </c>
      <c r="K816" t="b">
        <f t="shared" si="62"/>
        <v>1</v>
      </c>
      <c r="L816">
        <f t="shared" si="63"/>
        <v>0.8124289293886453</v>
      </c>
      <c r="M816">
        <f t="shared" si="64"/>
        <v>1.6248578587772906</v>
      </c>
      <c r="N816">
        <f t="shared" si="60"/>
        <v>4.2872239017870468</v>
      </c>
      <c r="O816" s="26">
        <f t="shared" si="61"/>
        <v>4.9238116932645166</v>
      </c>
    </row>
    <row r="817" spans="1:15" x14ac:dyDescent="0.35">
      <c r="A817" t="s">
        <v>64</v>
      </c>
      <c r="B817">
        <v>12</v>
      </c>
      <c r="C817" t="s">
        <v>63</v>
      </c>
      <c r="D817">
        <v>7</v>
      </c>
      <c r="E817">
        <v>1.0512296415939899</v>
      </c>
      <c r="F817">
        <v>1.6345172034982099E-2</v>
      </c>
      <c r="G817" t="s">
        <v>64</v>
      </c>
      <c r="H817">
        <v>12</v>
      </c>
      <c r="I817">
        <v>7</v>
      </c>
      <c r="J817">
        <v>2.2145937510301601E-2</v>
      </c>
      <c r="K817" t="b">
        <f t="shared" si="62"/>
        <v>1</v>
      </c>
      <c r="L817">
        <f t="shared" si="63"/>
        <v>1.0897207511392737</v>
      </c>
      <c r="M817">
        <f t="shared" si="64"/>
        <v>2.1794415022785474</v>
      </c>
      <c r="N817">
        <f t="shared" si="60"/>
        <v>5.750505283056853</v>
      </c>
      <c r="O817" s="26">
        <f t="shared" si="61"/>
        <v>6.6043681887228702</v>
      </c>
    </row>
    <row r="818" spans="1:15" x14ac:dyDescent="0.35">
      <c r="A818" t="s">
        <v>64</v>
      </c>
      <c r="B818">
        <v>12</v>
      </c>
      <c r="C818" t="s">
        <v>63</v>
      </c>
      <c r="D818">
        <v>8</v>
      </c>
      <c r="E818">
        <v>1.38377736413465</v>
      </c>
      <c r="F818">
        <v>2.30428975424922E-2</v>
      </c>
      <c r="G818" t="s">
        <v>64</v>
      </c>
      <c r="H818">
        <v>12</v>
      </c>
      <c r="I818">
        <v>8</v>
      </c>
      <c r="J818">
        <v>2.9858425690043301E-2</v>
      </c>
      <c r="K818" t="b">
        <f t="shared" si="62"/>
        <v>1</v>
      </c>
      <c r="L818">
        <f t="shared" si="63"/>
        <v>1.4366786873671855</v>
      </c>
      <c r="M818">
        <f t="shared" si="64"/>
        <v>2.873357374734371</v>
      </c>
      <c r="N818">
        <f t="shared" si="60"/>
        <v>7.5814178752885777</v>
      </c>
      <c r="O818" s="26">
        <f t="shared" si="61"/>
        <v>8.7071435598011231</v>
      </c>
    </row>
    <row r="819" spans="1:15" x14ac:dyDescent="0.35">
      <c r="A819" t="s">
        <v>64</v>
      </c>
      <c r="B819">
        <v>12</v>
      </c>
      <c r="C819" t="s">
        <v>63</v>
      </c>
      <c r="D819">
        <v>9</v>
      </c>
      <c r="E819">
        <v>1.7994620173104701</v>
      </c>
      <c r="F819">
        <v>3.1698979980454199E-2</v>
      </c>
      <c r="G819" t="s">
        <v>64</v>
      </c>
      <c r="H819">
        <v>12</v>
      </c>
      <c r="I819">
        <v>9</v>
      </c>
      <c r="J819">
        <v>3.9536108045850497E-2</v>
      </c>
      <c r="K819" t="b">
        <f t="shared" si="62"/>
        <v>1</v>
      </c>
      <c r="L819">
        <f t="shared" si="63"/>
        <v>1.8706971053367747</v>
      </c>
      <c r="M819">
        <f t="shared" si="64"/>
        <v>3.7413942106735494</v>
      </c>
      <c r="N819">
        <f t="shared" si="60"/>
        <v>9.8717525347587056</v>
      </c>
      <c r="O819" s="26">
        <f t="shared" si="61"/>
        <v>11.33755821416227</v>
      </c>
    </row>
    <row r="820" spans="1:15" x14ac:dyDescent="0.35">
      <c r="A820" t="s">
        <v>64</v>
      </c>
      <c r="B820">
        <v>12</v>
      </c>
      <c r="C820" t="s">
        <v>63</v>
      </c>
      <c r="D820">
        <v>10</v>
      </c>
      <c r="E820">
        <v>2.31906783378024</v>
      </c>
      <c r="F820">
        <v>4.2794490814873902E-2</v>
      </c>
      <c r="G820" t="s">
        <v>64</v>
      </c>
      <c r="H820">
        <v>12</v>
      </c>
      <c r="I820">
        <v>10</v>
      </c>
      <c r="J820">
        <v>5.1660831322141297E-2</v>
      </c>
      <c r="K820" t="b">
        <f t="shared" si="62"/>
        <v>1</v>
      </c>
      <c r="L820">
        <f t="shared" si="63"/>
        <v>2.4135231559172552</v>
      </c>
      <c r="M820">
        <f t="shared" si="64"/>
        <v>4.8270463118345104</v>
      </c>
      <c r="N820">
        <f t="shared" si="60"/>
        <v>12.736269952069948</v>
      </c>
      <c r="O820" s="26">
        <f t="shared" si="61"/>
        <v>14.627413066165182</v>
      </c>
    </row>
    <row r="821" spans="1:15" x14ac:dyDescent="0.35">
      <c r="A821" t="s">
        <v>64</v>
      </c>
      <c r="B821">
        <v>12</v>
      </c>
      <c r="C821" t="s">
        <v>63</v>
      </c>
      <c r="D821">
        <v>11</v>
      </c>
      <c r="E821">
        <v>2.96857510436746</v>
      </c>
      <c r="F821">
        <v>5.6931024911256699E-2</v>
      </c>
      <c r="G821" t="s">
        <v>64</v>
      </c>
      <c r="H821">
        <v>12</v>
      </c>
      <c r="I821">
        <v>11</v>
      </c>
      <c r="J821">
        <v>6.6837542891038396E-2</v>
      </c>
      <c r="K821" t="b">
        <f t="shared" si="62"/>
        <v>1</v>
      </c>
      <c r="L821">
        <f t="shared" si="63"/>
        <v>3.092343672169755</v>
      </c>
      <c r="M821">
        <f t="shared" si="64"/>
        <v>6.1846873443395101</v>
      </c>
      <c r="N821">
        <f t="shared" si="60"/>
        <v>16.318436264748048</v>
      </c>
      <c r="O821" s="26">
        <f t="shared" si="61"/>
        <v>18.741476801028817</v>
      </c>
    </row>
    <row r="822" spans="1:15" x14ac:dyDescent="0.35">
      <c r="A822" t="s">
        <v>64</v>
      </c>
      <c r="B822">
        <v>12</v>
      </c>
      <c r="C822" t="s">
        <v>63</v>
      </c>
      <c r="D822">
        <v>12</v>
      </c>
      <c r="E822">
        <v>3.7804591926014899</v>
      </c>
      <c r="F822">
        <v>7.4860823718492703E-2</v>
      </c>
      <c r="G822" t="s">
        <v>64</v>
      </c>
      <c r="H822">
        <v>12</v>
      </c>
      <c r="I822">
        <v>12</v>
      </c>
      <c r="J822">
        <v>8.5824243746380702E-2</v>
      </c>
      <c r="K822" t="b">
        <f t="shared" si="62"/>
        <v>1</v>
      </c>
      <c r="L822">
        <f t="shared" si="63"/>
        <v>3.9411442600663631</v>
      </c>
      <c r="M822">
        <f t="shared" si="64"/>
        <v>7.8822885201327262</v>
      </c>
      <c r="N822">
        <f t="shared" si="60"/>
        <v>20.797595039928037</v>
      </c>
      <c r="O822" s="26">
        <f t="shared" si="61"/>
        <v>23.885722788280987</v>
      </c>
    </row>
    <row r="823" spans="1:15" x14ac:dyDescent="0.35">
      <c r="A823" t="s">
        <v>64</v>
      </c>
      <c r="B823">
        <v>12</v>
      </c>
      <c r="C823" t="s">
        <v>63</v>
      </c>
      <c r="D823">
        <v>13</v>
      </c>
      <c r="E823">
        <v>4.7953143028940204</v>
      </c>
      <c r="F823">
        <v>9.7524429478692304E-2</v>
      </c>
      <c r="G823" t="s">
        <v>64</v>
      </c>
      <c r="H823">
        <v>12</v>
      </c>
      <c r="I823">
        <v>13</v>
      </c>
      <c r="J823">
        <v>0.109569714936193</v>
      </c>
      <c r="K823" t="b">
        <f t="shared" si="62"/>
        <v>1</v>
      </c>
      <c r="L823">
        <f t="shared" si="63"/>
        <v>5.0024084473089063</v>
      </c>
      <c r="M823">
        <f t="shared" si="64"/>
        <v>10.004816894617813</v>
      </c>
      <c r="N823">
        <f t="shared" si="60"/>
        <v>26.397933758886047</v>
      </c>
      <c r="O823" s="26">
        <f t="shared" si="61"/>
        <v>30.317626953387311</v>
      </c>
    </row>
    <row r="824" spans="1:15" x14ac:dyDescent="0.35">
      <c r="A824" t="s">
        <v>64</v>
      </c>
      <c r="B824">
        <v>12</v>
      </c>
      <c r="C824" t="s">
        <v>63</v>
      </c>
      <c r="D824">
        <v>14</v>
      </c>
      <c r="E824">
        <v>6.0638831907596904</v>
      </c>
      <c r="F824">
        <v>0.126097753212562</v>
      </c>
      <c r="G824" t="s">
        <v>64</v>
      </c>
      <c r="H824">
        <v>12</v>
      </c>
      <c r="I824">
        <v>14</v>
      </c>
      <c r="J824">
        <v>0.13926085301159699</v>
      </c>
      <c r="K824" t="b">
        <f t="shared" si="62"/>
        <v>1</v>
      </c>
      <c r="L824">
        <f t="shared" si="63"/>
        <v>6.3292417969838493</v>
      </c>
      <c r="M824">
        <f t="shared" si="64"/>
        <v>12.658483593967699</v>
      </c>
      <c r="N824">
        <f t="shared" si="60"/>
        <v>33.399692860073081</v>
      </c>
      <c r="O824" s="26">
        <f t="shared" si="61"/>
        <v>38.359041193841506</v>
      </c>
    </row>
    <row r="825" spans="1:15" x14ac:dyDescent="0.35">
      <c r="A825" t="s">
        <v>64</v>
      </c>
      <c r="B825">
        <v>12</v>
      </c>
      <c r="C825" t="s">
        <v>63</v>
      </c>
      <c r="D825">
        <v>15</v>
      </c>
      <c r="E825">
        <v>7.6495943005917599</v>
      </c>
      <c r="F825">
        <v>0.16205090991751001</v>
      </c>
      <c r="G825" t="s">
        <v>64</v>
      </c>
      <c r="H825">
        <v>12</v>
      </c>
      <c r="I825">
        <v>15</v>
      </c>
      <c r="J825">
        <v>0.17638195212351701</v>
      </c>
      <c r="K825" t="b">
        <f t="shared" si="62"/>
        <v>1</v>
      </c>
      <c r="L825">
        <f t="shared" si="63"/>
        <v>7.988027162632787</v>
      </c>
      <c r="M825">
        <f t="shared" si="64"/>
        <v>15.976054325265574</v>
      </c>
      <c r="N825">
        <f t="shared" si="60"/>
        <v>42.153177639223152</v>
      </c>
      <c r="O825" s="26">
        <f t="shared" si="61"/>
        <v>48.412285834138103</v>
      </c>
    </row>
    <row r="826" spans="1:15" x14ac:dyDescent="0.35">
      <c r="A826" t="s">
        <v>64</v>
      </c>
      <c r="B826">
        <v>12</v>
      </c>
      <c r="C826" t="s">
        <v>63</v>
      </c>
      <c r="D826">
        <v>16</v>
      </c>
      <c r="E826">
        <v>9.6317331878818706</v>
      </c>
      <c r="F826">
        <v>0.20722176277517901</v>
      </c>
      <c r="G826" t="s">
        <v>64</v>
      </c>
      <c r="H826">
        <v>12</v>
      </c>
      <c r="I826">
        <v>16</v>
      </c>
      <c r="J826">
        <v>0.22278888007366199</v>
      </c>
      <c r="K826" t="b">
        <f t="shared" si="62"/>
        <v>1</v>
      </c>
      <c r="L826">
        <f t="shared" si="63"/>
        <v>10.061743830730711</v>
      </c>
      <c r="M826">
        <f t="shared" si="64"/>
        <v>20.123487661461422</v>
      </c>
      <c r="N826">
        <f t="shared" si="60"/>
        <v>53.096273513090821</v>
      </c>
      <c r="O826" s="26">
        <f t="shared" si="61"/>
        <v>60.980265640792183</v>
      </c>
    </row>
    <row r="827" spans="1:15" x14ac:dyDescent="0.35">
      <c r="A827" t="s">
        <v>64</v>
      </c>
      <c r="B827">
        <v>12</v>
      </c>
      <c r="C827" t="s">
        <v>63</v>
      </c>
      <c r="D827">
        <v>17</v>
      </c>
      <c r="E827">
        <v>12.109406796994501</v>
      </c>
      <c r="F827">
        <v>0.26390785361445401</v>
      </c>
      <c r="G827" t="s">
        <v>64</v>
      </c>
      <c r="H827">
        <v>12</v>
      </c>
      <c r="I827">
        <v>17</v>
      </c>
      <c r="J827">
        <v>0.28080184739018998</v>
      </c>
      <c r="K827" t="b">
        <f t="shared" si="62"/>
        <v>1</v>
      </c>
      <c r="L827">
        <f t="shared" si="63"/>
        <v>12.654116497999144</v>
      </c>
      <c r="M827">
        <f t="shared" si="64"/>
        <v>25.308232995998289</v>
      </c>
      <c r="N827">
        <f t="shared" ref="N827:N890" si="65">M827/(1-0.621)</f>
        <v>66.776340358834531</v>
      </c>
      <c r="O827" s="26">
        <f t="shared" ref="O827:O890" si="66">M827/0.33</f>
        <v>76.691615139388745</v>
      </c>
    </row>
    <row r="828" spans="1:15" x14ac:dyDescent="0.35">
      <c r="A828" t="s">
        <v>64</v>
      </c>
      <c r="B828">
        <v>12</v>
      </c>
      <c r="C828" t="s">
        <v>63</v>
      </c>
      <c r="D828">
        <v>18</v>
      </c>
      <c r="E828">
        <v>15.2064988083852</v>
      </c>
      <c r="F828">
        <v>0.33498131618771998</v>
      </c>
      <c r="G828" t="s">
        <v>64</v>
      </c>
      <c r="H828">
        <v>12</v>
      </c>
      <c r="I828">
        <v>18</v>
      </c>
      <c r="J828">
        <v>0.35332140220601499</v>
      </c>
      <c r="K828" t="b">
        <f t="shared" si="62"/>
        <v>1</v>
      </c>
      <c r="L828">
        <f t="shared" si="63"/>
        <v>15.894801526778936</v>
      </c>
      <c r="M828">
        <f t="shared" si="64"/>
        <v>31.789603053557872</v>
      </c>
      <c r="N828">
        <f t="shared" si="65"/>
        <v>83.877580616247684</v>
      </c>
      <c r="O828" s="26">
        <f t="shared" si="66"/>
        <v>96.332130465326884</v>
      </c>
    </row>
    <row r="829" spans="1:15" x14ac:dyDescent="0.35">
      <c r="A829" t="s">
        <v>64</v>
      </c>
      <c r="B829">
        <v>12</v>
      </c>
      <c r="C829" t="s">
        <v>63</v>
      </c>
      <c r="D829">
        <v>19</v>
      </c>
      <c r="E829">
        <v>19.022849999999998</v>
      </c>
      <c r="F829">
        <v>0.42374674670208801</v>
      </c>
      <c r="G829" t="s">
        <v>64</v>
      </c>
      <c r="H829">
        <v>12</v>
      </c>
      <c r="I829">
        <v>19</v>
      </c>
      <c r="J829">
        <v>0.44335110132622801</v>
      </c>
      <c r="K829" t="b">
        <f t="shared" si="62"/>
        <v>1</v>
      </c>
      <c r="L829">
        <f t="shared" si="63"/>
        <v>19.889947848028314</v>
      </c>
      <c r="M829">
        <f t="shared" si="64"/>
        <v>39.779895696056627</v>
      </c>
      <c r="N829">
        <f t="shared" si="65"/>
        <v>104.96014695529453</v>
      </c>
      <c r="O829" s="26">
        <f t="shared" si="66"/>
        <v>120.54513847289887</v>
      </c>
    </row>
    <row r="830" spans="1:15" x14ac:dyDescent="0.35">
      <c r="A830" t="s">
        <v>64</v>
      </c>
      <c r="B830">
        <v>12</v>
      </c>
      <c r="C830" t="s">
        <v>63</v>
      </c>
      <c r="D830">
        <v>20</v>
      </c>
      <c r="E830">
        <v>23.020668000000001</v>
      </c>
      <c r="F830">
        <v>0.53061602190102597</v>
      </c>
      <c r="G830" t="s">
        <v>64</v>
      </c>
      <c r="H830">
        <v>12</v>
      </c>
      <c r="I830">
        <v>20</v>
      </c>
      <c r="J830">
        <v>0.54675857043520104</v>
      </c>
      <c r="K830" t="b">
        <f t="shared" si="62"/>
        <v>1</v>
      </c>
      <c r="L830">
        <f t="shared" si="63"/>
        <v>24.098042592336228</v>
      </c>
      <c r="M830">
        <f t="shared" si="64"/>
        <v>48.196085184672455</v>
      </c>
      <c r="N830">
        <f t="shared" si="65"/>
        <v>127.16645167459751</v>
      </c>
      <c r="O830" s="26">
        <f t="shared" si="66"/>
        <v>146.04874298385593</v>
      </c>
    </row>
    <row r="831" spans="1:15" x14ac:dyDescent="0.35">
      <c r="A831" t="s">
        <v>64</v>
      </c>
      <c r="B831">
        <v>12</v>
      </c>
      <c r="C831" t="s">
        <v>63</v>
      </c>
      <c r="D831">
        <v>21</v>
      </c>
      <c r="E831">
        <v>27.018485999999999</v>
      </c>
      <c r="F831">
        <v>0.65504602644399501</v>
      </c>
      <c r="G831" t="s">
        <v>64</v>
      </c>
      <c r="H831">
        <v>12</v>
      </c>
      <c r="I831">
        <v>21</v>
      </c>
      <c r="J831">
        <v>0.65896477805131304</v>
      </c>
      <c r="K831" t="b">
        <f t="shared" si="62"/>
        <v>1</v>
      </c>
      <c r="L831">
        <f t="shared" si="63"/>
        <v>28.332496804495307</v>
      </c>
      <c r="M831">
        <f t="shared" si="64"/>
        <v>56.664993608990613</v>
      </c>
      <c r="N831">
        <f t="shared" si="65"/>
        <v>149.51185648810187</v>
      </c>
      <c r="O831" s="26">
        <f t="shared" si="66"/>
        <v>171.7121018454261</v>
      </c>
    </row>
    <row r="832" spans="1:15" x14ac:dyDescent="0.35">
      <c r="A832" t="s">
        <v>64</v>
      </c>
      <c r="B832">
        <v>12</v>
      </c>
      <c r="C832" t="s">
        <v>63</v>
      </c>
      <c r="D832">
        <v>22</v>
      </c>
      <c r="E832">
        <v>31.016303999999899</v>
      </c>
      <c r="F832">
        <v>0.79650993845067497</v>
      </c>
      <c r="G832" t="s">
        <v>64</v>
      </c>
      <c r="H832">
        <v>12</v>
      </c>
      <c r="I832">
        <v>22</v>
      </c>
      <c r="J832">
        <v>0.77710442380344902</v>
      </c>
      <c r="K832" t="b">
        <f t="shared" si="62"/>
        <v>1</v>
      </c>
      <c r="L832">
        <f t="shared" si="63"/>
        <v>32.589918362254025</v>
      </c>
      <c r="M832">
        <f t="shared" si="64"/>
        <v>65.17983672450805</v>
      </c>
      <c r="N832">
        <f t="shared" si="65"/>
        <v>171.97846101453311</v>
      </c>
      <c r="O832" s="26">
        <f t="shared" si="66"/>
        <v>197.51465674093348</v>
      </c>
    </row>
    <row r="833" spans="1:15" x14ac:dyDescent="0.35">
      <c r="A833" t="s">
        <v>64</v>
      </c>
      <c r="B833">
        <v>12</v>
      </c>
      <c r="C833" t="s">
        <v>63</v>
      </c>
      <c r="D833">
        <v>23</v>
      </c>
      <c r="E833">
        <v>35.014122</v>
      </c>
      <c r="F833">
        <v>0.95449674069715496</v>
      </c>
      <c r="G833" t="s">
        <v>64</v>
      </c>
      <c r="H833">
        <v>12</v>
      </c>
      <c r="I833">
        <v>23</v>
      </c>
      <c r="J833">
        <v>0.89934393844868599</v>
      </c>
      <c r="K833" t="b">
        <f t="shared" si="62"/>
        <v>1</v>
      </c>
      <c r="L833">
        <f t="shared" si="63"/>
        <v>36.86796267914584</v>
      </c>
      <c r="M833">
        <f t="shared" si="64"/>
        <v>73.735925358291681</v>
      </c>
      <c r="N833">
        <f t="shared" si="65"/>
        <v>194.5538927659411</v>
      </c>
      <c r="O833" s="26">
        <f t="shared" si="66"/>
        <v>223.44219805542932</v>
      </c>
    </row>
    <row r="834" spans="1:15" x14ac:dyDescent="0.35">
      <c r="A834" t="s">
        <v>64</v>
      </c>
      <c r="B834">
        <v>12</v>
      </c>
      <c r="C834" t="s">
        <v>63</v>
      </c>
      <c r="D834">
        <v>24</v>
      </c>
      <c r="E834">
        <v>39.011940000000003</v>
      </c>
      <c r="F834">
        <v>1.1285107464762401</v>
      </c>
      <c r="G834" t="s">
        <v>64</v>
      </c>
      <c r="H834">
        <v>12</v>
      </c>
      <c r="I834">
        <v>24</v>
      </c>
      <c r="J834">
        <v>1.02448120512117</v>
      </c>
      <c r="K834" t="b">
        <f t="shared" ref="K834:K897" si="67">H834=B834</f>
        <v>1</v>
      </c>
      <c r="L834">
        <f t="shared" ref="L834:L897" si="68">E834+F834+J834</f>
        <v>41.16493195159741</v>
      </c>
      <c r="M834">
        <f t="shared" ref="M834:M897" si="69">L834*2</f>
        <v>82.32986390319482</v>
      </c>
      <c r="N834">
        <f t="shared" si="65"/>
        <v>217.22919235671455</v>
      </c>
      <c r="O834" s="26">
        <f t="shared" si="66"/>
        <v>249.48443607028733</v>
      </c>
    </row>
    <row r="835" spans="1:15" x14ac:dyDescent="0.35">
      <c r="A835" t="s">
        <v>64</v>
      </c>
      <c r="B835">
        <v>12</v>
      </c>
      <c r="C835" t="s">
        <v>63</v>
      </c>
      <c r="D835">
        <v>25</v>
      </c>
      <c r="E835">
        <v>43.915607999999999</v>
      </c>
      <c r="F835">
        <v>1.32277660968195</v>
      </c>
      <c r="G835" t="s">
        <v>64</v>
      </c>
      <c r="H835">
        <v>12</v>
      </c>
      <c r="I835">
        <v>25</v>
      </c>
      <c r="J835">
        <v>1.1619556304944001</v>
      </c>
      <c r="K835" t="b">
        <f t="shared" si="67"/>
        <v>1</v>
      </c>
      <c r="L835">
        <f t="shared" si="68"/>
        <v>46.400340240176348</v>
      </c>
      <c r="M835">
        <f t="shared" si="69"/>
        <v>92.800680480352696</v>
      </c>
      <c r="N835">
        <f t="shared" si="65"/>
        <v>244.85667672916279</v>
      </c>
      <c r="O835" s="26">
        <f t="shared" si="66"/>
        <v>281.21418327379604</v>
      </c>
    </row>
    <row r="836" spans="1:15" x14ac:dyDescent="0.35">
      <c r="A836" t="s">
        <v>64</v>
      </c>
      <c r="B836">
        <v>12</v>
      </c>
      <c r="C836" t="s">
        <v>63</v>
      </c>
      <c r="D836">
        <v>26</v>
      </c>
      <c r="E836">
        <v>48.819276000000002</v>
      </c>
      <c r="F836">
        <v>1.5366867745914901</v>
      </c>
      <c r="G836" t="s">
        <v>64</v>
      </c>
      <c r="H836">
        <v>12</v>
      </c>
      <c r="I836">
        <v>26</v>
      </c>
      <c r="J836">
        <v>1.3074074220958201</v>
      </c>
      <c r="K836" t="b">
        <f t="shared" si="67"/>
        <v>1</v>
      </c>
      <c r="L836">
        <f t="shared" si="68"/>
        <v>51.66337019668731</v>
      </c>
      <c r="M836">
        <f t="shared" si="69"/>
        <v>103.32674039337462</v>
      </c>
      <c r="N836">
        <f t="shared" si="65"/>
        <v>272.62992188225496</v>
      </c>
      <c r="O836" s="26">
        <f t="shared" si="66"/>
        <v>313.11133452537763</v>
      </c>
    </row>
    <row r="837" spans="1:15" x14ac:dyDescent="0.35">
      <c r="A837" t="s">
        <v>64</v>
      </c>
      <c r="B837">
        <v>12</v>
      </c>
      <c r="C837" t="s">
        <v>63</v>
      </c>
      <c r="D837">
        <v>27</v>
      </c>
      <c r="E837">
        <v>53.722943999999998</v>
      </c>
      <c r="F837">
        <v>1.76965191215375</v>
      </c>
      <c r="G837" t="s">
        <v>64</v>
      </c>
      <c r="H837">
        <v>12</v>
      </c>
      <c r="I837">
        <v>27</v>
      </c>
      <c r="J837">
        <v>1.4581464722088</v>
      </c>
      <c r="K837" t="b">
        <f t="shared" si="67"/>
        <v>1</v>
      </c>
      <c r="L837">
        <f t="shared" si="68"/>
        <v>56.950742384362549</v>
      </c>
      <c r="M837">
        <f t="shared" si="69"/>
        <v>113.9014847687251</v>
      </c>
      <c r="N837">
        <f t="shared" si="65"/>
        <v>300.53162208106886</v>
      </c>
      <c r="O837" s="26">
        <f t="shared" si="66"/>
        <v>345.15601445068211</v>
      </c>
    </row>
    <row r="838" spans="1:15" x14ac:dyDescent="0.35">
      <c r="A838" t="s">
        <v>64</v>
      </c>
      <c r="B838">
        <v>12</v>
      </c>
      <c r="C838" t="s">
        <v>63</v>
      </c>
      <c r="D838">
        <v>28</v>
      </c>
      <c r="E838">
        <v>58.626612000000002</v>
      </c>
      <c r="F838">
        <v>2.0211003731891402</v>
      </c>
      <c r="G838" t="s">
        <v>64</v>
      </c>
      <c r="H838">
        <v>12</v>
      </c>
      <c r="I838">
        <v>28</v>
      </c>
      <c r="J838">
        <v>1.61247824059554</v>
      </c>
      <c r="K838" t="b">
        <f t="shared" si="67"/>
        <v>1</v>
      </c>
      <c r="L838">
        <f t="shared" si="68"/>
        <v>62.260190613784687</v>
      </c>
      <c r="M838">
        <f t="shared" si="69"/>
        <v>124.52038122756937</v>
      </c>
      <c r="N838">
        <f t="shared" si="65"/>
        <v>328.54981854239941</v>
      </c>
      <c r="O838" s="26">
        <f t="shared" si="66"/>
        <v>377.33448856839203</v>
      </c>
    </row>
    <row r="839" spans="1:15" x14ac:dyDescent="0.35">
      <c r="A839" t="s">
        <v>64</v>
      </c>
      <c r="B839">
        <v>12</v>
      </c>
      <c r="C839" t="s">
        <v>63</v>
      </c>
      <c r="D839">
        <v>29</v>
      </c>
      <c r="E839">
        <v>63.530279999999998</v>
      </c>
      <c r="F839">
        <v>2.2904776579934598</v>
      </c>
      <c r="G839" t="s">
        <v>64</v>
      </c>
      <c r="H839">
        <v>12</v>
      </c>
      <c r="I839">
        <v>29</v>
      </c>
      <c r="J839">
        <v>1.7693104046795001</v>
      </c>
      <c r="K839" t="b">
        <f t="shared" si="67"/>
        <v>1</v>
      </c>
      <c r="L839">
        <f t="shared" si="68"/>
        <v>67.590068062672955</v>
      </c>
      <c r="M839">
        <f t="shared" si="69"/>
        <v>135.18013612534591</v>
      </c>
      <c r="N839">
        <f t="shared" si="65"/>
        <v>356.67582091120295</v>
      </c>
      <c r="O839" s="26">
        <f t="shared" si="66"/>
        <v>409.63677613741186</v>
      </c>
    </row>
    <row r="840" spans="1:15" x14ac:dyDescent="0.35">
      <c r="A840" t="s">
        <v>64</v>
      </c>
      <c r="B840">
        <v>12</v>
      </c>
      <c r="C840" t="s">
        <v>63</v>
      </c>
      <c r="D840">
        <v>30</v>
      </c>
      <c r="E840">
        <v>69.007653000000005</v>
      </c>
      <c r="F840">
        <v>2.5802260328536599</v>
      </c>
      <c r="G840" t="s">
        <v>64</v>
      </c>
      <c r="H840">
        <v>12</v>
      </c>
      <c r="I840">
        <v>30</v>
      </c>
      <c r="J840">
        <v>1.9344113754407199</v>
      </c>
      <c r="K840" t="b">
        <f t="shared" si="67"/>
        <v>1</v>
      </c>
      <c r="L840">
        <f t="shared" si="68"/>
        <v>73.522290408294381</v>
      </c>
      <c r="M840">
        <f t="shared" si="69"/>
        <v>147.04458081658876</v>
      </c>
      <c r="N840">
        <f t="shared" si="65"/>
        <v>387.98042431817618</v>
      </c>
      <c r="O840" s="26">
        <f t="shared" si="66"/>
        <v>445.58963883814772</v>
      </c>
    </row>
    <row r="841" spans="1:15" x14ac:dyDescent="0.35">
      <c r="A841" t="s">
        <v>64</v>
      </c>
      <c r="B841">
        <v>12</v>
      </c>
      <c r="C841" t="s">
        <v>63</v>
      </c>
      <c r="D841">
        <v>31</v>
      </c>
      <c r="E841">
        <v>74.485026000000005</v>
      </c>
      <c r="F841">
        <v>2.8897343650680498</v>
      </c>
      <c r="G841" t="s">
        <v>64</v>
      </c>
      <c r="H841">
        <v>12</v>
      </c>
      <c r="I841">
        <v>31</v>
      </c>
      <c r="J841">
        <v>2.10488368211927</v>
      </c>
      <c r="K841" t="b">
        <f t="shared" si="67"/>
        <v>1</v>
      </c>
      <c r="L841">
        <f t="shared" si="68"/>
        <v>79.479644047187321</v>
      </c>
      <c r="M841">
        <f t="shared" si="69"/>
        <v>158.95928809437464</v>
      </c>
      <c r="N841">
        <f t="shared" si="65"/>
        <v>419.41764668700432</v>
      </c>
      <c r="O841" s="26">
        <f t="shared" si="66"/>
        <v>481.69481240719585</v>
      </c>
    </row>
    <row r="842" spans="1:15" x14ac:dyDescent="0.35">
      <c r="A842" t="s">
        <v>64</v>
      </c>
      <c r="B842">
        <v>12</v>
      </c>
      <c r="C842" t="s">
        <v>63</v>
      </c>
      <c r="D842">
        <v>32</v>
      </c>
      <c r="E842">
        <v>79.962399000000005</v>
      </c>
      <c r="F842">
        <v>3.2184098559160099</v>
      </c>
      <c r="G842" t="s">
        <v>64</v>
      </c>
      <c r="H842">
        <v>12</v>
      </c>
      <c r="I842">
        <v>32</v>
      </c>
      <c r="J842">
        <v>2.2789328908758</v>
      </c>
      <c r="K842" t="b">
        <f t="shared" si="67"/>
        <v>1</v>
      </c>
      <c r="L842">
        <f t="shared" si="68"/>
        <v>85.459741746791806</v>
      </c>
      <c r="M842">
        <f t="shared" si="69"/>
        <v>170.91948349358361</v>
      </c>
      <c r="N842">
        <f t="shared" si="65"/>
        <v>450.97489048438945</v>
      </c>
      <c r="O842" s="26">
        <f t="shared" si="66"/>
        <v>517.93782876843511</v>
      </c>
    </row>
    <row r="843" spans="1:15" x14ac:dyDescent="0.35">
      <c r="A843" t="s">
        <v>64</v>
      </c>
      <c r="B843">
        <v>12</v>
      </c>
      <c r="C843" t="s">
        <v>63</v>
      </c>
      <c r="D843">
        <v>33</v>
      </c>
      <c r="E843">
        <v>85.439772000000005</v>
      </c>
      <c r="F843">
        <v>3.5656774906385298</v>
      </c>
      <c r="G843" t="s">
        <v>64</v>
      </c>
      <c r="H843">
        <v>12</v>
      </c>
      <c r="I843">
        <v>33</v>
      </c>
      <c r="J843">
        <v>2.4554239068273902</v>
      </c>
      <c r="K843" t="b">
        <f t="shared" si="67"/>
        <v>1</v>
      </c>
      <c r="L843">
        <f t="shared" si="68"/>
        <v>91.460873397465932</v>
      </c>
      <c r="M843">
        <f t="shared" si="69"/>
        <v>182.92174679493186</v>
      </c>
      <c r="N843">
        <f t="shared" si="65"/>
        <v>482.64313138504451</v>
      </c>
      <c r="O843" s="26">
        <f t="shared" si="66"/>
        <v>554.30832362100557</v>
      </c>
    </row>
    <row r="844" spans="1:15" x14ac:dyDescent="0.35">
      <c r="A844" t="s">
        <v>64</v>
      </c>
      <c r="B844">
        <v>12</v>
      </c>
      <c r="C844" t="s">
        <v>63</v>
      </c>
      <c r="D844">
        <v>34</v>
      </c>
      <c r="E844">
        <v>90.917144999999906</v>
      </c>
      <c r="F844">
        <v>3.9309795049193701</v>
      </c>
      <c r="G844" t="s">
        <v>64</v>
      </c>
      <c r="H844">
        <v>12</v>
      </c>
      <c r="I844">
        <v>34</v>
      </c>
      <c r="J844">
        <v>2.63362168854899</v>
      </c>
      <c r="K844" t="b">
        <f t="shared" si="67"/>
        <v>1</v>
      </c>
      <c r="L844">
        <f t="shared" si="68"/>
        <v>97.481746193468254</v>
      </c>
      <c r="M844">
        <f t="shared" si="69"/>
        <v>194.96349238693651</v>
      </c>
      <c r="N844">
        <f t="shared" si="65"/>
        <v>514.41554719508315</v>
      </c>
      <c r="O844" s="26">
        <f t="shared" si="66"/>
        <v>590.79846177859542</v>
      </c>
    </row>
    <row r="845" spans="1:15" x14ac:dyDescent="0.35">
      <c r="A845" t="s">
        <v>64</v>
      </c>
      <c r="B845">
        <v>12</v>
      </c>
      <c r="C845" t="s">
        <v>63</v>
      </c>
      <c r="D845">
        <v>35</v>
      </c>
      <c r="E845">
        <v>96.563609999999997</v>
      </c>
      <c r="F845">
        <v>4.3146532217717901</v>
      </c>
      <c r="G845" t="s">
        <v>64</v>
      </c>
      <c r="H845">
        <v>12</v>
      </c>
      <c r="I845">
        <v>35</v>
      </c>
      <c r="J845">
        <v>2.8149511868783499</v>
      </c>
      <c r="K845" t="b">
        <f t="shared" si="67"/>
        <v>1</v>
      </c>
      <c r="L845">
        <f t="shared" si="68"/>
        <v>103.69321440865014</v>
      </c>
      <c r="M845">
        <f t="shared" si="69"/>
        <v>207.38642881730027</v>
      </c>
      <c r="N845">
        <f t="shared" si="65"/>
        <v>547.1937435812672</v>
      </c>
      <c r="O845" s="26">
        <f t="shared" si="66"/>
        <v>628.44372368878862</v>
      </c>
    </row>
    <row r="846" spans="1:15" x14ac:dyDescent="0.35">
      <c r="A846" t="s">
        <v>64</v>
      </c>
      <c r="B846">
        <v>12</v>
      </c>
      <c r="C846" t="s">
        <v>63</v>
      </c>
      <c r="D846">
        <v>36</v>
      </c>
      <c r="E846">
        <v>102.210075</v>
      </c>
      <c r="F846">
        <v>4.7161474901186402</v>
      </c>
      <c r="G846" t="s">
        <v>64</v>
      </c>
      <c r="H846">
        <v>12</v>
      </c>
      <c r="I846">
        <v>36</v>
      </c>
      <c r="J846">
        <v>2.9983704519110299</v>
      </c>
      <c r="K846" t="b">
        <f t="shared" si="67"/>
        <v>1</v>
      </c>
      <c r="L846">
        <f t="shared" si="68"/>
        <v>109.92459294202968</v>
      </c>
      <c r="M846">
        <f t="shared" si="69"/>
        <v>219.84918588405935</v>
      </c>
      <c r="N846">
        <f t="shared" si="65"/>
        <v>580.07700760965531</v>
      </c>
      <c r="O846" s="26">
        <f t="shared" si="66"/>
        <v>666.20965419411925</v>
      </c>
    </row>
    <row r="847" spans="1:15" x14ac:dyDescent="0.35">
      <c r="A847" t="s">
        <v>64</v>
      </c>
      <c r="B847">
        <v>12</v>
      </c>
      <c r="C847" t="s">
        <v>63</v>
      </c>
      <c r="D847">
        <v>37</v>
      </c>
      <c r="E847">
        <v>107.85654</v>
      </c>
      <c r="F847">
        <v>5.1349276934150803</v>
      </c>
      <c r="G847" t="s">
        <v>64</v>
      </c>
      <c r="H847">
        <v>12</v>
      </c>
      <c r="I847">
        <v>37</v>
      </c>
      <c r="J847">
        <v>3.18321916600474</v>
      </c>
      <c r="K847" t="b">
        <f t="shared" si="67"/>
        <v>1</v>
      </c>
      <c r="L847">
        <f t="shared" si="68"/>
        <v>116.17468685941981</v>
      </c>
      <c r="M847">
        <f t="shared" si="69"/>
        <v>232.34937371883962</v>
      </c>
      <c r="N847">
        <f t="shared" si="65"/>
        <v>613.05903355894361</v>
      </c>
      <c r="O847" s="26">
        <f t="shared" si="66"/>
        <v>704.08901126921091</v>
      </c>
    </row>
    <row r="848" spans="1:15" x14ac:dyDescent="0.35">
      <c r="A848" t="s">
        <v>64</v>
      </c>
      <c r="B848">
        <v>12</v>
      </c>
      <c r="C848" t="s">
        <v>63</v>
      </c>
      <c r="D848">
        <v>38</v>
      </c>
      <c r="E848">
        <v>113.503005</v>
      </c>
      <c r="F848">
        <v>5.5704752536126296</v>
      </c>
      <c r="G848" t="s">
        <v>64</v>
      </c>
      <c r="H848">
        <v>12</v>
      </c>
      <c r="I848">
        <v>38</v>
      </c>
      <c r="J848">
        <v>3.3690688813198602</v>
      </c>
      <c r="K848" t="b">
        <f t="shared" si="67"/>
        <v>1</v>
      </c>
      <c r="L848">
        <f t="shared" si="68"/>
        <v>122.44254913493249</v>
      </c>
      <c r="M848">
        <f t="shared" si="69"/>
        <v>244.88509826986498</v>
      </c>
      <c r="N848">
        <f t="shared" si="65"/>
        <v>646.13482393104221</v>
      </c>
      <c r="O848" s="26">
        <f t="shared" si="66"/>
        <v>742.07605536322717</v>
      </c>
    </row>
    <row r="849" spans="1:15" x14ac:dyDescent="0.35">
      <c r="A849" t="s">
        <v>64</v>
      </c>
      <c r="B849">
        <v>12</v>
      </c>
      <c r="C849" t="s">
        <v>63</v>
      </c>
      <c r="D849">
        <v>39</v>
      </c>
      <c r="E849">
        <v>118.89278103549699</v>
      </c>
      <c r="F849">
        <v>6.2464613373997899</v>
      </c>
      <c r="G849" t="s">
        <v>64</v>
      </c>
      <c r="H849">
        <v>12</v>
      </c>
      <c r="I849">
        <v>39</v>
      </c>
      <c r="J849">
        <v>3.5527308131598501</v>
      </c>
      <c r="K849" t="b">
        <f t="shared" si="67"/>
        <v>1</v>
      </c>
      <c r="L849">
        <f t="shared" si="68"/>
        <v>128.69197318605663</v>
      </c>
      <c r="M849">
        <f t="shared" si="69"/>
        <v>257.38394637211326</v>
      </c>
      <c r="N849">
        <f t="shared" si="65"/>
        <v>679.11331496599803</v>
      </c>
      <c r="O849" s="26">
        <f t="shared" si="66"/>
        <v>779.95135264276746</v>
      </c>
    </row>
    <row r="850" spans="1:15" x14ac:dyDescent="0.35">
      <c r="A850" t="s">
        <v>64</v>
      </c>
      <c r="B850">
        <v>12</v>
      </c>
      <c r="C850" t="s">
        <v>63</v>
      </c>
      <c r="D850">
        <v>40</v>
      </c>
      <c r="E850">
        <v>123.937386557975</v>
      </c>
      <c r="F850">
        <v>7.0748351906853699</v>
      </c>
      <c r="G850" t="s">
        <v>64</v>
      </c>
      <c r="H850">
        <v>12</v>
      </c>
      <c r="I850">
        <v>40</v>
      </c>
      <c r="J850">
        <v>3.7311835738464998</v>
      </c>
      <c r="K850" t="b">
        <f t="shared" si="67"/>
        <v>1</v>
      </c>
      <c r="L850">
        <f t="shared" si="68"/>
        <v>134.74340532250687</v>
      </c>
      <c r="M850">
        <f t="shared" si="69"/>
        <v>269.48681064501375</v>
      </c>
      <c r="N850">
        <f t="shared" si="65"/>
        <v>711.04699378631597</v>
      </c>
      <c r="O850" s="26">
        <f t="shared" si="66"/>
        <v>816.62669892428403</v>
      </c>
    </row>
    <row r="851" spans="1:15" x14ac:dyDescent="0.35">
      <c r="A851" t="s">
        <v>64</v>
      </c>
      <c r="B851">
        <v>12</v>
      </c>
      <c r="C851" t="s">
        <v>63</v>
      </c>
      <c r="D851">
        <v>41</v>
      </c>
      <c r="E851">
        <v>128.86350338129299</v>
      </c>
      <c r="F851">
        <v>8.0033295971637095</v>
      </c>
      <c r="G851" t="s">
        <v>64</v>
      </c>
      <c r="H851">
        <v>12</v>
      </c>
      <c r="I851">
        <v>41</v>
      </c>
      <c r="J851">
        <v>3.9050513600866101</v>
      </c>
      <c r="K851" t="b">
        <f t="shared" si="67"/>
        <v>1</v>
      </c>
      <c r="L851">
        <f t="shared" si="68"/>
        <v>140.77188433854332</v>
      </c>
      <c r="M851">
        <f t="shared" si="69"/>
        <v>281.54376867708663</v>
      </c>
      <c r="N851">
        <f t="shared" si="65"/>
        <v>742.85954796065073</v>
      </c>
      <c r="O851" s="26">
        <f t="shared" si="66"/>
        <v>853.16293538511093</v>
      </c>
    </row>
    <row r="852" spans="1:15" x14ac:dyDescent="0.35">
      <c r="A852" t="s">
        <v>64</v>
      </c>
      <c r="B852">
        <v>12</v>
      </c>
      <c r="C852" t="s">
        <v>63</v>
      </c>
      <c r="D852">
        <v>42</v>
      </c>
      <c r="E852">
        <v>133.700867389584</v>
      </c>
      <c r="F852">
        <v>9.0012393612590902</v>
      </c>
      <c r="G852" t="s">
        <v>64</v>
      </c>
      <c r="H852">
        <v>12</v>
      </c>
      <c r="I852">
        <v>42</v>
      </c>
      <c r="J852">
        <v>4.0750065679360903</v>
      </c>
      <c r="K852" t="b">
        <f t="shared" si="67"/>
        <v>1</v>
      </c>
      <c r="L852">
        <f t="shared" si="68"/>
        <v>146.77711331877919</v>
      </c>
      <c r="M852">
        <f t="shared" si="69"/>
        <v>293.55422663755837</v>
      </c>
      <c r="N852">
        <f t="shared" si="65"/>
        <v>774.54941065318826</v>
      </c>
      <c r="O852" s="26">
        <f t="shared" si="66"/>
        <v>889.5582625380556</v>
      </c>
    </row>
    <row r="853" spans="1:15" x14ac:dyDescent="0.35">
      <c r="A853" t="s">
        <v>64</v>
      </c>
      <c r="B853">
        <v>12</v>
      </c>
      <c r="C853" t="s">
        <v>63</v>
      </c>
      <c r="D853">
        <v>43</v>
      </c>
      <c r="E853">
        <v>138.46670196703599</v>
      </c>
      <c r="F853">
        <v>10.050255648473399</v>
      </c>
      <c r="G853" t="s">
        <v>64</v>
      </c>
      <c r="H853">
        <v>12</v>
      </c>
      <c r="I853">
        <v>43</v>
      </c>
      <c r="J853">
        <v>4.2416319417129902</v>
      </c>
      <c r="K853" t="b">
        <f t="shared" si="67"/>
        <v>1</v>
      </c>
      <c r="L853">
        <f t="shared" si="68"/>
        <v>152.75858955722239</v>
      </c>
      <c r="M853">
        <f t="shared" si="69"/>
        <v>305.51717911444479</v>
      </c>
      <c r="N853">
        <f t="shared" si="65"/>
        <v>806.11392906185961</v>
      </c>
      <c r="O853" s="26">
        <f t="shared" si="66"/>
        <v>925.80963368013568</v>
      </c>
    </row>
    <row r="854" spans="1:15" x14ac:dyDescent="0.35">
      <c r="A854" t="s">
        <v>64</v>
      </c>
      <c r="B854">
        <v>12</v>
      </c>
      <c r="C854" t="s">
        <v>63</v>
      </c>
      <c r="D854">
        <v>44</v>
      </c>
      <c r="E854">
        <v>143.17092847445099</v>
      </c>
      <c r="F854">
        <v>11.1393169265135</v>
      </c>
      <c r="G854" t="s">
        <v>64</v>
      </c>
      <c r="H854">
        <v>12</v>
      </c>
      <c r="I854">
        <v>44</v>
      </c>
      <c r="J854">
        <v>4.4053872114016501</v>
      </c>
      <c r="K854" t="b">
        <f t="shared" si="67"/>
        <v>1</v>
      </c>
      <c r="L854">
        <f t="shared" si="68"/>
        <v>158.71563261236614</v>
      </c>
      <c r="M854">
        <f t="shared" si="69"/>
        <v>317.43126522473227</v>
      </c>
      <c r="N854">
        <f t="shared" si="65"/>
        <v>837.54951246631208</v>
      </c>
      <c r="O854" s="26">
        <f t="shared" si="66"/>
        <v>961.91292492343109</v>
      </c>
    </row>
    <row r="855" spans="1:15" x14ac:dyDescent="0.35">
      <c r="A855" t="s">
        <v>64</v>
      </c>
      <c r="B855">
        <v>12</v>
      </c>
      <c r="C855" t="s">
        <v>63</v>
      </c>
      <c r="D855">
        <v>45</v>
      </c>
      <c r="E855">
        <v>147.483279463381</v>
      </c>
      <c r="F855">
        <v>12.183600483185</v>
      </c>
      <c r="G855" t="s">
        <v>64</v>
      </c>
      <c r="H855">
        <v>12</v>
      </c>
      <c r="I855">
        <v>45</v>
      </c>
      <c r="J855">
        <v>4.5628170138910402</v>
      </c>
      <c r="K855" t="b">
        <f t="shared" si="67"/>
        <v>1</v>
      </c>
      <c r="L855">
        <f t="shared" si="68"/>
        <v>164.22969696045703</v>
      </c>
      <c r="M855">
        <f t="shared" si="69"/>
        <v>328.45939392091407</v>
      </c>
      <c r="N855">
        <f t="shared" si="65"/>
        <v>866.64747736388938</v>
      </c>
      <c r="O855" s="26">
        <f t="shared" si="66"/>
        <v>995.33149673004255</v>
      </c>
    </row>
    <row r="856" spans="1:15" x14ac:dyDescent="0.35">
      <c r="A856" t="s">
        <v>64</v>
      </c>
      <c r="B856">
        <v>12</v>
      </c>
      <c r="C856" t="s">
        <v>63</v>
      </c>
      <c r="D856">
        <v>46</v>
      </c>
      <c r="E856">
        <v>151.79998158258499</v>
      </c>
      <c r="F856">
        <v>13.208470520315901</v>
      </c>
      <c r="G856" t="s">
        <v>64</v>
      </c>
      <c r="H856">
        <v>12</v>
      </c>
      <c r="I856">
        <v>46</v>
      </c>
      <c r="J856">
        <v>4.7162289420493897</v>
      </c>
      <c r="K856" t="b">
        <f t="shared" si="67"/>
        <v>1</v>
      </c>
      <c r="L856">
        <f t="shared" si="68"/>
        <v>169.72468104495027</v>
      </c>
      <c r="M856">
        <f t="shared" si="69"/>
        <v>339.44936208990055</v>
      </c>
      <c r="N856">
        <f t="shared" si="65"/>
        <v>895.6447548546189</v>
      </c>
      <c r="O856" s="26">
        <f t="shared" si="66"/>
        <v>1028.6344305754562</v>
      </c>
    </row>
    <row r="857" spans="1:15" x14ac:dyDescent="0.35">
      <c r="A857" t="s">
        <v>64</v>
      </c>
      <c r="B857">
        <v>12</v>
      </c>
      <c r="C857" t="s">
        <v>63</v>
      </c>
      <c r="D857">
        <v>47</v>
      </c>
      <c r="E857">
        <v>156.10512425779601</v>
      </c>
      <c r="F857">
        <v>14.2288049165128</v>
      </c>
      <c r="G857" t="s">
        <v>64</v>
      </c>
      <c r="H857">
        <v>12</v>
      </c>
      <c r="I857">
        <v>47</v>
      </c>
      <c r="J857">
        <v>4.8668612448912603</v>
      </c>
      <c r="K857" t="b">
        <f t="shared" si="67"/>
        <v>1</v>
      </c>
      <c r="L857">
        <f t="shared" si="68"/>
        <v>175.20079041920008</v>
      </c>
      <c r="M857">
        <f t="shared" si="69"/>
        <v>350.40158083840015</v>
      </c>
      <c r="N857">
        <f t="shared" si="65"/>
        <v>924.54242965277081</v>
      </c>
      <c r="O857" s="26">
        <f t="shared" si="66"/>
        <v>1061.8229722375761</v>
      </c>
    </row>
    <row r="858" spans="1:15" x14ac:dyDescent="0.35">
      <c r="A858" t="s">
        <v>64</v>
      </c>
      <c r="B858">
        <v>12</v>
      </c>
      <c r="C858" t="s">
        <v>63</v>
      </c>
      <c r="D858">
        <v>48</v>
      </c>
      <c r="E858">
        <v>160.38915960348399</v>
      </c>
      <c r="F858">
        <v>15.253196191844999</v>
      </c>
      <c r="G858" t="s">
        <v>64</v>
      </c>
      <c r="H858">
        <v>12</v>
      </c>
      <c r="I858">
        <v>48</v>
      </c>
      <c r="J858">
        <v>5.0153820636131297</v>
      </c>
      <c r="K858" t="b">
        <f t="shared" si="67"/>
        <v>1</v>
      </c>
      <c r="L858">
        <f t="shared" si="68"/>
        <v>180.65773785894211</v>
      </c>
      <c r="M858">
        <f t="shared" si="69"/>
        <v>361.31547571788423</v>
      </c>
      <c r="N858">
        <f t="shared" si="65"/>
        <v>953.33898606301909</v>
      </c>
      <c r="O858" s="26">
        <f t="shared" si="66"/>
        <v>1094.8953809632856</v>
      </c>
    </row>
    <row r="859" spans="1:15" x14ac:dyDescent="0.35">
      <c r="A859" t="s">
        <v>64</v>
      </c>
      <c r="B859">
        <v>12</v>
      </c>
      <c r="C859" t="s">
        <v>63</v>
      </c>
      <c r="D859">
        <v>49</v>
      </c>
      <c r="E859">
        <v>164.64633128157899</v>
      </c>
      <c r="F859">
        <v>16.286500789544601</v>
      </c>
      <c r="G859" t="s">
        <v>64</v>
      </c>
      <c r="H859">
        <v>12</v>
      </c>
      <c r="I859">
        <v>49</v>
      </c>
      <c r="J859">
        <v>5.1621559704144602</v>
      </c>
      <c r="K859" t="b">
        <f t="shared" si="67"/>
        <v>1</v>
      </c>
      <c r="L859">
        <f t="shared" si="68"/>
        <v>186.09498804153804</v>
      </c>
      <c r="M859">
        <f t="shared" si="69"/>
        <v>372.18997608307609</v>
      </c>
      <c r="N859">
        <f t="shared" si="65"/>
        <v>982.03159916378911</v>
      </c>
      <c r="O859" s="26">
        <f t="shared" si="66"/>
        <v>1127.8484123729577</v>
      </c>
    </row>
    <row r="860" spans="1:15" x14ac:dyDescent="0.35">
      <c r="A860" t="s">
        <v>64</v>
      </c>
      <c r="B860">
        <v>12</v>
      </c>
      <c r="C860" t="s">
        <v>63</v>
      </c>
      <c r="D860">
        <v>50</v>
      </c>
      <c r="E860">
        <v>168.40424985670799</v>
      </c>
      <c r="F860">
        <v>17.258063440996501</v>
      </c>
      <c r="G860" t="s">
        <v>64</v>
      </c>
      <c r="H860">
        <v>12</v>
      </c>
      <c r="I860">
        <v>50</v>
      </c>
      <c r="J860">
        <v>5.3020812793975001</v>
      </c>
      <c r="K860" t="b">
        <f t="shared" si="67"/>
        <v>1</v>
      </c>
      <c r="L860">
        <f t="shared" si="68"/>
        <v>190.96439457710198</v>
      </c>
      <c r="M860">
        <f t="shared" si="69"/>
        <v>381.92878915420397</v>
      </c>
      <c r="N860">
        <f t="shared" si="65"/>
        <v>1007.7276758686121</v>
      </c>
      <c r="O860" s="26">
        <f t="shared" si="66"/>
        <v>1157.3599671339514</v>
      </c>
    </row>
    <row r="861" spans="1:15" x14ac:dyDescent="0.35">
      <c r="A861" t="s">
        <v>64</v>
      </c>
      <c r="B861">
        <v>12</v>
      </c>
      <c r="C861" t="s">
        <v>63</v>
      </c>
      <c r="D861">
        <v>51</v>
      </c>
      <c r="E861">
        <v>172.18103005047999</v>
      </c>
      <c r="F861">
        <v>18.198320634211601</v>
      </c>
      <c r="G861" t="s">
        <v>64</v>
      </c>
      <c r="H861">
        <v>12</v>
      </c>
      <c r="I861">
        <v>51</v>
      </c>
      <c r="J861">
        <v>5.4378235605649801</v>
      </c>
      <c r="K861" t="b">
        <f t="shared" si="67"/>
        <v>1</v>
      </c>
      <c r="L861">
        <f t="shared" si="68"/>
        <v>195.81717424525658</v>
      </c>
      <c r="M861">
        <f t="shared" si="69"/>
        <v>391.63434849051316</v>
      </c>
      <c r="N861">
        <f t="shared" si="65"/>
        <v>1033.3360118483197</v>
      </c>
      <c r="O861" s="26">
        <f t="shared" si="66"/>
        <v>1186.770753001555</v>
      </c>
    </row>
    <row r="862" spans="1:15" x14ac:dyDescent="0.35">
      <c r="A862" t="s">
        <v>64</v>
      </c>
      <c r="B862">
        <v>12</v>
      </c>
      <c r="C862" t="s">
        <v>63</v>
      </c>
      <c r="D862">
        <v>52</v>
      </c>
      <c r="E862">
        <v>175.95823336583501</v>
      </c>
      <c r="F862">
        <v>19.124882378706602</v>
      </c>
      <c r="G862" t="s">
        <v>64</v>
      </c>
      <c r="H862">
        <v>12</v>
      </c>
      <c r="I862">
        <v>52</v>
      </c>
      <c r="J862">
        <v>5.5708128829337697</v>
      </c>
      <c r="K862" t="b">
        <f t="shared" si="67"/>
        <v>1</v>
      </c>
      <c r="L862">
        <f t="shared" si="68"/>
        <v>200.65392862747538</v>
      </c>
      <c r="M862">
        <f t="shared" si="69"/>
        <v>401.30785725495076</v>
      </c>
      <c r="N862">
        <f t="shared" si="65"/>
        <v>1058.8597816753318</v>
      </c>
      <c r="O862" s="26">
        <f t="shared" si="66"/>
        <v>1216.0844159240933</v>
      </c>
    </row>
    <row r="863" spans="1:15" x14ac:dyDescent="0.35">
      <c r="A863" t="s">
        <v>64</v>
      </c>
      <c r="B863">
        <v>12</v>
      </c>
      <c r="C863" t="s">
        <v>63</v>
      </c>
      <c r="D863">
        <v>53</v>
      </c>
      <c r="E863">
        <v>179.72505532161799</v>
      </c>
      <c r="F863">
        <v>20.0478346618691</v>
      </c>
      <c r="G863" t="s">
        <v>64</v>
      </c>
      <c r="H863">
        <v>12</v>
      </c>
      <c r="I863">
        <v>53</v>
      </c>
      <c r="J863">
        <v>5.7018236992771802</v>
      </c>
      <c r="K863" t="b">
        <f t="shared" si="67"/>
        <v>1</v>
      </c>
      <c r="L863">
        <f t="shared" si="68"/>
        <v>205.47471368276427</v>
      </c>
      <c r="M863">
        <f t="shared" si="69"/>
        <v>410.94942736552855</v>
      </c>
      <c r="N863">
        <f t="shared" si="65"/>
        <v>1084.2992806478326</v>
      </c>
      <c r="O863" s="26">
        <f t="shared" si="66"/>
        <v>1245.3012950470561</v>
      </c>
    </row>
    <row r="864" spans="1:15" x14ac:dyDescent="0.35">
      <c r="A864" t="s">
        <v>64</v>
      </c>
      <c r="B864">
        <v>12</v>
      </c>
      <c r="C864" t="s">
        <v>63</v>
      </c>
      <c r="D864">
        <v>54</v>
      </c>
      <c r="E864">
        <v>183.46996000292799</v>
      </c>
      <c r="F864">
        <v>20.9728737994254</v>
      </c>
      <c r="G864" t="s">
        <v>64</v>
      </c>
      <c r="H864">
        <v>12</v>
      </c>
      <c r="I864">
        <v>54</v>
      </c>
      <c r="J864">
        <v>5.8312824853751302</v>
      </c>
      <c r="K864" t="b">
        <f t="shared" si="67"/>
        <v>1</v>
      </c>
      <c r="L864">
        <f t="shared" si="68"/>
        <v>210.27411628772853</v>
      </c>
      <c r="M864">
        <f t="shared" si="69"/>
        <v>420.54823257545706</v>
      </c>
      <c r="N864">
        <f t="shared" si="65"/>
        <v>1109.6259434708629</v>
      </c>
      <c r="O864" s="26">
        <f t="shared" si="66"/>
        <v>1274.388583561991</v>
      </c>
    </row>
    <row r="865" spans="1:15" x14ac:dyDescent="0.35">
      <c r="A865" t="s">
        <v>64</v>
      </c>
      <c r="B865">
        <v>12</v>
      </c>
      <c r="C865" t="s">
        <v>63</v>
      </c>
      <c r="D865">
        <v>55</v>
      </c>
      <c r="E865">
        <v>186.63646270792501</v>
      </c>
      <c r="F865">
        <v>21.839148098619699</v>
      </c>
      <c r="G865" t="s">
        <v>64</v>
      </c>
      <c r="H865">
        <v>12</v>
      </c>
      <c r="I865">
        <v>55</v>
      </c>
      <c r="J865">
        <v>5.9534556630957702</v>
      </c>
      <c r="K865" t="b">
        <f t="shared" si="67"/>
        <v>1</v>
      </c>
      <c r="L865">
        <f t="shared" si="68"/>
        <v>214.42906646964047</v>
      </c>
      <c r="M865">
        <f t="shared" si="69"/>
        <v>428.85813293928095</v>
      </c>
      <c r="N865">
        <f t="shared" si="65"/>
        <v>1131.5518019506094</v>
      </c>
      <c r="O865" s="26">
        <f t="shared" si="66"/>
        <v>1299.5700998160028</v>
      </c>
    </row>
    <row r="866" spans="1:15" x14ac:dyDescent="0.35">
      <c r="A866" t="s">
        <v>64</v>
      </c>
      <c r="B866">
        <v>12</v>
      </c>
      <c r="C866" t="s">
        <v>63</v>
      </c>
      <c r="D866">
        <v>56</v>
      </c>
      <c r="E866">
        <v>189.82345332237</v>
      </c>
      <c r="F866">
        <v>22.674376635607398</v>
      </c>
      <c r="G866" t="s">
        <v>64</v>
      </c>
      <c r="H866">
        <v>12</v>
      </c>
      <c r="I866">
        <v>56</v>
      </c>
      <c r="J866">
        <v>6.0711928285716503</v>
      </c>
      <c r="K866" t="b">
        <f t="shared" si="67"/>
        <v>1</v>
      </c>
      <c r="L866">
        <f t="shared" si="68"/>
        <v>218.56902278654903</v>
      </c>
      <c r="M866">
        <f t="shared" si="69"/>
        <v>437.13804557309805</v>
      </c>
      <c r="N866">
        <f t="shared" si="65"/>
        <v>1153.3985371321849</v>
      </c>
      <c r="O866" s="26">
        <f t="shared" si="66"/>
        <v>1324.6607441609031</v>
      </c>
    </row>
    <row r="867" spans="1:15" x14ac:dyDescent="0.35">
      <c r="A867" t="s">
        <v>64</v>
      </c>
      <c r="B867">
        <v>12</v>
      </c>
      <c r="C867" t="s">
        <v>63</v>
      </c>
      <c r="D867">
        <v>57</v>
      </c>
      <c r="E867">
        <v>193.01460176350301</v>
      </c>
      <c r="F867">
        <v>23.494429429725098</v>
      </c>
      <c r="G867" t="s">
        <v>64</v>
      </c>
      <c r="H867">
        <v>12</v>
      </c>
      <c r="I867">
        <v>57</v>
      </c>
      <c r="J867">
        <v>6.1860573375492303</v>
      </c>
      <c r="K867" t="b">
        <f t="shared" si="67"/>
        <v>1</v>
      </c>
      <c r="L867">
        <f t="shared" si="68"/>
        <v>222.69508853077735</v>
      </c>
      <c r="M867">
        <f t="shared" si="69"/>
        <v>445.39017706155471</v>
      </c>
      <c r="N867">
        <f t="shared" si="65"/>
        <v>1175.1719711386668</v>
      </c>
      <c r="O867" s="26">
        <f t="shared" si="66"/>
        <v>1349.6672032168324</v>
      </c>
    </row>
    <row r="868" spans="1:15" x14ac:dyDescent="0.35">
      <c r="A868" t="s">
        <v>64</v>
      </c>
      <c r="B868">
        <v>12</v>
      </c>
      <c r="C868" t="s">
        <v>63</v>
      </c>
      <c r="D868">
        <v>58</v>
      </c>
      <c r="E868">
        <v>196.200466336875</v>
      </c>
      <c r="F868">
        <v>24.308324206296898</v>
      </c>
      <c r="G868" t="s">
        <v>64</v>
      </c>
      <c r="H868">
        <v>12</v>
      </c>
      <c r="I868">
        <v>58</v>
      </c>
      <c r="J868">
        <v>6.2989203269857699</v>
      </c>
      <c r="K868" t="b">
        <f t="shared" si="67"/>
        <v>1</v>
      </c>
      <c r="L868">
        <f t="shared" si="68"/>
        <v>226.80771087015768</v>
      </c>
      <c r="M868">
        <f t="shared" si="69"/>
        <v>453.61542174031536</v>
      </c>
      <c r="N868">
        <f t="shared" si="65"/>
        <v>1196.8744636947636</v>
      </c>
      <c r="O868" s="26">
        <f t="shared" si="66"/>
        <v>1374.5921870918646</v>
      </c>
    </row>
    <row r="869" spans="1:15" x14ac:dyDescent="0.35">
      <c r="A869" t="s">
        <v>64</v>
      </c>
      <c r="B869">
        <v>12</v>
      </c>
      <c r="C869" t="s">
        <v>63</v>
      </c>
      <c r="D869">
        <v>59</v>
      </c>
      <c r="E869">
        <v>199.375581683148</v>
      </c>
      <c r="F869">
        <v>25.121128905831799</v>
      </c>
      <c r="G869" t="s">
        <v>64</v>
      </c>
      <c r="H869">
        <v>12</v>
      </c>
      <c r="I869">
        <v>59</v>
      </c>
      <c r="J869">
        <v>6.4102785538854601</v>
      </c>
      <c r="K869" t="b">
        <f t="shared" si="67"/>
        <v>1</v>
      </c>
      <c r="L869">
        <f t="shared" si="68"/>
        <v>230.90698914286526</v>
      </c>
      <c r="M869">
        <f t="shared" si="69"/>
        <v>461.81397828573051</v>
      </c>
      <c r="N869">
        <f t="shared" si="65"/>
        <v>1218.5065390124817</v>
      </c>
      <c r="O869" s="26">
        <f t="shared" si="66"/>
        <v>1399.4362978355468</v>
      </c>
    </row>
    <row r="870" spans="1:15" x14ac:dyDescent="0.35">
      <c r="A870" t="s">
        <v>64</v>
      </c>
      <c r="B870">
        <v>12</v>
      </c>
      <c r="C870" t="s">
        <v>63</v>
      </c>
      <c r="D870">
        <v>60</v>
      </c>
      <c r="E870">
        <v>202.06082166954201</v>
      </c>
      <c r="F870">
        <v>25.883715215452298</v>
      </c>
      <c r="G870" t="s">
        <v>64</v>
      </c>
      <c r="H870">
        <v>12</v>
      </c>
      <c r="I870">
        <v>60</v>
      </c>
      <c r="J870">
        <v>6.51498059964322</v>
      </c>
      <c r="K870" t="b">
        <f t="shared" si="67"/>
        <v>1</v>
      </c>
      <c r="L870">
        <f t="shared" si="68"/>
        <v>234.45951748463753</v>
      </c>
      <c r="M870">
        <f t="shared" si="69"/>
        <v>468.91903496927506</v>
      </c>
      <c r="N870">
        <f t="shared" si="65"/>
        <v>1237.2533904202508</v>
      </c>
      <c r="O870" s="26">
        <f t="shared" si="66"/>
        <v>1420.9667726341668</v>
      </c>
    </row>
    <row r="871" spans="1:15" x14ac:dyDescent="0.35">
      <c r="A871" t="s">
        <v>64</v>
      </c>
      <c r="B871">
        <v>12</v>
      </c>
      <c r="C871" t="s">
        <v>63</v>
      </c>
      <c r="D871">
        <v>61</v>
      </c>
      <c r="E871">
        <v>204.76428459388001</v>
      </c>
      <c r="F871">
        <v>26.619178562506502</v>
      </c>
      <c r="G871" t="s">
        <v>64</v>
      </c>
      <c r="H871">
        <v>12</v>
      </c>
      <c r="I871">
        <v>61</v>
      </c>
      <c r="J871">
        <v>6.6156145026756299</v>
      </c>
      <c r="K871" t="b">
        <f t="shared" si="67"/>
        <v>1</v>
      </c>
      <c r="L871">
        <f t="shared" si="68"/>
        <v>237.99907765906215</v>
      </c>
      <c r="M871">
        <f t="shared" si="69"/>
        <v>475.9981553181243</v>
      </c>
      <c r="N871">
        <f t="shared" si="65"/>
        <v>1255.9318082272409</v>
      </c>
      <c r="O871" s="26">
        <f t="shared" si="66"/>
        <v>1442.4186524791644</v>
      </c>
    </row>
    <row r="872" spans="1:15" x14ac:dyDescent="0.35">
      <c r="A872" t="s">
        <v>64</v>
      </c>
      <c r="B872">
        <v>12</v>
      </c>
      <c r="C872" t="s">
        <v>63</v>
      </c>
      <c r="D872">
        <v>62</v>
      </c>
      <c r="E872">
        <v>207.47249465377101</v>
      </c>
      <c r="F872">
        <v>27.340647224142899</v>
      </c>
      <c r="G872" t="s">
        <v>64</v>
      </c>
      <c r="H872">
        <v>12</v>
      </c>
      <c r="I872">
        <v>62</v>
      </c>
      <c r="J872">
        <v>6.7136181234795798</v>
      </c>
      <c r="K872" t="b">
        <f t="shared" si="67"/>
        <v>1</v>
      </c>
      <c r="L872">
        <f t="shared" si="68"/>
        <v>241.52676000139348</v>
      </c>
      <c r="M872">
        <f t="shared" si="69"/>
        <v>483.05352000278697</v>
      </c>
      <c r="N872">
        <f t="shared" si="65"/>
        <v>1274.547546181496</v>
      </c>
      <c r="O872" s="26">
        <f t="shared" si="66"/>
        <v>1463.7985454629907</v>
      </c>
    </row>
    <row r="873" spans="1:15" x14ac:dyDescent="0.35">
      <c r="A873" t="s">
        <v>64</v>
      </c>
      <c r="B873">
        <v>12</v>
      </c>
      <c r="C873" t="s">
        <v>63</v>
      </c>
      <c r="D873">
        <v>63</v>
      </c>
      <c r="E873">
        <v>210.177725811676</v>
      </c>
      <c r="F873">
        <v>28.055537171880101</v>
      </c>
      <c r="G873" t="s">
        <v>64</v>
      </c>
      <c r="H873">
        <v>12</v>
      </c>
      <c r="I873">
        <v>63</v>
      </c>
      <c r="J873">
        <v>6.8098054686343099</v>
      </c>
      <c r="K873" t="b">
        <f t="shared" si="67"/>
        <v>1</v>
      </c>
      <c r="L873">
        <f t="shared" si="68"/>
        <v>245.04306845219043</v>
      </c>
      <c r="M873">
        <f t="shared" si="69"/>
        <v>490.08613690438085</v>
      </c>
      <c r="N873">
        <f t="shared" si="65"/>
        <v>1293.1032635999495</v>
      </c>
      <c r="O873" s="26">
        <f t="shared" si="66"/>
        <v>1485.109505770851</v>
      </c>
    </row>
    <row r="874" spans="1:15" x14ac:dyDescent="0.35">
      <c r="A874" t="s">
        <v>64</v>
      </c>
      <c r="B874">
        <v>12</v>
      </c>
      <c r="C874" t="s">
        <v>63</v>
      </c>
      <c r="D874">
        <v>64</v>
      </c>
      <c r="E874">
        <v>212.87554497021</v>
      </c>
      <c r="F874">
        <v>28.767997506975899</v>
      </c>
      <c r="G874" t="s">
        <v>64</v>
      </c>
      <c r="H874">
        <v>12</v>
      </c>
      <c r="I874">
        <v>64</v>
      </c>
      <c r="J874">
        <v>6.9046495827565701</v>
      </c>
      <c r="K874" t="b">
        <f t="shared" si="67"/>
        <v>1</v>
      </c>
      <c r="L874">
        <f t="shared" si="68"/>
        <v>248.54819205994247</v>
      </c>
      <c r="M874">
        <f t="shared" si="69"/>
        <v>497.09638411988493</v>
      </c>
      <c r="N874">
        <f t="shared" si="65"/>
        <v>1311.5999580999603</v>
      </c>
      <c r="O874" s="26">
        <f t="shared" si="66"/>
        <v>1506.3526791511663</v>
      </c>
    </row>
    <row r="875" spans="1:15" x14ac:dyDescent="0.35">
      <c r="A875" t="s">
        <v>64</v>
      </c>
      <c r="B875">
        <v>12</v>
      </c>
      <c r="C875" t="s">
        <v>63</v>
      </c>
      <c r="D875">
        <v>65</v>
      </c>
      <c r="E875">
        <v>215.194297868631</v>
      </c>
      <c r="F875">
        <v>29.429540847434101</v>
      </c>
      <c r="G875" t="s">
        <v>64</v>
      </c>
      <c r="H875">
        <v>12</v>
      </c>
      <c r="I875">
        <v>65</v>
      </c>
      <c r="J875">
        <v>6.9942131193952699</v>
      </c>
      <c r="K875" t="b">
        <f t="shared" si="67"/>
        <v>1</v>
      </c>
      <c r="L875">
        <f t="shared" si="68"/>
        <v>251.61805183546039</v>
      </c>
      <c r="M875">
        <f t="shared" si="69"/>
        <v>503.23610367092078</v>
      </c>
      <c r="N875">
        <f t="shared" si="65"/>
        <v>1327.799745833564</v>
      </c>
      <c r="O875" s="26">
        <f t="shared" si="66"/>
        <v>1524.957889911881</v>
      </c>
    </row>
    <row r="876" spans="1:15" x14ac:dyDescent="0.35">
      <c r="A876" t="s">
        <v>64</v>
      </c>
      <c r="B876">
        <v>12</v>
      </c>
      <c r="C876" t="s">
        <v>63</v>
      </c>
      <c r="D876">
        <v>66</v>
      </c>
      <c r="E876">
        <v>217.534602009944</v>
      </c>
      <c r="F876">
        <v>30.063253367710601</v>
      </c>
      <c r="G876" t="s">
        <v>64</v>
      </c>
      <c r="H876">
        <v>12</v>
      </c>
      <c r="I876">
        <v>66</v>
      </c>
      <c r="J876">
        <v>7.0806179114456702</v>
      </c>
      <c r="K876" t="b">
        <f t="shared" si="67"/>
        <v>1</v>
      </c>
      <c r="L876">
        <f t="shared" si="68"/>
        <v>254.67847328910025</v>
      </c>
      <c r="M876">
        <f t="shared" si="69"/>
        <v>509.35694657820051</v>
      </c>
      <c r="N876">
        <f t="shared" si="65"/>
        <v>1343.9497271192624</v>
      </c>
      <c r="O876" s="26">
        <f t="shared" si="66"/>
        <v>1543.5058987218197</v>
      </c>
    </row>
    <row r="877" spans="1:15" x14ac:dyDescent="0.35">
      <c r="A877" t="s">
        <v>64</v>
      </c>
      <c r="B877">
        <v>12</v>
      </c>
      <c r="C877" t="s">
        <v>63</v>
      </c>
      <c r="D877">
        <v>67</v>
      </c>
      <c r="E877">
        <v>219.88307498870799</v>
      </c>
      <c r="F877">
        <v>30.682202679999801</v>
      </c>
      <c r="G877" t="s">
        <v>64</v>
      </c>
      <c r="H877">
        <v>12</v>
      </c>
      <c r="I877">
        <v>67</v>
      </c>
      <c r="J877">
        <v>7.1650205566544498</v>
      </c>
      <c r="K877" t="b">
        <f t="shared" si="67"/>
        <v>1</v>
      </c>
      <c r="L877">
        <f t="shared" si="68"/>
        <v>257.73029822536222</v>
      </c>
      <c r="M877">
        <f t="shared" si="69"/>
        <v>515.46059645072444</v>
      </c>
      <c r="N877">
        <f t="shared" si="65"/>
        <v>1360.054344197162</v>
      </c>
      <c r="O877" s="26">
        <f t="shared" si="66"/>
        <v>1562.0018074264376</v>
      </c>
    </row>
    <row r="878" spans="1:15" x14ac:dyDescent="0.35">
      <c r="A878" t="s">
        <v>64</v>
      </c>
      <c r="B878">
        <v>12</v>
      </c>
      <c r="C878" t="s">
        <v>63</v>
      </c>
      <c r="D878">
        <v>68</v>
      </c>
      <c r="E878">
        <v>222.23208741693099</v>
      </c>
      <c r="F878">
        <v>31.2937454423801</v>
      </c>
      <c r="G878" t="s">
        <v>64</v>
      </c>
      <c r="H878">
        <v>12</v>
      </c>
      <c r="I878">
        <v>68</v>
      </c>
      <c r="J878">
        <v>7.24806282293941</v>
      </c>
      <c r="K878" t="b">
        <f t="shared" si="67"/>
        <v>1</v>
      </c>
      <c r="L878">
        <f t="shared" si="68"/>
        <v>260.7738956822505</v>
      </c>
      <c r="M878">
        <f t="shared" si="69"/>
        <v>521.54779136450099</v>
      </c>
      <c r="N878">
        <f t="shared" si="65"/>
        <v>1376.115544497364</v>
      </c>
      <c r="O878" s="26">
        <f t="shared" si="66"/>
        <v>1580.4478526196999</v>
      </c>
    </row>
    <row r="879" spans="1:15" x14ac:dyDescent="0.35">
      <c r="A879" t="s">
        <v>64</v>
      </c>
      <c r="B879">
        <v>12</v>
      </c>
      <c r="C879" t="s">
        <v>63</v>
      </c>
      <c r="D879">
        <v>69</v>
      </c>
      <c r="E879">
        <v>224.57728834445899</v>
      </c>
      <c r="F879">
        <v>31.901988390964501</v>
      </c>
      <c r="G879" t="s">
        <v>64</v>
      </c>
      <c r="H879">
        <v>12</v>
      </c>
      <c r="I879">
        <v>69</v>
      </c>
      <c r="J879">
        <v>7.3301103429921302</v>
      </c>
      <c r="K879" t="b">
        <f t="shared" si="67"/>
        <v>1</v>
      </c>
      <c r="L879">
        <f t="shared" si="68"/>
        <v>263.80938707841563</v>
      </c>
      <c r="M879">
        <f t="shared" si="69"/>
        <v>527.61877415683125</v>
      </c>
      <c r="N879">
        <f t="shared" si="65"/>
        <v>1392.1339687515335</v>
      </c>
      <c r="O879" s="26">
        <f t="shared" si="66"/>
        <v>1598.8447701722159</v>
      </c>
    </row>
    <row r="880" spans="1:15" x14ac:dyDescent="0.35">
      <c r="A880" t="s">
        <v>64</v>
      </c>
      <c r="B880">
        <v>12</v>
      </c>
      <c r="C880" t="s">
        <v>63</v>
      </c>
      <c r="D880">
        <v>70</v>
      </c>
      <c r="E880">
        <v>226.65996851902199</v>
      </c>
      <c r="F880">
        <v>32.464857616899202</v>
      </c>
      <c r="G880" t="s">
        <v>64</v>
      </c>
      <c r="H880">
        <v>12</v>
      </c>
      <c r="I880">
        <v>70</v>
      </c>
      <c r="J880">
        <v>7.4084484309778498</v>
      </c>
      <c r="K880" t="b">
        <f t="shared" si="67"/>
        <v>1</v>
      </c>
      <c r="L880">
        <f t="shared" si="68"/>
        <v>266.53327456689902</v>
      </c>
      <c r="M880">
        <f t="shared" si="69"/>
        <v>533.06654913379805</v>
      </c>
      <c r="N880">
        <f t="shared" si="65"/>
        <v>1406.5080452079103</v>
      </c>
      <c r="O880" s="26">
        <f t="shared" si="66"/>
        <v>1615.3531791933274</v>
      </c>
    </row>
    <row r="881" spans="1:15" x14ac:dyDescent="0.35">
      <c r="A881" t="s">
        <v>64</v>
      </c>
      <c r="B881">
        <v>12</v>
      </c>
      <c r="C881" t="s">
        <v>63</v>
      </c>
      <c r="D881">
        <v>71</v>
      </c>
      <c r="E881">
        <v>228.76356704732899</v>
      </c>
      <c r="F881">
        <v>33.003157151485198</v>
      </c>
      <c r="G881" t="s">
        <v>64</v>
      </c>
      <c r="H881">
        <v>12</v>
      </c>
      <c r="I881">
        <v>71</v>
      </c>
      <c r="J881">
        <v>7.4846254426288299</v>
      </c>
      <c r="K881" t="b">
        <f t="shared" si="67"/>
        <v>1</v>
      </c>
      <c r="L881">
        <f t="shared" si="68"/>
        <v>269.25134964144303</v>
      </c>
      <c r="M881">
        <f t="shared" si="69"/>
        <v>538.50269928288606</v>
      </c>
      <c r="N881">
        <f t="shared" si="65"/>
        <v>1420.8514492952138</v>
      </c>
      <c r="O881" s="26">
        <f t="shared" si="66"/>
        <v>1631.8263614632911</v>
      </c>
    </row>
    <row r="882" spans="1:15" x14ac:dyDescent="0.35">
      <c r="A882" t="s">
        <v>64</v>
      </c>
      <c r="B882">
        <v>12</v>
      </c>
      <c r="C882" t="s">
        <v>63</v>
      </c>
      <c r="D882">
        <v>72</v>
      </c>
      <c r="E882">
        <v>230.87604505595499</v>
      </c>
      <c r="F882">
        <v>33.528611686497399</v>
      </c>
      <c r="G882" t="s">
        <v>64</v>
      </c>
      <c r="H882">
        <v>12</v>
      </c>
      <c r="I882">
        <v>72</v>
      </c>
      <c r="J882">
        <v>7.5594623671005401</v>
      </c>
      <c r="K882" t="b">
        <f t="shared" si="67"/>
        <v>1</v>
      </c>
      <c r="L882">
        <f t="shared" si="68"/>
        <v>271.96411910955294</v>
      </c>
      <c r="M882">
        <f t="shared" si="69"/>
        <v>543.92823821910588</v>
      </c>
      <c r="N882">
        <f t="shared" si="65"/>
        <v>1435.1668554593823</v>
      </c>
      <c r="O882" s="26">
        <f t="shared" si="66"/>
        <v>1648.267388542745</v>
      </c>
    </row>
    <row r="883" spans="1:15" x14ac:dyDescent="0.35">
      <c r="A883" t="s">
        <v>64</v>
      </c>
      <c r="B883">
        <v>12</v>
      </c>
      <c r="C883" t="s">
        <v>63</v>
      </c>
      <c r="D883">
        <v>73</v>
      </c>
      <c r="E883">
        <v>232.990562505296</v>
      </c>
      <c r="F883">
        <v>34.047789822861098</v>
      </c>
      <c r="G883" t="s">
        <v>64</v>
      </c>
      <c r="H883">
        <v>12</v>
      </c>
      <c r="I883">
        <v>73</v>
      </c>
      <c r="J883">
        <v>7.6334006448242304</v>
      </c>
      <c r="K883" t="b">
        <f t="shared" si="67"/>
        <v>1</v>
      </c>
      <c r="L883">
        <f t="shared" si="68"/>
        <v>274.67175297298132</v>
      </c>
      <c r="M883">
        <f t="shared" si="69"/>
        <v>549.34350594596265</v>
      </c>
      <c r="N883">
        <f t="shared" si="65"/>
        <v>1449.4551608072893</v>
      </c>
      <c r="O883" s="26">
        <f t="shared" si="66"/>
        <v>1664.6772907453412</v>
      </c>
    </row>
    <row r="884" spans="1:15" x14ac:dyDescent="0.35">
      <c r="A884" t="s">
        <v>64</v>
      </c>
      <c r="B884">
        <v>12</v>
      </c>
      <c r="C884" t="s">
        <v>63</v>
      </c>
      <c r="D884">
        <v>74</v>
      </c>
      <c r="E884">
        <v>235.10323229163399</v>
      </c>
      <c r="F884">
        <v>34.564336355087597</v>
      </c>
      <c r="G884" t="s">
        <v>64</v>
      </c>
      <c r="H884">
        <v>12</v>
      </c>
      <c r="I884">
        <v>74</v>
      </c>
      <c r="J884">
        <v>7.70668337986341</v>
      </c>
      <c r="K884" t="b">
        <f t="shared" si="67"/>
        <v>1</v>
      </c>
      <c r="L884">
        <f t="shared" si="68"/>
        <v>277.374252026585</v>
      </c>
      <c r="M884">
        <f t="shared" si="69"/>
        <v>554.74850405317</v>
      </c>
      <c r="N884">
        <f t="shared" si="65"/>
        <v>1463.71636953343</v>
      </c>
      <c r="O884" s="26">
        <f t="shared" si="66"/>
        <v>1681.0560728883938</v>
      </c>
    </row>
    <row r="885" spans="1:15" x14ac:dyDescent="0.35">
      <c r="A885" t="s">
        <v>64</v>
      </c>
      <c r="B885">
        <v>12</v>
      </c>
      <c r="C885" t="s">
        <v>63</v>
      </c>
      <c r="D885">
        <v>75</v>
      </c>
      <c r="E885">
        <v>237.013057741247</v>
      </c>
      <c r="F885">
        <v>35.043548380099502</v>
      </c>
      <c r="G885" t="s">
        <v>64</v>
      </c>
      <c r="H885">
        <v>12</v>
      </c>
      <c r="I885">
        <v>75</v>
      </c>
      <c r="J885">
        <v>7.77717575210412</v>
      </c>
      <c r="K885" t="b">
        <f t="shared" si="67"/>
        <v>1</v>
      </c>
      <c r="L885">
        <f t="shared" si="68"/>
        <v>279.83378187345062</v>
      </c>
      <c r="M885">
        <f t="shared" si="69"/>
        <v>559.66756374690124</v>
      </c>
      <c r="N885">
        <f t="shared" si="65"/>
        <v>1476.6954188572593</v>
      </c>
      <c r="O885" s="26">
        <f t="shared" si="66"/>
        <v>1695.962314384549</v>
      </c>
    </row>
    <row r="886" spans="1:15" x14ac:dyDescent="0.35">
      <c r="A886" t="s">
        <v>64</v>
      </c>
      <c r="B886">
        <v>12</v>
      </c>
      <c r="C886" t="s">
        <v>63</v>
      </c>
      <c r="D886">
        <v>76</v>
      </c>
      <c r="E886">
        <v>238.941096010048</v>
      </c>
      <c r="F886">
        <v>35.502914010649398</v>
      </c>
      <c r="G886" t="s">
        <v>64</v>
      </c>
      <c r="H886">
        <v>12</v>
      </c>
      <c r="I886">
        <v>76</v>
      </c>
      <c r="J886">
        <v>7.8460738779900403</v>
      </c>
      <c r="K886" t="b">
        <f t="shared" si="67"/>
        <v>1</v>
      </c>
      <c r="L886">
        <f t="shared" si="68"/>
        <v>282.29008389868744</v>
      </c>
      <c r="M886">
        <f t="shared" si="69"/>
        <v>564.58016779737488</v>
      </c>
      <c r="N886">
        <f t="shared" si="65"/>
        <v>1489.6574348215695</v>
      </c>
      <c r="O886" s="26">
        <f t="shared" si="66"/>
        <v>1710.8489933253784</v>
      </c>
    </row>
    <row r="887" spans="1:15" x14ac:dyDescent="0.35">
      <c r="A887" t="s">
        <v>64</v>
      </c>
      <c r="B887">
        <v>12</v>
      </c>
      <c r="C887" t="s">
        <v>63</v>
      </c>
      <c r="D887">
        <v>77</v>
      </c>
      <c r="E887">
        <v>240.87722033814001</v>
      </c>
      <c r="F887">
        <v>35.952246650116599</v>
      </c>
      <c r="G887" t="s">
        <v>64</v>
      </c>
      <c r="H887">
        <v>12</v>
      </c>
      <c r="I887">
        <v>77</v>
      </c>
      <c r="J887">
        <v>7.9140019702878899</v>
      </c>
      <c r="K887" t="b">
        <f t="shared" si="67"/>
        <v>1</v>
      </c>
      <c r="L887">
        <f t="shared" si="68"/>
        <v>284.7434689585445</v>
      </c>
      <c r="M887">
        <f t="shared" si="69"/>
        <v>569.48693791708899</v>
      </c>
      <c r="N887">
        <f t="shared" si="65"/>
        <v>1502.6040578287309</v>
      </c>
      <c r="O887" s="26">
        <f t="shared" si="66"/>
        <v>1725.7179936881485</v>
      </c>
    </row>
    <row r="888" spans="1:15" x14ac:dyDescent="0.35">
      <c r="A888" t="s">
        <v>64</v>
      </c>
      <c r="B888">
        <v>12</v>
      </c>
      <c r="C888" t="s">
        <v>63</v>
      </c>
      <c r="D888">
        <v>78</v>
      </c>
      <c r="E888">
        <v>242.81569046905699</v>
      </c>
      <c r="F888">
        <v>36.397013557059303</v>
      </c>
      <c r="G888" t="s">
        <v>64</v>
      </c>
      <c r="H888">
        <v>12</v>
      </c>
      <c r="I888">
        <v>78</v>
      </c>
      <c r="J888">
        <v>7.9812891352995701</v>
      </c>
      <c r="K888" t="b">
        <f t="shared" si="67"/>
        <v>1</v>
      </c>
      <c r="L888">
        <f t="shared" si="68"/>
        <v>287.19399316141585</v>
      </c>
      <c r="M888">
        <f t="shared" si="69"/>
        <v>574.38798632283169</v>
      </c>
      <c r="N888">
        <f t="shared" si="65"/>
        <v>1515.535583965255</v>
      </c>
      <c r="O888" s="26">
        <f t="shared" si="66"/>
        <v>1740.5696555237323</v>
      </c>
    </row>
    <row r="889" spans="1:15" x14ac:dyDescent="0.35">
      <c r="A889" t="s">
        <v>64</v>
      </c>
      <c r="B889">
        <v>12</v>
      </c>
      <c r="C889" t="s">
        <v>63</v>
      </c>
      <c r="D889">
        <v>79</v>
      </c>
      <c r="E889">
        <v>244.753251894909</v>
      </c>
      <c r="F889">
        <v>36.840224221493003</v>
      </c>
      <c r="G889" t="s">
        <v>64</v>
      </c>
      <c r="H889">
        <v>12</v>
      </c>
      <c r="I889">
        <v>79</v>
      </c>
      <c r="J889">
        <v>8.0481124265587702</v>
      </c>
      <c r="K889" t="b">
        <f t="shared" si="67"/>
        <v>1</v>
      </c>
      <c r="L889">
        <f t="shared" si="68"/>
        <v>289.64158854296079</v>
      </c>
      <c r="M889">
        <f t="shared" si="69"/>
        <v>579.28317708592158</v>
      </c>
      <c r="N889">
        <f t="shared" si="65"/>
        <v>1528.451654580268</v>
      </c>
      <c r="O889" s="26">
        <f t="shared" si="66"/>
        <v>1755.4035669270349</v>
      </c>
    </row>
    <row r="890" spans="1:15" x14ac:dyDescent="0.35">
      <c r="A890" t="s">
        <v>64</v>
      </c>
      <c r="B890">
        <v>12</v>
      </c>
      <c r="C890" t="s">
        <v>63</v>
      </c>
      <c r="D890">
        <v>80</v>
      </c>
      <c r="E890">
        <v>246.38051423500701</v>
      </c>
      <c r="F890">
        <v>37.310900741758402</v>
      </c>
      <c r="G890" t="s">
        <v>64</v>
      </c>
      <c r="H890">
        <v>12</v>
      </c>
      <c r="I890">
        <v>80</v>
      </c>
      <c r="J890">
        <v>8.1110527991675099</v>
      </c>
      <c r="K890" t="b">
        <f t="shared" si="67"/>
        <v>1</v>
      </c>
      <c r="L890">
        <f t="shared" si="68"/>
        <v>291.80246777593294</v>
      </c>
      <c r="M890">
        <f t="shared" si="69"/>
        <v>583.60493555186588</v>
      </c>
      <c r="N890">
        <f t="shared" si="65"/>
        <v>1539.8547112186434</v>
      </c>
      <c r="O890" s="26">
        <f t="shared" si="66"/>
        <v>1768.4998047026238</v>
      </c>
    </row>
    <row r="891" spans="1:15" x14ac:dyDescent="0.35">
      <c r="A891" t="s">
        <v>64</v>
      </c>
      <c r="B891">
        <v>12</v>
      </c>
      <c r="C891" t="s">
        <v>63</v>
      </c>
      <c r="D891">
        <v>81</v>
      </c>
      <c r="E891">
        <v>247.98375070592999</v>
      </c>
      <c r="F891">
        <v>37.748832271431802</v>
      </c>
      <c r="G891" t="s">
        <v>64</v>
      </c>
      <c r="H891">
        <v>12</v>
      </c>
      <c r="I891">
        <v>81</v>
      </c>
      <c r="J891">
        <v>8.1712419578916506</v>
      </c>
      <c r="K891" t="b">
        <f t="shared" si="67"/>
        <v>1</v>
      </c>
      <c r="L891">
        <f t="shared" si="68"/>
        <v>293.90382493525345</v>
      </c>
      <c r="M891">
        <f t="shared" si="69"/>
        <v>587.80764987050691</v>
      </c>
      <c r="N891">
        <f t="shared" ref="N891:N910" si="70">M891/(1-0.621)</f>
        <v>1550.9436672045038</v>
      </c>
      <c r="O891" s="26">
        <f t="shared" ref="O891:O910" si="71">M891/0.33</f>
        <v>1781.2353026378996</v>
      </c>
    </row>
    <row r="892" spans="1:15" x14ac:dyDescent="0.35">
      <c r="A892" t="s">
        <v>64</v>
      </c>
      <c r="B892">
        <v>12</v>
      </c>
      <c r="C892" t="s">
        <v>63</v>
      </c>
      <c r="D892">
        <v>82</v>
      </c>
      <c r="E892">
        <v>249.55530418145</v>
      </c>
      <c r="F892">
        <v>38.163255598486998</v>
      </c>
      <c r="G892" t="s">
        <v>64</v>
      </c>
      <c r="H892">
        <v>12</v>
      </c>
      <c r="I892">
        <v>82</v>
      </c>
      <c r="J892">
        <v>8.2292781341838701</v>
      </c>
      <c r="K892" t="b">
        <f t="shared" si="67"/>
        <v>1</v>
      </c>
      <c r="L892">
        <f t="shared" si="68"/>
        <v>295.94783791412084</v>
      </c>
      <c r="M892">
        <f t="shared" si="69"/>
        <v>591.89567582824168</v>
      </c>
      <c r="N892">
        <f t="shared" si="70"/>
        <v>1561.7300153779463</v>
      </c>
      <c r="O892" s="26">
        <f t="shared" si="71"/>
        <v>1793.6232600855808</v>
      </c>
    </row>
    <row r="893" spans="1:15" x14ac:dyDescent="0.35">
      <c r="A893" t="s">
        <v>64</v>
      </c>
      <c r="B893">
        <v>12</v>
      </c>
      <c r="C893" t="s">
        <v>63</v>
      </c>
      <c r="D893">
        <v>83</v>
      </c>
      <c r="E893">
        <v>251.091357494123</v>
      </c>
      <c r="F893">
        <v>38.559544587247402</v>
      </c>
      <c r="G893" t="s">
        <v>64</v>
      </c>
      <c r="H893">
        <v>12</v>
      </c>
      <c r="I893">
        <v>83</v>
      </c>
      <c r="J893">
        <v>8.28548563003325</v>
      </c>
      <c r="K893" t="b">
        <f t="shared" si="67"/>
        <v>1</v>
      </c>
      <c r="L893">
        <f t="shared" si="68"/>
        <v>297.93638771140365</v>
      </c>
      <c r="M893">
        <f t="shared" si="69"/>
        <v>595.87277542280731</v>
      </c>
      <c r="N893">
        <f t="shared" si="70"/>
        <v>1572.2236818543729</v>
      </c>
      <c r="O893" s="26">
        <f t="shared" si="71"/>
        <v>1805.6750770388098</v>
      </c>
    </row>
    <row r="894" spans="1:15" x14ac:dyDescent="0.35">
      <c r="A894" t="s">
        <v>64</v>
      </c>
      <c r="B894">
        <v>12</v>
      </c>
      <c r="C894" t="s">
        <v>63</v>
      </c>
      <c r="D894">
        <v>84</v>
      </c>
      <c r="E894">
        <v>252.59024902915399</v>
      </c>
      <c r="F894">
        <v>38.940884992870799</v>
      </c>
      <c r="G894" t="s">
        <v>64</v>
      </c>
      <c r="H894">
        <v>12</v>
      </c>
      <c r="I894">
        <v>84</v>
      </c>
      <c r="J894">
        <v>8.3400489332342396</v>
      </c>
      <c r="K894" t="b">
        <f t="shared" si="67"/>
        <v>1</v>
      </c>
      <c r="L894">
        <f t="shared" si="68"/>
        <v>299.87118295525903</v>
      </c>
      <c r="M894">
        <f t="shared" si="69"/>
        <v>599.74236591051806</v>
      </c>
      <c r="N894">
        <f t="shared" si="70"/>
        <v>1582.4336831412086</v>
      </c>
      <c r="O894" s="26">
        <f t="shared" si="71"/>
        <v>1817.4011088197517</v>
      </c>
    </row>
    <row r="895" spans="1:15" x14ac:dyDescent="0.35">
      <c r="A895" t="s">
        <v>64</v>
      </c>
      <c r="B895">
        <v>12</v>
      </c>
      <c r="C895" t="s">
        <v>63</v>
      </c>
      <c r="D895">
        <v>85</v>
      </c>
      <c r="E895">
        <v>254.051519924243</v>
      </c>
      <c r="F895">
        <v>39.309222292074601</v>
      </c>
      <c r="G895" t="s">
        <v>64</v>
      </c>
      <c r="H895">
        <v>12</v>
      </c>
      <c r="I895">
        <v>85</v>
      </c>
      <c r="J895">
        <v>8.3930814619344893</v>
      </c>
      <c r="K895" t="b">
        <f t="shared" si="67"/>
        <v>1</v>
      </c>
      <c r="L895">
        <f t="shared" si="68"/>
        <v>301.7538236782521</v>
      </c>
      <c r="M895">
        <f t="shared" si="69"/>
        <v>603.50764735650421</v>
      </c>
      <c r="N895">
        <f t="shared" si="70"/>
        <v>1592.3684626820691</v>
      </c>
      <c r="O895" s="26">
        <f t="shared" si="71"/>
        <v>1828.8110525954671</v>
      </c>
    </row>
    <row r="896" spans="1:15" x14ac:dyDescent="0.35">
      <c r="A896" t="s">
        <v>64</v>
      </c>
      <c r="B896">
        <v>12</v>
      </c>
      <c r="C896" t="s">
        <v>63</v>
      </c>
      <c r="D896">
        <v>86</v>
      </c>
      <c r="E896">
        <v>255.47537571420801</v>
      </c>
      <c r="F896">
        <v>39.665797722106198</v>
      </c>
      <c r="G896" t="s">
        <v>64</v>
      </c>
      <c r="H896">
        <v>12</v>
      </c>
      <c r="I896">
        <v>86</v>
      </c>
      <c r="J896">
        <v>8.4446604875470701</v>
      </c>
      <c r="K896" t="b">
        <f t="shared" si="67"/>
        <v>1</v>
      </c>
      <c r="L896">
        <f t="shared" si="68"/>
        <v>303.58583392386129</v>
      </c>
      <c r="M896">
        <f t="shared" si="69"/>
        <v>607.17166784772257</v>
      </c>
      <c r="N896">
        <f t="shared" si="70"/>
        <v>1602.0360629227509</v>
      </c>
      <c r="O896" s="26">
        <f t="shared" si="71"/>
        <v>1839.9141449930987</v>
      </c>
    </row>
    <row r="897" spans="1:15" x14ac:dyDescent="0.35">
      <c r="A897" t="s">
        <v>64</v>
      </c>
      <c r="B897">
        <v>12</v>
      </c>
      <c r="C897" t="s">
        <v>63</v>
      </c>
      <c r="D897">
        <v>87</v>
      </c>
      <c r="E897">
        <v>256.86238254666699</v>
      </c>
      <c r="F897">
        <v>40.011451260921</v>
      </c>
      <c r="G897" t="s">
        <v>64</v>
      </c>
      <c r="H897">
        <v>12</v>
      </c>
      <c r="I897">
        <v>87</v>
      </c>
      <c r="J897">
        <v>8.4948447048571296</v>
      </c>
      <c r="K897" t="b">
        <f t="shared" si="67"/>
        <v>1</v>
      </c>
      <c r="L897">
        <f t="shared" si="68"/>
        <v>305.36867851244511</v>
      </c>
      <c r="M897">
        <f t="shared" si="69"/>
        <v>610.73735702489023</v>
      </c>
      <c r="N897">
        <f t="shared" si="70"/>
        <v>1611.4442137859901</v>
      </c>
      <c r="O897" s="26">
        <f t="shared" si="71"/>
        <v>1850.7192637117885</v>
      </c>
    </row>
    <row r="898" spans="1:15" x14ac:dyDescent="0.35">
      <c r="A898" t="s">
        <v>64</v>
      </c>
      <c r="B898">
        <v>12</v>
      </c>
      <c r="C898" t="s">
        <v>63</v>
      </c>
      <c r="D898">
        <v>88</v>
      </c>
      <c r="E898">
        <v>258.21329606869199</v>
      </c>
      <c r="F898">
        <v>40.346792791965299</v>
      </c>
      <c r="G898" t="s">
        <v>64</v>
      </c>
      <c r="H898">
        <v>12</v>
      </c>
      <c r="I898">
        <v>88</v>
      </c>
      <c r="J898">
        <v>8.5436829843976607</v>
      </c>
      <c r="K898" t="b">
        <f t="shared" ref="K898:K910" si="72">H898=B898</f>
        <v>1</v>
      </c>
      <c r="L898">
        <f t="shared" ref="L898:L910" si="73">E898+F898+J898</f>
        <v>307.10377184505495</v>
      </c>
      <c r="M898">
        <f t="shared" ref="M898:M910" si="74">L898*2</f>
        <v>614.2075436901099</v>
      </c>
      <c r="N898">
        <f t="shared" si="70"/>
        <v>1620.6003791295775</v>
      </c>
      <c r="O898" s="26">
        <f t="shared" si="71"/>
        <v>1861.2349808791207</v>
      </c>
    </row>
    <row r="899" spans="1:15" x14ac:dyDescent="0.35">
      <c r="A899" t="s">
        <v>64</v>
      </c>
      <c r="B899">
        <v>12</v>
      </c>
      <c r="C899" t="s">
        <v>63</v>
      </c>
      <c r="D899">
        <v>89</v>
      </c>
      <c r="E899">
        <v>259.52896530233397</v>
      </c>
      <c r="F899">
        <v>40.6722987589404</v>
      </c>
      <c r="G899" t="s">
        <v>64</v>
      </c>
      <c r="H899">
        <v>12</v>
      </c>
      <c r="I899">
        <v>89</v>
      </c>
      <c r="J899">
        <v>8.5912186937013608</v>
      </c>
      <c r="K899" t="b">
        <f t="shared" si="72"/>
        <v>1</v>
      </c>
      <c r="L899">
        <f t="shared" si="73"/>
        <v>308.79248275497577</v>
      </c>
      <c r="M899">
        <f t="shared" si="74"/>
        <v>617.58496550995153</v>
      </c>
      <c r="N899">
        <f t="shared" si="70"/>
        <v>1629.5117823481571</v>
      </c>
      <c r="O899" s="26">
        <f t="shared" si="71"/>
        <v>1871.4695924543985</v>
      </c>
    </row>
    <row r="900" spans="1:15" x14ac:dyDescent="0.35">
      <c r="A900" t="s">
        <v>64</v>
      </c>
      <c r="B900">
        <v>12</v>
      </c>
      <c r="C900" t="s">
        <v>63</v>
      </c>
      <c r="D900">
        <v>90</v>
      </c>
      <c r="E900">
        <v>260.81027887708899</v>
      </c>
      <c r="F900">
        <v>40.988366726790403</v>
      </c>
      <c r="G900" t="s">
        <v>64</v>
      </c>
      <c r="H900">
        <v>12</v>
      </c>
      <c r="I900">
        <v>90</v>
      </c>
      <c r="J900">
        <v>8.6374918200374307</v>
      </c>
      <c r="K900" t="b">
        <f t="shared" si="72"/>
        <v>1</v>
      </c>
      <c r="L900">
        <f t="shared" si="73"/>
        <v>310.43613742391682</v>
      </c>
      <c r="M900">
        <f t="shared" si="74"/>
        <v>620.87227484783364</v>
      </c>
      <c r="N900">
        <f t="shared" si="70"/>
        <v>1638.1854217620939</v>
      </c>
      <c r="O900" s="26">
        <f t="shared" si="71"/>
        <v>1881.4311359025262</v>
      </c>
    </row>
    <row r="901" spans="1:15" x14ac:dyDescent="0.35">
      <c r="A901" t="s">
        <v>64</v>
      </c>
      <c r="B901">
        <v>12</v>
      </c>
      <c r="C901" t="s">
        <v>63</v>
      </c>
      <c r="D901">
        <v>91</v>
      </c>
      <c r="E901">
        <v>262.058135168229</v>
      </c>
      <c r="F901">
        <v>41.295346176541898</v>
      </c>
      <c r="G901" t="s">
        <v>64</v>
      </c>
      <c r="H901">
        <v>12</v>
      </c>
      <c r="I901">
        <v>91</v>
      </c>
      <c r="J901">
        <v>8.6825400179273799</v>
      </c>
      <c r="K901" t="b">
        <f t="shared" si="72"/>
        <v>1</v>
      </c>
      <c r="L901">
        <f t="shared" si="73"/>
        <v>312.03602136269831</v>
      </c>
      <c r="M901">
        <f t="shared" si="74"/>
        <v>624.07204272539661</v>
      </c>
      <c r="N901">
        <f t="shared" si="70"/>
        <v>1646.628081069648</v>
      </c>
      <c r="O901" s="26">
        <f t="shared" si="71"/>
        <v>1891.1274021981715</v>
      </c>
    </row>
    <row r="902" spans="1:15" x14ac:dyDescent="0.35">
      <c r="A902" t="s">
        <v>64</v>
      </c>
      <c r="B902">
        <v>12</v>
      </c>
      <c r="C902" t="s">
        <v>63</v>
      </c>
      <c r="D902">
        <v>92</v>
      </c>
      <c r="E902">
        <v>263.27342591325299</v>
      </c>
      <c r="F902">
        <v>41.593555891203401</v>
      </c>
      <c r="G902" t="s">
        <v>64</v>
      </c>
      <c r="H902">
        <v>12</v>
      </c>
      <c r="I902">
        <v>92</v>
      </c>
      <c r="J902">
        <v>8.7263991389050108</v>
      </c>
      <c r="K902" t="b">
        <f t="shared" si="72"/>
        <v>1</v>
      </c>
      <c r="L902">
        <f t="shared" si="73"/>
        <v>313.59338094336141</v>
      </c>
      <c r="M902">
        <f t="shared" si="74"/>
        <v>627.18676188672282</v>
      </c>
      <c r="N902">
        <f t="shared" si="70"/>
        <v>1654.8463374319863</v>
      </c>
      <c r="O902" s="26">
        <f t="shared" si="71"/>
        <v>1900.5659451112813</v>
      </c>
    </row>
    <row r="903" spans="1:15" x14ac:dyDescent="0.35">
      <c r="A903" t="s">
        <v>64</v>
      </c>
      <c r="B903">
        <v>12</v>
      </c>
      <c r="C903" t="s">
        <v>63</v>
      </c>
      <c r="D903">
        <v>93</v>
      </c>
      <c r="E903">
        <v>264.45702741580902</v>
      </c>
      <c r="F903">
        <v>41.8832937829401</v>
      </c>
      <c r="G903" t="s">
        <v>64</v>
      </c>
      <c r="H903">
        <v>12</v>
      </c>
      <c r="I903">
        <v>93</v>
      </c>
      <c r="J903">
        <v>8.7691035156694195</v>
      </c>
      <c r="K903" t="b">
        <f t="shared" si="72"/>
        <v>1</v>
      </c>
      <c r="L903">
        <f t="shared" si="73"/>
        <v>315.10942471441854</v>
      </c>
      <c r="M903">
        <f t="shared" si="74"/>
        <v>630.21884942883707</v>
      </c>
      <c r="N903">
        <f t="shared" si="70"/>
        <v>1662.8465684138182</v>
      </c>
      <c r="O903" s="26">
        <f t="shared" si="71"/>
        <v>1909.7540891782942</v>
      </c>
    </row>
    <row r="904" spans="1:15" x14ac:dyDescent="0.35">
      <c r="A904" t="s">
        <v>64</v>
      </c>
      <c r="B904">
        <v>12</v>
      </c>
      <c r="C904" t="s">
        <v>63</v>
      </c>
      <c r="D904">
        <v>94</v>
      </c>
      <c r="E904">
        <v>265.60979601122801</v>
      </c>
      <c r="F904">
        <v>42.164842464306503</v>
      </c>
      <c r="G904" t="s">
        <v>64</v>
      </c>
      <c r="H904">
        <v>12</v>
      </c>
      <c r="I904">
        <v>94</v>
      </c>
      <c r="J904">
        <v>8.8106861308971691</v>
      </c>
      <c r="K904" t="b">
        <f t="shared" si="72"/>
        <v>1</v>
      </c>
      <c r="L904">
        <f t="shared" si="73"/>
        <v>316.5853246064317</v>
      </c>
      <c r="M904">
        <f t="shared" si="74"/>
        <v>633.1706492128634</v>
      </c>
      <c r="N904">
        <f t="shared" si="70"/>
        <v>1670.6349583452859</v>
      </c>
      <c r="O904" s="26">
        <f t="shared" si="71"/>
        <v>1918.6989370086769</v>
      </c>
    </row>
    <row r="905" spans="1:15" x14ac:dyDescent="0.35">
      <c r="A905" t="s">
        <v>64</v>
      </c>
      <c r="B905">
        <v>12</v>
      </c>
      <c r="C905" t="s">
        <v>63</v>
      </c>
      <c r="D905">
        <v>95</v>
      </c>
      <c r="E905">
        <v>266.73256591690898</v>
      </c>
      <c r="F905">
        <v>42.438472427039798</v>
      </c>
      <c r="G905" t="s">
        <v>64</v>
      </c>
      <c r="H905">
        <v>12</v>
      </c>
      <c r="I905">
        <v>95</v>
      </c>
      <c r="J905">
        <v>8.8511787316197204</v>
      </c>
      <c r="K905" t="b">
        <f t="shared" si="72"/>
        <v>1</v>
      </c>
      <c r="L905">
        <f t="shared" si="73"/>
        <v>318.02221707556851</v>
      </c>
      <c r="M905">
        <f t="shared" si="74"/>
        <v>636.04443415113701</v>
      </c>
      <c r="N905">
        <f t="shared" si="70"/>
        <v>1678.2175043565621</v>
      </c>
      <c r="O905" s="26">
        <f t="shared" si="71"/>
        <v>1927.4073762155665</v>
      </c>
    </row>
    <row r="906" spans="1:15" x14ac:dyDescent="0.35">
      <c r="A906" t="s">
        <v>64</v>
      </c>
      <c r="B906">
        <v>12</v>
      </c>
      <c r="C906" t="s">
        <v>63</v>
      </c>
      <c r="D906">
        <v>96</v>
      </c>
      <c r="E906">
        <v>267.826148409334</v>
      </c>
      <c r="F906">
        <v>42.704443879076898</v>
      </c>
      <c r="G906" t="s">
        <v>64</v>
      </c>
      <c r="H906">
        <v>12</v>
      </c>
      <c r="I906">
        <v>96</v>
      </c>
      <c r="J906">
        <v>8.8906119168832607</v>
      </c>
      <c r="K906" t="b">
        <f t="shared" si="72"/>
        <v>1</v>
      </c>
      <c r="L906">
        <f t="shared" si="73"/>
        <v>319.42120420529415</v>
      </c>
      <c r="M906">
        <f t="shared" si="74"/>
        <v>638.84240841058829</v>
      </c>
      <c r="N906">
        <f t="shared" si="70"/>
        <v>1685.6000221915258</v>
      </c>
      <c r="O906" s="26">
        <f t="shared" si="71"/>
        <v>1935.8860860926918</v>
      </c>
    </row>
    <row r="907" spans="1:15" x14ac:dyDescent="0.35">
      <c r="A907" t="s">
        <v>64</v>
      </c>
      <c r="B907">
        <v>12</v>
      </c>
      <c r="C907" t="s">
        <v>63</v>
      </c>
      <c r="D907">
        <v>97</v>
      </c>
      <c r="E907">
        <v>268.89133173160502</v>
      </c>
      <c r="F907">
        <v>42.963007831584001</v>
      </c>
      <c r="G907" t="s">
        <v>64</v>
      </c>
      <c r="H907">
        <v>12</v>
      </c>
      <c r="I907">
        <v>97</v>
      </c>
      <c r="J907">
        <v>8.9290152109537004</v>
      </c>
      <c r="K907" t="b">
        <f t="shared" si="72"/>
        <v>1</v>
      </c>
      <c r="L907">
        <f t="shared" si="73"/>
        <v>320.78335477414271</v>
      </c>
      <c r="M907">
        <f t="shared" si="74"/>
        <v>641.56670954828542</v>
      </c>
      <c r="N907">
        <f t="shared" si="70"/>
        <v>1692.7881518424417</v>
      </c>
      <c r="O907" s="26">
        <f t="shared" si="71"/>
        <v>1944.1415440857133</v>
      </c>
    </row>
    <row r="908" spans="1:15" x14ac:dyDescent="0.35">
      <c r="A908" t="s">
        <v>64</v>
      </c>
      <c r="B908">
        <v>12</v>
      </c>
      <c r="C908" t="s">
        <v>63</v>
      </c>
      <c r="D908">
        <v>98</v>
      </c>
      <c r="E908">
        <v>269.92888139621698</v>
      </c>
      <c r="F908">
        <v>43.214406768870901</v>
      </c>
      <c r="G908" t="s">
        <v>64</v>
      </c>
      <c r="H908">
        <v>12</v>
      </c>
      <c r="I908">
        <v>98</v>
      </c>
      <c r="J908">
        <v>8.9664171273850695</v>
      </c>
      <c r="K908" t="b">
        <f t="shared" si="72"/>
        <v>1</v>
      </c>
      <c r="L908">
        <f t="shared" si="73"/>
        <v>322.10970529247294</v>
      </c>
      <c r="M908">
        <f t="shared" si="74"/>
        <v>644.21941058494588</v>
      </c>
      <c r="N908">
        <f t="shared" si="70"/>
        <v>1699.7873630209654</v>
      </c>
      <c r="O908" s="26">
        <f t="shared" si="71"/>
        <v>1952.1800320755935</v>
      </c>
    </row>
    <row r="909" spans="1:15" x14ac:dyDescent="0.35">
      <c r="A909" t="s">
        <v>64</v>
      </c>
      <c r="B909">
        <v>12</v>
      </c>
      <c r="C909" t="s">
        <v>63</v>
      </c>
      <c r="D909">
        <v>99</v>
      </c>
      <c r="E909">
        <v>270.93954069488802</v>
      </c>
      <c r="F909">
        <v>43.458875088036898</v>
      </c>
      <c r="G909" t="s">
        <v>64</v>
      </c>
      <c r="H909">
        <v>12</v>
      </c>
      <c r="I909">
        <v>99</v>
      </c>
      <c r="J909">
        <v>9.0028452262925995</v>
      </c>
      <c r="K909" t="b">
        <f t="shared" si="72"/>
        <v>1</v>
      </c>
      <c r="L909">
        <f t="shared" si="73"/>
        <v>323.40126100921754</v>
      </c>
      <c r="M909">
        <f t="shared" si="74"/>
        <v>646.80252201843507</v>
      </c>
      <c r="N909">
        <f t="shared" si="70"/>
        <v>1706.6029604708049</v>
      </c>
      <c r="O909" s="26">
        <f t="shared" si="71"/>
        <v>1960.0076424801061</v>
      </c>
    </row>
    <row r="910" spans="1:15" x14ac:dyDescent="0.35">
      <c r="A910" t="s">
        <v>64</v>
      </c>
      <c r="B910">
        <v>12</v>
      </c>
      <c r="C910" t="s">
        <v>63</v>
      </c>
      <c r="D910">
        <v>100</v>
      </c>
      <c r="E910">
        <v>271.924031310224</v>
      </c>
      <c r="F910">
        <v>43.696639412907302</v>
      </c>
      <c r="G910" t="s">
        <v>64</v>
      </c>
      <c r="H910">
        <v>12</v>
      </c>
      <c r="I910">
        <v>100</v>
      </c>
      <c r="J910">
        <v>9.0383261659748904</v>
      </c>
      <c r="K910" t="b">
        <f t="shared" si="72"/>
        <v>1</v>
      </c>
      <c r="L910">
        <f t="shared" si="73"/>
        <v>324.65899688910616</v>
      </c>
      <c r="M910">
        <f t="shared" si="74"/>
        <v>649.31799377821233</v>
      </c>
      <c r="N910">
        <f t="shared" si="70"/>
        <v>1713.2400891245707</v>
      </c>
      <c r="O910" s="26">
        <f t="shared" si="71"/>
        <v>1967.6302841764009</v>
      </c>
    </row>
    <row r="911" spans="1:15" x14ac:dyDescent="0.35">
      <c r="F911" s="19"/>
    </row>
  </sheetData>
  <sortState xmlns:xlrd2="http://schemas.microsoft.com/office/spreadsheetml/2017/richdata2" ref="A2:O911">
    <sortCondition ref="A2:A91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5EF99B6E6173418F140FEA2205202F" ma:contentTypeVersion="7" ma:contentTypeDescription="Create a new document." ma:contentTypeScope="" ma:versionID="0109aaa9be27663929230d6dfec6909f">
  <xsd:schema xmlns:xsd="http://www.w3.org/2001/XMLSchema" xmlns:xs="http://www.w3.org/2001/XMLSchema" xmlns:p="http://schemas.microsoft.com/office/2006/metadata/properties" xmlns:ns2="cf0797e8-ccba-4196-aa7d-6d4101829a48" targetNamespace="http://schemas.microsoft.com/office/2006/metadata/properties" ma:root="true" ma:fieldsID="567fa3ffa14044510561cbd420185b38" ns2:_="">
    <xsd:import namespace="cf0797e8-ccba-4196-aa7d-6d4101829a4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0797e8-ccba-4196-aa7d-6d4101829a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DE75B7-DD7A-4CFE-BAA1-C017EEC76CD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6CC1719-E9D3-43C8-B0BA-CCA85442D40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0797e8-ccba-4196-aa7d-6d4101829a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36F4CF3-8888-4F2F-B2C1-815A4519A20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Over to underbark</vt:lpstr>
      <vt:lpstr>Sheet3</vt:lpstr>
      <vt:lpstr>CARBINE OUTPUTS</vt:lpstr>
    </vt:vector>
  </TitlesOfParts>
  <Manager/>
  <Company>Forest Research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Carly Whittaker</dc:creator>
  <cp:keywords/>
  <dc:description/>
  <cp:lastModifiedBy>Jacob O'Sullivan</cp:lastModifiedBy>
  <cp:revision/>
  <dcterms:created xsi:type="dcterms:W3CDTF">2025-12-10T10:25:15Z</dcterms:created>
  <dcterms:modified xsi:type="dcterms:W3CDTF">2026-01-07T08:58:23Z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0x010100245EF99B6E6173418F140FEA2205202F</vt:lpwstr>
  </property>
</Properties>
</file>